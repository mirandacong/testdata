
<file path=[Content_Types].xml><?xml version="1.0" encoding="utf-8"?>
<Types xmlns="http://schemas.openxmlformats.org/package/2006/content-types">
  <Default ContentType="application/vnd.openxmlformats-officedocument.spreadsheetml.printerSettings" Extension="bin"/>
  <Default ContentType="image/gif" Extension="gif"/>
  <Default ContentType="image/jpeg" Extension="jpeg"/>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externalLink+xml" PartName="/xl/externalLinks/externalLink10.xml"/>
  <Override ContentType="application/vnd.openxmlformats-officedocument.spreadsheetml.externalLink+xml" PartName="/xl/externalLinks/externalLink11.xml"/>
  <Override ContentType="application/vnd.openxmlformats-officedocument.spreadsheetml.externalLink+xml" PartName="/xl/externalLinks/externalLink12.xml"/>
  <Override ContentType="application/vnd.openxmlformats-officedocument.spreadsheetml.externalLink+xml" PartName="/xl/externalLinks/externalLink13.xml"/>
  <Override ContentType="application/vnd.openxmlformats-officedocument.spreadsheetml.externalLink+xml" PartName="/xl/externalLinks/externalLink14.xml"/>
  <Override ContentType="application/vnd.openxmlformats-officedocument.spreadsheetml.externalLink+xml" PartName="/xl/externalLinks/externalLink15.xml"/>
  <Override ContentType="application/vnd.openxmlformats-officedocument.spreadsheetml.externalLink+xml" PartName="/xl/externalLinks/externalLink16.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externalLink+xml" PartName="/xl/externalLinks/externalLink6.xml"/>
  <Override ContentType="application/vnd.openxmlformats-officedocument.spreadsheetml.externalLink+xml" PartName="/xl/externalLinks/externalLink7.xml"/>
  <Override ContentType="application/vnd.openxmlformats-officedocument.spreadsheetml.externalLink+xml" PartName="/xl/externalLinks/externalLink8.xml"/>
  <Override ContentType="application/vnd.openxmlformats-officedocument.spreadsheetml.externalLink+xml" PartName="/xl/externalLinks/externalLink9.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codeName="ThisWorkbook"/>
  <bookViews>
    <workbookView xWindow="1275" yWindow="2445" windowWidth="10515" windowHeight="4575" tabRatio="736"/>
  </bookViews>
  <sheets>
    <sheet name="ImportantDisclosures" sheetId="103" r:id="rId1"/>
    <sheet name="DCF" sheetId="70" r:id="rId2"/>
    <sheet name="IS" sheetId="1" r:id="rId3"/>
    <sheet name="MW-Cache" sheetId="16" state="veryHidden" r:id="rId4"/>
    <sheet name="Revs" sheetId="5" r:id="rId5"/>
    <sheet name="BS" sheetId="2" r:id="rId6"/>
    <sheet name="CF" sheetId="3" r:id="rId7"/>
    <sheet name="CF Market" sheetId="69" r:id="rId8"/>
    <sheet name="Deals and Terms" sheetId="8" r:id="rId9"/>
    <sheet name="Financings and Debt info" sheetId="9" r:id="rId10"/>
    <sheet name="IndexInformation" sheetId="104" r:id="rId11"/>
    <sheet name="ModPubIndex" sheetId="105"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______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__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_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FDS_HYPERLINK_TOGGLE_STATE__" hidden="1">"ON"</definedName>
    <definedName name="__FDS_UNIQUE_RANGE_ID_GENERATOR_COUNTER" hidden="1">1</definedName>
    <definedName name="_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1__FDSAUDITLINK__" localSheetId="8" hidden="1">{"fdsup://directions/FAT Viewer?action=UPDATE&amp;creator=factset&amp;DYN_ARGS=TRUE&amp;DOC_NAME=FAT:FQL_AUDITING_CLIENT_TEMPLATE.FAT&amp;display_string=Audit&amp;VAR:KEY=LWNEPKPEBA&amp;VAR:QUERY=RkZfRUJJVERBX0lCKCdBTk4nLDIwMDgp&amp;WINDOW=FIRST_POPUP&amp;HEIGHT=450&amp;WIDTH=450&amp;START_MAXIMI","ZED=FALSE&amp;VAR:CALENDAR=FIVEDAY&amp;VAR:SYMBOL=PFE&amp;VAR:INDEX=0"}</definedName>
    <definedName name="_1__FDSAUDITLINK__" localSheetId="9" hidden="1">{"fdsup://directions/FAT Viewer?action=UPDATE&amp;creator=factset&amp;DYN_ARGS=TRUE&amp;DOC_NAME=FAT:FQL_AUDITING_CLIENT_TEMPLATE.FAT&amp;display_string=Audit&amp;VAR:KEY=LWNEPKPEBA&amp;VAR:QUERY=RkZfRUJJVERBX0lCKCdBTk4nLDIwMDgp&amp;WINDOW=FIRST_POPUP&amp;HEIGHT=450&amp;WIDTH=450&amp;START_MAXIMI","ZED=FALSE&amp;VAR:CALENDAR=FIVEDAY&amp;VAR:SYMBOL=PFE&amp;VAR:INDEX=0"}</definedName>
    <definedName name="_1__FDSAUDITLINK__" localSheetId="4" hidden="1">{"fdsup://directions/FAT Viewer?action=UPDATE&amp;creator=factset&amp;DYN_ARGS=TRUE&amp;DOC_NAME=FAT:FQL_AUDITING_CLIENT_TEMPLATE.FAT&amp;display_string=Audit&amp;VAR:KEY=LWNEPKPEBA&amp;VAR:QUERY=RkZfRUJJVERBX0lCKCdBTk4nLDIwMDgp&amp;WINDOW=FIRST_POPUP&amp;HEIGHT=450&amp;WIDTH=450&amp;START_MAXIMI","ZED=FALSE&amp;VAR:CALENDAR=FIVEDAY&amp;VAR:SYMBOL=PFE&amp;VAR:INDEX=0"}</definedName>
    <definedName name="_1__FDSAUDITLINK__" hidden="1">{"fdsup://directions/FAT Viewer?action=UPDATE&amp;creator=factset&amp;DYN_ARGS=TRUE&amp;DOC_NAME=FAT:FQL_AUDITING_CLIENT_TEMPLATE.FAT&amp;display_string=Audit&amp;VAR:KEY=LWNEPKPEBA&amp;VAR:QUERY=RkZfRUJJVERBX0lCKCdBTk4nLDIwMDgp&amp;WINDOW=FIRST_POPUP&amp;HEIGHT=450&amp;WIDTH=450&amp;START_MAXIMI","ZED=FALSE&amp;VAR:CALENDAR=FIVEDAY&amp;VAR:SYMBOL=PFE&amp;VAR:INDEX=0"}</definedName>
    <definedName name="_2__FDSAUDITLINK__" localSheetId="8" hidden="1">{"fdsup://directions/FAT Viewer?action=UPDATE&amp;creator=factset&amp;DYN_ARGS=TRUE&amp;DOC_NAME=FAT:FQL_AUDITING_CLIENT_TEMPLATE.FAT&amp;display_string=Audit&amp;VAR:KEY=TKDCPCRGJO&amp;VAR:QUERY=RkZfRUJJVERBX0lCKCdBTk4nLDIwMDcp&amp;WINDOW=FIRST_POPUP&amp;HEIGHT=450&amp;WIDTH=450&amp;START_MAXIMI","ZED=FALSE&amp;VAR:CALENDAR=FIVEDAY&amp;VAR:SYMBOL=PFE&amp;VAR:INDEX=0"}</definedName>
    <definedName name="_2__FDSAUDITLINK__" localSheetId="9" hidden="1">{"fdsup://directions/FAT Viewer?action=UPDATE&amp;creator=factset&amp;DYN_ARGS=TRUE&amp;DOC_NAME=FAT:FQL_AUDITING_CLIENT_TEMPLATE.FAT&amp;display_string=Audit&amp;VAR:KEY=TKDCPCRGJO&amp;VAR:QUERY=RkZfRUJJVERBX0lCKCdBTk4nLDIwMDcp&amp;WINDOW=FIRST_POPUP&amp;HEIGHT=450&amp;WIDTH=450&amp;START_MAXIMI","ZED=FALSE&amp;VAR:CALENDAR=FIVEDAY&amp;VAR:SYMBOL=PFE&amp;VAR:INDEX=0"}</definedName>
    <definedName name="_2__FDSAUDITLINK__" localSheetId="4" hidden="1">{"fdsup://directions/FAT Viewer?action=UPDATE&amp;creator=factset&amp;DYN_ARGS=TRUE&amp;DOC_NAME=FAT:FQL_AUDITING_CLIENT_TEMPLATE.FAT&amp;display_string=Audit&amp;VAR:KEY=TKDCPCRGJO&amp;VAR:QUERY=RkZfRUJJVERBX0lCKCdBTk4nLDIwMDcp&amp;WINDOW=FIRST_POPUP&amp;HEIGHT=450&amp;WIDTH=450&amp;START_MAXIMI","ZED=FALSE&amp;VAR:CALENDAR=FIVEDAY&amp;VAR:SYMBOL=PFE&amp;VAR:INDEX=0"}</definedName>
    <definedName name="_2__FDSAUDITLINK__" hidden="1">{"fdsup://directions/FAT Viewer?action=UPDATE&amp;creator=factset&amp;DYN_ARGS=TRUE&amp;DOC_NAME=FAT:FQL_AUDITING_CLIENT_TEMPLATE.FAT&amp;display_string=Audit&amp;VAR:KEY=TKDCPCRGJO&amp;VAR:QUERY=RkZfRUJJVERBX0lCKCdBTk4nLDIwMDcp&amp;WINDOW=FIRST_POPUP&amp;HEIGHT=450&amp;WIDTH=450&amp;START_MAXIMI","ZED=FALSE&amp;VAR:CALENDAR=FIVEDAY&amp;VAR:SYMBOL=PFE&amp;VAR:INDEX=0"}</definedName>
    <definedName name="_3__FDSAUDITLINK__" localSheetId="8" hidden="1">{"fdsup://directions/FAT Viewer?action=UPDATE&amp;creator=factset&amp;DYN_ARGS=TRUE&amp;DOC_NAME=FAT:FQL_AUDITING_CLIENT_TEMPLATE.FAT&amp;display_string=Audit&amp;VAR:KEY=FAZYZAZOHS&amp;VAR:QUERY=RkZfRUJJVERBX0lCKCdBTk4nLDIwMDYp&amp;WINDOW=FIRST_POPUP&amp;HEIGHT=450&amp;WIDTH=450&amp;START_MAXIMI","ZED=FALSE&amp;VAR:CALENDAR=FIVEDAY&amp;VAR:SYMBOL=PFE&amp;VAR:INDEX=0"}</definedName>
    <definedName name="_3__FDSAUDITLINK__" localSheetId="9" hidden="1">{"fdsup://directions/FAT Viewer?action=UPDATE&amp;creator=factset&amp;DYN_ARGS=TRUE&amp;DOC_NAME=FAT:FQL_AUDITING_CLIENT_TEMPLATE.FAT&amp;display_string=Audit&amp;VAR:KEY=FAZYZAZOHS&amp;VAR:QUERY=RkZfRUJJVERBX0lCKCdBTk4nLDIwMDYp&amp;WINDOW=FIRST_POPUP&amp;HEIGHT=450&amp;WIDTH=450&amp;START_MAXIMI","ZED=FALSE&amp;VAR:CALENDAR=FIVEDAY&amp;VAR:SYMBOL=PFE&amp;VAR:INDEX=0"}</definedName>
    <definedName name="_3__FDSAUDITLINK__" localSheetId="4" hidden="1">{"fdsup://directions/FAT Viewer?action=UPDATE&amp;creator=factset&amp;DYN_ARGS=TRUE&amp;DOC_NAME=FAT:FQL_AUDITING_CLIENT_TEMPLATE.FAT&amp;display_string=Audit&amp;VAR:KEY=FAZYZAZOHS&amp;VAR:QUERY=RkZfRUJJVERBX0lCKCdBTk4nLDIwMDYp&amp;WINDOW=FIRST_POPUP&amp;HEIGHT=450&amp;WIDTH=450&amp;START_MAXIMI","ZED=FALSE&amp;VAR:CALENDAR=FIVEDAY&amp;VAR:SYMBOL=PFE&amp;VAR:INDEX=0"}</definedName>
    <definedName name="_3__FDSAUDITLINK__" hidden="1">{"fdsup://directions/FAT Viewer?action=UPDATE&amp;creator=factset&amp;DYN_ARGS=TRUE&amp;DOC_NAME=FAT:FQL_AUDITING_CLIENT_TEMPLATE.FAT&amp;display_string=Audit&amp;VAR:KEY=FAZYZAZOHS&amp;VAR:QUERY=RkZfRUJJVERBX0lCKCdBTk4nLDIwMDYp&amp;WINDOW=FIRST_POPUP&amp;HEIGHT=450&amp;WIDTH=450&amp;START_MAXIMI","ZED=FALSE&amp;VAR:CALENDAR=FIVEDAY&amp;VAR:SYMBOL=PFE&amp;VAR:INDEX=0"}</definedName>
    <definedName name="_bdm.02E29E7B1053433EA3CCCBE4E5141596.edm" localSheetId="8" hidden="1">[1]Sheet1!$1:$1048576</definedName>
    <definedName name="_bdm.02E29E7B1053433EA3CCCBE4E5141596.edm" localSheetId="9" hidden="1">[1]Sheet1!$1:$1048576</definedName>
    <definedName name="_bdm.02E29E7B1053433EA3CCCBE4E5141596.edm" localSheetId="4" hidden="1">[1]Sheet1!$1:$1048576</definedName>
    <definedName name="_bdm.02E29E7B1053433EA3CCCBE4E5141596.edm" hidden="1">[1]Sheet1!$1:$1048576</definedName>
    <definedName name="_bdm.0465D0F8BD2C4E888AB9C11EA0CBE52C.edm" localSheetId="8" hidden="1">'[2]rev change analysis'!$1:$1048576</definedName>
    <definedName name="_bdm.0465D0F8BD2C4E888AB9C11EA0CBE52C.edm" localSheetId="9" hidden="1">'[2]rev change analysis'!$1:$1048576</definedName>
    <definedName name="_bdm.0465D0F8BD2C4E888AB9C11EA0CBE52C.edm" localSheetId="4" hidden="1">'[2]rev change analysis'!$1:$1048576</definedName>
    <definedName name="_bdm.0465D0F8BD2C4E888AB9C11EA0CBE52C.edm" hidden="1">'[2]rev change analysis'!$1:$1048576</definedName>
    <definedName name="_bdm.14200C51F23343DBA038D22B6303B8CC.edm" localSheetId="8" hidden="1">[3]Cashflow!$1:$1048576</definedName>
    <definedName name="_bdm.14200C51F23343DBA038D22B6303B8CC.edm" localSheetId="9" hidden="1">[3]Cashflow!$1:$1048576</definedName>
    <definedName name="_bdm.14200C51F23343DBA038D22B6303B8CC.edm" localSheetId="4" hidden="1">[3]Cashflow!$1:$1048576</definedName>
    <definedName name="_bdm.14200C51F23343DBA038D22B6303B8CC.edm" hidden="1">[3]Cashflow!$1:$1048576</definedName>
    <definedName name="_bdm.22794A4B010A4A8692E496303EA793DB.edm" localSheetId="8" hidden="1">[4]Cashflow!$1:$1048576</definedName>
    <definedName name="_bdm.22794A4B010A4A8692E496303EA793DB.edm" localSheetId="9" hidden="1">[4]Cashflow!$1:$1048576</definedName>
    <definedName name="_bdm.22794A4B010A4A8692E496303EA793DB.edm" localSheetId="4" hidden="1">[4]Cashflow!$1:$1048576</definedName>
    <definedName name="_bdm.22794A4B010A4A8692E496303EA793DB.edm" hidden="1">[4]Cashflow!$1:$1048576</definedName>
    <definedName name="_bdm.324D53C82F8D478AA4269D3A520A6972.edm" localSheetId="8" hidden="1">[4]Figures!$1:$1048576</definedName>
    <definedName name="_bdm.324D53C82F8D478AA4269D3A520A6972.edm" localSheetId="9" hidden="1">[4]Figures!$1:$1048576</definedName>
    <definedName name="_bdm.324D53C82F8D478AA4269D3A520A6972.edm" localSheetId="4" hidden="1">[4]Figures!$1:$1048576</definedName>
    <definedName name="_bdm.324D53C82F8D478AA4269D3A520A6972.edm" hidden="1">[4]Figures!$1:$1048576</definedName>
    <definedName name="_bdm.37E6BDDA51D64107AEC413E364833DAE.edm" localSheetId="8" hidden="1">'[3]Avastin-Patient Ramp'!$1:$1048576</definedName>
    <definedName name="_bdm.37E6BDDA51D64107AEC413E364833DAE.edm" localSheetId="9" hidden="1">'[3]Avastin-Patient Ramp'!$1:$1048576</definedName>
    <definedName name="_bdm.37E6BDDA51D64107AEC413E364833DAE.edm" localSheetId="4" hidden="1">'[3]Avastin-Patient Ramp'!$1:$1048576</definedName>
    <definedName name="_bdm.37E6BDDA51D64107AEC413E364833DAE.edm" hidden="1">'[3]Avastin-Patient Ramp'!$1:$1048576</definedName>
    <definedName name="_bdm.3AE51B349CB64710914C57BF7EAD0F08.edm" localSheetId="8" hidden="1">[4]Marketing!$1:$1048576</definedName>
    <definedName name="_bdm.3AE51B349CB64710914C57BF7EAD0F08.edm" localSheetId="9" hidden="1">[4]Marketing!$1:$1048576</definedName>
    <definedName name="_bdm.3AE51B349CB64710914C57BF7EAD0F08.edm" localSheetId="4" hidden="1">[4]Marketing!$1:$1048576</definedName>
    <definedName name="_bdm.3AE51B349CB64710914C57BF7EAD0F08.edm" hidden="1">[4]Marketing!$1:$1048576</definedName>
    <definedName name="_bdm.5F1885707D3344F0A4139CF01D1D1F5E.edm" localSheetId="8" hidden="1">[3]Annual!$1:$1048576</definedName>
    <definedName name="_bdm.5F1885707D3344F0A4139CF01D1D1F5E.edm" localSheetId="9" hidden="1">[3]Annual!$1:$1048576</definedName>
    <definedName name="_bdm.5F1885707D3344F0A4139CF01D1D1F5E.edm" localSheetId="4" hidden="1">[3]Annual!$1:$1048576</definedName>
    <definedName name="_bdm.5F1885707D3344F0A4139CF01D1D1F5E.edm" hidden="1">[3]Annual!$1:$1048576</definedName>
    <definedName name="_bdm.65F9EB696FC746649BC61AD8D778200B.edm" localSheetId="8" hidden="1">[4]Annual!$1:$1048576</definedName>
    <definedName name="_bdm.65F9EB696FC746649BC61AD8D778200B.edm" localSheetId="9" hidden="1">[4]Annual!$1:$1048576</definedName>
    <definedName name="_bdm.65F9EB696FC746649BC61AD8D778200B.edm" localSheetId="4" hidden="1">[4]Annual!$1:$1048576</definedName>
    <definedName name="_bdm.65F9EB696FC746649BC61AD8D778200B.edm" hidden="1">[4]Annual!$1:$1048576</definedName>
    <definedName name="_bdm.728F11F0AFCA412FB7ED10EC5A6B0D96.edm" localSheetId="8" hidden="1">'[3]Balance Sheet '!$1:$1048576</definedName>
    <definedName name="_bdm.728F11F0AFCA412FB7ED10EC5A6B0D96.edm" localSheetId="9" hidden="1">'[3]Balance Sheet '!$1:$1048576</definedName>
    <definedName name="_bdm.728F11F0AFCA412FB7ED10EC5A6B0D96.edm" localSheetId="4" hidden="1">'[3]Balance Sheet '!$1:$1048576</definedName>
    <definedName name="_bdm.728F11F0AFCA412FB7ED10EC5A6B0D96.edm" hidden="1">'[3]Balance Sheet '!$1:$1048576</definedName>
    <definedName name="_bdm.77453DAF91854373A25ACDB8F1877D47.edm" localSheetId="8" hidden="1">'[4]Balance Sheet '!$1:$1048576</definedName>
    <definedName name="_bdm.77453DAF91854373A25ACDB8F1877D47.edm" localSheetId="9" hidden="1">'[4]Balance Sheet '!$1:$1048576</definedName>
    <definedName name="_bdm.77453DAF91854373A25ACDB8F1877D47.edm" localSheetId="4" hidden="1">'[4]Balance Sheet '!$1:$1048576</definedName>
    <definedName name="_bdm.77453DAF91854373A25ACDB8F1877D47.edm" hidden="1">'[4]Balance Sheet '!$1:$1048576</definedName>
    <definedName name="_bdm.7757076A173D4402BD533DE2F5EDA064.edm" localSheetId="8" hidden="1">[3]Manufacturing!$1:$1048576</definedName>
    <definedName name="_bdm.7757076A173D4402BD533DE2F5EDA064.edm" localSheetId="9" hidden="1">[3]Manufacturing!$1:$1048576</definedName>
    <definedName name="_bdm.7757076A173D4402BD533DE2F5EDA064.edm" localSheetId="4" hidden="1">[3]Manufacturing!$1:$1048576</definedName>
    <definedName name="_bdm.7757076A173D4402BD533DE2F5EDA064.edm" hidden="1">[3]Manufacturing!$1:$1048576</definedName>
    <definedName name="_bdm.9301DDFC67D846248C16E96B86458D94.edm" localSheetId="8" hidden="1">'[2]rev contribution analysis'!$1:$1048576</definedName>
    <definedName name="_bdm.9301DDFC67D846248C16E96B86458D94.edm" localSheetId="9" hidden="1">'[2]rev contribution analysis'!$1:$1048576</definedName>
    <definedName name="_bdm.9301DDFC67D846248C16E96B86458D94.edm" localSheetId="4" hidden="1">'[2]rev contribution analysis'!$1:$1048576</definedName>
    <definedName name="_bdm.9301DDFC67D846248C16E96B86458D94.edm" hidden="1">'[2]rev contribution analysis'!$1:$1048576</definedName>
    <definedName name="_bdm.95B3BB646EED4CCE80790D8D8638B047.edm" localSheetId="8" hidden="1">'[4]MS Est. Vs Actual'!$1:$1048576</definedName>
    <definedName name="_bdm.95B3BB646EED4CCE80790D8D8638B047.edm" localSheetId="9" hidden="1">'[4]MS Est. Vs Actual'!$1:$1048576</definedName>
    <definedName name="_bdm.95B3BB646EED4CCE80790D8D8638B047.edm" localSheetId="4" hidden="1">'[4]MS Est. Vs Actual'!$1:$1048576</definedName>
    <definedName name="_bdm.95B3BB646EED4CCE80790D8D8638B047.edm" hidden="1">'[4]MS Est. Vs Actual'!$1:$1048576</definedName>
    <definedName name="_bdm.A14504C4685843CABFA70BDB420D1B49.edm" localSheetId="8" hidden="1">[4]ProcritAranesp!$1:$1048576</definedName>
    <definedName name="_bdm.A14504C4685843CABFA70BDB420D1B49.edm" localSheetId="9" hidden="1">[4]ProcritAranesp!$1:$1048576</definedName>
    <definedName name="_bdm.A14504C4685843CABFA70BDB420D1B49.edm" localSheetId="4" hidden="1">[4]ProcritAranesp!$1:$1048576</definedName>
    <definedName name="_bdm.A14504C4685843CABFA70BDB420D1B49.edm" hidden="1">[4]ProcritAranesp!$1:$1048576</definedName>
    <definedName name="_bdm.B21B9DDD275E448CBEA15C84DEF8CA9D.edm" localSheetId="8" hidden="1">'[3]MS Est vs. Rpt'!$1:$1048576</definedName>
    <definedName name="_bdm.B21B9DDD275E448CBEA15C84DEF8CA9D.edm" localSheetId="9" hidden="1">'[3]MS Est vs. Rpt'!$1:$1048576</definedName>
    <definedName name="_bdm.B21B9DDD275E448CBEA15C84DEF8CA9D.edm" localSheetId="4" hidden="1">'[3]MS Est vs. Rpt'!$1:$1048576</definedName>
    <definedName name="_bdm.B21B9DDD275E448CBEA15C84DEF8CA9D.edm" hidden="1">'[3]MS Est vs. Rpt'!$1:$1048576</definedName>
    <definedName name="_bdm.C143B498FEE343158C5059FD7AD9D747.edm" localSheetId="8" hidden="1">'[3]Changes to the Model'!$1:$1048576</definedName>
    <definedName name="_bdm.C143B498FEE343158C5059FD7AD9D747.edm" localSheetId="9" hidden="1">'[3]Changes to the Model'!$1:$1048576</definedName>
    <definedName name="_bdm.C143B498FEE343158C5059FD7AD9D747.edm" localSheetId="4" hidden="1">'[3]Changes to the Model'!$1:$1048576</definedName>
    <definedName name="_bdm.C143B498FEE343158C5059FD7AD9D747.edm" hidden="1">'[3]Changes to the Model'!$1:$1048576</definedName>
    <definedName name="_bdm.CA0B0CAC6522419B8221BEA627D1C086.edm" localSheetId="8" hidden="1">'[3]Clinical data'!$1:$1048576</definedName>
    <definedName name="_bdm.CA0B0CAC6522419B8221BEA627D1C086.edm" localSheetId="9" hidden="1">'[3]Clinical data'!$1:$1048576</definedName>
    <definedName name="_bdm.CA0B0CAC6522419B8221BEA627D1C086.edm" localSheetId="4" hidden="1">'[3]Clinical data'!$1:$1048576</definedName>
    <definedName name="_bdm.CA0B0CAC6522419B8221BEA627D1C086.edm" hidden="1">'[3]Clinical data'!$1:$1048576</definedName>
    <definedName name="_bdm.CA0B3AD6743A4F68B0D719ED6EBECAA8.edm" localSheetId="8" hidden="1">[3]Marketing!$1:$1048576</definedName>
    <definedName name="_bdm.CA0B3AD6743A4F68B0D719ED6EBECAA8.edm" localSheetId="9" hidden="1">[3]Marketing!$1:$1048576</definedName>
    <definedName name="_bdm.CA0B3AD6743A4F68B0D719ED6EBECAA8.edm" localSheetId="4" hidden="1">[3]Marketing!$1:$1048576</definedName>
    <definedName name="_bdm.CA0B3AD6743A4F68B0D719ED6EBECAA8.edm" hidden="1">[3]Marketing!$1:$1048576</definedName>
    <definedName name="_bdm.DA3D26E750D24936AEE5B87A52DD73E7.edm" localSheetId="8" hidden="1">[4]Quarterly!$1:$1048576</definedName>
    <definedName name="_bdm.DA3D26E750D24936AEE5B87A52DD73E7.edm" localSheetId="9" hidden="1">[4]Quarterly!$1:$1048576</definedName>
    <definedName name="_bdm.DA3D26E750D24936AEE5B87A52DD73E7.edm" localSheetId="4" hidden="1">[4]Quarterly!$1:$1048576</definedName>
    <definedName name="_bdm.DA3D26E750D24936AEE5B87A52DD73E7.edm" hidden="1">[4]Quarterly!$1:$1048576</definedName>
    <definedName name="_bdm.E21E382C69DA4447AFEB970D63072EC7.edm" localSheetId="8" hidden="1">[3]Quarterly!$1:$1048576</definedName>
    <definedName name="_bdm.E21E382C69DA4447AFEB970D63072EC7.edm" localSheetId="9" hidden="1">[3]Quarterly!$1:$1048576</definedName>
    <definedName name="_bdm.E21E382C69DA4447AFEB970D63072EC7.edm" localSheetId="4" hidden="1">[3]Quarterly!$1:$1048576</definedName>
    <definedName name="_bdm.E21E382C69DA4447AFEB970D63072EC7.edm" hidden="1">[3]Quarterly!$1:$1048576</definedName>
    <definedName name="_bdm.E740C0FDA4514EE4A13531D2644E24FE.edm" localSheetId="8" hidden="1">'[4]Changes to Model'!$1:$1048576</definedName>
    <definedName name="_bdm.E740C0FDA4514EE4A13531D2644E24FE.edm" localSheetId="9" hidden="1">'[4]Changes to Model'!$1:$1048576</definedName>
    <definedName name="_bdm.E740C0FDA4514EE4A13531D2644E24FE.edm" localSheetId="4" hidden="1">'[4]Changes to Model'!$1:$1048576</definedName>
    <definedName name="_bdm.E740C0FDA4514EE4A13531D2644E24FE.edm" hidden="1">'[4]Changes to Model'!$1:$1048576</definedName>
    <definedName name="_bdm.E93CF733CE1D4A5A94E3C95B0A7E783E.edm" localSheetId="8" hidden="1">[3]Model_Template!$1:$1048576</definedName>
    <definedName name="_bdm.E93CF733CE1D4A5A94E3C95B0A7E783E.edm" localSheetId="9" hidden="1">[3]Model_Template!$1:$1048576</definedName>
    <definedName name="_bdm.E93CF733CE1D4A5A94E3C95B0A7E783E.edm" localSheetId="4" hidden="1">[3]Model_Template!$1:$1048576</definedName>
    <definedName name="_bdm.E93CF733CE1D4A5A94E3C95B0A7E783E.edm" hidden="1">[3]Model_Template!$1:$1048576</definedName>
    <definedName name="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Order1" hidden="1">255</definedName>
    <definedName name="abc" localSheetId="8" hidden="1">{"cover a","1q",FALSE,"Cover";"Op Earn Mgd Q1",#N/A,FALSE,"Op-Earn (Mng)";"Op Earn Rpt Q1",#N/A,FALSE,"Op-Earn (Rpt)";"Loans",#N/A,FALSE,"Loans";"Credit Costs",#N/A,FALSE,"CCosts";"Net Interest Margin",#N/A,FALSE,"Margin";"Nonint Income",#N/A,FALSE,"NonII";"Nonint Exp",#N/A,FALSE,"NonIE";"Valuation",#N/A,FALSE,"Valuation"}</definedName>
    <definedName name="abc" localSheetId="9" hidden="1">{"cover a","1q",FALSE,"Cover";"Op Earn Mgd Q1",#N/A,FALSE,"Op-Earn (Mng)";"Op Earn Rpt Q1",#N/A,FALSE,"Op-Earn (Rpt)";"Loans",#N/A,FALSE,"Loans";"Credit Costs",#N/A,FALSE,"CCosts";"Net Interest Margin",#N/A,FALSE,"Margin";"Nonint Income",#N/A,FALSE,"NonII";"Nonint Exp",#N/A,FALSE,"NonIE";"Valuation",#N/A,FALSE,"Valuation"}</definedName>
    <definedName name="abc" localSheetId="4" hidden="1">{"cover a","1q",FALSE,"Cover";"Op Earn Mgd Q1",#N/A,FALSE,"Op-Earn (Mng)";"Op Earn Rpt Q1",#N/A,FALSE,"Op-Earn (Rpt)";"Loans",#N/A,FALSE,"Loans";"Credit Costs",#N/A,FALSE,"CCosts";"Net Interest Margin",#N/A,FALSE,"Margin";"Nonint Income",#N/A,FALSE,"NonII";"Nonint Exp",#N/A,FALSE,"NonIE";"Valuation",#N/A,FALSE,"Valuation"}</definedName>
    <definedName name="abc" hidden="1">{"cover a","1q",FALSE,"Cover";"Op Earn Mgd Q1",#N/A,FALSE,"Op-Earn (Mng)";"Op Earn Rpt Q1",#N/A,FALSE,"Op-Earn (Rpt)";"Loans",#N/A,FALSE,"Loans";"Credit Costs",#N/A,FALSE,"CCosts";"Net Interest Margin",#N/A,FALSE,"Margin";"Nonint Income",#N/A,FALSE,"NonII";"Nonint Exp",#N/A,FALSE,"NonIE";"Valuation",#N/A,FALSE,"Valuation"}</definedName>
    <definedName name="AdditionalInstructions">IndexInformation!$B$42</definedName>
    <definedName name="Address" localSheetId="0">ImportantDisclosures!$A$2:$A$2</definedName>
    <definedName name="ANA" localSheetId="11">ModPubIndex!$A$7</definedName>
    <definedName name="anscount" hidden="1">2</definedName>
    <definedName name="asd" localSheetId="8"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asd" localSheetId="9"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asd" localSheetId="4"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asd"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Authors" localSheetId="0">ImportantDisclosures!$A$7</definedName>
    <definedName name="Authors" localSheetId="10">IndexInformation!$B$18</definedName>
    <definedName name="BRO" localSheetId="11">ModPubIndex!$A$1</definedName>
    <definedName name="BSMethod">2</definedName>
    <definedName name="calc" localSheetId="8">'Deals and Terms'!calc</definedName>
    <definedName name="calc" localSheetId="9">'Financings and Debt info'!calc</definedName>
    <definedName name="calc" localSheetId="4">Revs!calc</definedName>
    <definedName name="calc">'Deals and Terms'!calc</definedName>
    <definedName name="cmdOK2_click" localSheetId="1">[5]!cmdOK2_click</definedName>
    <definedName name="cmdOK2_click">[5]!cmdOK2_click</definedName>
    <definedName name="CopyrightStamp">ImportantDisclosures!$A$27</definedName>
    <definedName name="COU" localSheetId="11">ModPubIndex!$A$5</definedName>
    <definedName name="CQEnd" localSheetId="10">IndexInformation!$B$31</definedName>
    <definedName name="Currency" localSheetId="10">IndexInformation!$B$24</definedName>
    <definedName name="CurrentStockPrice" localSheetId="10">IndexInformation!$B$23</definedName>
    <definedName name="CurrQtrEPS" localSheetId="10">IndexInformation!$B$29</definedName>
    <definedName name="CurrYearEPS" localSheetId="10">IndexInformation!$B$11</definedName>
    <definedName name="CurrYearTotalRevenue" localSheetId="10">IndexInformation!$B$10</definedName>
    <definedName name="CurrYearTotalRevenueActual" localSheetId="10">IndexInformation!$B$32</definedName>
    <definedName name="CUSIP" localSheetId="10">IndexInformation!$B$20</definedName>
    <definedName name="CYEnd" localSheetId="10">IndexInformation!$B$30</definedName>
    <definedName name="DATA_NEW">[6]Input!$H$6:$BE$465</definedName>
    <definedName name="dataseries4">OFFSET([7]c1!$G$12,0,0,COUNTA([7]c1!$G$12:$G$31),1)</definedName>
    <definedName name="Date" localSheetId="0">ImportantDisclosures!$A$8</definedName>
    <definedName name="Deleted" localSheetId="10">IndexInformation!$B$27</definedName>
    <definedName name="Description" localSheetId="10">IndexInformation!$B$7</definedName>
    <definedName name="DEVELOPMENT">5</definedName>
    <definedName name="Did" localSheetId="8" hidden="1">{"Salesass",#N/A,FALSE,"assumpt"}</definedName>
    <definedName name="Did" localSheetId="9" hidden="1">{"Salesass",#N/A,FALSE,"assumpt"}</definedName>
    <definedName name="Did" localSheetId="4" hidden="1">{"Salesass",#N/A,FALSE,"assumpt"}</definedName>
    <definedName name="Did" hidden="1">{"Salesass",#N/A,FALSE,"assumpt"}</definedName>
    <definedName name="Discipline" localSheetId="10">IndexInformation!$B$3</definedName>
    <definedName name="DISCIPLINE" localSheetId="11">ModPubIndex!$A$12</definedName>
    <definedName name="Disclosure">[8]Input!$H$6:$BE$465</definedName>
    <definedName name="DisclosuresText">ImportantDisclosures!$A$22</definedName>
    <definedName name="Distribution" localSheetId="10">IndexInformation!$B$26</definedName>
    <definedName name="DistTable" localSheetId="0">ImportantDisclosures!#REF!</definedName>
    <definedName name="DistTablePreamble" localSheetId="0">ImportantDisclosures!#REF!</definedName>
    <definedName name="DOCDAT" localSheetId="11">ModPubIndex!$A$2</definedName>
    <definedName name="DOCTIME" localSheetId="11">ModPubIndex!$A$3</definedName>
    <definedName name="DocType" localSheetId="10">IndexInformation!$B$5</definedName>
    <definedName name="Drugs" localSheetId="8">'Deals and Terms'!Drugs</definedName>
    <definedName name="Drugs" localSheetId="9">'Financings and Debt info'!Drugs</definedName>
    <definedName name="Drugs" localSheetId="4">Revs!Drugs</definedName>
    <definedName name="Drugs">'Deals and Terms'!Drugs</definedName>
    <definedName name="EMAIL_ALERT" localSheetId="11">ModPubIndex!$A$10</definedName>
    <definedName name="EmailAlert" localSheetId="10">IndexInformation!$B$28</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0_1_aSrv" hidden="1">[9]Comparison!$P$106</definedName>
    <definedName name="FDP_1_1_aDrv" hidden="1">[9]Comparison!$T$18</definedName>
    <definedName name="FDP_10_1_aUrv" hidden="1">[9]Comparison!$AA$21</definedName>
    <definedName name="FDP_100_1_aUrv" hidden="1">[9]Comparison!$E$96</definedName>
    <definedName name="FDP_101_1_aUrv" hidden="1">[9]Comparison!$E$97</definedName>
    <definedName name="FDP_102_1_aSrv" hidden="1">[9]Comparison!$E$98</definedName>
    <definedName name="FDP_103_1_aSrv" hidden="1">[9]Comparison!$E$100</definedName>
    <definedName name="FDP_104_1_aUrv" hidden="1">[9]Comparison!$E$101</definedName>
    <definedName name="FDP_105_1_aUrv" hidden="1">[9]Comparison!$E$102</definedName>
    <definedName name="FDP_106_1_aUrv" hidden="1">[9]Comparison!$E$103</definedName>
    <definedName name="FDP_107_1_aUrv" hidden="1">[9]Comparison!$E$104</definedName>
    <definedName name="FDP_108_1_aUrv" hidden="1">[9]Comparison!$E$105</definedName>
    <definedName name="FDP_109_1_aUrv" hidden="1">[9]Comparison!$E$106</definedName>
    <definedName name="FDP_11_1_aUrv" hidden="1">[9]Comparison!$AA$22</definedName>
    <definedName name="FDP_110_1_aUrv" hidden="1">[9]Comparison!$E$107</definedName>
    <definedName name="FDP_111_1_aUrv" hidden="1">[9]Comparison!$E$108</definedName>
    <definedName name="FDP_112_1_aUrv" hidden="1">[9]Comparison!$E$109</definedName>
    <definedName name="FDP_113_1_aUrv" hidden="1">[9]Comparison!$E$110</definedName>
    <definedName name="FDP_114_1_aUrv" hidden="1">[9]Comparison!$E$111</definedName>
    <definedName name="FDP_115_1_aSrv" hidden="1">[9]Comparison!$E$112</definedName>
    <definedName name="FDP_116_1_aSrv" hidden="1">[9]Comparison!$E$113</definedName>
    <definedName name="FDP_117_1_aUrv" hidden="1">[9]Comparison!$E$118</definedName>
    <definedName name="FDP_118_1_aUrv" hidden="1">[9]Comparison!$E$119</definedName>
    <definedName name="FDP_119_1_aUrv" hidden="1">[9]Comparison!$E$120</definedName>
    <definedName name="FDP_12_1_aUrv" hidden="1">[9]Comparison!$AA$23</definedName>
    <definedName name="FDP_120_1_aUrv" hidden="1">[9]Comparison!$E$121</definedName>
    <definedName name="FDP_121_1_aUrv" hidden="1">[9]Comparison!$E$122</definedName>
    <definedName name="FDP_122_1_aUrv" hidden="1">[9]Comparison!$E$123</definedName>
    <definedName name="FDP_123_1_aUrv" hidden="1">[9]Comparison!$E$124</definedName>
    <definedName name="FDP_124_1_aSrv" hidden="1">[9]Comparison!$E$125</definedName>
    <definedName name="FDP_125_1_aUrv" hidden="1">[9]Comparison!$E$127</definedName>
    <definedName name="FDP_126_1_aUrv" hidden="1">[9]Comparison!$E$128</definedName>
    <definedName name="FDP_127_1_aUrv" hidden="1">[9]Comparison!$E$129</definedName>
    <definedName name="FDP_128_1_aUrv" hidden="1">[9]Comparison!$E$130</definedName>
    <definedName name="FDP_129_1_aUrv" hidden="1">[9]Comparison!$E$131</definedName>
    <definedName name="FDP_13_1_aUrv" hidden="1">[9]Comparison!$AA$24</definedName>
    <definedName name="FDP_130_1_aUrv" hidden="1">[9]Comparison!$E$132</definedName>
    <definedName name="FDP_131_1_aUrv" hidden="1">[9]Comparison!$E$133</definedName>
    <definedName name="FDP_132_1_aSrv" hidden="1">[9]Comparison!$E$134</definedName>
    <definedName name="FDP_133_1_aSrv" hidden="1">[9]Comparison!$E$135</definedName>
    <definedName name="FDP_134_1_aUrv" hidden="1">[9]Comparison!$E$137</definedName>
    <definedName name="FDP_135_1_aUrv" hidden="1">[9]Comparison!$E$140</definedName>
    <definedName name="FDP_136_1_aUrv" hidden="1">[9]Comparison!$E$141</definedName>
    <definedName name="FDP_137_1_aSrv" hidden="1">[9]Comparison!$P$141</definedName>
    <definedName name="FDP_138_1_aSrv" hidden="1">[9]Comparison!$E$142</definedName>
    <definedName name="FDP_139_1_aSrv" hidden="1">[9]Comparison!$E$143</definedName>
    <definedName name="FDP_14_1_aUrv" hidden="1">[9]Comparison!$K$1</definedName>
    <definedName name="FDP_140_1_aSrv" hidden="1">[9]Comparison!$E$153</definedName>
    <definedName name="FDP_141_1_aUrv" hidden="1">[9]Comparison!$E$154</definedName>
    <definedName name="FDP_142_1_aUrv" hidden="1">[9]Comparison!$E$155</definedName>
    <definedName name="FDP_143_1_aUrv" hidden="1">[9]Comparison!$E$156</definedName>
    <definedName name="FDP_144_1_aUrv" hidden="1">[9]Comparison!$E$157</definedName>
    <definedName name="FDP_145_1_aUrv" hidden="1">[9]Comparison!$E$160</definedName>
    <definedName name="FDP_146_1_aUrv" hidden="1">[9]Comparison!$E$161</definedName>
    <definedName name="FDP_147_1_aUrv" hidden="1">[9]Comparison!$E$162</definedName>
    <definedName name="FDP_148_1_aUrv" hidden="1">[9]Comparison!$E$163</definedName>
    <definedName name="FDP_149_1_aUrv" hidden="1">[9]Comparison!$E$164</definedName>
    <definedName name="FDP_15_1_aUrv" hidden="1">[9]Comparison!$F$1</definedName>
    <definedName name="FDP_150_1_aUrv" hidden="1">[9]Comparison!$E$165</definedName>
    <definedName name="FDP_151_1_aUrv" hidden="1">[9]Comparison!$E$166</definedName>
    <definedName name="FDP_152_1_aUrv" hidden="1">[9]Comparison!$E$167</definedName>
    <definedName name="FDP_153_1_aUrv" hidden="1">[9]Comparison!$E$168</definedName>
    <definedName name="FDP_154_1_aUrv" hidden="1">[9]Comparison!$E$169</definedName>
    <definedName name="FDP_155_1_aUrv" hidden="1">[9]Comparison!$E$170</definedName>
    <definedName name="FDP_156_1_aUrv" hidden="1">[9]Comparison!$E$171</definedName>
    <definedName name="FDP_157_1_aUrv" hidden="1">[9]Comparison!$E$172</definedName>
    <definedName name="FDP_158_1_aUrv" hidden="1">[9]Comparison!$E$173</definedName>
    <definedName name="FDP_159_1_aSrv" hidden="1">[9]Comparison!$E$174</definedName>
    <definedName name="FDP_16_1_aUrv" hidden="1">[9]Comparison!$K$3</definedName>
    <definedName name="FDP_160_1_aUrv" hidden="1">[9]Comparison!$E$175</definedName>
    <definedName name="FDP_161_1_aSrv" hidden="1">[9]Comparison!$E$176</definedName>
    <definedName name="FDP_162_1_aUrv" hidden="1">[9]Comparison!$E$178</definedName>
    <definedName name="FDP_163_1_aUrv" hidden="1">[9]Comparison!$E$180</definedName>
    <definedName name="FDP_164_1_aUrv" hidden="1">[9]Comparison!$E$179</definedName>
    <definedName name="FDP_169_1_aSrv" hidden="1">[9]Comparison!$E$185</definedName>
    <definedName name="FDP_17_1_aUrv" hidden="1">[9]Comparison!$R$3</definedName>
    <definedName name="FDP_170_1_aUrv" hidden="1">[9]Comparison!$E$186</definedName>
    <definedName name="FDP_171_1_aSrv" hidden="1">[9]Comparison!$E$187</definedName>
    <definedName name="FDP_178_1_aUrv" hidden="1">[9]Comparison!$E$195</definedName>
    <definedName name="FDP_179_1_aUrv" hidden="1">[9]Comparison!$E$196</definedName>
    <definedName name="FDP_18_1_aUrv" hidden="1">[9]Comparison!$E$6</definedName>
    <definedName name="FDP_18_1_rUrv" hidden="1">[9]Comparison!$E$5</definedName>
    <definedName name="FDP_183_1_aUrv" hidden="1">[9]Comparison!$E$200</definedName>
    <definedName name="FDP_187_1_aUrv" hidden="1">[9]Comparison!$E$208</definedName>
    <definedName name="FDP_19_1_aUrv" hidden="1">[9]Comparison!$E$8</definedName>
    <definedName name="FDP_192_1_aUrv" hidden="1">[9]Comparison!$E$213</definedName>
    <definedName name="FDP_196_1_aUrv" hidden="1">[9]Comparison!$E$217</definedName>
    <definedName name="FDP_197_1_aSrv" hidden="1">[9]Comparison!$E$218</definedName>
    <definedName name="FDP_198_1_aUrv" hidden="1">[9]Comparison!$E$219</definedName>
    <definedName name="FDP_2_1_aUrv" hidden="1">[9]Comparison!$V$21</definedName>
    <definedName name="FDP_20_1_aUrv" hidden="1">[9]Comparison!$E$9</definedName>
    <definedName name="FDP_203_1_aUrv" hidden="1">[9]Comparison!$E$225</definedName>
    <definedName name="FDP_208_1_aUrv" hidden="1">[9]Comparison!$E$234</definedName>
    <definedName name="FDP_21_1_aUrv" hidden="1">[9]Comparison!$E$10</definedName>
    <definedName name="FDP_213_1_aUrv" hidden="1">[9]Comparison!$E$240</definedName>
    <definedName name="FDP_216_1_aSrv" hidden="1">[9]Comparison!$E$238</definedName>
    <definedName name="FDP_218_1_aUrv" hidden="1">[9]Comparison!$E$244</definedName>
    <definedName name="FDP_219_1_aUrv" hidden="1">[9]Comparison!$E$245</definedName>
    <definedName name="FDP_22_1_aUrv" hidden="1">[9]Comparison!$E$11</definedName>
    <definedName name="FDP_220_1_aUrv" hidden="1">[9]Comparison!$E$246</definedName>
    <definedName name="FDP_221_1_aUrv" hidden="1">[9]Comparison!$E$247</definedName>
    <definedName name="FDP_222_1_aUrv" hidden="1">[9]Comparison!$E$248</definedName>
    <definedName name="FDP_223_1_aUrv" hidden="1">[9]Comparison!$E$250</definedName>
    <definedName name="FDP_224_1_aSrv" hidden="1">[9]Comparison!$E$258</definedName>
    <definedName name="FDP_225_1_aSrv" hidden="1">[9]Comparison!$E$261</definedName>
    <definedName name="FDP_226_1_aSrv" hidden="1">[9]Comparison!$E$262</definedName>
    <definedName name="FDP_227_1_aSrv" hidden="1">[9]Comparison!$E$264</definedName>
    <definedName name="FDP_23_1_aUrv" hidden="1">[9]Comparison!$E$12</definedName>
    <definedName name="FDP_234_1_aSrv" hidden="1">[9]Comparison!$E$275</definedName>
    <definedName name="FDP_235_1_aSrv" hidden="1">[9]Comparison!$E$280</definedName>
    <definedName name="FDP_236_1_aSrv" hidden="1">[9]Comparison!$E$289</definedName>
    <definedName name="FDP_237_1_aSrv" hidden="1">[9]Comparison!$E$290</definedName>
    <definedName name="FDP_239_1_aSrv" hidden="1">[9]Comparison!$E$292</definedName>
    <definedName name="FDP_24_1_aSrv" hidden="1">[9]Comparison!$E$13</definedName>
    <definedName name="FDP_240_1_aSrv" hidden="1">[9]Comparison!$E$303</definedName>
    <definedName name="FDP_241_1_aSrv" hidden="1">[9]Comparison!$E$304</definedName>
    <definedName name="FDP_242_1_aSrv" hidden="1">[9]Comparison!$E$305</definedName>
    <definedName name="FDP_25_1_aUrv" hidden="1">[9]Comparison!$E$14</definedName>
    <definedName name="FDP_26_1_aUrv" hidden="1">[9]Comparison!$E$15</definedName>
    <definedName name="FDP_262_1_aSrv" hidden="1">[9]Comparison!$E$325</definedName>
    <definedName name="FDP_263_1_aSrv" hidden="1">[9]Comparison!$E$326</definedName>
    <definedName name="FDP_264_1_aSrv" hidden="1">[9]Comparison!$E$327</definedName>
    <definedName name="FDP_265_1_aSrv" hidden="1">[9]Comparison!$E$328</definedName>
    <definedName name="FDP_266_1_aSrv" hidden="1">[9]Comparison!$E$329</definedName>
    <definedName name="FDP_267_1_aSrv" hidden="1">[9]Comparison!$E$330</definedName>
    <definedName name="FDP_268_1_aSrv" hidden="1">[9]Comparison!$E$331</definedName>
    <definedName name="FDP_269_1_aSrv" hidden="1">[9]Comparison!$E$332</definedName>
    <definedName name="FDP_27_1_aUrv" hidden="1">[9]Comparison!$E$16</definedName>
    <definedName name="FDP_270_1_aSrv" hidden="1">[9]Comparison!$E$333</definedName>
    <definedName name="FDP_271_1_aSrv" hidden="1">[9]Comparison!$E$334</definedName>
    <definedName name="FDP_272_1_aSrv" hidden="1">[9]Comparison!$E$335</definedName>
    <definedName name="FDP_273_1_aSrv" hidden="1">[9]Comparison!$E$336</definedName>
    <definedName name="FDP_274_1_aSrv" hidden="1">[9]Comparison!$E$23</definedName>
    <definedName name="FDP_275_1_aSrv" hidden="1">[9]Comparison!$E$24</definedName>
    <definedName name="FDP_276_1_aSrv" hidden="1">[9]Comparison!$E$29</definedName>
    <definedName name="FDP_277_1_aSrv" hidden="1">[9]Comparison!$E$28</definedName>
    <definedName name="FDP_278_1_aSrv" hidden="1">[9]Comparison!$E$30</definedName>
    <definedName name="FDP_28_1_aUrv" hidden="1">[9]Comparison!$E$17</definedName>
    <definedName name="FDP_284_1_aSrv" hidden="1">[9]Comparison!$E$38</definedName>
    <definedName name="FDP_285_1_aSrv" hidden="1">[9]Comparison!$E$39</definedName>
    <definedName name="FDP_286_1_aSrv" hidden="1">[9]Comparison!$E$43</definedName>
    <definedName name="FDP_287_1_aSrv" hidden="1">[9]Comparison!$E$44</definedName>
    <definedName name="FDP_288_1_aSrv" hidden="1">[9]Comparison!$E$45</definedName>
    <definedName name="FDP_289_1_aSrv" hidden="1">[9]Comparison!$E$46</definedName>
    <definedName name="FDP_29_1_aUrv" hidden="1">[9]Comparison!$E$18</definedName>
    <definedName name="FDP_290_1_aSrv" hidden="1">[9]Comparison!$E$47</definedName>
    <definedName name="FDP_291_1_aSrv" hidden="1">[9]Comparison!$E$49</definedName>
    <definedName name="FDP_292_1_aSrv" hidden="1">[9]Comparison!$E$50</definedName>
    <definedName name="FDP_293_1_aSrv" hidden="1">[9]Comparison!$E$51</definedName>
    <definedName name="FDP_294_1_aSrv" hidden="1">[9]Comparison!$E$61</definedName>
    <definedName name="FDP_295_1_aSrv" hidden="1">[9]Comparison!$E$65</definedName>
    <definedName name="FDP_296_1_aSrv" hidden="1">[9]Comparison!$E$85</definedName>
    <definedName name="FDP_297_1_aSrv" hidden="1">[9]Comparison!$E$88</definedName>
    <definedName name="FDP_298_1_aSrv" hidden="1">[9]Comparison!$E$95</definedName>
    <definedName name="FDP_299_1_aSrv" hidden="1">[9]Comparison!$E$96</definedName>
    <definedName name="FDP_3_1_aUrv" hidden="1">[9]Comparison!$V$22</definedName>
    <definedName name="FDP_30_1_aSrv" hidden="1">[9]Comparison!$E$19</definedName>
    <definedName name="FDP_300_1_aSrv" hidden="1">[9]Comparison!$E$104</definedName>
    <definedName name="FDP_301_1_aSrv" hidden="1">[9]Comparison!$E$112</definedName>
    <definedName name="FDP_302_1_aSrv" hidden="1">[9]Comparison!$E$113</definedName>
    <definedName name="FDP_303_1_aSrv" hidden="1">[9]Comparison!$E$131</definedName>
    <definedName name="FDP_304_1_aSrv" hidden="1">[9]Comparison!$E$136</definedName>
    <definedName name="FDP_305_1_aSrv" hidden="1">[9]Comparison!$E$146</definedName>
    <definedName name="FDP_306_1_aSrv" hidden="1">[9]Comparison!$E$165</definedName>
    <definedName name="FDP_307_1_aSrv" hidden="1">[9]Comparison!$E$169</definedName>
    <definedName name="FDP_308_1_aSrv" hidden="1">[9]Comparison!$E$171</definedName>
    <definedName name="FDP_309_1_aSrv" hidden="1">[9]Comparison!$E$172</definedName>
    <definedName name="FDP_31_1_aSrv" hidden="1">[9]Comparison!$E$20</definedName>
    <definedName name="FDP_310_1_aSrv" hidden="1">[9]Comparison!$E$178</definedName>
    <definedName name="FDP_311_1_aSrv" hidden="1">[9]Comparison!$E$179</definedName>
    <definedName name="FDP_312_1_aSrv" hidden="1">[9]Comparison!$E$180</definedName>
    <definedName name="FDP_313_1_aSrv" hidden="1">[9]Comparison!$P$184</definedName>
    <definedName name="FDP_314_1_aSrv" hidden="1">[9]Comparison!$P$186</definedName>
    <definedName name="FDP_315_1_aSrv" hidden="1">[9]Comparison!$P$187</definedName>
    <definedName name="FDP_316_1_aSrv" hidden="1">[9]Comparison!$P$188</definedName>
    <definedName name="FDP_317_1_aSrv" hidden="1">[9]Comparison!$P$189</definedName>
    <definedName name="FDP_32_1_aUrv" hidden="1">[9]Comparison!$E$21</definedName>
    <definedName name="FDP_33_1_aUrv" hidden="1">[9]Comparison!$E$22</definedName>
    <definedName name="FDP_34_1_aUrv" hidden="1">[9]Comparison!$E$23</definedName>
    <definedName name="FDP_35_1_aUrv" hidden="1">[9]Comparison!$E$24</definedName>
    <definedName name="FDP_36_1_aUrv" hidden="1">[9]Comparison!$E$25</definedName>
    <definedName name="FDP_37_1_aSrv" hidden="1">[9]Comparison!$E$26</definedName>
    <definedName name="FDP_38_1_aUrv" hidden="1">[9]Comparison!$E$27</definedName>
    <definedName name="FDP_39_1_aUrv" hidden="1">[9]Comparison!$E$28</definedName>
    <definedName name="FDP_4_1_aUrv" hidden="1">[9]Comparison!$V$23</definedName>
    <definedName name="FDP_40_1_aUrv" hidden="1">[9]Comparison!$E$29</definedName>
    <definedName name="FDP_41_1_aUrv" hidden="1">[9]Comparison!$E$30</definedName>
    <definedName name="FDP_42_1_aUrv" hidden="1">[9]Comparison!$E$31</definedName>
    <definedName name="FDP_43_1_aUrv" hidden="1">[9]Comparison!$E$32</definedName>
    <definedName name="FDP_44_1_aUrv" hidden="1">[9]Comparison!$E$33</definedName>
    <definedName name="FDP_45_1_aUrv" hidden="1">[9]Comparison!$E$34</definedName>
    <definedName name="FDP_455_1_aSrv" hidden="1">[9]Comparison!$E$10</definedName>
    <definedName name="FDP_456_1_aSrv" hidden="1">[9]Comparison!$E$12</definedName>
    <definedName name="FDP_457_1_aSrv" hidden="1">[9]Comparison!$E$19</definedName>
    <definedName name="FDP_458_1_aSrv" hidden="1">[9]Comparison!$E$22</definedName>
    <definedName name="FDP_459_1_aSrv" hidden="1">[9]Comparison!$E$23</definedName>
    <definedName name="FDP_46_1_aUrv" hidden="1">[9]Comparison!$E$35</definedName>
    <definedName name="FDP_460_1_aSrv" hidden="1">[9]Comparison!$E$24</definedName>
    <definedName name="FDP_461_1_aSrv" hidden="1">[9]Comparison!$E$25</definedName>
    <definedName name="FDP_462_1_aSrv" hidden="1">[9]Comparison!$E$26</definedName>
    <definedName name="FDP_463_1_aSrv" hidden="1">[9]Comparison!$E$27</definedName>
    <definedName name="FDP_464_1_aSrv" hidden="1">[9]Comparison!$E$28</definedName>
    <definedName name="FDP_465_1_aSrv" hidden="1">[9]Comparison!$E$29</definedName>
    <definedName name="FDP_466_1_aSrv" hidden="1">[9]Comparison!$E$30</definedName>
    <definedName name="FDP_467_1_aSrv" hidden="1">[9]Comparison!$E$31</definedName>
    <definedName name="FDP_468_1_aSrv" hidden="1">[9]Comparison!$E$34</definedName>
    <definedName name="FDP_469_1_aSrv" hidden="1">[9]Comparison!$E$35</definedName>
    <definedName name="FDP_47_1_aUrv" hidden="1">[9]Comparison!$E$36</definedName>
    <definedName name="FDP_470_1_aSrv" hidden="1">[9]Comparison!$E$36</definedName>
    <definedName name="FDP_471_1_aSrv" hidden="1">[9]Comparison!$E$37</definedName>
    <definedName name="FDP_472_1_aSrv" hidden="1">[9]Comparison!$E$38</definedName>
    <definedName name="FDP_473_1_aSrv" hidden="1">[9]Comparison!$E$39</definedName>
    <definedName name="FDP_474_1_aSrv" hidden="1">[9]Comparison!$E$40</definedName>
    <definedName name="FDP_475_1_aSrv" hidden="1">[9]Comparison!$E$43</definedName>
    <definedName name="FDP_476_1_aSrv" hidden="1">[9]Comparison!$E$44</definedName>
    <definedName name="FDP_477_1_aSrv" hidden="1">[9]Comparison!$E$45</definedName>
    <definedName name="FDP_478_1_aSrv" hidden="1">[9]Comparison!$E$46</definedName>
    <definedName name="FDP_479_1_aSrv" hidden="1">[9]Comparison!$E$47</definedName>
    <definedName name="FDP_48_1_aUrv" hidden="1">[9]Comparison!$E$37</definedName>
    <definedName name="FDP_480_1_aSrv" hidden="1">[9]Comparison!$E$48</definedName>
    <definedName name="FDP_481_1_aSrv" hidden="1">[9]Comparison!$E$49</definedName>
    <definedName name="FDP_482_1_aSrv" hidden="1">[9]Comparison!$E$54</definedName>
    <definedName name="FDP_483_1_aSrv" hidden="1">[9]Comparison!$E$55</definedName>
    <definedName name="FDP_484_1_aSrv" hidden="1">[9]Comparison!$E$56</definedName>
    <definedName name="FDP_485_1_aSrv" hidden="1">[9]Comparison!$E$57</definedName>
    <definedName name="FDP_486_1_aSrv" hidden="1">[9]Comparison!$E$58</definedName>
    <definedName name="FDP_487_1_aSrv" hidden="1">[9]Comparison!$E$59</definedName>
    <definedName name="FDP_488_1_aSrv" hidden="1">[9]Comparison!$E$60</definedName>
    <definedName name="FDP_489_1_aSrv" hidden="1">[9]Comparison!$E$61</definedName>
    <definedName name="FDP_49_1_aUrv" hidden="1">[9]Comparison!$E$38</definedName>
    <definedName name="FDP_490_1_aSrv" hidden="1">[9]Comparison!$E$62</definedName>
    <definedName name="FDP_491_1_aSrv" hidden="1">[9]Comparison!$E$65</definedName>
    <definedName name="FDP_492_1_aSrv" hidden="1">[9]Comparison!$E$66</definedName>
    <definedName name="FDP_493_1_aSrv" hidden="1">[9]Comparison!$E$67</definedName>
    <definedName name="FDP_494_1_aSrv" hidden="1">[9]Comparison!$E$68</definedName>
    <definedName name="FDP_495_1_aSrv" hidden="1">[9]Comparison!$E$69</definedName>
    <definedName name="FDP_496_1_aSrv" hidden="1">[9]Comparison!$E$70</definedName>
    <definedName name="FDP_497_1_aSrv" hidden="1">[9]Comparison!$E$73</definedName>
    <definedName name="FDP_498_1_aSrv" hidden="1">[9]Comparison!$E$74</definedName>
    <definedName name="FDP_499_1_aSrv" hidden="1">[9]Comparison!$E$75</definedName>
    <definedName name="FDP_5_1_aUrv" hidden="1">[9]Comparison!$V$24</definedName>
    <definedName name="FDP_50_1_aSrv" hidden="1">[9]Comparison!$E$39</definedName>
    <definedName name="FDP_500_1_aSrv" hidden="1">[9]Comparison!$E$76</definedName>
    <definedName name="FDP_501_1_aSrv" hidden="1">[9]Comparison!$E$77</definedName>
    <definedName name="FDP_502_1_aSrv" hidden="1">[9]Comparison!$E$81</definedName>
    <definedName name="FDP_503_1_aSrv" hidden="1">[9]Comparison!$E$82</definedName>
    <definedName name="FDP_504_1_aSrv" hidden="1">[9]Comparison!$E$83</definedName>
    <definedName name="FDP_505_1_aSrv" hidden="1">[9]Comparison!$E$84</definedName>
    <definedName name="FDP_506_1_aSrv" hidden="1">[9]Comparison!$E$85</definedName>
    <definedName name="FDP_507_1_aSrv" hidden="1">[9]Comparison!$E$86</definedName>
    <definedName name="FDP_508_1_aSrv" hidden="1">[9]Comparison!$E$87</definedName>
    <definedName name="FDP_509_1_aSrv" hidden="1">[9]Comparison!$E$92</definedName>
    <definedName name="FDP_51_1_aSrv" hidden="1">[9]Comparison!$E$40</definedName>
    <definedName name="FDP_510_1_aSrv" hidden="1">[9]Comparison!$E$93</definedName>
    <definedName name="FDP_511_1_aSrv" hidden="1">[9]Comparison!$E$94</definedName>
    <definedName name="FDP_512_1_aSrv" hidden="1">[9]Comparison!$E$95</definedName>
    <definedName name="FDP_513_1_aSrv" hidden="1">[9]Comparison!$E$96</definedName>
    <definedName name="FDP_514_1_aSrv" hidden="1">[9]Comparison!$E$98</definedName>
    <definedName name="FDP_515_1_aSrv" hidden="1">[9]Comparison!$E$99</definedName>
    <definedName name="FDP_516_1_aSrv" hidden="1">[9]Comparison!$E$100</definedName>
    <definedName name="FDP_517_1_aSrv" hidden="1">[9]Comparison!$E$101</definedName>
    <definedName name="FDP_518_1_aSrv" hidden="1">[9]Comparison!$E$102</definedName>
    <definedName name="FDP_519_1_aSrv" hidden="1">[9]Comparison!$E$103</definedName>
    <definedName name="FDP_52_1_aUrv" hidden="1">[9]Comparison!$E$41</definedName>
    <definedName name="FDP_520_1_aSrv" hidden="1">[9]Comparison!$E$104</definedName>
    <definedName name="FDP_521_1_aSrv" hidden="1">[9]Comparison!$E$107</definedName>
    <definedName name="FDP_522_1_aSrv" hidden="1">[9]Comparison!$E$109</definedName>
    <definedName name="FDP_523_1_aSrv" hidden="1">[9]Comparison!$E$110</definedName>
    <definedName name="FDP_524_1_aSrv" hidden="1">[9]Comparison!$E$111</definedName>
    <definedName name="FDP_525_1_aSrv" hidden="1">[9]Comparison!$E$112</definedName>
    <definedName name="FDP_526_1_aSrv" hidden="1">[9]Comparison!$E$113</definedName>
    <definedName name="FDP_527_1_aSrv" hidden="1">[9]Comparison!$E$114</definedName>
    <definedName name="FDP_528_1_aSrv" hidden="1">[9]Comparison!$E$115</definedName>
    <definedName name="FDP_529_1_aSrv" hidden="1">[9]Comparison!$E$116</definedName>
    <definedName name="FDP_53_1_aUrv" hidden="1">[9]Comparison!$E$42</definedName>
    <definedName name="FDP_530_1_aSrv" hidden="1">[9]Comparison!$E$117</definedName>
    <definedName name="FDP_531_1_aSrv" hidden="1">[9]Comparison!$E$118</definedName>
    <definedName name="FDP_532_1_aSrv" hidden="1">[9]Comparison!$E$119</definedName>
    <definedName name="FDP_533_1_aSrv" hidden="1">[9]Comparison!$E$120</definedName>
    <definedName name="FDP_534_1_aSrv" hidden="1">[9]Comparison!$E$121</definedName>
    <definedName name="FDP_535_1_aSrv" hidden="1">[9]Comparison!$E$122</definedName>
    <definedName name="FDP_536_1_aSrv" hidden="1">[9]Comparison!$E$123</definedName>
    <definedName name="FDP_537_1_aSrv" hidden="1">[9]Comparison!$E$124</definedName>
    <definedName name="FDP_538_1_aSrv" hidden="1">[9]Comparison!$E$128</definedName>
    <definedName name="FDP_539_1_aSrv" hidden="1">[9]Comparison!$E$127</definedName>
    <definedName name="FDP_54_1_aUrv" hidden="1">[9]Comparison!$E$43</definedName>
    <definedName name="FDP_540_1_aSrv" hidden="1">[9]Comparison!$E$129</definedName>
    <definedName name="FDP_541_1_aSrv" hidden="1">[9]Comparison!$E$130</definedName>
    <definedName name="FDP_542_1_aSrv" hidden="1">[9]Comparison!$E$132</definedName>
    <definedName name="FDP_543_1_aSrv" hidden="1">[9]Comparison!$E$133</definedName>
    <definedName name="FDP_544_1_aSrv" hidden="1">[9]Comparison!$E$134</definedName>
    <definedName name="FDP_545_1_aSrv" hidden="1">[9]Comparison!$E$140</definedName>
    <definedName name="FDP_546_1_aSrv" hidden="1">[9]Comparison!$E$141</definedName>
    <definedName name="FDP_547_1_aSrv" hidden="1">[9]Comparison!$E$142</definedName>
    <definedName name="FDP_548_1_aSrv" hidden="1">[9]Comparison!$E$143</definedName>
    <definedName name="FDP_549_1_aUrv" hidden="1">[9]Comparison!$O$1</definedName>
    <definedName name="FDP_55_1_aUrv" hidden="1">[9]Comparison!$E$44</definedName>
    <definedName name="FDP_550_1_aUrv" hidden="1">[9]Comparison!$Q$62</definedName>
    <definedName name="FDP_551_1_aUrv" hidden="1">[9]Comparison!$Q$84</definedName>
    <definedName name="FDP_552_1_aUrv" hidden="1">[9]Comparison!$Q$1</definedName>
    <definedName name="FDP_553_1_aUrv" hidden="1">[9]Comparison!$S$1</definedName>
    <definedName name="FDP_554_1_aUrv" hidden="1">[9]Comparison!$E$249</definedName>
    <definedName name="FDP_56_1_aUrv" hidden="1">[9]Comparison!$E$45</definedName>
    <definedName name="FDP_57_1_aSrv" hidden="1">[9]Comparison!$E$46</definedName>
    <definedName name="FDP_58_1_aUrv" hidden="1">[9]Comparison!$E$47</definedName>
    <definedName name="FDP_59_1_aSrv" hidden="1">[9]Comparison!$E$48</definedName>
    <definedName name="FDP_6_1_aUrv" hidden="1">[9]Comparison!$Y$21</definedName>
    <definedName name="FDP_60_1_aUrv" hidden="1">[9]Comparison!$E$49</definedName>
    <definedName name="FDP_608_1_aUrv" hidden="1">[9]Comparison!$Z$10</definedName>
    <definedName name="FDP_609_1_aSrv" hidden="1">[9]Comparison!$E$48</definedName>
    <definedName name="FDP_61_1_aUrv" hidden="1">[9]Comparison!$E$50</definedName>
    <definedName name="FDP_610_1_aSrv" hidden="1">[9]Comparison!$E$70</definedName>
    <definedName name="FDP_612_1_aSrv" hidden="1">[9]Comparison!$E$339</definedName>
    <definedName name="FDP_613_1_aSrv" hidden="1">[9]Comparison!$E$340</definedName>
    <definedName name="FDP_614_1_aSrv" hidden="1">[9]Comparison!$E$341</definedName>
    <definedName name="FDP_615_1_aSrv" hidden="1">[9]Comparison!$E$342</definedName>
    <definedName name="FDP_616_1_aSrv" hidden="1">[9]Comparison!$E$343</definedName>
    <definedName name="FDP_617_1_aSrv" hidden="1">[9]Comparison!$E$344</definedName>
    <definedName name="FDP_618_1_aSrv" hidden="1">[9]Comparison!$E$345</definedName>
    <definedName name="FDP_619_1_aSrv" hidden="1">[9]Comparison!$E$346</definedName>
    <definedName name="FDP_62_1_aUrv" hidden="1">[9]Comparison!$E$51</definedName>
    <definedName name="FDP_620_1_aSrv" hidden="1">[9]Comparison!$E$347</definedName>
    <definedName name="FDP_63_1_aUrv" hidden="1">[9]Comparison!$E$52</definedName>
    <definedName name="FDP_64_1_aUrv" hidden="1">[9]Comparison!$E$53</definedName>
    <definedName name="FDP_65_1_aSrv" hidden="1">[9]Comparison!$E$54</definedName>
    <definedName name="FDP_66_1_aUrv" hidden="1">[9]Comparison!$E$55</definedName>
    <definedName name="FDP_67_1_aSrv" hidden="1">[9]Comparison!$E$56</definedName>
    <definedName name="FDP_68_1_aUrv" hidden="1">[9]Comparison!$E$57</definedName>
    <definedName name="FDP_69_1_aSrv" hidden="1">[9]Comparison!$E$58</definedName>
    <definedName name="FDP_7_1_aUrv" hidden="1">[9]Comparison!$Y$22</definedName>
    <definedName name="FDP_70_1_aSrv" hidden="1">[9]Comparison!$E$59</definedName>
    <definedName name="FDP_71_1_aUrv" hidden="1">[9]Comparison!$E$60</definedName>
    <definedName name="FDP_72_1_aUrv" hidden="1">[9]Comparison!$E$61</definedName>
    <definedName name="FDP_73_1_aSrv" hidden="1">[9]Comparison!$E$62</definedName>
    <definedName name="FDP_74_1_aSrv" hidden="1">[9]Comparison!$E$63</definedName>
    <definedName name="FDP_75_1_aUrv" hidden="1">[9]Comparison!$F$64</definedName>
    <definedName name="FDP_76_1_aSrv" hidden="1">[9]Comparison!$E$65</definedName>
    <definedName name="FDP_77_1_aSrv" hidden="1">[9]Comparison!$E$66</definedName>
    <definedName name="FDP_78_1_aUrv" hidden="1">[9]Comparison!$E$67</definedName>
    <definedName name="FDP_79_1_aUrv" hidden="1">[9]Comparison!$E$68</definedName>
    <definedName name="FDP_8_1_aUrv" hidden="1">[9]Comparison!$Y$23</definedName>
    <definedName name="FDP_80_1_aUrv" hidden="1">[9]Comparison!$E$69</definedName>
    <definedName name="FDP_81_1_aUrv" hidden="1">[9]Comparison!$E$70</definedName>
    <definedName name="FDP_82_1_aUrv" hidden="1">[9]Comparison!$E$71</definedName>
    <definedName name="FDP_83_1_aUrv" hidden="1">[9]Comparison!$E$72</definedName>
    <definedName name="FDP_84_1_aUrv" hidden="1">[9]Comparison!$E$73</definedName>
    <definedName name="FDP_85_1_aUrv" hidden="1">[9]Comparison!$E$74</definedName>
    <definedName name="FDP_86_1_aUrv" hidden="1">[9]Comparison!$E$75</definedName>
    <definedName name="FDP_87_1_aUrv" hidden="1">[9]Comparison!$E$76</definedName>
    <definedName name="FDP_88_1_aUrv" hidden="1">[9]Comparison!$E$77</definedName>
    <definedName name="FDP_89_1_aUrv" hidden="1">[9]Comparison!$E$78</definedName>
    <definedName name="FDP_9_1_aUrv" hidden="1">[9]Comparison!$Y$24</definedName>
    <definedName name="FDP_90_1_aUrv" hidden="1">[9]Comparison!$E$79</definedName>
    <definedName name="FDP_91_1_aUrv" hidden="1">[9]Comparison!$E$80</definedName>
    <definedName name="FDP_92_1_aUrv" hidden="1">[9]Comparison!$E$81</definedName>
    <definedName name="FDP_93_1_aUrv" hidden="1">[9]Comparison!$E$82</definedName>
    <definedName name="FDP_94_1_aUrv" hidden="1">[9]Comparison!$E$83</definedName>
    <definedName name="FDP_95_1_aUrv" hidden="1">[9]Comparison!$E$84</definedName>
    <definedName name="FDP_96_1_aUrv" hidden="1">[9]Comparison!$E$92</definedName>
    <definedName name="FDP_97_1_aUrv" hidden="1">[9]Comparison!$E$93</definedName>
    <definedName name="FDP_98_1_aUrv" hidden="1">[9]Comparison!$E$94</definedName>
    <definedName name="FDP_99_1_aUrv" hidden="1">[9]Comparison!$E$95</definedName>
    <definedName name="FiveYearGrowthRate" localSheetId="10">IndexInformation!$B$16</definedName>
    <definedName name="FollowingYearEPS" localSheetId="10">IndexInformation!$B$15</definedName>
    <definedName name="FollowingYearTotalRevenue" localSheetId="10">IndexInformation!$B$14</definedName>
    <definedName name="FollowingYearTotalRevenueActual" localSheetId="10">IndexInformation!$B$34</definedName>
    <definedName name="forecast" localSheetId="8"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9"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4"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R_CODE_COPY_LINK">" "</definedName>
    <definedName name="FR_CODE_DOWNLOAD_START">" "</definedName>
    <definedName name="FR_CODE_STOCK_LINK">" "</definedName>
    <definedName name="FR_COM_ABBR">"CHKP"</definedName>
    <definedName name="FR_COM_AGG">0</definedName>
    <definedName name="FR_COU_ABBR">"usa"</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PROTECT">"TRUE"</definedName>
    <definedName name="FR_RATIO_ABBR">"VDF_RATIO_BUNDLE"</definedName>
    <definedName name="FR_RATIO_COM_ABBR">"CWG.L"</definedName>
    <definedName name="FR_RATIO_COU_ABBR">"uk"</definedName>
    <definedName name="FR_RATIO_IGNORE_PROT_FLAG">TRUE</definedName>
    <definedName name="FR_RATIO_RECALC_FLAG">TRUE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DS_KEY">1</definedName>
    <definedName name="FR_SHOW_LINK_MARKER">FALSE</definedName>
    <definedName name="FR_START_DATE">"'"</definedName>
    <definedName name="FR_SYBASE_SERVER">"PNYEQFRD01"</definedName>
    <definedName name="FR_TEMPLATE_KEY">"69924|1"</definedName>
    <definedName name="FR_USE_BILLIONS">FALSE</definedName>
    <definedName name="FR_USE_DIMFAC">TRUE</definedName>
    <definedName name="FR_USE_LOCAL_CCY">FALSE</definedName>
    <definedName name="FR_USE_PRICEFACTORING">FALSE</definedName>
    <definedName name="FR_USE_SCALE_FLAG">TRUE</definedName>
    <definedName name="FR_WORKBOOK">"K:\traker1\WBSN\Old Model\WBSN-EPS-Edg.xls"</definedName>
    <definedName name="GGG" localSheetId="8" hidden="1">{"quartfin",#N/A,FALSE,"quartfin"}</definedName>
    <definedName name="GGG" localSheetId="9" hidden="1">{"quartfin",#N/A,FALSE,"quartfin"}</definedName>
    <definedName name="GGG" localSheetId="4" hidden="1">{"quartfin",#N/A,FALSE,"quartfin"}</definedName>
    <definedName name="GGG" hidden="1">{"quartfin",#N/A,FALSE,"quartfin"}</definedName>
    <definedName name="HHIhs" localSheetId="8" hidden="1">{"short1",#N/A,FALSE,"masmode";"short2",#N/A,FALSE,"masmode";"qtrres",#N/A,FALSE,"QTR. RES.";"sales",#N/A,FALSE,"Sales &amp; Market Share"}</definedName>
    <definedName name="HHIhs" localSheetId="9" hidden="1">{"short1",#N/A,FALSE,"masmode";"short2",#N/A,FALSE,"masmode";"qtrres",#N/A,FALSE,"QTR. RES.";"sales",#N/A,FALSE,"Sales &amp; Market Share"}</definedName>
    <definedName name="HHIhs" localSheetId="4" hidden="1">{"short1",#N/A,FALSE,"masmode";"short2",#N/A,FALSE,"masmode";"qtrres",#N/A,FALSE,"QTR. RES.";"sales",#N/A,FALSE,"Sales &amp; Market Share"}</definedName>
    <definedName name="HHIhs" hidden="1">{"short1",#N/A,FALSE,"masmode";"short2",#N/A,FALSE,"masmode";"qtrres",#N/A,FALSE,"QTR. RES.";"sales",#N/A,FALSE,"Sales &amp; Market Share"}</definedName>
    <definedName name="HL" localSheetId="11">ModPubIndex!$A$8</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i" hidden="1">'[10]Qtr Income'!$A$1:$W$160</definedName>
    <definedName name="Img_ML_7g5e5e2b" hidden="1">"IMG_12"</definedName>
    <definedName name="IND" localSheetId="11">ModPubIndex!$A$9</definedName>
    <definedName name="Industry" localSheetId="0">ImportantDisclosures!$A$12</definedName>
    <definedName name="IndustryId" localSheetId="10">IndexInformation!$B$40</definedName>
    <definedName name="IndustryId">[11]IndexInformation!$B$40</definedName>
    <definedName name="IndustryRating" localSheetId="0">ImportantDisclosures!$A$13</definedName>
    <definedName name="Infgod" localSheetId="8" hidden="1">{"monthlyunits",#N/A,FALSE,"openings"}</definedName>
    <definedName name="Infgod" localSheetId="9" hidden="1">{"monthlyunits",#N/A,FALSE,"openings"}</definedName>
    <definedName name="Infgod" localSheetId="4" hidden="1">{"monthlyunits",#N/A,FALSE,"openings"}</definedName>
    <definedName name="Infgod" hidden="1">{"monthlyunits",#N/A,FALSE,"openings"}</definedName>
    <definedName name="Infosed" localSheetId="8" hidden="1">{"quartfin",#N/A,FALSE,"quartfin"}</definedName>
    <definedName name="Infosed" localSheetId="9" hidden="1">{"quartfin",#N/A,FALSE,"quartfin"}</definedName>
    <definedName name="Infosed" localSheetId="4" hidden="1">{"quartfin",#N/A,FALSE,"quartfin"}</definedName>
    <definedName name="Infosed" hidden="1">{"quartfin",#N/A,FALSE,"quartfin"}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localSheetId="8" hidden="1">40084.4202199074</definedName>
    <definedName name="IQ_NAMES_REVISION_DATE_" localSheetId="9" hidden="1">40084.4202199074</definedName>
    <definedName name="IQ_NAMES_REVISION_DATE_" hidden="1">40084.4202199074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localSheetId="8" hidden="1">39489.6256597222</definedName>
    <definedName name="IQ_REVISION_DATE_" localSheetId="9" hidden="1">39489.6256597222</definedName>
    <definedName name="IQ_REVISION_DATE_" hidden="1">39489.6256597222</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QShowHideColumns" hidden="1">"iQShowAll"</definedName>
    <definedName name="ISMethod">1</definedName>
    <definedName name="KeepVersions" localSheetId="10">IndexInformation!$B$8</definedName>
    <definedName name="LanguageCode" localSheetId="10">IndexInformation!$B$38</definedName>
    <definedName name="LanguageCode">[11]IndexInformation!$B$38</definedName>
    <definedName name="LastCell" localSheetId="0">ImportantDisclosures!$A$22</definedName>
    <definedName name="LastListUpdate">0</definedName>
    <definedName name="limcount" hidden="1">1</definedName>
    <definedName name="Linking_10">BS!$B$2:$J$41</definedName>
    <definedName name="Linking_11">CF!$B$2:$N$47</definedName>
    <definedName name="Linking_14">Revs!$B$4:$BY$53</definedName>
    <definedName name="Linking_15">Revs!$CD$4,Revs!$B$4:$CD$53</definedName>
    <definedName name="Linking_16">Revs!$B$4:$CD$52</definedName>
    <definedName name="Linking_17">IS!$B$2:$AU$136</definedName>
    <definedName name="Linking_18">Revs!$B$4:$BY$52</definedName>
    <definedName name="Linking_19">IS!$B$2:$CS$52</definedName>
    <definedName name="Linking_20">Revs!$B$4:$DW$52</definedName>
    <definedName name="Linking_21">Revs!$B$3:$DW$53</definedName>
    <definedName name="Linking_22">BS!$B$2:$T$41</definedName>
    <definedName name="Linking_23">CF!$B$2:$X$47</definedName>
    <definedName name="Linking_25">Revs!$B$4:$DW$53</definedName>
    <definedName name="Linking_26">IS!$B$2:$BT$52</definedName>
    <definedName name="Linking_27">BS!$B$2:$O$41</definedName>
    <definedName name="Linking_28">CF!$B$2:$S$47</definedName>
    <definedName name="Linking_5" localSheetId="1">DCF!$B$3:$U$16</definedName>
    <definedName name="Linking_8">IS!$B$2:$AU$52</definedName>
    <definedName name="Linking_9">Revs!$B$4:$CD$53</definedName>
    <definedName name="Linking_Range_20">IS!$B$2:$AU$49</definedName>
    <definedName name="MacroVersion" localSheetId="10">IndexInformation!$B$1</definedName>
    <definedName name="ModelPrice" localSheetId="0">ImportantDisclosures!$A$14</definedName>
    <definedName name="MonitorRow">1</definedName>
    <definedName name="Multiplier" localSheetId="10">IndexInformation!$B$35</definedName>
    <definedName name="Net_Income">[12]NOPAT_VDF!$C$94:$AZ$94</definedName>
    <definedName name="new"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stone" localSheetId="8">{"Client Name or Project Name"}</definedName>
    <definedName name="newstone" localSheetId="9">{"Client Name or Project Name"}</definedName>
    <definedName name="newstone" localSheetId="4">{"Client Name or Project Name"}</definedName>
    <definedName name="newstone">{"Client Name or Project Name"}</definedName>
    <definedName name="newstone1" localSheetId="8">{"Client Name or Project Name"}</definedName>
    <definedName name="newstone1" localSheetId="9">{"Client Name or Project Name"}</definedName>
    <definedName name="newstone1" localSheetId="4">{"Client Name or Project Name"}</definedName>
    <definedName name="newstone1">{"Client Name or Project Name"}</definedName>
    <definedName name="NextYearEPS" localSheetId="10">IndexInformation!$B$13</definedName>
    <definedName name="NextYearTotalRevenue" localSheetId="10">IndexInformation!$B$12</definedName>
    <definedName name="NextYearTotalRevenueActual" localSheetId="10">IndexInformation!$B$33</definedName>
    <definedName name="ObjectType" localSheetId="10">IndexInformation!$B$37</definedName>
    <definedName name="ObjectType">[11]IndexInformation!$B$37</definedName>
    <definedName name="over_15_years">0.1</definedName>
    <definedName name="PANA" localSheetId="11">ModPubIndex!$A$11</definedName>
    <definedName name="PathName" localSheetId="10">IndexInformation!$B$25</definedName>
    <definedName name="print">'[13]Old Model'!$BY$3:$CH$61,'[13]Old Model'!$BY$64:$CH$120,'[13]Old Model'!$BO$3:$BX$61,'[13]Old Model'!$BO$64:$BX$120,'[13]Old Model'!$CI$3:$CR$61,'[13]Old Model'!$CI$64:$CR$120,'[13]Old Model'!$L$128:$W$188,'[13]Old Model'!$L$205:$W$256,'[13]Old Model'!$B$263:$K$315,'[13]Old Model'!$B$323:$K$375,'[13]Old Model'!$B$385:$K$438</definedName>
    <definedName name="PRODUCT" localSheetId="11">ModPubIndex!$A$6</definedName>
    <definedName name="ProjectName" localSheetId="5">{"Client Name or Project Name"}</definedName>
    <definedName name="ProjectName" localSheetId="6">{"Client Name or Project Name"}</definedName>
    <definedName name="ProjectName" localSheetId="8">{"Client Name or Project Name"}</definedName>
    <definedName name="ProjectName" localSheetId="9">{"Client Name or Project Name"}</definedName>
    <definedName name="ProjectName" localSheetId="4">{"Client Name or Project Name"}</definedName>
    <definedName name="ProjectName">{"BU Name or Client/Project Name"}</definedName>
    <definedName name="pronames" localSheetId="8">{"Client Name or Project Name"}</definedName>
    <definedName name="pronames" localSheetId="9">{"Client Name or Project Name"}</definedName>
    <definedName name="pronames" localSheetId="4">{"Client Name or Project Name"}</definedName>
    <definedName name="pronames">{"Client Name or Project Name"}</definedName>
    <definedName name="PSYM" localSheetId="11">ModPubIndex!$A$4</definedName>
    <definedName name="PublishDate" localSheetId="10">IndexInformation!$B$2</definedName>
    <definedName name="q" hidden="1">'[10]Qtr Sales'!$EM$2:$FJ$127</definedName>
    <definedName name="Rating" localSheetId="10">IndexInformation!$B$9</definedName>
    <definedName name="RatingsDefined" localSheetId="0">ImportantDisclosures!$A$21</definedName>
    <definedName name="RatingsDefs" localSheetId="0">ImportantDisclosures!#REF!</definedName>
    <definedName name="RegACDisclosure" localSheetId="0">ImportantDisclosures!#REF!</definedName>
    <definedName name="rep" localSheetId="8" hidden="1">{#N/A,#N/A,FALSE,"COVER";#N/A,#N/A,FALSE,"VALUATION";#N/A,#N/A,FALSE,"FORECAST";#N/A,#N/A,FALSE,"FY ANALYSIS ";#N/A,#N/A,FALSE," HY ANALYSIS"}</definedName>
    <definedName name="rep" localSheetId="9" hidden="1">{#N/A,#N/A,FALSE,"COVER";#N/A,#N/A,FALSE,"VALUATION";#N/A,#N/A,FALSE,"FORECAST";#N/A,#N/A,FALSE,"FY ANALYSIS ";#N/A,#N/A,FALSE," HY ANALYSIS"}</definedName>
    <definedName name="rep" localSheetId="4" hidden="1">{#N/A,#N/A,FALSE,"COVER";#N/A,#N/A,FALSE,"VALUATION";#N/A,#N/A,FALSE,"FORECAST";#N/A,#N/A,FALSE,"FY ANALYSIS ";#N/A,#N/A,FALSE," HY ANALYSIS"}</definedName>
    <definedName name="rep" hidden="1">{#N/A,#N/A,FALSE,"COVER";#N/A,#N/A,FALSE,"VALUATION";#N/A,#N/A,FALSE,"FORECAST";#N/A,#N/A,FALSE,"FY ANALYSIS ";#N/A,#N/A,FALSE," HY ANALYSIS"}</definedName>
    <definedName name="ResearchTopic" localSheetId="10">IndexInformation!$B$4</definedName>
    <definedName name="RIC" localSheetId="10">IndexInformation!$B$21</definedName>
    <definedName name="RiskAutoStopPercChange">1.5</definedName>
    <definedName name="RiskCollectDistributionSamples">2</definedName>
    <definedName name="RiskExcelReportsGoInNewWorkbook">TRUE</definedName>
    <definedName name="RiskExcelReportsToGenerate">1024</definedName>
    <definedName name="RiskFixedSeed">923</definedName>
    <definedName name="RiskGenerateExcelReportsAtEndOfSimulation">FALSE</definedName>
    <definedName name="RiskHasSettings">TRUE</definedName>
    <definedName name="RiskMinimizeOnStart">TRUE</definedName>
    <definedName name="RiskMonitorConvergence">FALSE</definedName>
    <definedName name="RiskNumIterations">10000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TRUE</definedName>
    <definedName name="RiskUseMultipleCPUs">FALSE</definedName>
    <definedName name="SECSettlement" localSheetId="0">ImportantDisclosures!#REF!</definedName>
    <definedName name="SEDOL" localSheetId="10">IndexInformation!$B$22</definedName>
    <definedName name="sencount" hidden="1">1</definedName>
    <definedName name="SourceDefined" localSheetId="0">ImportantDisclosures!$A$19</definedName>
    <definedName name="StockRating" localSheetId="0">ImportantDisclosures!$A$11</definedName>
    <definedName name="SubjectCode" localSheetId="10">IndexInformation!$B$6</definedName>
    <definedName name="SubmissionData">[14]RAPID2!$C$1:$J$99</definedName>
    <definedName name="SubmitterUserId" localSheetId="10">IndexInformation!$B$39</definedName>
    <definedName name="SubmitterUserId">[11]IndexInformation!$B$39</definedName>
    <definedName name="Summary_IS"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localSheetId="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PPRESSED" localSheetId="11">ModPubIndex!$A$13</definedName>
    <definedName name="Table_10">'[15]SEARLE - SALES'!$B$1:$AJ$82</definedName>
    <definedName name="Tarceva.new" localSheetId="8">{"Client Name or Project Name"}</definedName>
    <definedName name="Tarceva.new" localSheetId="9">{"Client Name or Project Name"}</definedName>
    <definedName name="Tarceva.new" localSheetId="4">{"Client Name or Project Name"}</definedName>
    <definedName name="Tarceva.new">{"Client Name or Project Name"}</definedName>
    <definedName name="TargetPrice" localSheetId="0">ImportantDisclosures!$A$15</definedName>
    <definedName name="TemplateRegion" localSheetId="10">IndexInformation!$B$36</definedName>
    <definedName name="TemplateRegion">[11]IndexInformation!$B$36</definedName>
    <definedName name="Ticker" localSheetId="0">ImportantDisclosures!$A$10</definedName>
    <definedName name="TickerRegion">IndexInformation!$B$41</definedName>
    <definedName name="Tickers" localSheetId="10">IndexInformation!$B$19</definedName>
    <definedName name="tones" localSheetId="8">{"Client Name or Project Name"}</definedName>
    <definedName name="tones" localSheetId="9">{"Client Name or Project Name"}</definedName>
    <definedName name="tones" localSheetId="4">{"Client Name or Project Name"}</definedName>
    <definedName name="tones">{"Client Name or Project Name"}</definedName>
    <definedName name="Total_Prescriptions">'[16]MS Week2'!$A$3:$D$4</definedName>
    <definedName name="total_Rx_growth">'[16]MS Week2'!$K$5:$O$15</definedName>
    <definedName name="trc_XLS_DATASHEET_ProtectDate" localSheetId="8">35417.7656018519</definedName>
    <definedName name="trc_XLS_DATASHEET_ProtectDate" localSheetId="9">35417.7656018519</definedName>
    <definedName name="trc_XLS_DATASHEET_ProtectDate">35417.7656018519</definedName>
    <definedName name="UpdateReason" localSheetId="10">IndexInformation!$B$17</definedName>
    <definedName name="USRegDisclosures" localSheetId="0">ImportantDisclosures!#REF!</definedName>
    <definedName name="wrn.AGN._.MODELS." localSheetId="8" hidden="1">{"QTRINC1",#N/A,FALSE,"QTRINC";"QTRINC2",#N/A,FALSE,"QTRINC";"QTRSALES",#N/A,FALSE,"QTRSALES";"ANNSALES",#N/A,FALSE,"ANNSALES";"CASHFLOW",#N/A,FALSE,"CASHFLOW"}</definedName>
    <definedName name="wrn.AGN._.MODELS." localSheetId="9" hidden="1">{"QTRINC1",#N/A,FALSE,"QTRINC";"QTRINC2",#N/A,FALSE,"QTRINC";"QTRSALES",#N/A,FALSE,"QTRSALES";"ANNSALES",#N/A,FALSE,"ANNSALES";"CASHFLOW",#N/A,FALSE,"CASHFLOW"}</definedName>
    <definedName name="wrn.AGN._.MODELS." localSheetId="4" hidden="1">{"QTRINC1",#N/A,FALSE,"QTRINC";"QTRINC2",#N/A,FALSE,"QTRINC";"QTRSALES",#N/A,FALSE,"QTRSALES";"ANNSALES",#N/A,FALSE,"ANNSALES";"CASHFLOW",#N/A,FALSE,"CASHFLOW"}</definedName>
    <definedName name="wrn.AGN._.MODELS." hidden="1">{"QTRINC1",#N/A,FALSE,"QTRINC";"QTRINC2",#N/A,FALSE,"QTRINC";"QTRSALES",#N/A,FALSE,"QTRSALES";"ANNSALES",#N/A,FALSE,"ANNSALES";"CASHFLOW",#N/A,FALSE,"CASHFLOW"}</definedName>
    <definedName name="wrn.AHP._.MODELS." localSheetId="8" hidden="1">{"QTRINC",#N/A,FALSE,"QTRINC";"MARGIN",#N/A,FALSE,"MARGIN";"CASHFLOW",#N/A,FALSE,"CASHFLOW"}</definedName>
    <definedName name="wrn.AHP._.MODELS." localSheetId="9" hidden="1">{"QTRINC",#N/A,FALSE,"QTRINC";"MARGIN",#N/A,FALSE,"MARGIN";"CASHFLOW",#N/A,FALSE,"CASHFLOW"}</definedName>
    <definedName name="wrn.AHP._.MODELS." localSheetId="4" hidden="1">{"QTRINC",#N/A,FALSE,"QTRINC";"MARGIN",#N/A,FALSE,"MARGIN";"CASHFLOW",#N/A,FALSE,"CASHFLOW"}</definedName>
    <definedName name="wrn.AHP._.MODELS." hidden="1">{"QTRINC",#N/A,FALSE,"QTRINC";"MARGIN",#N/A,FALSE,"MARGIN";"CASHFLOW",#N/A,FALSE,"CASHFLOW"}</definedName>
    <definedName name="wrn.allpages." localSheetId="8" hidden="1">{#N/A,#N/A,TRUE,"Historicals";#N/A,#N/A,TRUE,"Charts";#N/A,#N/A,TRUE,"Forecasts"}</definedName>
    <definedName name="wrn.allpages." localSheetId="9" hidden="1">{#N/A,#N/A,TRUE,"Historicals";#N/A,#N/A,TRUE,"Charts";#N/A,#N/A,TRUE,"Forecasts"}</definedName>
    <definedName name="wrn.allpages." localSheetId="4" hidden="1">{#N/A,#N/A,TRUE,"Historicals";#N/A,#N/A,TRUE,"Charts";#N/A,#N/A,TRUE,"Forecasts"}</definedName>
    <definedName name="wrn.allpages." hidden="1">{#N/A,#N/A,TRUE,"Historicals";#N/A,#N/A,TRUE,"Charts";#N/A,#N/A,TRUE,"Forecasts"}</definedName>
    <definedName name="wrn.Annual._.Operating._.Earnings." localSheetId="8" hidden="1">{"Annual 1996",#N/A,FALSE,"Ann-Op (Mng)";"Annual 1996",#N/A,FALSE,"Ann-Op (Rep)";"Operating Vs. Reported Earnings",#N/A,FALSE,"Rpt-Op Inc"}</definedName>
    <definedName name="wrn.Annual._.Operating._.Earnings." localSheetId="9" hidden="1">{"Annual 1996",#N/A,FALSE,"Ann-Op (Mng)";"Annual 1996",#N/A,FALSE,"Ann-Op (Rep)";"Operating Vs. Reported Earnings",#N/A,FALSE,"Rpt-Op Inc"}</definedName>
    <definedName name="wrn.Annual._.Operating._.Earnings." localSheetId="4" hidden="1">{"Annual 1996",#N/A,FALSE,"Ann-Op (Mng)";"Annual 1996",#N/A,FALSE,"Ann-Op (Rep)";"Operating Vs. Reported Earnings",#N/A,FALSE,"Rpt-Op Inc"}</definedName>
    <definedName name="wrn.Annual._.Operating._.Earnings." hidden="1">{"Annual 1996",#N/A,FALSE,"Ann-Op (Mng)";"Annual 1996",#N/A,FALSE,"Ann-Op (Rep)";"Operating Vs. Reported Earnings",#N/A,FALSE,"Rpt-Op Inc"}</definedName>
    <definedName name="wrn.Annual._.Operating._.Earnings1." localSheetId="8" hidden="1">{"Annual 1996",#N/A,FALSE,"Ann-Op (Mng)";"Annual 1996",#N/A,FALSE,"Ann-Op (Rep)";"Operating Vs. Reported Earnings",#N/A,FALSE,"Rpt-Op Inc"}</definedName>
    <definedName name="wrn.Annual._.Operating._.Earnings1." localSheetId="9" hidden="1">{"Annual 1996",#N/A,FALSE,"Ann-Op (Mng)";"Annual 1996",#N/A,FALSE,"Ann-Op (Rep)";"Operating Vs. Reported Earnings",#N/A,FALSE,"Rpt-Op Inc"}</definedName>
    <definedName name="wrn.Annual._.Operating._.Earnings1." localSheetId="4"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BasicModel." localSheetId="8" hidden="1">{"MacroCo",#N/A,FALSE,"masmode";"IncomeS",#N/A,FALSE,"masmode";"BalanceS",#N/A,FALSE,"masmode";"CashF",#N/A,FALSE,"masmode";"Ratios",#N/A,FALSE,"masmode";"DebtFC",#N/A,FALSE,"masmode"}</definedName>
    <definedName name="wrn.BasicModel." localSheetId="9" hidden="1">{"MacroCo",#N/A,FALSE,"masmode";"IncomeS",#N/A,FALSE,"masmode";"BalanceS",#N/A,FALSE,"masmode";"CashF",#N/A,FALSE,"masmode";"Ratios",#N/A,FALSE,"masmode";"DebtFC",#N/A,FALSE,"masmode"}</definedName>
    <definedName name="wrn.BasicModel." localSheetId="4" hidden="1">{"MacroCo",#N/A,FALSE,"masmode";"IncomeS",#N/A,FALSE,"masmode";"BalanceS",#N/A,FALSE,"masmode";"CashF",#N/A,FALSE,"masmode";"Ratios",#N/A,FALSE,"masmode";"DebtFC",#N/A,FALSE,"masmode"}</definedName>
    <definedName name="wrn.BasicModel." hidden="1">{"MacroCo",#N/A,FALSE,"masmode";"IncomeS",#N/A,FALSE,"masmode";"BalanceS",#N/A,FALSE,"masmode";"CashF",#N/A,FALSE,"masmode";"Ratios",#N/A,FALSE,"masmode";"DebtFC",#N/A,FALSE,"masmode"}</definedName>
    <definedName name="wrn.Earnings._.Model."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finstat." localSheetId="8" hidden="1">{"ass",#N/A,FALSE,"finstat";"inc",#N/A,FALSE,"finstat";"bs",#N/A,FALSE,"finstat";"cf",#N/A,FALSE,"finstat";"ratios",#N/A,FALSE,"finstat"}</definedName>
    <definedName name="wrn.finstat." localSheetId="9" hidden="1">{"ass",#N/A,FALSE,"finstat";"inc",#N/A,FALSE,"finstat";"bs",#N/A,FALSE,"finstat";"cf",#N/A,FALSE,"finstat";"ratios",#N/A,FALSE,"finstat"}</definedName>
    <definedName name="wrn.finstat." localSheetId="4" hidden="1">{"ass",#N/A,FALSE,"finstat";"inc",#N/A,FALSE,"finstat";"bs",#N/A,FALSE,"finstat";"cf",#N/A,FALSE,"finstat";"ratios",#N/A,FALSE,"finstat"}</definedName>
    <definedName name="wrn.finstat." hidden="1">{"ass",#N/A,FALSE,"finstat";"inc",#N/A,FALSE,"finstat";"bs",#N/A,FALSE,"finstat";"cf",#N/A,FALSE,"finstat";"ratios",#N/A,FALSE,"finstat"}</definedName>
    <definedName name="wrn.Forecast._.Q1." localSheetId="8" hidden="1">{"cover a","1q",FALSE,"Cover";"Op Earn Mgd Q1",#N/A,FALSE,"Op-Earn (Mng)";"Op Earn Rpt Q1",#N/A,FALSE,"Op-Earn (Rpt)";"Loans",#N/A,FALSE,"Loans";"Credit Costs",#N/A,FALSE,"CCosts";"Net Interest Margin",#N/A,FALSE,"Margin";"Nonint Income",#N/A,FALSE,"NonII";"Nonint Exp",#N/A,FALSE,"NonIE";"Valuation",#N/A,FALSE,"Valuation"}</definedName>
    <definedName name="wrn.Forecast._.Q1." localSheetId="9" hidden="1">{"cover a","1q",FALSE,"Cover";"Op Earn Mgd Q1",#N/A,FALSE,"Op-Earn (Mng)";"Op Earn Rpt Q1",#N/A,FALSE,"Op-Earn (Rpt)";"Loans",#N/A,FALSE,"Loans";"Credit Costs",#N/A,FALSE,"CCosts";"Net Interest Margin",#N/A,FALSE,"Margin";"Nonint Income",#N/A,FALSE,"NonII";"Nonint Exp",#N/A,FALSE,"NonIE";"Valuation",#N/A,FALSE,"Valuation"}</definedName>
    <definedName name="wrn.Forecast._.Q1." localSheetId="4" hidden="1">{"cover a","1q",FALSE,"Cover";"Op Earn Mgd Q1",#N/A,FALSE,"Op-Earn (Mng)";"Op Earn Rpt Q1",#N/A,FALSE,"Op-Earn (Rpt)";"Loans",#N/A,FALSE,"Loans";"Credit Costs",#N/A,FALSE,"CCosts";"Net Interest Margin",#N/A,FALSE,"Margin";"Nonint Income",#N/A,FALSE,"NonII";"Nonint Exp",#N/A,FALSE,"NonIE";"Valuation",#N/A,FALSE,"Valuation"}</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localSheetId="8" hidden="1">{"cover a","2q",FALSE,"Cover";"Op Earn Mgd Q2",#N/A,FALSE,"Op-Earn (Mng)";"Op Earn Rpt Q2",#N/A,FALSE,"Op-Earn (Rpt)";"Loans",#N/A,FALSE,"Loans";"Credit Costs",#N/A,FALSE,"CCosts";"Net Interest Margin",#N/A,FALSE,"Margin";"Nonint Income",#N/A,FALSE,"NonII";"Nonint Exp",#N/A,FALSE,"NonIE";"Valuation",#N/A,FALSE,"Valuation"}</definedName>
    <definedName name="wrn.Forecast._.Q2." localSheetId="9" hidden="1">{"cover a","2q",FALSE,"Cover";"Op Earn Mgd Q2",#N/A,FALSE,"Op-Earn (Mng)";"Op Earn Rpt Q2",#N/A,FALSE,"Op-Earn (Rpt)";"Loans",#N/A,FALSE,"Loans";"Credit Costs",#N/A,FALSE,"CCosts";"Net Interest Margin",#N/A,FALSE,"Margin";"Nonint Income",#N/A,FALSE,"NonII";"Nonint Exp",#N/A,FALSE,"NonIE";"Valuation",#N/A,FALSE,"Valuation"}</definedName>
    <definedName name="wrn.Forecast._.Q2." localSheetId="4" hidden="1">{"cover a","2q",FALSE,"Cover";"Op Earn Mgd Q2",#N/A,FALSE,"Op-Earn (Mng)";"Op Earn Rpt Q2",#N/A,FALSE,"Op-Earn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8"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9"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4"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localSheetId="8" hidden="1">{"cover a","3q",FALSE,"Cover";"Op Earn Mgd Q3",#N/A,FALSE,"Op-Earn (Mng)";"Op Earn Rpt Q3",#N/A,FALSE,"Op-Earn (Rpt)";"Loans",#N/A,FALSE,"Loans";"Credit Costs",#N/A,FALSE,"CCosts";"Net Interest Margin",#N/A,FALSE,"Margin";"Nonint Income",#N/A,FALSE,"NonII";"Nonint Exp",#N/A,FALSE,"NonIE";"Valuation",#N/A,FALSE,"Valuation"}</definedName>
    <definedName name="wrn.Forecast._.Q3." localSheetId="9" hidden="1">{"cover a","3q",FALSE,"Cover";"Op Earn Mgd Q3",#N/A,FALSE,"Op-Earn (Mng)";"Op Earn Rpt Q3",#N/A,FALSE,"Op-Earn (Rpt)";"Loans",#N/A,FALSE,"Loans";"Credit Costs",#N/A,FALSE,"CCosts";"Net Interest Margin",#N/A,FALSE,"Margin";"Nonint Income",#N/A,FALSE,"NonII";"Nonint Exp",#N/A,FALSE,"NonIE";"Valuation",#N/A,FALSE,"Valuation"}</definedName>
    <definedName name="wrn.Forecast._.Q3." localSheetId="4" hidden="1">{"cover a","3q",FALSE,"Cover";"Op Earn Mgd Q3",#N/A,FALSE,"Op-Earn (Mng)";"Op Earn Rpt Q3",#N/A,FALSE,"Op-Earn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localSheetId="8" hidden="1">{"cover a","4q",FALSE,"Cover";"Op Earn Mgd Q4",#N/A,FALSE,"Op-Earn (Mng)";"Op Earn Rpt Q4",#N/A,FALSE,"Op-Earn (Rpt)";"Loans",#N/A,FALSE,"Loans";"Credit Costs",#N/A,FALSE,"CCosts";"Net Interest Margin",#N/A,FALSE,"Margin";"Nonint Income",#N/A,FALSE,"NonII";"Nonint Exp",#N/A,FALSE,"NonIE";"Valuation",#N/A,FALSE,"Valuation"}</definedName>
    <definedName name="wrn.Forecast._.Q4." localSheetId="9" hidden="1">{"cover a","4q",FALSE,"Cover";"Op Earn Mgd Q4",#N/A,FALSE,"Op-Earn (Mng)";"Op Earn Rpt Q4",#N/A,FALSE,"Op-Earn (Rpt)";"Loans",#N/A,FALSE,"Loans";"Credit Costs",#N/A,FALSE,"CCosts";"Net Interest Margin",#N/A,FALSE,"Margin";"Nonint Income",#N/A,FALSE,"NonII";"Nonint Exp",#N/A,FALSE,"NonIE";"Valuation",#N/A,FALSE,"Valuation"}</definedName>
    <definedName name="wrn.Forecast._.Q4." localSheetId="4" hidden="1">{"cover a","4q",FALSE,"Cover";"Op Earn Mgd Q4",#N/A,FALSE,"Op-Earn (Mng)";"Op Earn Rpt Q4",#N/A,FALSE,"Op-Earn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8"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9"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Report." localSheetId="8" hidden="1">{#N/A,#N/A,FALSE,"COVER";#N/A,#N/A,FALSE,"VALUATION";#N/A,#N/A,FALSE,"FORECAST";#N/A,#N/A,FALSE,"FY ANALYSIS ";#N/A,#N/A,FALSE," HY ANALYSIS"}</definedName>
    <definedName name="wrn.Full._.Report." localSheetId="9" hidden="1">{#N/A,#N/A,FALSE,"COVER";#N/A,#N/A,FALSE,"VALUATION";#N/A,#N/A,FALSE,"FORECAST";#N/A,#N/A,FALSE,"FY ANALYSIS ";#N/A,#N/A,FALSE," HY ANALYSIS"}</definedName>
    <definedName name="wrn.Full._.Report." localSheetId="4" hidden="1">{#N/A,#N/A,FALSE,"COVER";#N/A,#N/A,FALSE,"VALUATION";#N/A,#N/A,FALSE,"FORECAST";#N/A,#N/A,FALSE,"FY ANALYSIS ";#N/A,#N/A,FALSE," HY ANALYSIS"}</definedName>
    <definedName name="wrn.Full._.Report." hidden="1">{#N/A,#N/A,FALSE,"COVER";#N/A,#N/A,FALSE,"VALUATION";#N/A,#N/A,FALSE,"FORECAST";#N/A,#N/A,FALSE,"FY ANALYSIS ";#N/A,#N/A,FALSE," HY ANALYSIS"}</definedName>
    <definedName name="wrn.inc." localSheetId="8" hidden="1">{"inc",#N/A,FALSE,"finstat"}</definedName>
    <definedName name="wrn.inc." localSheetId="9" hidden="1">{"inc",#N/A,FALSE,"finstat"}</definedName>
    <definedName name="wrn.inc." localSheetId="4" hidden="1">{"inc",#N/A,FALSE,"finstat"}</definedName>
    <definedName name="wrn.inc." hidden="1">{"inc",#N/A,FALSE,"finstat"}</definedName>
    <definedName name="wrn.MODELS." localSheetId="8"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DELS." localSheetId="9"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DELS." localSheetId="4"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DELS."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nthlyunits." localSheetId="8" hidden="1">{"monthlyunits",#N/A,FALSE,"openings"}</definedName>
    <definedName name="wrn.monthlyunits." localSheetId="9" hidden="1">{"monthlyunits",#N/A,FALSE,"openings"}</definedName>
    <definedName name="wrn.monthlyunits." localSheetId="4" hidden="1">{"monthlyunits",#N/A,FALSE,"openings"}</definedName>
    <definedName name="wrn.monthlyunits." hidden="1">{"monthlyunits",#N/A,FALSE,"openings"}</definedName>
    <definedName name="wrn.Qtr._.Op._.Q1." localSheetId="8" hidden="1">{"Qtr Op Mgd Q1",#N/A,FALSE,"Qtr-Op (Mng)";"Qtr Op Rpt Q1",#N/A,FALSE,"Qtr-Op (Rpt)";"Operating Vs Reported",#N/A,FALSE,"Rpt-Op Inc"}</definedName>
    <definedName name="wrn.Qtr._.Op._.Q1." localSheetId="9" hidden="1">{"Qtr Op Mgd Q1",#N/A,FALSE,"Qtr-Op (Mng)";"Qtr Op Rpt Q1",#N/A,FALSE,"Qtr-Op (Rpt)";"Operating Vs Reported",#N/A,FALSE,"Rpt-Op Inc"}</definedName>
    <definedName name="wrn.Qtr._.Op._.Q1." localSheetId="4" hidden="1">{"Qtr Op Mgd Q1",#N/A,FALSE,"Qtr-Op (Mng)";"Qtr Op Rpt Q1",#N/A,FALSE,"Qtr-Op (Rpt)";"Operating Vs Reported",#N/A,FALSE,"Rpt-Op Inc"}</definedName>
    <definedName name="wrn.Qtr._.Op._.Q1." hidden="1">{"Qtr Op Mgd Q1",#N/A,FALSE,"Qtr-Op (Mng)";"Qtr Op Rpt Q1",#N/A,FALSE,"Qtr-Op (Rpt)";"Operating Vs Reported",#N/A,FALSE,"Rpt-Op Inc"}</definedName>
    <definedName name="wrn.Qtr._.Op._.Q2." localSheetId="8" hidden="1">{"Qtr Op Mgd Q2",#N/A,FALSE,"Qtr-Op (Mng)";"Qtr Op Rpt Q2",#N/A,FALSE,"Qtr-Op (Rpt)";"Operating Vs Reported",#N/A,FALSE,"Rpt-Op Inc"}</definedName>
    <definedName name="wrn.Qtr._.Op._.Q2." localSheetId="9" hidden="1">{"Qtr Op Mgd Q2",#N/A,FALSE,"Qtr-Op (Mng)";"Qtr Op Rpt Q2",#N/A,FALSE,"Qtr-Op (Rpt)";"Operating Vs Reported",#N/A,FALSE,"Rpt-Op Inc"}</definedName>
    <definedName name="wrn.Qtr._.Op._.Q2." localSheetId="4" hidden="1">{"Qtr Op Mgd Q2",#N/A,FALSE,"Qtr-Op (Mng)";"Qtr Op Rpt Q2",#N/A,FALSE,"Qtr-Op (Rpt)";"Operating Vs Reported",#N/A,FALSE,"Rpt-Op Inc"}</definedName>
    <definedName name="wrn.Qtr._.Op._.Q2." hidden="1">{"Qtr Op Mgd Q2",#N/A,FALSE,"Qtr-Op (Mng)";"Qtr Op Rpt Q2",#N/A,FALSE,"Qtr-Op (Rpt)";"Operating Vs Reported",#N/A,FALSE,"Rpt-Op Inc"}</definedName>
    <definedName name="wrn.Qtr._.Op._.Q3." localSheetId="8" hidden="1">{"Qtr Op Mgd Q3",#N/A,FALSE,"Qtr-Op (Mng)";"Qtr Op Rpt Q3",#N/A,FALSE,"Qtr-Op (Rpt)";"Operating Vs Reported",#N/A,FALSE,"Rpt-Op Inc"}</definedName>
    <definedName name="wrn.Qtr._.Op._.Q3." localSheetId="9" hidden="1">{"Qtr Op Mgd Q3",#N/A,FALSE,"Qtr-Op (Mng)";"Qtr Op Rpt Q3",#N/A,FALSE,"Qtr-Op (Rpt)";"Operating Vs Reported",#N/A,FALSE,"Rpt-Op Inc"}</definedName>
    <definedName name="wrn.Qtr._.Op._.Q3." localSheetId="4" hidden="1">{"Qtr Op Mgd Q3",#N/A,FALSE,"Qtr-Op (Mng)";"Qtr Op Rpt Q3",#N/A,FALSE,"Qtr-Op (Rpt)";"Operating Vs Reported",#N/A,FALSE,"Rpt-Op Inc"}</definedName>
    <definedName name="wrn.Qtr._.Op._.Q3." hidden="1">{"Qtr Op Mgd Q3",#N/A,FALSE,"Qtr-Op (Mng)";"Qtr Op Rpt Q3",#N/A,FALSE,"Qtr-Op (Rpt)";"Operating Vs Reported",#N/A,FALSE,"Rpt-Op Inc"}</definedName>
    <definedName name="wrn.Qtr._.Op._.Q4." localSheetId="8" hidden="1">{"Qtr Op Mgd Q3",#N/A,FALSE,"Qtr-Op (Mng)";"Qtr Op Rpt Q4",#N/A,FALSE,"Qtr-Op (Rpt)";"Operating Vs Reported",#N/A,FALSE,"Rpt-Op Inc"}</definedName>
    <definedName name="wrn.Qtr._.Op._.Q4." localSheetId="9" hidden="1">{"Qtr Op Mgd Q3",#N/A,FALSE,"Qtr-Op (Mng)";"Qtr Op Rpt Q4",#N/A,FALSE,"Qtr-Op (Rpt)";"Operating Vs Reported",#N/A,FALSE,"Rpt-Op Inc"}</definedName>
    <definedName name="wrn.Qtr._.Op._.Q4." localSheetId="4" hidden="1">{"Qtr Op Mgd Q3",#N/A,FALSE,"Qtr-Op (Mng)";"Qtr Op Rpt Q4",#N/A,FALSE,"Qtr-Op (Rpt)";"Operating Vs Reported",#N/A,FALSE,"Rpt-Op Inc"}</definedName>
    <definedName name="wrn.Qtr._.Op._.Q4." hidden="1">{"Qtr Op Mgd Q3",#N/A,FALSE,"Qtr-Op (Mng)";"Qtr Op Rpt Q4",#N/A,FALSE,"Qtr-Op (Rpt)";"Operating Vs Reported",#N/A,FALSE,"Rpt-Op Inc"}</definedName>
    <definedName name="wrn.Qtr._.Op._Q2a." localSheetId="8" hidden="1">{"Qtr Op Mgd Q2",#N/A,FALSE,"Qtr-Op (Mng)";"Qtr Op Rpt Q2",#N/A,FALSE,"Qtr-Op (Rpt)";"Operating Vs Reported",#N/A,FALSE,"Rpt-Op Inc"}</definedName>
    <definedName name="wrn.Qtr._.Op._Q2a." localSheetId="9" hidden="1">{"Qtr Op Mgd Q2",#N/A,FALSE,"Qtr-Op (Mng)";"Qtr Op Rpt Q2",#N/A,FALSE,"Qtr-Op (Rpt)";"Operating Vs Reported",#N/A,FALSE,"Rpt-Op Inc"}</definedName>
    <definedName name="wrn.Qtr._.Op._Q2a." localSheetId="4" hidden="1">{"Qtr Op Mgd Q2",#N/A,FALSE,"Qtr-Op (Mng)";"Qtr Op Rpt Q2",#N/A,FALSE,"Qtr-Op (Rpt)";"Operating Vs Reported",#N/A,FALSE,"Rpt-Op Inc"}</definedName>
    <definedName name="wrn.Qtr._.Op._Q2a." hidden="1">{"Qtr Op Mgd Q2",#N/A,FALSE,"Qtr-Op (Mng)";"Qtr Op Rpt Q2",#N/A,FALSE,"Qtr-Op (Rpt)";"Operating Vs Reported",#N/A,FALSE,"Rpt-Op Inc"}</definedName>
    <definedName name="wrn.Qtr_.Op._.Q4." localSheetId="8" hidden="1">{"Qtr Op Mgd Q3",#N/A,FALSE,"Qtr-Op (Mng)";"Qtr Op Rpt Q4",#N/A,FALSE,"Qtr-Op (Rpt)";"Operating Vs Reported",#N/A,FALSE,"Rpt-Op Inc"}</definedName>
    <definedName name="wrn.Qtr_.Op._.Q4." localSheetId="9" hidden="1">{"Qtr Op Mgd Q3",#N/A,FALSE,"Qtr-Op (Mng)";"Qtr Op Rpt Q4",#N/A,FALSE,"Qtr-Op (Rpt)";"Operating Vs Reported",#N/A,FALSE,"Rpt-Op Inc"}</definedName>
    <definedName name="wrn.Qtr_.Op._.Q4." localSheetId="4" hidden="1">{"Qtr Op Mgd Q3",#N/A,FALSE,"Qtr-Op (Mng)";"Qtr Op Rpt Q4",#N/A,FALSE,"Qtr-Op (Rpt)";"Operating Vs Reported",#N/A,FALSE,"Rpt-Op Inc"}</definedName>
    <definedName name="wrn.Qtr_.Op._.Q4." hidden="1">{"Qtr Op Mgd Q3",#N/A,FALSE,"Qtr-Op (Mng)";"Qtr Op Rpt Q4",#N/A,FALSE,"Qtr-Op (Rpt)";"Operating Vs Reported",#N/A,FALSE,"Rpt-Op Inc"}</definedName>
    <definedName name="wrn.quart." localSheetId="8" hidden="1">{"quart",#N/A,FALSE,"quartfin"}</definedName>
    <definedName name="wrn.quart." localSheetId="9" hidden="1">{"quart",#N/A,FALSE,"quartfin"}</definedName>
    <definedName name="wrn.quart." localSheetId="4" hidden="1">{"quart",#N/A,FALSE,"quartfin"}</definedName>
    <definedName name="wrn.quart." hidden="1">{"quart",#N/A,FALSE,"quartfin"}</definedName>
    <definedName name="wrn.quartfin." localSheetId="8" hidden="1">{"quartfin",#N/A,FALSE,"quartfin"}</definedName>
    <definedName name="wrn.quartfin." localSheetId="9" hidden="1">{"quartfin",#N/A,FALSE,"quartfin"}</definedName>
    <definedName name="wrn.quartfin." localSheetId="4" hidden="1">{"quartfin",#N/A,FALSE,"quartfin"}</definedName>
    <definedName name="wrn.quartfin." hidden="1">{"quartfin",#N/A,FALSE,"quartfin"}</definedName>
    <definedName name="wrn.Report." localSheetId="8" hidden="1">{#N/A,#N/A,FALSE,"COVER";#N/A,#N/A,FALSE,"FORECAST";#N/A,#N/A,FALSE,"VALUATION";#N/A,#N/A,FALSE,"FY ANALYSIS ";#N/A,#N/A,FALSE," HY ANALYSIS"}</definedName>
    <definedName name="wrn.Report." localSheetId="9" hidden="1">{#N/A,#N/A,FALSE,"COVER";#N/A,#N/A,FALSE,"FORECAST";#N/A,#N/A,FALSE,"VALUATION";#N/A,#N/A,FALSE,"FY ANALYSIS ";#N/A,#N/A,FALSE," HY ANALYSIS"}</definedName>
    <definedName name="wrn.Report." localSheetId="4" hidden="1">{#N/A,#N/A,FALSE,"COVER";#N/A,#N/A,FALSE,"FORECAST";#N/A,#N/A,FALSE,"VALUATION";#N/A,#N/A,FALSE,"FY ANALYSIS ";#N/A,#N/A,FALSE," HY ANALYSIS"}</definedName>
    <definedName name="wrn.Report." hidden="1">{#N/A,#N/A,FALSE,"COVER";#N/A,#N/A,FALSE,"FORECAST";#N/A,#N/A,FALSE,"VALUATION";#N/A,#N/A,FALSE,"FY ANALYSIS ";#N/A,#N/A,FALSE," HY ANALYSIS"}</definedName>
    <definedName name="wrn.salesassum." localSheetId="8" hidden="1">{"Salesass",#N/A,FALSE,"assumpt"}</definedName>
    <definedName name="wrn.salesassum." localSheetId="9" hidden="1">{"Salesass",#N/A,FALSE,"assumpt"}</definedName>
    <definedName name="wrn.salesassum." localSheetId="4" hidden="1">{"Salesass",#N/A,FALSE,"assumpt"}</definedName>
    <definedName name="wrn.salesassum." hidden="1">{"Salesass",#N/A,FALSE,"assumpt"}</definedName>
    <definedName name="wrn.SGPMODELS." localSheetId="8" hidden="1">{"QTRINC1",#N/A,FALSE,"SGPNEW";"QTRINC2",#N/A,FALSE,"SGPNEW";"USSALES1",#N/A,FALSE,"SGPNEW";"USSALES2",#N/A,FALSE,"SGPNEW";"INTLSALES1",#N/A,FALSE,"SGPNEW";"INTLSALES2",#N/A,FALSE,"SGPNEW";"WWSALES1",#N/A,FALSE,"SGPNEW";"WWSALES2",#N/A,FALSE,"SGPNEW";"NEWPRODS",#N/A,FALSE,"SGPNEW";"CASHFLOW",#N/A,FALSE,"SGPNEW"}</definedName>
    <definedName name="wrn.SGPMODELS." localSheetId="9" hidden="1">{"QTRINC1",#N/A,FALSE,"SGPNEW";"QTRINC2",#N/A,FALSE,"SGPNEW";"USSALES1",#N/A,FALSE,"SGPNEW";"USSALES2",#N/A,FALSE,"SGPNEW";"INTLSALES1",#N/A,FALSE,"SGPNEW";"INTLSALES2",#N/A,FALSE,"SGPNEW";"WWSALES1",#N/A,FALSE,"SGPNEW";"WWSALES2",#N/A,FALSE,"SGPNEW";"NEWPRODS",#N/A,FALSE,"SGPNEW";"CASHFLOW",#N/A,FALSE,"SGPNEW"}</definedName>
    <definedName name="wrn.SGPMODELS." localSheetId="4" hidden="1">{"QTRINC1",#N/A,FALSE,"SGPNEW";"QTRINC2",#N/A,FALSE,"SGPNEW";"USSALES1",#N/A,FALSE,"SGPNEW";"USSALES2",#N/A,FALSE,"SGPNEW";"INTLSALES1",#N/A,FALSE,"SGPNEW";"INTLSALES2",#N/A,FALSE,"SGPNEW";"WWSALES1",#N/A,FALSE,"SGPNEW";"WWSALES2",#N/A,FALSE,"SGPNEW";"NEWPRODS",#N/A,FALSE,"SGPNEW";"CASHFLOW",#N/A,FALSE,"SGPNEW"}</definedName>
    <definedName name="wrn.SGPMODELS." hidden="1">{"QTRINC1",#N/A,FALSE,"SGPNEW";"QTRINC2",#N/A,FALSE,"SGPNEW";"USSALES1",#N/A,FALSE,"SGPNEW";"USSALES2",#N/A,FALSE,"SGPNEW";"INTLSALES1",#N/A,FALSE,"SGPNEW";"INTLSALES2",#N/A,FALSE,"SGPNEW";"WWSALES1",#N/A,FALSE,"SGPNEW";"WWSALES2",#N/A,FALSE,"SGPNEW";"NEWPRODS",#N/A,FALSE,"SGPNEW";"CASHFLOW",#N/A,FALSE,"SGPNEW"}</definedName>
    <definedName name="wrn.Short._.Report." localSheetId="8" hidden="1">{"short1",#N/A,FALSE,"masmode";"short2",#N/A,FALSE,"masmode";"qtrres",#N/A,FALSE,"QTR. RES.";"sales",#N/A,FALSE,"Sales &amp; Market Share"}</definedName>
    <definedName name="wrn.Short._.Report." localSheetId="9" hidden="1">{"short1",#N/A,FALSE,"masmode";"short2",#N/A,FALSE,"masmode";"qtrres",#N/A,FALSE,"QTR. RES.";"sales",#N/A,FALSE,"Sales &amp; Market Share"}</definedName>
    <definedName name="wrn.Short._.Report." localSheetId="4" hidden="1">{"short1",#N/A,FALSE,"masmode";"short2",#N/A,FALSE,"masmode";"qtrres",#N/A,FALSE,"QTR. RES.";"sales",#N/A,FALSE,"Sales &amp; Market Share"}</definedName>
    <definedName name="wrn.Short._.Report." hidden="1">{"short1",#N/A,FALSE,"masmode";"short2",#N/A,FALSE,"masmode";"qtrres",#N/A,FALSE,"QTR. RES.";"sales",#N/A,FALSE,"Sales &amp; Market Share"}</definedName>
    <definedName name="wrn.Variance._.3." localSheetId="8" hidden="1">{"Variance Q3",#N/A,FALSE,"Var"}</definedName>
    <definedName name="wrn.Variance._.3." localSheetId="9" hidden="1">{"Variance Q3",#N/A,FALSE,"Var"}</definedName>
    <definedName name="wrn.Variance._.3." localSheetId="4" hidden="1">{"Variance Q3",#N/A,FALSE,"Var"}</definedName>
    <definedName name="wrn.Variance._.3." hidden="1">{"Variance Q3",#N/A,FALSE,"Var"}</definedName>
    <definedName name="wrn.Variance._.Q1." localSheetId="8" hidden="1">{"Variance Q1",#N/A,FALSE,"Var"}</definedName>
    <definedName name="wrn.Variance._.Q1." localSheetId="9" hidden="1">{"Variance Q1",#N/A,FALSE,"Var"}</definedName>
    <definedName name="wrn.Variance._.Q1." localSheetId="4" hidden="1">{"Variance Q1",#N/A,FALSE,"Var"}</definedName>
    <definedName name="wrn.Variance._.Q1." hidden="1">{"Variance Q1",#N/A,FALSE,"Var"}</definedName>
    <definedName name="wrn.Variance._.Q2." localSheetId="8" hidden="1">{"Variance Q2",#N/A,FALSE,"Var"}</definedName>
    <definedName name="wrn.Variance._.Q2." localSheetId="9" hidden="1">{"Variance Q2",#N/A,FALSE,"Var"}</definedName>
    <definedName name="wrn.Variance._.Q2." localSheetId="4" hidden="1">{"Variance Q2",#N/A,FALSE,"Var"}</definedName>
    <definedName name="wrn.Variance._.Q2." hidden="1">{"Variance Q2",#N/A,FALSE,"Var"}</definedName>
    <definedName name="wrn.Variance._.Q3." localSheetId="8" hidden="1">{"Variance Q3",#N/A,FALSE,"Var"}</definedName>
    <definedName name="wrn.Variance._.Q3." localSheetId="9" hidden="1">{"Variance Q3",#N/A,FALSE,"Var"}</definedName>
    <definedName name="wrn.Variance._.Q3." localSheetId="4" hidden="1">{"Variance Q3",#N/A,FALSE,"Var"}</definedName>
    <definedName name="wrn.Variance._.Q3." hidden="1">{"Variance Q3",#N/A,FALSE,"Var"}</definedName>
    <definedName name="wrn.Variance._.Q4" localSheetId="8" hidden="1">{"Variance Q4",#N/A,FALSE,"Var"}</definedName>
    <definedName name="wrn.Variance._.Q4" localSheetId="9" hidden="1">{"Variance Q4",#N/A,FALSE,"Var"}</definedName>
    <definedName name="wrn.Variance._.Q4" localSheetId="4" hidden="1">{"Variance Q4",#N/A,FALSE,"Var"}</definedName>
    <definedName name="wrn.Variance._.Q4" hidden="1">{"Variance Q4",#N/A,FALSE,"Var"}</definedName>
    <definedName name="wrn.Variance._.Q4." localSheetId="8" hidden="1">{"Variance Q4",#N/A,FALSE,"Var"}</definedName>
    <definedName name="wrn.Variance._.Q4." localSheetId="9" hidden="1">{"Variance Q4",#N/A,FALSE,"Var"}</definedName>
    <definedName name="wrn.Variance._.Q4." localSheetId="4" hidden="1">{"Variance Q4",#N/A,FALSE,"Var"}</definedName>
    <definedName name="wrn.Variance._.Q4." hidden="1">{"Variance Q4",#N/A,FALSE,"Var"}</definedName>
    <definedName name="wrn.WLAVARIANCEANALYSIS." localSheetId="8" hidden="1">{"INCOME STATEMENT",#N/A,FALSE,"IS";"WWSALES",#N/A,FALSE,"WWSALES";"USSALES",#N/A,FALSE,"USSALES";"INTLSALES",#N/A,FALSE,"INTLSALES"}</definedName>
    <definedName name="wrn.WLAVARIANCEANALYSIS." localSheetId="9" hidden="1">{"INCOME STATEMENT",#N/A,FALSE,"IS";"WWSALES",#N/A,FALSE,"WWSALES";"USSALES",#N/A,FALSE,"USSALES";"INTLSALES",#N/A,FALSE,"INTLSALES"}</definedName>
    <definedName name="wrn.WLAVARIANCEANALYSIS." localSheetId="4" hidden="1">{"INCOME STATEMENT",#N/A,FALSE,"IS";"WWSALES",#N/A,FALSE,"WWSALES";"USSALES",#N/A,FALSE,"USSALES";"INTLSALES",#N/A,FALSE,"INTLSALES"}</definedName>
    <definedName name="wrn.WLAVARIANCEANALYSIS." hidden="1">{"INCOME STATEMENT",#N/A,FALSE,"IS";"WWSALES",#N/A,FALSE,"WWSALES";"USSALES",#N/A,FALSE,"USSALES";"INTLSALES",#N/A,FALSE,"INTLSALES"}</definedName>
  </definedNames>
  <calcPr calcId="145621"/>
</workbook>
</file>

<file path=xl/calcChain.xml><?xml version="1.0" encoding="utf-8"?>
<calcChain xmlns="http://schemas.openxmlformats.org/spreadsheetml/2006/main">
  <c r="G85" i="2" l="1"/>
  <c r="G86" i="2"/>
  <c r="N89" i="69" l="1"/>
  <c r="O98" i="69"/>
  <c r="N98" i="69"/>
  <c r="N67" i="69"/>
  <c r="E49" i="2"/>
  <c r="F49" i="2"/>
  <c r="G49" i="2"/>
  <c r="G5" i="2" l="1"/>
  <c r="G9" i="2"/>
  <c r="K39" i="3"/>
  <c r="K35" i="3"/>
  <c r="K28" i="3"/>
  <c r="K18" i="3"/>
  <c r="K11" i="3"/>
  <c r="G31" i="2"/>
  <c r="G18" i="2"/>
  <c r="G13" i="2"/>
  <c r="BY156" i="1" l="1"/>
  <c r="K55" i="3"/>
  <c r="K57" i="3"/>
  <c r="K66" i="3"/>
  <c r="K60" i="3"/>
  <c r="K58" i="3"/>
  <c r="G81" i="2"/>
  <c r="F77" i="2"/>
  <c r="F78" i="2" s="1"/>
  <c r="F76" i="2"/>
  <c r="F75" i="2"/>
  <c r="E77" i="2"/>
  <c r="E78" i="2" s="1"/>
  <c r="E76" i="2"/>
  <c r="E75" i="2"/>
  <c r="F74" i="2"/>
  <c r="F73" i="2"/>
  <c r="E73" i="2"/>
  <c r="E74" i="2" s="1"/>
  <c r="F71" i="2"/>
  <c r="F72" i="2" s="1"/>
  <c r="E71" i="2"/>
  <c r="E72" i="2" s="1"/>
  <c r="F70" i="2"/>
  <c r="F69" i="2"/>
  <c r="E69" i="2"/>
  <c r="E70" i="2" s="1"/>
  <c r="F67" i="2"/>
  <c r="F68" i="2" s="1"/>
  <c r="E67" i="2"/>
  <c r="E68" i="2" s="1"/>
  <c r="F65" i="2"/>
  <c r="F66" i="2" s="1"/>
  <c r="E65" i="2"/>
  <c r="E66" i="2" s="1"/>
  <c r="F64" i="2"/>
  <c r="E64" i="2"/>
  <c r="F63" i="2"/>
  <c r="E63" i="2"/>
  <c r="AA136" i="1" l="1"/>
  <c r="AA126" i="1" s="1"/>
  <c r="AA135" i="1"/>
  <c r="CS136" i="1"/>
  <c r="CS135" i="1"/>
  <c r="CN136" i="1"/>
  <c r="CN135" i="1"/>
  <c r="CI136" i="1"/>
  <c r="CI135" i="1"/>
  <c r="CD136" i="1"/>
  <c r="CD135" i="1"/>
  <c r="BY136" i="1"/>
  <c r="BY135" i="1"/>
  <c r="BT136" i="1"/>
  <c r="BT135" i="1"/>
  <c r="BO136" i="1"/>
  <c r="BO135" i="1"/>
  <c r="BJ136" i="1"/>
  <c r="BJ135" i="1"/>
  <c r="BE136" i="1"/>
  <c r="BE135" i="1"/>
  <c r="AZ136" i="1"/>
  <c r="AZ135" i="1"/>
  <c r="AU136" i="1"/>
  <c r="AU135" i="1"/>
  <c r="AP136" i="1"/>
  <c r="AP135" i="1"/>
  <c r="AK136" i="1"/>
  <c r="AK135" i="1"/>
  <c r="AA125" i="1"/>
  <c r="AE42" i="1" l="1"/>
  <c r="AE35" i="1"/>
  <c r="AE142" i="1" l="1"/>
  <c r="AE141" i="1"/>
  <c r="BJ27" i="5" l="1"/>
  <c r="BJ5" i="5"/>
  <c r="BI6" i="5"/>
  <c r="BI7" i="5"/>
  <c r="AE52" i="1"/>
  <c r="AE81" i="1" l="1"/>
  <c r="AF119" i="1"/>
  <c r="AF118" i="1"/>
  <c r="AF113" i="1"/>
  <c r="AF109" i="1"/>
  <c r="AF110" i="1" s="1"/>
  <c r="AF108" i="1"/>
  <c r="AF104" i="1"/>
  <c r="AF102" i="1"/>
  <c r="AF101" i="1"/>
  <c r="AF97" i="1"/>
  <c r="AF96" i="1"/>
  <c r="AF93" i="1"/>
  <c r="AF91" i="1"/>
  <c r="AF89" i="1"/>
  <c r="AF84" i="1"/>
  <c r="AF76" i="1"/>
  <c r="AF75" i="1"/>
  <c r="AF74" i="1"/>
  <c r="AF73" i="1"/>
  <c r="AF70" i="1"/>
  <c r="AF142" i="1" s="1"/>
  <c r="AF68" i="1"/>
  <c r="AF65" i="1"/>
  <c r="AF141" i="1" s="1"/>
  <c r="AF63" i="1"/>
  <c r="AF60" i="1"/>
  <c r="AE60" i="1"/>
  <c r="AE73" i="1"/>
  <c r="AE68" i="1"/>
  <c r="AE140" i="1"/>
  <c r="AE64" i="1"/>
  <c r="AE136" i="1"/>
  <c r="AE86" i="1"/>
  <c r="BI29" i="5" s="1"/>
  <c r="BI28" i="5" s="1"/>
  <c r="AE27" i="1" l="1"/>
  <c r="AP175" i="1" l="1"/>
  <c r="AU175" i="1" s="1"/>
  <c r="AZ175" i="1" s="1"/>
  <c r="BE175" i="1" s="1"/>
  <c r="BJ175" i="1" s="1"/>
  <c r="BO175" i="1" s="1"/>
  <c r="BT175" i="1" s="1"/>
  <c r="BY175" i="1" s="1"/>
  <c r="CD175" i="1" s="1"/>
  <c r="CI175" i="1" s="1"/>
  <c r="CN175" i="1" s="1"/>
  <c r="CS175" i="1" s="1"/>
  <c r="BN35" i="5"/>
  <c r="AI109" i="1" l="1"/>
  <c r="AH109" i="1"/>
  <c r="AG109" i="1"/>
  <c r="AH91" i="1"/>
  <c r="AH17" i="1" s="1"/>
  <c r="AI91" i="1"/>
  <c r="AJ91" i="1"/>
  <c r="AJ17" i="1" s="1"/>
  <c r="AG91" i="1"/>
  <c r="AH88" i="1"/>
  <c r="AI88" i="1"/>
  <c r="AJ88" i="1"/>
  <c r="AG88" i="1"/>
  <c r="AG11" i="1" s="1"/>
  <c r="AH86" i="1"/>
  <c r="AH7" i="1" s="1"/>
  <c r="AG86" i="1"/>
  <c r="AH85" i="1"/>
  <c r="AI85" i="1"/>
  <c r="AJ85" i="1"/>
  <c r="AG85" i="1"/>
  <c r="AH84" i="1"/>
  <c r="AI84" i="1"/>
  <c r="AI3" i="1" s="1"/>
  <c r="AG84" i="1"/>
  <c r="AG3" i="1" s="1"/>
  <c r="AI35" i="1"/>
  <c r="AH35" i="1"/>
  <c r="AG35" i="1"/>
  <c r="AI17" i="1"/>
  <c r="AG17" i="1"/>
  <c r="AH11" i="1"/>
  <c r="AI11" i="1"/>
  <c r="AJ11" i="1"/>
  <c r="AG7" i="1"/>
  <c r="AH3" i="1"/>
  <c r="AC3" i="1"/>
  <c r="BN50" i="5"/>
  <c r="AJ93" i="1" s="1"/>
  <c r="AJ18" i="1" s="1"/>
  <c r="BM50" i="5"/>
  <c r="AI93" i="1" s="1"/>
  <c r="AI18" i="1" s="1"/>
  <c r="BL50" i="5"/>
  <c r="AH93" i="1" s="1"/>
  <c r="BK50" i="5"/>
  <c r="AG93" i="1" s="1"/>
  <c r="AG18" i="1" s="1"/>
  <c r="BL36" i="5"/>
  <c r="AH87" i="1" s="1"/>
  <c r="BM36" i="5"/>
  <c r="AI87" i="1" s="1"/>
  <c r="BK36" i="5"/>
  <c r="BK49" i="5" s="1"/>
  <c r="BM31" i="5"/>
  <c r="BL31" i="5"/>
  <c r="BL29" i="5"/>
  <c r="BM29" i="5"/>
  <c r="AI86" i="1" s="1"/>
  <c r="AI7" i="1" s="1"/>
  <c r="BK29" i="5"/>
  <c r="BM9" i="5"/>
  <c r="BL9" i="5"/>
  <c r="BM7" i="5"/>
  <c r="BL7" i="5"/>
  <c r="BK7" i="5"/>
  <c r="AJ109" i="1" l="1"/>
  <c r="AG87" i="1"/>
  <c r="AG9" i="1" s="1"/>
  <c r="BK52" i="5"/>
  <c r="BM49" i="5"/>
  <c r="BM52" i="5" s="1"/>
  <c r="BL49" i="5"/>
  <c r="BL52" i="5" s="1"/>
  <c r="AI9" i="1"/>
  <c r="AI83" i="1"/>
  <c r="AH9" i="1"/>
  <c r="AH83" i="1"/>
  <c r="AH15" i="1" s="1"/>
  <c r="AH19" i="1" s="1"/>
  <c r="AH18" i="1"/>
  <c r="AG83" i="1" l="1"/>
  <c r="AG15" i="1" s="1"/>
  <c r="AG19" i="1" s="1"/>
  <c r="AH81" i="1"/>
  <c r="AI81" i="1"/>
  <c r="AI15" i="1"/>
  <c r="AI19" i="1" s="1"/>
  <c r="DH2" i="1"/>
  <c r="AH20" i="1"/>
  <c r="AU20" i="1"/>
  <c r="AJ20" i="1"/>
  <c r="AJ49" i="1"/>
  <c r="AG49" i="1"/>
  <c r="AP49" i="1"/>
  <c r="AI49" i="1"/>
  <c r="AH49" i="1"/>
  <c r="AU49" i="1"/>
  <c r="AK49" i="1"/>
  <c r="AI20" i="1"/>
  <c r="AP20" i="1"/>
  <c r="AG81" i="1" l="1"/>
  <c r="AF57" i="1"/>
  <c r="AD73" i="1"/>
  <c r="AD68" i="1"/>
  <c r="AK20" i="1"/>
  <c r="AG20" i="1"/>
  <c r="BH7" i="5" l="1"/>
  <c r="BM10" i="5" s="1"/>
  <c r="AD141" i="1" l="1"/>
  <c r="AD142" i="1"/>
  <c r="AC142" i="1"/>
  <c r="AB142" i="1"/>
  <c r="AC141" i="1"/>
  <c r="AB141" i="1"/>
  <c r="AD42" i="1"/>
  <c r="AD81" i="1" l="1"/>
  <c r="AD86" i="1" l="1"/>
  <c r="AD3" i="1"/>
  <c r="BH29" i="5" l="1"/>
  <c r="AD74" i="1"/>
  <c r="AD104" i="1"/>
  <c r="AD35" i="1" s="1"/>
  <c r="AD60" i="1"/>
  <c r="AD17" i="1" s="1"/>
  <c r="AD136" i="1"/>
  <c r="AD52" i="1"/>
  <c r="AD7" i="1"/>
  <c r="BH28" i="5" l="1"/>
  <c r="BM32" i="5"/>
  <c r="AB86" i="1" l="1"/>
  <c r="AB83" i="1" s="1"/>
  <c r="BG7" i="5"/>
  <c r="BG6" i="5" l="1"/>
  <c r="BL10" i="5"/>
  <c r="AC52" i="1"/>
  <c r="AC35" i="1"/>
  <c r="AC42" i="1"/>
  <c r="AC73" i="1"/>
  <c r="X25" i="1"/>
  <c r="Y25" i="1"/>
  <c r="AC68" i="1"/>
  <c r="AC86" i="1"/>
  <c r="BG29" i="5" l="1"/>
  <c r="BG49" i="5" s="1"/>
  <c r="AF86" i="1"/>
  <c r="BL32" i="5" l="1"/>
  <c r="BG28" i="5"/>
  <c r="AC18" i="1"/>
  <c r="BG50" i="5" s="1"/>
  <c r="BG52" i="5" s="1"/>
  <c r="BL53" i="5" s="1"/>
  <c r="AC17" i="1"/>
  <c r="AL25" i="1" l="1"/>
  <c r="AM25" i="1"/>
  <c r="AN25" i="1"/>
  <c r="AO25" i="1"/>
  <c r="AQ25" i="1"/>
  <c r="AR25" i="1"/>
  <c r="AS25" i="1"/>
  <c r="AT25" i="1"/>
  <c r="AV25" i="1"/>
  <c r="AW25" i="1"/>
  <c r="AX25" i="1"/>
  <c r="AY25" i="1"/>
  <c r="BA25" i="1"/>
  <c r="BB25" i="1"/>
  <c r="BC25" i="1"/>
  <c r="BD25" i="1"/>
  <c r="BF25" i="1"/>
  <c r="BG25" i="1"/>
  <c r="BH25" i="1"/>
  <c r="BI25" i="1"/>
  <c r="BK25" i="1"/>
  <c r="BL25" i="1"/>
  <c r="BM25" i="1"/>
  <c r="BN25" i="1"/>
  <c r="BP25" i="1"/>
  <c r="BQ25" i="1"/>
  <c r="BR25" i="1"/>
  <c r="BS25" i="1"/>
  <c r="BU25" i="1"/>
  <c r="BV25" i="1"/>
  <c r="BW25" i="1"/>
  <c r="BX25" i="1"/>
  <c r="BZ25" i="1"/>
  <c r="CA25" i="1"/>
  <c r="CB25" i="1"/>
  <c r="CC25" i="1"/>
  <c r="CE25" i="1"/>
  <c r="CF25" i="1"/>
  <c r="CG25" i="1"/>
  <c r="CH25" i="1"/>
  <c r="CJ25" i="1"/>
  <c r="CK25" i="1"/>
  <c r="CL25" i="1"/>
  <c r="CM25" i="1"/>
  <c r="CO25" i="1"/>
  <c r="CP25" i="1"/>
  <c r="CQ25" i="1"/>
  <c r="CR25" i="1"/>
  <c r="H361" i="69"/>
  <c r="I361" i="69" s="1"/>
  <c r="J361" i="69" s="1"/>
  <c r="K361" i="69" s="1"/>
  <c r="L361" i="69" s="1"/>
  <c r="M361" i="69" s="1"/>
  <c r="N361" i="69" s="1"/>
  <c r="O361" i="69" s="1"/>
  <c r="P361" i="69" s="1"/>
  <c r="Q361" i="69" s="1"/>
  <c r="R361" i="69" s="1"/>
  <c r="S361" i="69" s="1"/>
  <c r="T361" i="69" s="1"/>
  <c r="U361" i="69" s="1"/>
  <c r="V361" i="69" s="1"/>
  <c r="W361" i="69" s="1"/>
  <c r="X361" i="69" s="1"/>
  <c r="Y361" i="69" s="1"/>
  <c r="BA165" i="1"/>
  <c r="BF165" i="1" s="1"/>
  <c r="BK165" i="1" s="1"/>
  <c r="BP165" i="1" s="1"/>
  <c r="BU165" i="1" s="1"/>
  <c r="CJ165" i="1" s="1"/>
  <c r="CO165" i="1" s="1"/>
  <c r="BB165" i="1"/>
  <c r="BG165" i="1" s="1"/>
  <c r="BL165" i="1" s="1"/>
  <c r="BQ165" i="1" s="1"/>
  <c r="BV165" i="1" s="1"/>
  <c r="CK165" i="1" s="1"/>
  <c r="CP165" i="1" s="1"/>
  <c r="BC165" i="1"/>
  <c r="BH165" i="1" s="1"/>
  <c r="BM165" i="1" s="1"/>
  <c r="BR165" i="1" s="1"/>
  <c r="BW165" i="1" s="1"/>
  <c r="CL165" i="1" s="1"/>
  <c r="CQ165" i="1" s="1"/>
  <c r="BD165" i="1"/>
  <c r="BI165" i="1" s="1"/>
  <c r="BN165" i="1" s="1"/>
  <c r="BS165" i="1" s="1"/>
  <c r="BX165" i="1" s="1"/>
  <c r="CM165" i="1" s="1"/>
  <c r="CR165" i="1" s="1"/>
  <c r="BT165" i="1"/>
  <c r="CS165" i="1" s="1"/>
  <c r="AZ165" i="1"/>
  <c r="BE165" i="1" s="1"/>
  <c r="BJ165" i="1" s="1"/>
  <c r="R194" i="69"/>
  <c r="U194" i="69"/>
  <c r="V194" i="69"/>
  <c r="V189" i="69"/>
  <c r="W194" i="69" s="1"/>
  <c r="W189" i="69" l="1"/>
  <c r="J61" i="3"/>
  <c r="L61" i="3" s="1"/>
  <c r="M61" i="3" s="1"/>
  <c r="N61" i="3" s="1"/>
  <c r="O61" i="3" s="1"/>
  <c r="P61" i="3" s="1"/>
  <c r="Q61" i="3" s="1"/>
  <c r="R61" i="3" s="1"/>
  <c r="S61" i="3" s="1"/>
  <c r="T61" i="3" s="1"/>
  <c r="U61" i="3" s="1"/>
  <c r="V61" i="3" s="1"/>
  <c r="W61" i="3" s="1"/>
  <c r="X61" i="3" s="1"/>
  <c r="J56" i="3"/>
  <c r="L56" i="3" s="1"/>
  <c r="M56" i="3" s="1"/>
  <c r="N56" i="3" s="1"/>
  <c r="O56" i="3" s="1"/>
  <c r="P56" i="3" s="1"/>
  <c r="Q56" i="3" s="1"/>
  <c r="R56" i="3" s="1"/>
  <c r="S56" i="3" s="1"/>
  <c r="T56" i="3" s="1"/>
  <c r="U56" i="3" s="1"/>
  <c r="V56" i="3" s="1"/>
  <c r="W56" i="3" s="1"/>
  <c r="X56" i="3" s="1"/>
  <c r="X194" i="69" l="1"/>
  <c r="X189" i="69"/>
  <c r="AF156" i="1"/>
  <c r="AP156" i="1"/>
  <c r="Y194" i="69" l="1"/>
  <c r="Y189" i="69"/>
  <c r="CS164" i="1"/>
  <c r="CN164" i="1"/>
  <c r="BY164" i="1"/>
  <c r="BT164" i="1"/>
  <c r="BO164" i="1"/>
  <c r="BJ164" i="1"/>
  <c r="BE164" i="1"/>
  <c r="AZ164" i="1"/>
  <c r="AU164" i="1"/>
  <c r="AP164" i="1"/>
  <c r="AF164" i="1"/>
  <c r="BE156" i="1"/>
  <c r="AZ156" i="1"/>
  <c r="AU156" i="1"/>
  <c r="BJ17" i="5" l="1"/>
  <c r="F16" i="5"/>
  <c r="E16" i="5"/>
  <c r="D16" i="5"/>
  <c r="K338" i="69"/>
  <c r="J338" i="69"/>
  <c r="I338" i="69"/>
  <c r="H338" i="69"/>
  <c r="G338" i="69"/>
  <c r="O337" i="69"/>
  <c r="P343" i="69" s="1"/>
  <c r="N337" i="69"/>
  <c r="O343" i="69" s="1"/>
  <c r="M337" i="69"/>
  <c r="N343" i="69" s="1"/>
  <c r="L337" i="69"/>
  <c r="M343" i="69" s="1"/>
  <c r="K337" i="69"/>
  <c r="L343" i="69" s="1"/>
  <c r="J337" i="69"/>
  <c r="I337" i="69"/>
  <c r="H337" i="69"/>
  <c r="G337" i="69"/>
  <c r="L336" i="69"/>
  <c r="M342" i="69" s="1"/>
  <c r="K336" i="69"/>
  <c r="L342" i="69" s="1"/>
  <c r="J336" i="69"/>
  <c r="I336" i="69"/>
  <c r="H336" i="69"/>
  <c r="G336" i="69"/>
  <c r="K335" i="69"/>
  <c r="L341" i="69" s="1"/>
  <c r="J335" i="69"/>
  <c r="I335" i="69"/>
  <c r="H335" i="69"/>
  <c r="G335" i="69"/>
  <c r="K334" i="69"/>
  <c r="L340" i="69" s="1"/>
  <c r="J334" i="69"/>
  <c r="I334" i="69"/>
  <c r="H334" i="69"/>
  <c r="G334" i="69"/>
  <c r="K333" i="69"/>
  <c r="L339" i="69" s="1"/>
  <c r="J333" i="69"/>
  <c r="I333" i="69"/>
  <c r="H333" i="69"/>
  <c r="G333" i="69"/>
  <c r="N331" i="69"/>
  <c r="N350" i="69" s="1"/>
  <c r="N355" i="69" s="1"/>
  <c r="M331" i="69"/>
  <c r="M350" i="69" s="1"/>
  <c r="M355" i="69" s="1"/>
  <c r="L331" i="69"/>
  <c r="K331" i="69"/>
  <c r="K350" i="69" s="1"/>
  <c r="K355" i="69" s="1"/>
  <c r="J331" i="69"/>
  <c r="J350" i="69" s="1"/>
  <c r="J355" i="69" s="1"/>
  <c r="I331" i="69"/>
  <c r="I350" i="69" s="1"/>
  <c r="I355" i="69" s="1"/>
  <c r="H331" i="69"/>
  <c r="G331" i="69"/>
  <c r="G350" i="69" s="1"/>
  <c r="G355" i="69" s="1"/>
  <c r="L330" i="69"/>
  <c r="L349" i="69" s="1"/>
  <c r="L354" i="69" s="1"/>
  <c r="K330" i="69"/>
  <c r="K349" i="69" s="1"/>
  <c r="K354" i="69" s="1"/>
  <c r="J330" i="69"/>
  <c r="I330" i="69"/>
  <c r="I349" i="69" s="1"/>
  <c r="I354" i="69" s="1"/>
  <c r="H330" i="69"/>
  <c r="H349" i="69" s="1"/>
  <c r="H354" i="69" s="1"/>
  <c r="G330" i="69"/>
  <c r="G349" i="69" s="1"/>
  <c r="G354" i="69" s="1"/>
  <c r="K329" i="69"/>
  <c r="J329" i="69"/>
  <c r="J348" i="69" s="1"/>
  <c r="J353" i="69" s="1"/>
  <c r="I329" i="69"/>
  <c r="I348" i="69" s="1"/>
  <c r="I353" i="69" s="1"/>
  <c r="H329" i="69"/>
  <c r="H348" i="69" s="1"/>
  <c r="H353" i="69" s="1"/>
  <c r="G329" i="69"/>
  <c r="S328" i="69"/>
  <c r="R328" i="69"/>
  <c r="CN12" i="5" s="1"/>
  <c r="Q328" i="69"/>
  <c r="CI12" i="5" s="1"/>
  <c r="P328" i="69"/>
  <c r="CD12" i="5" s="1"/>
  <c r="O328" i="69"/>
  <c r="N328" i="69"/>
  <c r="BT12" i="5" s="1"/>
  <c r="M328" i="69"/>
  <c r="BO12" i="5" s="1"/>
  <c r="L328" i="69"/>
  <c r="BJ12" i="5" s="1"/>
  <c r="K328" i="69"/>
  <c r="J328" i="69"/>
  <c r="J347" i="69" s="1"/>
  <c r="I328" i="69"/>
  <c r="I347" i="69" s="1"/>
  <c r="H328" i="69"/>
  <c r="G328" i="69"/>
  <c r="K327" i="69"/>
  <c r="K346" i="69" s="1"/>
  <c r="K352" i="69" s="1"/>
  <c r="J327" i="69"/>
  <c r="I327" i="69"/>
  <c r="H327" i="69"/>
  <c r="H346" i="69" s="1"/>
  <c r="H352" i="69" s="1"/>
  <c r="G327" i="69"/>
  <c r="G346" i="69" s="1"/>
  <c r="G352" i="69" s="1"/>
  <c r="H325" i="69"/>
  <c r="I325" i="69" s="1"/>
  <c r="J325" i="69" s="1"/>
  <c r="K325" i="69" s="1"/>
  <c r="L325" i="69" s="1"/>
  <c r="M325" i="69" s="1"/>
  <c r="N325" i="69" s="1"/>
  <c r="O325" i="69" s="1"/>
  <c r="P325" i="69" s="1"/>
  <c r="Q325" i="69" s="1"/>
  <c r="R325" i="69" s="1"/>
  <c r="S325" i="69" s="1"/>
  <c r="T325" i="69" s="1"/>
  <c r="U325" i="69" s="1"/>
  <c r="V325" i="69" s="1"/>
  <c r="W325" i="69" s="1"/>
  <c r="X325" i="69" s="1"/>
  <c r="Y325" i="69" s="1"/>
  <c r="H323" i="69"/>
  <c r="I323" i="69"/>
  <c r="J323" i="69"/>
  <c r="K323" i="69"/>
  <c r="G323" i="69"/>
  <c r="M300" i="69"/>
  <c r="S287" i="69"/>
  <c r="S334" i="69" s="1"/>
  <c r="R287" i="69"/>
  <c r="R334" i="69" s="1"/>
  <c r="Q287" i="69"/>
  <c r="Q334" i="69" s="1"/>
  <c r="P287" i="69"/>
  <c r="P334" i="69" s="1"/>
  <c r="O287" i="69"/>
  <c r="O334" i="69" s="1"/>
  <c r="N287" i="69"/>
  <c r="N334" i="69" s="1"/>
  <c r="M287" i="69"/>
  <c r="M334" i="69" s="1"/>
  <c r="L287" i="69"/>
  <c r="L334" i="69" s="1"/>
  <c r="Y282" i="69"/>
  <c r="X282" i="69"/>
  <c r="W282" i="69"/>
  <c r="V282" i="69"/>
  <c r="U282" i="69"/>
  <c r="T282" i="69"/>
  <c r="Q275" i="69"/>
  <c r="R275" i="69" s="1"/>
  <c r="S275" i="69" s="1"/>
  <c r="T275" i="69" s="1"/>
  <c r="U275" i="69" s="1"/>
  <c r="I274" i="69"/>
  <c r="J274" i="69" s="1"/>
  <c r="H270" i="69"/>
  <c r="Y221" i="69"/>
  <c r="X221" i="69"/>
  <c r="W221" i="69"/>
  <c r="V221" i="69"/>
  <c r="U221" i="69"/>
  <c r="T221" i="69"/>
  <c r="S221" i="69"/>
  <c r="R221" i="69"/>
  <c r="Q221" i="69"/>
  <c r="P221" i="69"/>
  <c r="O221" i="69"/>
  <c r="N221" i="69"/>
  <c r="M221" i="69"/>
  <c r="L221" i="69"/>
  <c r="K221" i="69"/>
  <c r="J221" i="69"/>
  <c r="I221" i="69"/>
  <c r="H221" i="69"/>
  <c r="G221" i="69"/>
  <c r="G210" i="69"/>
  <c r="X206" i="69"/>
  <c r="Y206" i="69" s="1"/>
  <c r="P206" i="69"/>
  <c r="Q206" i="69" s="1"/>
  <c r="R206" i="69" s="1"/>
  <c r="S206" i="69" s="1"/>
  <c r="T206" i="69" s="1"/>
  <c r="U206" i="69" s="1"/>
  <c r="V206" i="69" s="1"/>
  <c r="V205" i="69"/>
  <c r="W205" i="69" s="1"/>
  <c r="X205" i="69" s="1"/>
  <c r="Y205" i="69" s="1"/>
  <c r="K205" i="69"/>
  <c r="L205" i="69" s="1"/>
  <c r="M205" i="69" s="1"/>
  <c r="N205" i="69" s="1"/>
  <c r="O205" i="69" s="1"/>
  <c r="P205" i="69" s="1"/>
  <c r="Q205" i="69" s="1"/>
  <c r="R205" i="69" s="1"/>
  <c r="S205" i="69" s="1"/>
  <c r="T205" i="69" s="1"/>
  <c r="U204" i="69"/>
  <c r="V204" i="69" s="1"/>
  <c r="W204" i="69" s="1"/>
  <c r="X204" i="69" s="1"/>
  <c r="Y204" i="69" s="1"/>
  <c r="K204" i="69"/>
  <c r="L204" i="69" s="1"/>
  <c r="M204" i="69" s="1"/>
  <c r="N204" i="69" s="1"/>
  <c r="O204" i="69" s="1"/>
  <c r="P204" i="69" s="1"/>
  <c r="Q204" i="69" s="1"/>
  <c r="R204" i="69" s="1"/>
  <c r="S204" i="69" s="1"/>
  <c r="U203" i="69"/>
  <c r="V203" i="69" s="1"/>
  <c r="W203" i="69" s="1"/>
  <c r="X203" i="69" s="1"/>
  <c r="Y203" i="69" s="1"/>
  <c r="J203" i="69"/>
  <c r="K203" i="69" s="1"/>
  <c r="L203" i="69" s="1"/>
  <c r="M203" i="69" s="1"/>
  <c r="N203" i="69" s="1"/>
  <c r="O203" i="69" s="1"/>
  <c r="P203" i="69" s="1"/>
  <c r="Q203" i="69" s="1"/>
  <c r="R203" i="69" s="1"/>
  <c r="S203" i="69" s="1"/>
  <c r="U202" i="69"/>
  <c r="H202" i="69"/>
  <c r="H210" i="69" s="1"/>
  <c r="H162" i="69"/>
  <c r="I162" i="69"/>
  <c r="J162" i="69"/>
  <c r="K162" i="69"/>
  <c r="G162" i="69"/>
  <c r="I114" i="69"/>
  <c r="J114" i="69" s="1"/>
  <c r="K114" i="69" s="1"/>
  <c r="L114" i="69" s="1"/>
  <c r="M114" i="69" s="1"/>
  <c r="N114" i="69" s="1"/>
  <c r="O114" i="69" s="1"/>
  <c r="P114" i="69" s="1"/>
  <c r="Q114" i="69" s="1"/>
  <c r="R114" i="69" s="1"/>
  <c r="S114" i="69" s="1"/>
  <c r="T114" i="69" s="1"/>
  <c r="U114" i="69" s="1"/>
  <c r="V114" i="69" s="1"/>
  <c r="W114" i="69" s="1"/>
  <c r="X114" i="69" s="1"/>
  <c r="Y114" i="69" s="1"/>
  <c r="J113" i="69"/>
  <c r="K113" i="69" s="1"/>
  <c r="L113" i="69" s="1"/>
  <c r="M113" i="69" s="1"/>
  <c r="N113" i="69" s="1"/>
  <c r="O113" i="69" s="1"/>
  <c r="P113" i="69" s="1"/>
  <c r="Q113" i="69" s="1"/>
  <c r="R113" i="69" s="1"/>
  <c r="S113" i="69" s="1"/>
  <c r="T113" i="69" s="1"/>
  <c r="U113" i="69" s="1"/>
  <c r="V113" i="69" s="1"/>
  <c r="W113" i="69" s="1"/>
  <c r="X113" i="69" s="1"/>
  <c r="Y113" i="69" s="1"/>
  <c r="H112" i="69"/>
  <c r="H115" i="69" s="1"/>
  <c r="H108" i="69" s="1"/>
  <c r="G112" i="69"/>
  <c r="G115" i="69" s="1"/>
  <c r="G108" i="69" s="1"/>
  <c r="Q110" i="69"/>
  <c r="R110" i="69" s="1"/>
  <c r="S110" i="69" s="1"/>
  <c r="T110" i="69" s="1"/>
  <c r="H347" i="69" l="1"/>
  <c r="G348" i="69"/>
  <c r="G353" i="69" s="1"/>
  <c r="K348" i="69"/>
  <c r="K353" i="69" s="1"/>
  <c r="J349" i="69"/>
  <c r="J354" i="69" s="1"/>
  <c r="H350" i="69"/>
  <c r="H355" i="69" s="1"/>
  <c r="L350" i="69"/>
  <c r="L355" i="69" s="1"/>
  <c r="G274" i="69"/>
  <c r="G270" i="69" s="1"/>
  <c r="J332" i="69"/>
  <c r="S340" i="69"/>
  <c r="CS13" i="5" s="1"/>
  <c r="P340" i="69"/>
  <c r="CD13" i="5" s="1"/>
  <c r="CD14" i="5" s="1"/>
  <c r="T340" i="69"/>
  <c r="M340" i="69"/>
  <c r="BO13" i="5" s="1"/>
  <c r="BO14" i="5" s="1"/>
  <c r="BJ13" i="5"/>
  <c r="BJ14" i="5" s="1"/>
  <c r="Q340" i="69"/>
  <c r="Q347" i="69" s="1"/>
  <c r="N340" i="69"/>
  <c r="BT13" i="5" s="1"/>
  <c r="BT14" i="5" s="1"/>
  <c r="R340" i="69"/>
  <c r="CN13" i="5" s="1"/>
  <c r="CN14" i="5" s="1"/>
  <c r="L347" i="69"/>
  <c r="O340" i="69"/>
  <c r="BY13" i="5" s="1"/>
  <c r="H326" i="69"/>
  <c r="J326" i="69"/>
  <c r="J344" i="69" s="1"/>
  <c r="H332" i="69"/>
  <c r="J346" i="69"/>
  <c r="J352" i="69" s="1"/>
  <c r="BY12" i="5"/>
  <c r="CS12" i="5"/>
  <c r="G326" i="69"/>
  <c r="K326" i="69"/>
  <c r="I332" i="69"/>
  <c r="G347" i="69"/>
  <c r="K347" i="69"/>
  <c r="I326" i="69"/>
  <c r="G332" i="69"/>
  <c r="I346" i="69"/>
  <c r="I352" i="69" s="1"/>
  <c r="L338" i="69"/>
  <c r="K332" i="69"/>
  <c r="K344" i="69" s="1"/>
  <c r="U210" i="69"/>
  <c r="U285" i="69"/>
  <c r="V275" i="69"/>
  <c r="K274" i="69"/>
  <c r="T210" i="69"/>
  <c r="I202" i="69"/>
  <c r="V202" i="69"/>
  <c r="H113" i="69"/>
  <c r="U110" i="69"/>
  <c r="T122" i="69"/>
  <c r="I112" i="69"/>
  <c r="I344" i="69" l="1"/>
  <c r="H344" i="69"/>
  <c r="M347" i="69"/>
  <c r="N347" i="69"/>
  <c r="R347" i="69"/>
  <c r="G344" i="69"/>
  <c r="BO17" i="5"/>
  <c r="CI17" i="5"/>
  <c r="AZ5" i="1"/>
  <c r="AZ85" i="1" s="1"/>
  <c r="S347" i="69"/>
  <c r="BY14" i="5"/>
  <c r="O347" i="69"/>
  <c r="CS14" i="5"/>
  <c r="CI13" i="5"/>
  <c r="CI14" i="5" s="1"/>
  <c r="CN17" i="5" s="1"/>
  <c r="P347" i="69"/>
  <c r="AK5" i="1"/>
  <c r="AK85" i="1" s="1"/>
  <c r="BT17" i="5"/>
  <c r="BJ5" i="1"/>
  <c r="BJ85" i="1" s="1"/>
  <c r="CS17" i="5"/>
  <c r="AP5" i="1"/>
  <c r="AP85" i="1" s="1"/>
  <c r="BY17" i="5"/>
  <c r="L274" i="69"/>
  <c r="K270" i="69"/>
  <c r="V285" i="69"/>
  <c r="W275" i="69"/>
  <c r="W202" i="69"/>
  <c r="V210" i="69"/>
  <c r="J202" i="69"/>
  <c r="I210" i="69"/>
  <c r="I272" i="69" s="1"/>
  <c r="I270" i="69" s="1"/>
  <c r="U122" i="69"/>
  <c r="V110" i="69"/>
  <c r="I115" i="69"/>
  <c r="J112" i="69"/>
  <c r="BE5" i="1" l="1"/>
  <c r="BE85" i="1" s="1"/>
  <c r="BO5" i="1"/>
  <c r="BO85" i="1" s="1"/>
  <c r="CX17" i="5"/>
  <c r="AU5" i="1"/>
  <c r="AU85" i="1" s="1"/>
  <c r="CD17" i="5"/>
  <c r="W285" i="69"/>
  <c r="X275" i="69"/>
  <c r="M274" i="69"/>
  <c r="X202" i="69"/>
  <c r="W210" i="69"/>
  <c r="J210" i="69"/>
  <c r="J272" i="69" s="1"/>
  <c r="J270" i="69" s="1"/>
  <c r="K202" i="69"/>
  <c r="J115" i="69"/>
  <c r="J108" i="69" s="1"/>
  <c r="K112" i="69"/>
  <c r="W110" i="69"/>
  <c r="V122" i="69"/>
  <c r="N274" i="69" l="1"/>
  <c r="X285" i="69"/>
  <c r="Y275" i="69"/>
  <c r="Y285" i="69" s="1"/>
  <c r="X210" i="69"/>
  <c r="Y202" i="69"/>
  <c r="Y210" i="69" s="1"/>
  <c r="K210" i="69"/>
  <c r="L202" i="69"/>
  <c r="W122" i="69"/>
  <c r="X110" i="69"/>
  <c r="K115" i="69"/>
  <c r="K108" i="69" s="1"/>
  <c r="L112" i="69"/>
  <c r="O274" i="69" l="1"/>
  <c r="L210" i="69"/>
  <c r="M202" i="69"/>
  <c r="X122" i="69"/>
  <c r="Y110" i="69"/>
  <c r="L115" i="69"/>
  <c r="M112" i="69"/>
  <c r="P274" i="69" l="1"/>
  <c r="N202" i="69"/>
  <c r="M210" i="69"/>
  <c r="Y122" i="69"/>
  <c r="M115" i="69"/>
  <c r="N112" i="69"/>
  <c r="Q274" i="69" l="1"/>
  <c r="O202" i="69"/>
  <c r="N210" i="69"/>
  <c r="N272" i="69" s="1"/>
  <c r="N115" i="69"/>
  <c r="O112" i="69"/>
  <c r="R274" i="69" l="1"/>
  <c r="P202" i="69"/>
  <c r="O210" i="69"/>
  <c r="O115" i="69"/>
  <c r="P112" i="69"/>
  <c r="S274" i="69" l="1"/>
  <c r="P210" i="69"/>
  <c r="Q202" i="69"/>
  <c r="P115" i="69"/>
  <c r="Q112" i="69"/>
  <c r="T274" i="69" l="1"/>
  <c r="R202" i="69"/>
  <c r="Q210" i="69"/>
  <c r="Q115" i="69"/>
  <c r="R112" i="69"/>
  <c r="T284" i="69" l="1"/>
  <c r="U274" i="69"/>
  <c r="R210" i="69"/>
  <c r="S202" i="69"/>
  <c r="S210" i="69" s="1"/>
  <c r="R115" i="69"/>
  <c r="S112" i="69"/>
  <c r="U284" i="69" l="1"/>
  <c r="V274" i="69"/>
  <c r="S115" i="69"/>
  <c r="T112" i="69"/>
  <c r="V284" i="69" l="1"/>
  <c r="W274" i="69"/>
  <c r="T115" i="69"/>
  <c r="T124" i="69" s="1"/>
  <c r="U112" i="69"/>
  <c r="W284" i="69" l="1"/>
  <c r="X274" i="69"/>
  <c r="U115" i="69"/>
  <c r="U124" i="69" s="1"/>
  <c r="V112" i="69"/>
  <c r="X284" i="69" l="1"/>
  <c r="Y274" i="69"/>
  <c r="V115" i="69"/>
  <c r="V124" i="69" s="1"/>
  <c r="W112" i="69"/>
  <c r="Y284" i="69" l="1"/>
  <c r="W115" i="69"/>
  <c r="W124" i="69" s="1"/>
  <c r="X112" i="69"/>
  <c r="X115" i="69" l="1"/>
  <c r="X124" i="69" s="1"/>
  <c r="Y112" i="69"/>
  <c r="Y115" i="69" s="1"/>
  <c r="Y124" i="69" s="1"/>
  <c r="N47" i="69" l="1"/>
  <c r="O47" i="69" s="1"/>
  <c r="P47" i="69" s="1"/>
  <c r="Q47" i="69" s="1"/>
  <c r="R47" i="69" s="1"/>
  <c r="S47" i="69" s="1"/>
  <c r="T47" i="69" s="1"/>
  <c r="U47" i="69" s="1"/>
  <c r="V47" i="69" s="1"/>
  <c r="X47" i="69"/>
  <c r="Y47" i="69" s="1"/>
  <c r="P48" i="69"/>
  <c r="Q48" i="69" s="1"/>
  <c r="R48" i="69" s="1"/>
  <c r="S48" i="69" s="1"/>
  <c r="T48" i="69" s="1"/>
  <c r="U48" i="69" s="1"/>
  <c r="V48" i="69" s="1"/>
  <c r="W48" i="69" s="1"/>
  <c r="X48" i="69" s="1"/>
  <c r="BZ43" i="5" l="1"/>
  <c r="CA43" i="5"/>
  <c r="CB43" i="5"/>
  <c r="CC43" i="5"/>
  <c r="CE43" i="5"/>
  <c r="CF43" i="5"/>
  <c r="CG43" i="5"/>
  <c r="CH43" i="5"/>
  <c r="CJ43" i="5"/>
  <c r="CK43" i="5"/>
  <c r="CL43" i="5"/>
  <c r="CM43" i="5"/>
  <c r="CO43" i="5"/>
  <c r="CP43" i="5"/>
  <c r="CQ43" i="5"/>
  <c r="CR43" i="5"/>
  <c r="CT43" i="5"/>
  <c r="CU43" i="5"/>
  <c r="CV43" i="5"/>
  <c r="CW43" i="5"/>
  <c r="CY43" i="5"/>
  <c r="CZ43" i="5"/>
  <c r="DA43" i="5"/>
  <c r="DB43" i="5"/>
  <c r="DD43" i="5"/>
  <c r="DE43" i="5"/>
  <c r="DF43" i="5"/>
  <c r="DG43" i="5"/>
  <c r="DI43" i="5"/>
  <c r="DJ43" i="5"/>
  <c r="DK43" i="5"/>
  <c r="DL43" i="5"/>
  <c r="DN43" i="5"/>
  <c r="DO43" i="5"/>
  <c r="DP43" i="5"/>
  <c r="DQ43" i="5"/>
  <c r="DS43" i="5"/>
  <c r="DT43" i="5"/>
  <c r="DU43" i="5"/>
  <c r="DV43" i="5"/>
  <c r="B149" i="1"/>
  <c r="D2" i="69"/>
  <c r="AV171" i="1"/>
  <c r="BA171" i="1" s="1"/>
  <c r="BF171" i="1" s="1"/>
  <c r="BK171" i="1" s="1"/>
  <c r="BP171" i="1" s="1"/>
  <c r="BU171" i="1" s="1"/>
  <c r="BZ171" i="1" s="1"/>
  <c r="CE171" i="1" s="1"/>
  <c r="CJ171" i="1" s="1"/>
  <c r="CO171" i="1" s="1"/>
  <c r="AW171" i="1"/>
  <c r="BB171" i="1" s="1"/>
  <c r="BG171" i="1" s="1"/>
  <c r="BL171" i="1" s="1"/>
  <c r="BQ171" i="1" s="1"/>
  <c r="BV171" i="1" s="1"/>
  <c r="CA171" i="1" s="1"/>
  <c r="CF171" i="1" s="1"/>
  <c r="CK171" i="1" s="1"/>
  <c r="CP171" i="1" s="1"/>
  <c r="AX171" i="1"/>
  <c r="BC171" i="1" s="1"/>
  <c r="BH171" i="1" s="1"/>
  <c r="BM171" i="1" s="1"/>
  <c r="BR171" i="1" s="1"/>
  <c r="BW171" i="1" s="1"/>
  <c r="CB171" i="1" s="1"/>
  <c r="CG171" i="1" s="1"/>
  <c r="CL171" i="1" s="1"/>
  <c r="CQ171" i="1" s="1"/>
  <c r="AY171" i="1"/>
  <c r="BD171" i="1" s="1"/>
  <c r="BI171" i="1" s="1"/>
  <c r="BN171" i="1" s="1"/>
  <c r="BS171" i="1" s="1"/>
  <c r="BX171" i="1" s="1"/>
  <c r="CC171" i="1" s="1"/>
  <c r="CH171" i="1" s="1"/>
  <c r="CM171" i="1" s="1"/>
  <c r="CR171" i="1" s="1"/>
  <c r="M23" i="69" l="1"/>
  <c r="N23" i="69"/>
  <c r="H359" i="69"/>
  <c r="L359" i="69"/>
  <c r="P359" i="69"/>
  <c r="P265" i="69" s="1"/>
  <c r="T359" i="69"/>
  <c r="T265" i="69" s="1"/>
  <c r="X359" i="69"/>
  <c r="X265" i="69" s="1"/>
  <c r="I359" i="69"/>
  <c r="M359" i="69"/>
  <c r="Q359" i="69"/>
  <c r="Q265" i="69" s="1"/>
  <c r="U359" i="69"/>
  <c r="U265" i="69" s="1"/>
  <c r="Y359" i="69"/>
  <c r="Y265" i="69" s="1"/>
  <c r="J359" i="69"/>
  <c r="N359" i="69"/>
  <c r="R359" i="69"/>
  <c r="R265" i="69" s="1"/>
  <c r="V359" i="69"/>
  <c r="V265" i="69" s="1"/>
  <c r="G359" i="69"/>
  <c r="K359" i="69"/>
  <c r="O359" i="69"/>
  <c r="S359" i="69"/>
  <c r="S265" i="69" s="1"/>
  <c r="W359" i="69"/>
  <c r="W265" i="69" s="1"/>
  <c r="P302" i="69"/>
  <c r="Q302" i="69" s="1"/>
  <c r="R302" i="69" s="1"/>
  <c r="S302" i="69" s="1"/>
  <c r="T302" i="69" s="1"/>
  <c r="U302" i="69" s="1"/>
  <c r="V302" i="69" s="1"/>
  <c r="W302" i="69" s="1"/>
  <c r="X302" i="69" s="1"/>
  <c r="Y302" i="69" s="1"/>
  <c r="R314" i="69"/>
  <c r="S314" i="69" s="1"/>
  <c r="T314" i="69" s="1"/>
  <c r="U314" i="69" s="1"/>
  <c r="V314" i="69" s="1"/>
  <c r="W314" i="69" s="1"/>
  <c r="X314" i="69" s="1"/>
  <c r="Y314" i="69" s="1"/>
  <c r="K294" i="69"/>
  <c r="K292" i="69" s="1"/>
  <c r="U70" i="69"/>
  <c r="V70" i="69" s="1"/>
  <c r="W70" i="69" s="1"/>
  <c r="S69" i="69"/>
  <c r="T69" i="69" s="1"/>
  <c r="U69" i="69" s="1"/>
  <c r="P68" i="69"/>
  <c r="Q68" i="69" s="1"/>
  <c r="R68" i="69" s="1"/>
  <c r="S68" i="69" s="1"/>
  <c r="T255" i="69" l="1"/>
  <c r="S255" i="69"/>
  <c r="R255" i="69"/>
  <c r="Q255" i="69"/>
  <c r="P255" i="69"/>
  <c r="S239" i="69"/>
  <c r="R239" i="69"/>
  <c r="Q239" i="69"/>
  <c r="P239" i="69"/>
  <c r="U253" i="69"/>
  <c r="V253" i="69" s="1"/>
  <c r="X230" i="69"/>
  <c r="W230" i="69"/>
  <c r="V230" i="69"/>
  <c r="U230" i="69"/>
  <c r="V229" i="69"/>
  <c r="U229" i="69"/>
  <c r="T229" i="69"/>
  <c r="S229" i="69"/>
  <c r="T228" i="69"/>
  <c r="S228" i="69"/>
  <c r="R228" i="69"/>
  <c r="Q228" i="69"/>
  <c r="S227" i="69"/>
  <c r="R227" i="69"/>
  <c r="Q227" i="69"/>
  <c r="P227" i="69"/>
  <c r="S190" i="69"/>
  <c r="T190" i="69"/>
  <c r="U190" i="69"/>
  <c r="S191" i="69"/>
  <c r="T191" i="69"/>
  <c r="R191" i="69"/>
  <c r="P191" i="69"/>
  <c r="R190" i="69"/>
  <c r="R189" i="69"/>
  <c r="S194" i="69" s="1"/>
  <c r="S189" i="69" s="1"/>
  <c r="T194" i="69" s="1"/>
  <c r="P189" i="69"/>
  <c r="Q194" i="69" s="1"/>
  <c r="U255" i="69" l="1"/>
  <c r="W253" i="69"/>
  <c r="V255" i="69"/>
  <c r="O31" i="69"/>
  <c r="O30" i="69"/>
  <c r="O29" i="69"/>
  <c r="Q29" i="69"/>
  <c r="Q30" i="69"/>
  <c r="Q31" i="69"/>
  <c r="R31" i="69"/>
  <c r="X92" i="69"/>
  <c r="W92" i="69"/>
  <c r="V92" i="69"/>
  <c r="U92" i="69"/>
  <c r="U90" i="69"/>
  <c r="V90" i="69" s="1"/>
  <c r="W90" i="69" s="1"/>
  <c r="X90" i="69" s="1"/>
  <c r="Y90" i="69" s="1"/>
  <c r="W9" i="69"/>
  <c r="X9" i="69" s="1"/>
  <c r="Y9" i="69" s="1"/>
  <c r="P14" i="69"/>
  <c r="Q14" i="69"/>
  <c r="R14" i="69"/>
  <c r="S14" i="69"/>
  <c r="T14" i="69"/>
  <c r="U14" i="69"/>
  <c r="V14" i="69"/>
  <c r="W14" i="69" s="1"/>
  <c r="X14" i="69" s="1"/>
  <c r="Y14" i="69" s="1"/>
  <c r="P16" i="69"/>
  <c r="Q16" i="69"/>
  <c r="R16" i="69"/>
  <c r="S16" i="69"/>
  <c r="T16" i="69"/>
  <c r="U16" i="69"/>
  <c r="V16" i="69"/>
  <c r="W16" i="69" s="1"/>
  <c r="X16" i="69" s="1"/>
  <c r="Y16" i="69" s="1"/>
  <c r="O16" i="69"/>
  <c r="O14" i="69"/>
  <c r="U55" i="69"/>
  <c r="V55" i="69" s="1"/>
  <c r="W55" i="69" s="1"/>
  <c r="X55" i="69" s="1"/>
  <c r="Y55" i="69" s="1"/>
  <c r="S62" i="69"/>
  <c r="R62" i="69"/>
  <c r="Q62" i="69"/>
  <c r="P62" i="69"/>
  <c r="O62" i="69"/>
  <c r="N62" i="69"/>
  <c r="M62" i="69"/>
  <c r="L62" i="69"/>
  <c r="K62" i="69"/>
  <c r="J62" i="69"/>
  <c r="I62" i="69"/>
  <c r="H62" i="69"/>
  <c r="G62" i="69"/>
  <c r="X253" i="69" l="1"/>
  <c r="W255" i="69"/>
  <c r="BO156" i="1"/>
  <c r="BT156" i="1"/>
  <c r="BJ156" i="1"/>
  <c r="Y253" i="69" l="1"/>
  <c r="Y255" i="69" s="1"/>
  <c r="X255" i="69"/>
  <c r="P25" i="69"/>
  <c r="R34" i="69" l="1"/>
  <c r="O144" i="69"/>
  <c r="P144" i="69" s="1"/>
  <c r="Q144" i="69" s="1"/>
  <c r="R144" i="69" s="1"/>
  <c r="S144" i="69" s="1"/>
  <c r="T144" i="69" s="1"/>
  <c r="U144" i="69" s="1"/>
  <c r="V144" i="69" s="1"/>
  <c r="W144" i="69" s="1"/>
  <c r="X144" i="69" s="1"/>
  <c r="Y144" i="69" s="1"/>
  <c r="S34" i="69" l="1"/>
  <c r="R29" i="69"/>
  <c r="R132" i="69"/>
  <c r="S132" i="69" s="1"/>
  <c r="T132" i="69" s="1"/>
  <c r="U132" i="69" s="1"/>
  <c r="V132" i="69" s="1"/>
  <c r="W132" i="69" s="1"/>
  <c r="X132" i="69" s="1"/>
  <c r="Y132" i="69" s="1"/>
  <c r="N134" i="69"/>
  <c r="O134" i="69" s="1"/>
  <c r="P134" i="69" s="1"/>
  <c r="Q134" i="69" s="1"/>
  <c r="R134" i="69" s="1"/>
  <c r="S134" i="69" s="1"/>
  <c r="T134" i="69" s="1"/>
  <c r="U134" i="69" s="1"/>
  <c r="V134" i="69" s="1"/>
  <c r="W134" i="69" s="1"/>
  <c r="X134" i="69" s="1"/>
  <c r="Y134" i="69" s="1"/>
  <c r="K134" i="69"/>
  <c r="K136" i="69"/>
  <c r="L136" i="69" s="1"/>
  <c r="M136" i="69" s="1"/>
  <c r="N136" i="69" s="1"/>
  <c r="O136" i="69" s="1"/>
  <c r="P136" i="69" s="1"/>
  <c r="Q136" i="69" s="1"/>
  <c r="R136" i="69" s="1"/>
  <c r="S136" i="69" s="1"/>
  <c r="T136" i="69" s="1"/>
  <c r="U136" i="69" s="1"/>
  <c r="V136" i="69" s="1"/>
  <c r="W136" i="69" s="1"/>
  <c r="X136" i="69" s="1"/>
  <c r="Y136" i="69" s="1"/>
  <c r="CI156" i="1" l="1"/>
  <c r="T34" i="69"/>
  <c r="S29" i="69"/>
  <c r="CN156" i="1" l="1"/>
  <c r="CS156" i="1"/>
  <c r="U34" i="69"/>
  <c r="T29" i="69"/>
  <c r="F13" i="70"/>
  <c r="E13" i="70"/>
  <c r="F11" i="70"/>
  <c r="E11" i="70"/>
  <c r="F4" i="70"/>
  <c r="G3" i="70" s="1"/>
  <c r="H3" i="70" s="1"/>
  <c r="I3" i="70" s="1"/>
  <c r="J3" i="70" s="1"/>
  <c r="K3" i="70" s="1"/>
  <c r="L3" i="70" s="1"/>
  <c r="M3" i="70" s="1"/>
  <c r="N3" i="70" s="1"/>
  <c r="O3" i="70" s="1"/>
  <c r="P3" i="70" s="1"/>
  <c r="Q3" i="70" s="1"/>
  <c r="R3" i="70" s="1"/>
  <c r="S3" i="70" s="1"/>
  <c r="T3" i="70" s="1"/>
  <c r="U4" i="70" s="1"/>
  <c r="F3" i="70"/>
  <c r="V34" i="69" l="1"/>
  <c r="U29" i="69"/>
  <c r="N10" i="69"/>
  <c r="O10" i="69" s="1"/>
  <c r="O15" i="69" s="1"/>
  <c r="W34" i="69" l="1"/>
  <c r="V29" i="69"/>
  <c r="P10" i="69"/>
  <c r="X34" i="69" l="1"/>
  <c r="W29" i="69"/>
  <c r="Q10" i="69"/>
  <c r="P15" i="69"/>
  <c r="Y34" i="69" l="1"/>
  <c r="Y29" i="69" s="1"/>
  <c r="X29" i="69"/>
  <c r="R10" i="69"/>
  <c r="Q15" i="69"/>
  <c r="S10" i="69" l="1"/>
  <c r="R15" i="69"/>
  <c r="T10" i="69" l="1"/>
  <c r="S15" i="69"/>
  <c r="O71" i="3"/>
  <c r="P71" i="3"/>
  <c r="Q71" i="3"/>
  <c r="R71" i="3"/>
  <c r="S71" i="3"/>
  <c r="T71" i="3"/>
  <c r="U71" i="3"/>
  <c r="V71" i="3"/>
  <c r="W71" i="3"/>
  <c r="X71" i="3"/>
  <c r="X80" i="3"/>
  <c r="W80" i="3"/>
  <c r="V80" i="3"/>
  <c r="U80" i="3"/>
  <c r="T80" i="3"/>
  <c r="S80" i="3"/>
  <c r="R80" i="3"/>
  <c r="Q80" i="3"/>
  <c r="P80" i="3"/>
  <c r="O80" i="3"/>
  <c r="O36" i="3"/>
  <c r="P36" i="3"/>
  <c r="Q36" i="3"/>
  <c r="R36" i="3"/>
  <c r="S36" i="3"/>
  <c r="T36" i="3"/>
  <c r="U36" i="3"/>
  <c r="V36" i="3"/>
  <c r="W36" i="3"/>
  <c r="X36" i="3"/>
  <c r="O2" i="3"/>
  <c r="P2" i="3" s="1"/>
  <c r="Q2" i="3" s="1"/>
  <c r="R2" i="3" s="1"/>
  <c r="S2" i="3" s="1"/>
  <c r="T2" i="3" s="1"/>
  <c r="U2" i="3" s="1"/>
  <c r="V2" i="3" s="1"/>
  <c r="W2" i="3" s="1"/>
  <c r="X2" i="3" s="1"/>
  <c r="CS119" i="1"/>
  <c r="CS118" i="1"/>
  <c r="CN119" i="1"/>
  <c r="CN118" i="1"/>
  <c r="CI119" i="1"/>
  <c r="CI118" i="1"/>
  <c r="CD119" i="1"/>
  <c r="CD118" i="1"/>
  <c r="BY119" i="1"/>
  <c r="BY118" i="1"/>
  <c r="BT119" i="1"/>
  <c r="BT118" i="1"/>
  <c r="BO119" i="1"/>
  <c r="BO118" i="1"/>
  <c r="BJ119" i="1"/>
  <c r="BJ118" i="1"/>
  <c r="BE119" i="1"/>
  <c r="BE118" i="1"/>
  <c r="AZ119" i="1"/>
  <c r="AZ118" i="1"/>
  <c r="CS104" i="1"/>
  <c r="CN104" i="1"/>
  <c r="CI104" i="1"/>
  <c r="CD104" i="1"/>
  <c r="BY104" i="1"/>
  <c r="BT104" i="1"/>
  <c r="BO104" i="1"/>
  <c r="BJ104" i="1"/>
  <c r="BE104" i="1"/>
  <c r="CS75" i="1"/>
  <c r="CS74" i="1"/>
  <c r="CS70" i="1"/>
  <c r="CS69" i="1" s="1"/>
  <c r="CS65" i="1"/>
  <c r="CS64" i="1" s="1"/>
  <c r="CN75" i="1"/>
  <c r="CN74" i="1"/>
  <c r="CN70" i="1"/>
  <c r="CN69" i="1" s="1"/>
  <c r="CN65" i="1"/>
  <c r="CN64" i="1" s="1"/>
  <c r="CI75" i="1"/>
  <c r="CI74" i="1"/>
  <c r="CI35" i="1" s="1"/>
  <c r="CI70" i="1"/>
  <c r="CI69" i="1" s="1"/>
  <c r="CI65" i="1"/>
  <c r="CI64" i="1" s="1"/>
  <c r="CD75" i="1"/>
  <c r="CD74" i="1"/>
  <c r="CD70" i="1"/>
  <c r="CD69" i="1" s="1"/>
  <c r="CD65" i="1"/>
  <c r="CD64" i="1" s="1"/>
  <c r="BY75" i="1"/>
  <c r="BY74" i="1"/>
  <c r="BY70" i="1"/>
  <c r="BY69" i="1" s="1"/>
  <c r="BY65" i="1"/>
  <c r="BY64" i="1" s="1"/>
  <c r="BT75" i="1"/>
  <c r="BT74" i="1"/>
  <c r="BT70" i="1"/>
  <c r="BT69" i="1" s="1"/>
  <c r="BT65" i="1"/>
  <c r="BT64" i="1" s="1"/>
  <c r="BO75" i="1"/>
  <c r="BO74" i="1"/>
  <c r="BO70" i="1"/>
  <c r="BO69" i="1" s="1"/>
  <c r="BO65" i="1"/>
  <c r="BO64" i="1" s="1"/>
  <c r="BJ75" i="1"/>
  <c r="BJ74" i="1"/>
  <c r="BJ70" i="1"/>
  <c r="BJ69" i="1" s="1"/>
  <c r="BJ65" i="1"/>
  <c r="BJ64" i="1" s="1"/>
  <c r="BE75" i="1"/>
  <c r="BE74" i="1"/>
  <c r="BE70" i="1"/>
  <c r="BE69" i="1" s="1"/>
  <c r="BE65" i="1"/>
  <c r="BE64" i="1" s="1"/>
  <c r="AZ75" i="1"/>
  <c r="AZ74" i="1"/>
  <c r="AZ70" i="1"/>
  <c r="AZ69" i="1" s="1"/>
  <c r="AZ65" i="1"/>
  <c r="AZ64" i="1" s="1"/>
  <c r="K2" i="2"/>
  <c r="L2" i="2" s="1"/>
  <c r="M2" i="2" s="1"/>
  <c r="N2" i="2" s="1"/>
  <c r="O2" i="2" s="1"/>
  <c r="P2" i="2" s="1"/>
  <c r="Q2" i="2" s="1"/>
  <c r="R2" i="2" s="1"/>
  <c r="S2" i="2" s="1"/>
  <c r="T2" i="2" s="1"/>
  <c r="CS140" i="1"/>
  <c r="X79" i="3" s="1"/>
  <c r="CN140" i="1"/>
  <c r="CN129" i="1" s="1"/>
  <c r="CI140" i="1"/>
  <c r="CD140" i="1"/>
  <c r="U79" i="3" s="1"/>
  <c r="BY140" i="1"/>
  <c r="T79" i="3" s="1"/>
  <c r="BT140" i="1"/>
  <c r="BT129" i="1" s="1"/>
  <c r="BO140" i="1"/>
  <c r="BJ140" i="1"/>
  <c r="Q79" i="3" s="1"/>
  <c r="BE140" i="1"/>
  <c r="BE129" i="1" s="1"/>
  <c r="AZ140" i="1"/>
  <c r="AZ129" i="1" s="1"/>
  <c r="AU65" i="1"/>
  <c r="AZ104" i="1"/>
  <c r="AZ35" i="1" s="1"/>
  <c r="CR213" i="1"/>
  <c r="CQ213" i="1"/>
  <c r="CP213" i="1"/>
  <c r="CO213" i="1"/>
  <c r="CR210" i="1"/>
  <c r="CQ210" i="1"/>
  <c r="CP210" i="1"/>
  <c r="CO210" i="1"/>
  <c r="CR99" i="1"/>
  <c r="CQ99" i="1"/>
  <c r="CP99" i="1"/>
  <c r="CO99" i="1"/>
  <c r="CM213" i="1"/>
  <c r="CL213" i="1"/>
  <c r="CK213" i="1"/>
  <c r="CJ213" i="1"/>
  <c r="CM210" i="1"/>
  <c r="CL210" i="1"/>
  <c r="CK210" i="1"/>
  <c r="CJ210" i="1"/>
  <c r="CM99" i="1"/>
  <c r="CL99" i="1"/>
  <c r="CK99" i="1"/>
  <c r="CJ99" i="1"/>
  <c r="CH213" i="1"/>
  <c r="CG213" i="1"/>
  <c r="CF213" i="1"/>
  <c r="CE213" i="1"/>
  <c r="CH210" i="1"/>
  <c r="CG210" i="1"/>
  <c r="CF210" i="1"/>
  <c r="CE210" i="1"/>
  <c r="CH99" i="1"/>
  <c r="CG99" i="1"/>
  <c r="CF99" i="1"/>
  <c r="CE99" i="1"/>
  <c r="CC213" i="1"/>
  <c r="CB213" i="1"/>
  <c r="CA213" i="1"/>
  <c r="BZ213" i="1"/>
  <c r="CC210" i="1"/>
  <c r="CB210" i="1"/>
  <c r="CA210" i="1"/>
  <c r="BZ210" i="1"/>
  <c r="CC99" i="1"/>
  <c r="CB99" i="1"/>
  <c r="CA99" i="1"/>
  <c r="BZ99" i="1"/>
  <c r="BX213" i="1"/>
  <c r="BW213" i="1"/>
  <c r="BV213" i="1"/>
  <c r="BU213" i="1"/>
  <c r="BX210" i="1"/>
  <c r="BW210" i="1"/>
  <c r="BV210" i="1"/>
  <c r="BU210" i="1"/>
  <c r="BX99" i="1"/>
  <c r="BW99" i="1"/>
  <c r="BV99" i="1"/>
  <c r="BU99" i="1"/>
  <c r="BS213" i="1"/>
  <c r="BR213" i="1"/>
  <c r="BQ213" i="1"/>
  <c r="BP213" i="1"/>
  <c r="BS210" i="1"/>
  <c r="BR210" i="1"/>
  <c r="BQ210" i="1"/>
  <c r="BP210" i="1"/>
  <c r="BS99" i="1"/>
  <c r="BR99" i="1"/>
  <c r="BQ99" i="1"/>
  <c r="BP99" i="1"/>
  <c r="BN213" i="1"/>
  <c r="BM213" i="1"/>
  <c r="BL213" i="1"/>
  <c r="BK213" i="1"/>
  <c r="BN210" i="1"/>
  <c r="BM210" i="1"/>
  <c r="BL210" i="1"/>
  <c r="BK210" i="1"/>
  <c r="BN99" i="1"/>
  <c r="BM99" i="1"/>
  <c r="BL99" i="1"/>
  <c r="BK99" i="1"/>
  <c r="BI213" i="1"/>
  <c r="BH213" i="1"/>
  <c r="BG213" i="1"/>
  <c r="BF213" i="1"/>
  <c r="BI210" i="1"/>
  <c r="BH210" i="1"/>
  <c r="BG210" i="1"/>
  <c r="BF210" i="1"/>
  <c r="BI99" i="1"/>
  <c r="BH99" i="1"/>
  <c r="BG99" i="1"/>
  <c r="BF99" i="1"/>
  <c r="BD213" i="1"/>
  <c r="BC213" i="1"/>
  <c r="BB213" i="1"/>
  <c r="BA213" i="1"/>
  <c r="BD210" i="1"/>
  <c r="BC210" i="1"/>
  <c r="BB210" i="1"/>
  <c r="BA210" i="1"/>
  <c r="BD99" i="1"/>
  <c r="BC99" i="1"/>
  <c r="BB99" i="1"/>
  <c r="BA99" i="1"/>
  <c r="AY213" i="1"/>
  <c r="AX213" i="1"/>
  <c r="AW213" i="1"/>
  <c r="AV213" i="1"/>
  <c r="AY210" i="1"/>
  <c r="AX210" i="1"/>
  <c r="AW210" i="1"/>
  <c r="AV210" i="1"/>
  <c r="AY99" i="1"/>
  <c r="AX99" i="1"/>
  <c r="AW99" i="1"/>
  <c r="AV99" i="1"/>
  <c r="AZ28" i="5"/>
  <c r="BJ22" i="5"/>
  <c r="BJ20" i="5"/>
  <c r="BJ19" i="5"/>
  <c r="BJ46" i="5"/>
  <c r="BJ39" i="5"/>
  <c r="BO51" i="5"/>
  <c r="BO22" i="5"/>
  <c r="BO20" i="5"/>
  <c r="BO19" i="5"/>
  <c r="BT51" i="5"/>
  <c r="BT22" i="5"/>
  <c r="BT20" i="5"/>
  <c r="BT19" i="5"/>
  <c r="BY51" i="5"/>
  <c r="BY22" i="5"/>
  <c r="BY20" i="5"/>
  <c r="BY19" i="5"/>
  <c r="DW22" i="5"/>
  <c r="DW19" i="5"/>
  <c r="DW51" i="5"/>
  <c r="CS17" i="1" s="1"/>
  <c r="DW20" i="5"/>
  <c r="DR51" i="5"/>
  <c r="CN91" i="1" s="1"/>
  <c r="DR22" i="5"/>
  <c r="DR20" i="5"/>
  <c r="DR19" i="5"/>
  <c r="DH51" i="5"/>
  <c r="CD91" i="1" s="1"/>
  <c r="DH22" i="5"/>
  <c r="DH20" i="5"/>
  <c r="DH19" i="5"/>
  <c r="DM51" i="5"/>
  <c r="CI91" i="1" s="1"/>
  <c r="DM22" i="5"/>
  <c r="DM20" i="5"/>
  <c r="DM19" i="5"/>
  <c r="DC51" i="5"/>
  <c r="BY91" i="1" s="1"/>
  <c r="DC22" i="5"/>
  <c r="DC20" i="5"/>
  <c r="DC19" i="5"/>
  <c r="CX51" i="5"/>
  <c r="BT91" i="1" s="1"/>
  <c r="CX22" i="5"/>
  <c r="CX20" i="5"/>
  <c r="CX19" i="5"/>
  <c r="CS51" i="5"/>
  <c r="BO17" i="1" s="1"/>
  <c r="CS22" i="5"/>
  <c r="CS20" i="5"/>
  <c r="CS19" i="5"/>
  <c r="CN22" i="5"/>
  <c r="CN51" i="5"/>
  <c r="BJ91" i="1" s="1"/>
  <c r="CN20" i="5"/>
  <c r="CN19" i="5"/>
  <c r="CI51" i="5"/>
  <c r="BE17" i="1" s="1"/>
  <c r="CI22" i="5"/>
  <c r="CI20" i="5"/>
  <c r="CI19" i="5"/>
  <c r="BJ35" i="5"/>
  <c r="BJ34" i="5"/>
  <c r="BJ41" i="5"/>
  <c r="BO41" i="5"/>
  <c r="BT41" i="5"/>
  <c r="K295" i="69"/>
  <c r="M295" i="69" s="1"/>
  <c r="N295" i="69" s="1"/>
  <c r="O295" i="69" s="1"/>
  <c r="P295" i="69" s="1"/>
  <c r="Q295" i="69" s="1"/>
  <c r="R295" i="69" s="1"/>
  <c r="S295" i="69" s="1"/>
  <c r="T295" i="69" s="1"/>
  <c r="U295" i="69" s="1"/>
  <c r="V295" i="69" s="1"/>
  <c r="W295" i="69" s="1"/>
  <c r="X295" i="69" s="1"/>
  <c r="Y295" i="69" s="1"/>
  <c r="J232" i="69"/>
  <c r="N228" i="69"/>
  <c r="K227" i="69"/>
  <c r="U196" i="69"/>
  <c r="V195" i="69"/>
  <c r="V190" i="69" s="1"/>
  <c r="S186" i="69"/>
  <c r="T186" i="69" s="1"/>
  <c r="U186" i="69" s="1"/>
  <c r="V186" i="69" s="1"/>
  <c r="W186" i="69" s="1"/>
  <c r="X186" i="69" s="1"/>
  <c r="Y186" i="69" s="1"/>
  <c r="S185" i="69"/>
  <c r="T185" i="69" s="1"/>
  <c r="U185" i="69" s="1"/>
  <c r="S184" i="69"/>
  <c r="T184" i="69" s="1"/>
  <c r="U184" i="69" s="1"/>
  <c r="U181" i="69"/>
  <c r="V181" i="69" s="1"/>
  <c r="W181" i="69" s="1"/>
  <c r="X181" i="69" s="1"/>
  <c r="Y181" i="69" s="1"/>
  <c r="R181" i="69"/>
  <c r="U180" i="69"/>
  <c r="V180" i="69" s="1"/>
  <c r="W180" i="69" s="1"/>
  <c r="X180" i="69" s="1"/>
  <c r="U179" i="69"/>
  <c r="V179" i="69" s="1"/>
  <c r="W179" i="69" s="1"/>
  <c r="X179" i="69" s="1"/>
  <c r="Y179" i="69" s="1"/>
  <c r="N171" i="69"/>
  <c r="O171" i="69" s="1"/>
  <c r="N169" i="69"/>
  <c r="O169" i="69" s="1"/>
  <c r="H164" i="69"/>
  <c r="I164" i="69" s="1"/>
  <c r="J164" i="69" s="1"/>
  <c r="K164" i="69" s="1"/>
  <c r="L164" i="69" s="1"/>
  <c r="M164" i="69" s="1"/>
  <c r="N164" i="69" s="1"/>
  <c r="O164" i="69" s="1"/>
  <c r="P164" i="69" s="1"/>
  <c r="Q164" i="69" s="1"/>
  <c r="R164" i="69" s="1"/>
  <c r="S164" i="69" s="1"/>
  <c r="T164" i="69" s="1"/>
  <c r="U164" i="69" s="1"/>
  <c r="V164" i="69" s="1"/>
  <c r="W164" i="69" s="1"/>
  <c r="X164" i="69" s="1"/>
  <c r="Y164" i="69" s="1"/>
  <c r="J72" i="69"/>
  <c r="J20" i="69" s="1"/>
  <c r="L68" i="69"/>
  <c r="M68" i="69" s="1"/>
  <c r="N68" i="69" s="1"/>
  <c r="K67" i="69"/>
  <c r="K72" i="69" s="1"/>
  <c r="G50" i="69"/>
  <c r="M46" i="69"/>
  <c r="N46" i="69" s="1"/>
  <c r="O46" i="69" s="1"/>
  <c r="P46" i="69" s="1"/>
  <c r="Q46" i="69" s="1"/>
  <c r="R46" i="69" s="1"/>
  <c r="S46" i="69" s="1"/>
  <c r="T46" i="69" s="1"/>
  <c r="J45" i="69"/>
  <c r="K45" i="69" s="1"/>
  <c r="L45" i="69" s="1"/>
  <c r="M45" i="69" s="1"/>
  <c r="N45" i="69" s="1"/>
  <c r="O45" i="69" s="1"/>
  <c r="P45" i="69" s="1"/>
  <c r="Q45" i="69" s="1"/>
  <c r="R45" i="69" s="1"/>
  <c r="S45" i="69" s="1"/>
  <c r="J44" i="69"/>
  <c r="K44" i="69" s="1"/>
  <c r="L44" i="69" s="1"/>
  <c r="M44" i="69" s="1"/>
  <c r="N44" i="69" s="1"/>
  <c r="O44" i="69" s="1"/>
  <c r="P44" i="69" s="1"/>
  <c r="Q44" i="69" s="1"/>
  <c r="R44" i="69" s="1"/>
  <c r="S44" i="69" s="1"/>
  <c r="H43" i="69"/>
  <c r="S36" i="69"/>
  <c r="R26" i="69"/>
  <c r="S26" i="69" s="1"/>
  <c r="T26" i="69" s="1"/>
  <c r="U26" i="69" s="1"/>
  <c r="V26" i="69" s="1"/>
  <c r="W26" i="69" s="1"/>
  <c r="X26" i="69" s="1"/>
  <c r="Y26" i="69" s="1"/>
  <c r="Q25" i="69"/>
  <c r="R25" i="69" s="1"/>
  <c r="P24" i="69"/>
  <c r="Q24" i="69" s="1"/>
  <c r="R24" i="69" s="1"/>
  <c r="S24" i="69" s="1"/>
  <c r="T24" i="69" s="1"/>
  <c r="U24" i="69" s="1"/>
  <c r="V24" i="69" s="1"/>
  <c r="W24" i="69" s="1"/>
  <c r="X24" i="69" s="1"/>
  <c r="Y24" i="69" s="1"/>
  <c r="M21" i="69"/>
  <c r="N21" i="69" s="1"/>
  <c r="O21" i="69" s="1"/>
  <c r="P21" i="69" s="1"/>
  <c r="Q21" i="69" s="1"/>
  <c r="R21" i="69" s="1"/>
  <c r="S21" i="69" s="1"/>
  <c r="T21" i="69" s="1"/>
  <c r="U21" i="69" s="1"/>
  <c r="V21" i="69" s="1"/>
  <c r="W21" i="69" s="1"/>
  <c r="X21" i="69" s="1"/>
  <c r="Y21" i="69" s="1"/>
  <c r="M20" i="69"/>
  <c r="N20" i="69" s="1"/>
  <c r="L19" i="69"/>
  <c r="M19" i="69" s="1"/>
  <c r="N19" i="69" s="1"/>
  <c r="O19" i="69" s="1"/>
  <c r="P19" i="69" s="1"/>
  <c r="Q19" i="69" s="1"/>
  <c r="R19" i="69" s="1"/>
  <c r="S19" i="69" s="1"/>
  <c r="T19" i="69" s="1"/>
  <c r="U19" i="69" s="1"/>
  <c r="V19" i="69" s="1"/>
  <c r="W19" i="69" s="1"/>
  <c r="X19" i="69" s="1"/>
  <c r="Y19" i="69" s="1"/>
  <c r="L11" i="69"/>
  <c r="M11" i="69"/>
  <c r="H4" i="69"/>
  <c r="I4" i="69" s="1"/>
  <c r="J4" i="69" s="1"/>
  <c r="K4" i="69" s="1"/>
  <c r="L4" i="69" s="1"/>
  <c r="M4" i="69" s="1"/>
  <c r="N4" i="69" s="1"/>
  <c r="O4" i="69" s="1"/>
  <c r="P4" i="69" s="1"/>
  <c r="Q4" i="69" s="1"/>
  <c r="R4" i="69" s="1"/>
  <c r="S4" i="69" s="1"/>
  <c r="T4" i="69" s="1"/>
  <c r="U4" i="69" s="1"/>
  <c r="V4" i="69" s="1"/>
  <c r="W4" i="69" s="1"/>
  <c r="X4" i="69" s="1"/>
  <c r="Y4" i="69" s="1"/>
  <c r="BE35" i="1" l="1"/>
  <c r="BY35" i="1"/>
  <c r="CS35" i="1"/>
  <c r="P10" i="3"/>
  <c r="BY129" i="1"/>
  <c r="BO35" i="1"/>
  <c r="P79" i="3"/>
  <c r="BJ35" i="1"/>
  <c r="CD35" i="1"/>
  <c r="CN35" i="1"/>
  <c r="CS129" i="1"/>
  <c r="T10" i="3"/>
  <c r="X10" i="3"/>
  <c r="BY23" i="5"/>
  <c r="DR23" i="5"/>
  <c r="CN14" i="1" s="1"/>
  <c r="CN89" i="1" s="1"/>
  <c r="BJ23" i="5"/>
  <c r="BO25" i="5" s="1"/>
  <c r="V79" i="3"/>
  <c r="V10" i="3"/>
  <c r="CI129" i="1"/>
  <c r="R79" i="3"/>
  <c r="R10" i="3"/>
  <c r="BO129" i="1"/>
  <c r="BT35" i="1"/>
  <c r="BJ129" i="1"/>
  <c r="CD129" i="1"/>
  <c r="O10" i="3"/>
  <c r="S10" i="3"/>
  <c r="W10" i="3"/>
  <c r="O79" i="3"/>
  <c r="S79" i="3"/>
  <c r="W79" i="3"/>
  <c r="Q10" i="3"/>
  <c r="U10" i="3"/>
  <c r="DW23" i="5"/>
  <c r="CS14" i="1" s="1"/>
  <c r="CS89" i="1" s="1"/>
  <c r="CD17" i="1"/>
  <c r="CN17" i="1"/>
  <c r="CI23" i="5"/>
  <c r="CN25" i="5" s="1"/>
  <c r="CN23" i="5"/>
  <c r="CS23" i="5"/>
  <c r="BO14" i="1" s="1"/>
  <c r="BO89" i="1" s="1"/>
  <c r="DC23" i="5"/>
  <c r="DH25" i="5" s="1"/>
  <c r="DM23" i="5"/>
  <c r="CI14" i="1" s="1"/>
  <c r="CI89" i="1" s="1"/>
  <c r="BJ17" i="1"/>
  <c r="BT17" i="1"/>
  <c r="V196" i="69"/>
  <c r="W196" i="69" s="1"/>
  <c r="U191" i="69"/>
  <c r="P169" i="69"/>
  <c r="O174" i="69"/>
  <c r="P171" i="69"/>
  <c r="O176" i="69"/>
  <c r="U188" i="69"/>
  <c r="T188" i="69"/>
  <c r="P188" i="69"/>
  <c r="V188" i="69"/>
  <c r="S188" i="69"/>
  <c r="R188" i="69"/>
  <c r="Q188" i="69"/>
  <c r="O28" i="69"/>
  <c r="P28" i="69"/>
  <c r="Q28" i="69"/>
  <c r="T36" i="69"/>
  <c r="S31" i="69"/>
  <c r="S13" i="69"/>
  <c r="S193" i="69"/>
  <c r="O13" i="69"/>
  <c r="P13" i="69"/>
  <c r="Q13" i="69"/>
  <c r="U10" i="69"/>
  <c r="U8" i="69" s="1"/>
  <c r="T15" i="69"/>
  <c r="T13" i="69" s="1"/>
  <c r="R13" i="69"/>
  <c r="V46" i="69"/>
  <c r="U44" i="69"/>
  <c r="U45" i="69"/>
  <c r="H170" i="69"/>
  <c r="H171" i="69" s="1"/>
  <c r="J21" i="69"/>
  <c r="J19" i="69"/>
  <c r="BT42" i="5"/>
  <c r="BT43" i="5" s="1"/>
  <c r="BY46" i="5" s="1"/>
  <c r="BJ36" i="5"/>
  <c r="BO39" i="5" s="1"/>
  <c r="K74" i="69"/>
  <c r="K20" i="69"/>
  <c r="G11" i="69"/>
  <c r="BO42" i="5"/>
  <c r="BO43" i="5" s="1"/>
  <c r="BT46" i="5" s="1"/>
  <c r="L67" i="69"/>
  <c r="L72" i="69" s="1"/>
  <c r="L74" i="69" s="1"/>
  <c r="G170" i="69"/>
  <c r="G171" i="69" s="1"/>
  <c r="BJ42" i="5"/>
  <c r="BJ43" i="5" s="1"/>
  <c r="BO46" i="5" s="1"/>
  <c r="BY42" i="5"/>
  <c r="G10" i="69"/>
  <c r="G8" i="69" s="1"/>
  <c r="G9" i="69"/>
  <c r="CS91" i="1"/>
  <c r="BE91" i="1"/>
  <c r="BO91" i="1"/>
  <c r="CX23" i="5"/>
  <c r="DH23" i="5"/>
  <c r="BT23" i="5"/>
  <c r="BO23" i="5"/>
  <c r="BY17" i="1"/>
  <c r="CI17" i="1"/>
  <c r="T8" i="69"/>
  <c r="L8" i="69"/>
  <c r="P8" i="69"/>
  <c r="O23" i="69"/>
  <c r="R23" i="69"/>
  <c r="Q8" i="69"/>
  <c r="O8" i="69"/>
  <c r="S8" i="69"/>
  <c r="J18" i="69"/>
  <c r="Q23" i="69"/>
  <c r="P33" i="69"/>
  <c r="O178" i="69"/>
  <c r="S178" i="69"/>
  <c r="P183" i="69"/>
  <c r="P193" i="69"/>
  <c r="T193" i="69"/>
  <c r="P178" i="69"/>
  <c r="Q193" i="69"/>
  <c r="P23" i="69"/>
  <c r="Q33" i="69"/>
  <c r="M178" i="69"/>
  <c r="Q178" i="69"/>
  <c r="U178" i="69"/>
  <c r="N183" i="69"/>
  <c r="R183" i="69"/>
  <c r="U183" i="69"/>
  <c r="R193" i="69"/>
  <c r="L178" i="69"/>
  <c r="T178" i="69"/>
  <c r="Q183" i="69"/>
  <c r="U193" i="69"/>
  <c r="M8" i="69"/>
  <c r="L18" i="69"/>
  <c r="N8" i="69"/>
  <c r="R8" i="69"/>
  <c r="M18" i="69"/>
  <c r="O33" i="69"/>
  <c r="N178" i="69"/>
  <c r="R178" i="69"/>
  <c r="V178" i="69"/>
  <c r="O183" i="69"/>
  <c r="S183" i="69"/>
  <c r="R35" i="69"/>
  <c r="S25" i="69"/>
  <c r="S23" i="69" s="1"/>
  <c r="V185" i="69"/>
  <c r="W185" i="69" s="1"/>
  <c r="O20" i="69"/>
  <c r="N18" i="69"/>
  <c r="I43" i="69"/>
  <c r="H50" i="69"/>
  <c r="J137" i="69"/>
  <c r="J132" i="69" s="1"/>
  <c r="Y180" i="69"/>
  <c r="Y178" i="69" s="1"/>
  <c r="X178" i="69"/>
  <c r="T183" i="69"/>
  <c r="V184" i="69"/>
  <c r="W195" i="69"/>
  <c r="W190" i="69" s="1"/>
  <c r="W188" i="69" s="1"/>
  <c r="V193" i="69"/>
  <c r="W178" i="69"/>
  <c r="K232" i="69"/>
  <c r="L227" i="69"/>
  <c r="DW25" i="5" l="1"/>
  <c r="BY14" i="1"/>
  <c r="BY89" i="1" s="1"/>
  <c r="CX25" i="5"/>
  <c r="CS25" i="5"/>
  <c r="BJ14" i="1"/>
  <c r="BJ89" i="1" s="1"/>
  <c r="DR25" i="5"/>
  <c r="BE14" i="1"/>
  <c r="BE89" i="1" s="1"/>
  <c r="V191" i="69"/>
  <c r="X196" i="69"/>
  <c r="W191" i="69"/>
  <c r="Q171" i="69"/>
  <c r="P176" i="69"/>
  <c r="Q169" i="69"/>
  <c r="P174" i="69"/>
  <c r="S35" i="69"/>
  <c r="S30" i="69" s="1"/>
  <c r="S28" i="69" s="1"/>
  <c r="R30" i="69"/>
  <c r="R28" i="69" s="1"/>
  <c r="U36" i="69"/>
  <c r="T31" i="69"/>
  <c r="H168" i="69"/>
  <c r="V10" i="69"/>
  <c r="U15" i="69"/>
  <c r="U13" i="69" s="1"/>
  <c r="H169" i="69"/>
  <c r="G168" i="69"/>
  <c r="V45" i="69"/>
  <c r="W46" i="69"/>
  <c r="V44" i="69"/>
  <c r="G169" i="69"/>
  <c r="I170" i="69"/>
  <c r="I169" i="69" s="1"/>
  <c r="J170" i="69"/>
  <c r="J168" i="69" s="1"/>
  <c r="M67" i="69"/>
  <c r="O67" i="69" s="1"/>
  <c r="P67" i="69" s="1"/>
  <c r="Q67" i="69" s="1"/>
  <c r="R67" i="69" s="1"/>
  <c r="K170" i="69"/>
  <c r="K168" i="69" s="1"/>
  <c r="AP11" i="1"/>
  <c r="AP88" i="1" s="1"/>
  <c r="K21" i="69"/>
  <c r="K19" i="69"/>
  <c r="K18" i="69"/>
  <c r="AK11" i="1"/>
  <c r="AK88" i="1" s="1"/>
  <c r="BT25" i="5"/>
  <c r="AK14" i="1"/>
  <c r="AK89" i="1" s="1"/>
  <c r="BT14" i="1"/>
  <c r="BT89" i="1" s="1"/>
  <c r="DC25" i="5"/>
  <c r="BY25" i="5"/>
  <c r="AP14" i="1"/>
  <c r="AP89" i="1" s="1"/>
  <c r="DM25" i="5"/>
  <c r="CD14" i="1"/>
  <c r="CD89" i="1" s="1"/>
  <c r="V183" i="69"/>
  <c r="T25" i="69"/>
  <c r="T23" i="69" s="1"/>
  <c r="R33" i="69"/>
  <c r="L130" i="69"/>
  <c r="I50" i="69"/>
  <c r="I110" i="69" s="1"/>
  <c r="I108" i="69" s="1"/>
  <c r="J43" i="69"/>
  <c r="W193" i="69"/>
  <c r="X195" i="69"/>
  <c r="X190" i="69" s="1"/>
  <c r="X188" i="69" s="1"/>
  <c r="O18" i="69"/>
  <c r="P20" i="69"/>
  <c r="K180" i="69"/>
  <c r="K234" i="69"/>
  <c r="W184" i="69"/>
  <c r="L294" i="69"/>
  <c r="L232" i="69"/>
  <c r="M227" i="69"/>
  <c r="X185" i="69"/>
  <c r="W183" i="69"/>
  <c r="H9" i="69"/>
  <c r="H11" i="69"/>
  <c r="H10" i="69"/>
  <c r="H8" i="69" s="1"/>
  <c r="R171" i="69" l="1"/>
  <c r="Q176" i="69"/>
  <c r="R169" i="69"/>
  <c r="Q174" i="69"/>
  <c r="Y196" i="69"/>
  <c r="Y191" i="69" s="1"/>
  <c r="X191" i="69"/>
  <c r="T35" i="69"/>
  <c r="T30" i="69" s="1"/>
  <c r="T28" i="69" s="1"/>
  <c r="V36" i="69"/>
  <c r="U31" i="69"/>
  <c r="S33" i="69"/>
  <c r="N72" i="69"/>
  <c r="O89" i="69"/>
  <c r="V15" i="69"/>
  <c r="V8" i="69"/>
  <c r="X46" i="69"/>
  <c r="W44" i="69"/>
  <c r="W45" i="69"/>
  <c r="I168" i="69"/>
  <c r="I171" i="69"/>
  <c r="J169" i="69"/>
  <c r="J171" i="69"/>
  <c r="M72" i="69"/>
  <c r="M130" i="69" s="1"/>
  <c r="K171" i="69"/>
  <c r="K169" i="69"/>
  <c r="U25" i="69"/>
  <c r="U23" i="69" s="1"/>
  <c r="I11" i="69"/>
  <c r="I10" i="69"/>
  <c r="I8" i="69" s="1"/>
  <c r="I9" i="69"/>
  <c r="Y185" i="69"/>
  <c r="Y183" i="69" s="1"/>
  <c r="X183" i="69"/>
  <c r="X193" i="69"/>
  <c r="Y195" i="69"/>
  <c r="M170" i="69"/>
  <c r="L168" i="69"/>
  <c r="L270" i="69" s="1"/>
  <c r="L277" i="69" s="1"/>
  <c r="L333" i="69" s="1"/>
  <c r="M339" i="69" s="1"/>
  <c r="M294" i="69"/>
  <c r="M307" i="69" s="1"/>
  <c r="K181" i="69"/>
  <c r="K179" i="69"/>
  <c r="K178" i="69"/>
  <c r="L234" i="69"/>
  <c r="L290" i="69"/>
  <c r="L297" i="69" s="1"/>
  <c r="L335" i="69" s="1"/>
  <c r="M341" i="69" s="1"/>
  <c r="M232" i="69"/>
  <c r="N227" i="69"/>
  <c r="X184" i="69"/>
  <c r="Q20" i="69"/>
  <c r="P18" i="69"/>
  <c r="J50" i="69"/>
  <c r="K43" i="69"/>
  <c r="N74" i="69" l="1"/>
  <c r="N78" i="69" s="1"/>
  <c r="N84" i="69" s="1"/>
  <c r="N142" i="69" s="1"/>
  <c r="L332" i="69"/>
  <c r="M338" i="69"/>
  <c r="L323" i="69"/>
  <c r="S169" i="69"/>
  <c r="R174" i="69"/>
  <c r="Y193" i="69"/>
  <c r="Y190" i="69"/>
  <c r="Y188" i="69" s="1"/>
  <c r="S171" i="69"/>
  <c r="R176" i="69"/>
  <c r="P89" i="69"/>
  <c r="O94" i="69"/>
  <c r="U35" i="69"/>
  <c r="U30" i="69" s="1"/>
  <c r="U28" i="69" s="1"/>
  <c r="T33" i="69"/>
  <c r="W36" i="69"/>
  <c r="V31" i="69"/>
  <c r="N132" i="69"/>
  <c r="V13" i="69"/>
  <c r="W15" i="69"/>
  <c r="W8" i="69"/>
  <c r="X45" i="69"/>
  <c r="X44" i="69"/>
  <c r="Y46" i="69"/>
  <c r="M74" i="69"/>
  <c r="M78" i="69" s="1"/>
  <c r="M84" i="69" s="1"/>
  <c r="M142" i="69" s="1"/>
  <c r="J10" i="69"/>
  <c r="J8" i="69" s="1"/>
  <c r="V25" i="69"/>
  <c r="W25" i="69" s="1"/>
  <c r="X25" i="69" s="1"/>
  <c r="Y25" i="69" s="1"/>
  <c r="N232" i="69"/>
  <c r="N292" i="69" s="1"/>
  <c r="N170" i="69"/>
  <c r="O170" i="69" s="1"/>
  <c r="M168" i="69"/>
  <c r="M270" i="69" s="1"/>
  <c r="M277" i="69" s="1"/>
  <c r="M333" i="69" s="1"/>
  <c r="N339" i="69" s="1"/>
  <c r="L43" i="69"/>
  <c r="K50" i="69"/>
  <c r="R20" i="69"/>
  <c r="Q18" i="69"/>
  <c r="M234" i="69"/>
  <c r="M290" i="69"/>
  <c r="M297" i="69" s="1"/>
  <c r="M335" i="69" s="1"/>
  <c r="N341" i="69" s="1"/>
  <c r="M137" i="69"/>
  <c r="M146" i="69" s="1"/>
  <c r="N130" i="69"/>
  <c r="Y184" i="69"/>
  <c r="M309" i="69"/>
  <c r="M336" i="69" s="1"/>
  <c r="N342" i="69" s="1"/>
  <c r="N294" i="69"/>
  <c r="N307" i="69" s="1"/>
  <c r="O72" i="69"/>
  <c r="N338" i="69" l="1"/>
  <c r="M332" i="69"/>
  <c r="M323" i="69"/>
  <c r="T171" i="69"/>
  <c r="S176" i="69"/>
  <c r="P170" i="69"/>
  <c r="O175" i="69"/>
  <c r="O173" i="69" s="1"/>
  <c r="T169" i="69"/>
  <c r="S174" i="69"/>
  <c r="V35" i="69"/>
  <c r="V30" i="69" s="1"/>
  <c r="V28" i="69" s="1"/>
  <c r="U33" i="69"/>
  <c r="Q89" i="69"/>
  <c r="P94" i="69"/>
  <c r="P153" i="69" s="1"/>
  <c r="X36" i="69"/>
  <c r="W31" i="69"/>
  <c r="O103" i="69"/>
  <c r="O74" i="69"/>
  <c r="O78" i="69" s="1"/>
  <c r="O84" i="69" s="1"/>
  <c r="O142" i="69" s="1"/>
  <c r="Y8" i="69"/>
  <c r="X8" i="69"/>
  <c r="X15" i="69"/>
  <c r="W13" i="69"/>
  <c r="Y45" i="69"/>
  <c r="M148" i="69"/>
  <c r="Y44" i="69"/>
  <c r="J11" i="69"/>
  <c r="V23" i="69"/>
  <c r="J9" i="69"/>
  <c r="M139" i="69"/>
  <c r="BO6" i="5"/>
  <c r="BN6" i="5" s="1"/>
  <c r="O294" i="69"/>
  <c r="O307" i="69" s="1"/>
  <c r="S20" i="69"/>
  <c r="R18" i="69"/>
  <c r="P72" i="69"/>
  <c r="M43" i="69"/>
  <c r="L50" i="69"/>
  <c r="N234" i="69"/>
  <c r="N290" i="69"/>
  <c r="N297" i="69" s="1"/>
  <c r="N335" i="69" s="1"/>
  <c r="O341" i="69" s="1"/>
  <c r="O130" i="69"/>
  <c r="K11" i="69"/>
  <c r="K9" i="69"/>
  <c r="K10" i="69"/>
  <c r="K8" i="69" s="1"/>
  <c r="N168" i="69"/>
  <c r="N270" i="69" s="1"/>
  <c r="N277" i="69" s="1"/>
  <c r="N333" i="69" s="1"/>
  <c r="O339" i="69" s="1"/>
  <c r="O232" i="69"/>
  <c r="O292" i="69" s="1"/>
  <c r="W23" i="69"/>
  <c r="L108" i="69" l="1"/>
  <c r="L117" i="69" s="1"/>
  <c r="L327" i="69" s="1"/>
  <c r="L346" i="69" s="1"/>
  <c r="L352" i="69" s="1"/>
  <c r="M330" i="69"/>
  <c r="M329" i="69"/>
  <c r="M348" i="69" s="1"/>
  <c r="M353" i="69" s="1"/>
  <c r="N238" i="69"/>
  <c r="N244" i="69" s="1"/>
  <c r="N300" i="69" s="1"/>
  <c r="N309" i="69" s="1"/>
  <c r="N336" i="69" s="1"/>
  <c r="O342" i="69" s="1"/>
  <c r="P98" i="69"/>
  <c r="P103" i="69" s="1"/>
  <c r="P151" i="69" s="1"/>
  <c r="O151" i="69"/>
  <c r="Q170" i="69"/>
  <c r="P175" i="69"/>
  <c r="P173" i="69" s="1"/>
  <c r="U169" i="69"/>
  <c r="T174" i="69"/>
  <c r="U171" i="69"/>
  <c r="T176" i="69"/>
  <c r="V33" i="69"/>
  <c r="W35" i="69"/>
  <c r="W30" i="69" s="1"/>
  <c r="W28" i="69" s="1"/>
  <c r="R89" i="69"/>
  <c r="Q94" i="69"/>
  <c r="Q153" i="69" s="1"/>
  <c r="Y36" i="69"/>
  <c r="Y31" i="69" s="1"/>
  <c r="X31" i="69"/>
  <c r="P132" i="69"/>
  <c r="P74" i="69"/>
  <c r="P78" i="69" s="1"/>
  <c r="P84" i="69" s="1"/>
  <c r="P142" i="69" s="1"/>
  <c r="Y15" i="69"/>
  <c r="Y13" i="69" s="1"/>
  <c r="X13" i="69"/>
  <c r="BT6" i="5"/>
  <c r="O234" i="69"/>
  <c r="O238" i="69" s="1"/>
  <c r="O244" i="69" s="1"/>
  <c r="O300" i="69" s="1"/>
  <c r="O290" i="69"/>
  <c r="O297" i="69" s="1"/>
  <c r="O335" i="69" s="1"/>
  <c r="P341" i="69" s="1"/>
  <c r="S18" i="69"/>
  <c r="T20" i="69"/>
  <c r="X23" i="69"/>
  <c r="Y23" i="69"/>
  <c r="P232" i="69"/>
  <c r="P312" i="69" s="1"/>
  <c r="O168" i="69"/>
  <c r="O270" i="69" s="1"/>
  <c r="O277" i="69" s="1"/>
  <c r="O333" i="69" s="1"/>
  <c r="P339" i="69" s="1"/>
  <c r="Q72" i="69"/>
  <c r="P294" i="69"/>
  <c r="P307" i="69" s="1"/>
  <c r="P130" i="69"/>
  <c r="M50" i="69"/>
  <c r="M108" i="69" s="1"/>
  <c r="N43" i="69"/>
  <c r="BO27" i="5" l="1"/>
  <c r="BN27" i="5" s="1"/>
  <c r="N332" i="69"/>
  <c r="BO34" i="5"/>
  <c r="M349" i="69"/>
  <c r="M354" i="69" s="1"/>
  <c r="O338" i="69"/>
  <c r="N323" i="69"/>
  <c r="X35" i="69"/>
  <c r="X30" i="69" s="1"/>
  <c r="X28" i="69" s="1"/>
  <c r="M110" i="69"/>
  <c r="M117" i="69" s="1"/>
  <c r="Q98" i="69"/>
  <c r="R98" i="69" s="1"/>
  <c r="V169" i="69"/>
  <c r="U174" i="69"/>
  <c r="V171" i="69"/>
  <c r="U176" i="69"/>
  <c r="R170" i="69"/>
  <c r="Q175" i="69"/>
  <c r="Q173" i="69" s="1"/>
  <c r="W33" i="69"/>
  <c r="S89" i="69"/>
  <c r="R94" i="69"/>
  <c r="R153" i="69" s="1"/>
  <c r="Q130" i="69"/>
  <c r="Q74" i="69"/>
  <c r="Q78" i="69" s="1"/>
  <c r="Q84" i="69" s="1"/>
  <c r="Q142" i="69" s="1"/>
  <c r="BT35" i="5"/>
  <c r="BO28" i="5"/>
  <c r="BN28" i="5" s="1"/>
  <c r="Q99" i="69"/>
  <c r="R99" i="69" s="1"/>
  <c r="S99" i="69" s="1"/>
  <c r="T99" i="69" s="1"/>
  <c r="U99" i="69" s="1"/>
  <c r="V99" i="69" s="1"/>
  <c r="W99" i="69" s="1"/>
  <c r="X99" i="69" s="1"/>
  <c r="Y99" i="69" s="1"/>
  <c r="P168" i="69"/>
  <c r="P270" i="69" s="1"/>
  <c r="P277" i="69" s="1"/>
  <c r="P333" i="69" s="1"/>
  <c r="Q339" i="69" s="1"/>
  <c r="P234" i="69"/>
  <c r="P238" i="69" s="1"/>
  <c r="P244" i="69" s="1"/>
  <c r="P300" i="69" s="1"/>
  <c r="P290" i="69"/>
  <c r="P297" i="69" s="1"/>
  <c r="P335" i="69" s="1"/>
  <c r="Q341" i="69" s="1"/>
  <c r="N50" i="69"/>
  <c r="N108" i="69" s="1"/>
  <c r="O43" i="69"/>
  <c r="R72" i="69"/>
  <c r="R74" i="69" s="1"/>
  <c r="Q294" i="69"/>
  <c r="Q307" i="69" s="1"/>
  <c r="P319" i="69"/>
  <c r="P321" i="69" s="1"/>
  <c r="P337" i="69" s="1"/>
  <c r="Q343" i="69" s="1"/>
  <c r="Q232" i="69"/>
  <c r="U20" i="69"/>
  <c r="T18" i="69"/>
  <c r="O309" i="69"/>
  <c r="O336" i="69" s="1"/>
  <c r="P342" i="69" s="1"/>
  <c r="BN29" i="5" l="1"/>
  <c r="BO36" i="5"/>
  <c r="AK9" i="1" s="1"/>
  <c r="AK87" i="1" s="1"/>
  <c r="BN34" i="5"/>
  <c r="BN36" i="5" s="1"/>
  <c r="Y35" i="69"/>
  <c r="Y30" i="69" s="1"/>
  <c r="Y28" i="69" s="1"/>
  <c r="BO29" i="5"/>
  <c r="AK7" i="1" s="1"/>
  <c r="AK86" i="1" s="1"/>
  <c r="M162" i="69"/>
  <c r="M327" i="69"/>
  <c r="O332" i="69"/>
  <c r="P338" i="69"/>
  <c r="BY6" i="5"/>
  <c r="O323" i="69"/>
  <c r="X33" i="69"/>
  <c r="N110" i="69"/>
  <c r="N117" i="69" s="1"/>
  <c r="N327" i="69" s="1"/>
  <c r="N346" i="69" s="1"/>
  <c r="N352" i="69" s="1"/>
  <c r="R103" i="69"/>
  <c r="R151" i="69" s="1"/>
  <c r="Q103" i="69"/>
  <c r="Q151" i="69" s="1"/>
  <c r="W171" i="69"/>
  <c r="V176" i="69"/>
  <c r="S170" i="69"/>
  <c r="R175" i="69"/>
  <c r="R173" i="69" s="1"/>
  <c r="W169" i="69"/>
  <c r="V174" i="69"/>
  <c r="T89" i="69"/>
  <c r="S94" i="69"/>
  <c r="S153" i="69" s="1"/>
  <c r="BY35" i="5"/>
  <c r="BT28" i="5"/>
  <c r="CD42" i="5"/>
  <c r="BY28" i="5"/>
  <c r="P309" i="69"/>
  <c r="P336" i="69" s="1"/>
  <c r="Q342" i="69" s="1"/>
  <c r="S72" i="69"/>
  <c r="S74" i="69" s="1"/>
  <c r="R232" i="69"/>
  <c r="Q319" i="69"/>
  <c r="R294" i="69"/>
  <c r="R307" i="69" s="1"/>
  <c r="R78" i="69"/>
  <c r="R84" i="69" s="1"/>
  <c r="R142" i="69" s="1"/>
  <c r="R130" i="69"/>
  <c r="O50" i="69"/>
  <c r="O108" i="69" s="1"/>
  <c r="P43" i="69"/>
  <c r="Q168" i="69"/>
  <c r="Q270" i="69" s="1"/>
  <c r="Q277" i="69" s="1"/>
  <c r="Q333" i="69" s="1"/>
  <c r="R339" i="69" s="1"/>
  <c r="Q234" i="69"/>
  <c r="Q238" i="69" s="1"/>
  <c r="Q244" i="69" s="1"/>
  <c r="Q300" i="69" s="1"/>
  <c r="Q290" i="69"/>
  <c r="Q297" i="69" s="1"/>
  <c r="Q335" i="69" s="1"/>
  <c r="R341" i="69" s="1"/>
  <c r="Q312" i="69"/>
  <c r="S98" i="69"/>
  <c r="S103" i="69" s="1"/>
  <c r="V20" i="69"/>
  <c r="U18" i="69"/>
  <c r="BN31" i="5" l="1"/>
  <c r="AJ86" i="1"/>
  <c r="AJ7" i="1" s="1"/>
  <c r="AJ87" i="1"/>
  <c r="Y33" i="69"/>
  <c r="M326" i="69"/>
  <c r="M344" i="69" s="1"/>
  <c r="M346" i="69"/>
  <c r="M352" i="69" s="1"/>
  <c r="BO5" i="5"/>
  <c r="Q338" i="69"/>
  <c r="P332" i="69"/>
  <c r="CD6" i="5"/>
  <c r="P323" i="69"/>
  <c r="O110" i="69"/>
  <c r="O117" i="69" s="1"/>
  <c r="O327" i="69" s="1"/>
  <c r="O346" i="69" s="1"/>
  <c r="O352" i="69" s="1"/>
  <c r="T170" i="69"/>
  <c r="U170" i="69" s="1"/>
  <c r="V170" i="69" s="1"/>
  <c r="W170" i="69" s="1"/>
  <c r="X170" i="69" s="1"/>
  <c r="Y170" i="69" s="1"/>
  <c r="S175" i="69"/>
  <c r="S173" i="69" s="1"/>
  <c r="X169" i="69"/>
  <c r="W174" i="69"/>
  <c r="X171" i="69"/>
  <c r="W176" i="69"/>
  <c r="U89" i="69"/>
  <c r="T94" i="69"/>
  <c r="T153" i="69" s="1"/>
  <c r="CD35" i="5"/>
  <c r="CI6" i="5"/>
  <c r="CD28" i="5"/>
  <c r="Q321" i="69"/>
  <c r="Q337" i="69" s="1"/>
  <c r="R343" i="69" s="1"/>
  <c r="Q309" i="69"/>
  <c r="Q336" i="69" s="1"/>
  <c r="R342" i="69" s="1"/>
  <c r="R168" i="69"/>
  <c r="R270" i="69" s="1"/>
  <c r="R277" i="69" s="1"/>
  <c r="R333" i="69" s="1"/>
  <c r="S339" i="69" s="1"/>
  <c r="S232" i="69"/>
  <c r="T98" i="69"/>
  <c r="S151" i="69"/>
  <c r="T72" i="69"/>
  <c r="T74" i="69" s="1"/>
  <c r="R234" i="69"/>
  <c r="R238" i="69" s="1"/>
  <c r="R244" i="69" s="1"/>
  <c r="R300" i="69" s="1"/>
  <c r="R290" i="69"/>
  <c r="R297" i="69" s="1"/>
  <c r="R335" i="69" s="1"/>
  <c r="S341" i="69" s="1"/>
  <c r="Q43" i="69"/>
  <c r="P50" i="69"/>
  <c r="P108" i="69" s="1"/>
  <c r="P117" i="69" s="1"/>
  <c r="P327" i="69" s="1"/>
  <c r="P346" i="69" s="1"/>
  <c r="P352" i="69" s="1"/>
  <c r="R319" i="69"/>
  <c r="S294" i="69"/>
  <c r="S307" i="69" s="1"/>
  <c r="W20" i="69"/>
  <c r="V18" i="69"/>
  <c r="S78" i="69"/>
  <c r="S84" i="69" s="1"/>
  <c r="S142" i="69" s="1"/>
  <c r="S130" i="69"/>
  <c r="BO7" i="5" l="1"/>
  <c r="BO49" i="5" s="1"/>
  <c r="BN5" i="5"/>
  <c r="BN7" i="5" s="1"/>
  <c r="AJ9" i="1"/>
  <c r="Q332" i="69"/>
  <c r="R338" i="69"/>
  <c r="Q323" i="69"/>
  <c r="Y169" i="69"/>
  <c r="Y174" i="69" s="1"/>
  <c r="X174" i="69"/>
  <c r="Y171" i="69"/>
  <c r="Y176" i="69" s="1"/>
  <c r="X176" i="69"/>
  <c r="T175" i="69"/>
  <c r="T173" i="69" s="1"/>
  <c r="T280" i="69" s="1"/>
  <c r="T287" i="69" s="1"/>
  <c r="T334" i="69" s="1"/>
  <c r="V89" i="69"/>
  <c r="U94" i="69"/>
  <c r="U153" i="69" s="1"/>
  <c r="BY5" i="5"/>
  <c r="BY7" i="5" s="1"/>
  <c r="CI35" i="5"/>
  <c r="CN6" i="5"/>
  <c r="CI28" i="5"/>
  <c r="CI42" i="5"/>
  <c r="BT5" i="5"/>
  <c r="BT7" i="5" s="1"/>
  <c r="R309" i="69"/>
  <c r="R336" i="69" s="1"/>
  <c r="S342" i="69" s="1"/>
  <c r="U98" i="69"/>
  <c r="R312" i="69"/>
  <c r="Q50" i="69"/>
  <c r="Q108" i="69" s="1"/>
  <c r="Q117" i="69" s="1"/>
  <c r="Q327" i="69" s="1"/>
  <c r="Q346" i="69" s="1"/>
  <c r="Q352" i="69" s="1"/>
  <c r="R43" i="69"/>
  <c r="T78" i="69"/>
  <c r="T84" i="69" s="1"/>
  <c r="T142" i="69" s="1"/>
  <c r="T100" i="69"/>
  <c r="U100" i="69" s="1"/>
  <c r="V100" i="69" s="1"/>
  <c r="W100" i="69" s="1"/>
  <c r="X100" i="69" s="1"/>
  <c r="Y100" i="69" s="1"/>
  <c r="T130" i="69"/>
  <c r="S234" i="69"/>
  <c r="S238" i="69" s="1"/>
  <c r="S244" i="69" s="1"/>
  <c r="S300" i="69" s="1"/>
  <c r="S290" i="69"/>
  <c r="S297" i="69" s="1"/>
  <c r="S335" i="69" s="1"/>
  <c r="T341" i="69" s="1"/>
  <c r="S312" i="69"/>
  <c r="S168" i="69"/>
  <c r="S270" i="69" s="1"/>
  <c r="S277" i="69" s="1"/>
  <c r="S333" i="69" s="1"/>
  <c r="T339" i="69" s="1"/>
  <c r="T294" i="69"/>
  <c r="T307" i="69" s="1"/>
  <c r="S319" i="69"/>
  <c r="X20" i="69"/>
  <c r="W18" i="69"/>
  <c r="U72" i="69"/>
  <c r="U74" i="69" s="1"/>
  <c r="T232" i="69"/>
  <c r="AK3" i="1" l="1"/>
  <c r="BN9" i="5"/>
  <c r="AJ84" i="1"/>
  <c r="BN49" i="5"/>
  <c r="BN52" i="5" s="1"/>
  <c r="U340" i="69"/>
  <c r="CX13" i="5"/>
  <c r="T103" i="69"/>
  <c r="T151" i="69" s="1"/>
  <c r="U175" i="69"/>
  <c r="U173" i="69" s="1"/>
  <c r="U280" i="69" s="1"/>
  <c r="U287" i="69" s="1"/>
  <c r="U334" i="69" s="1"/>
  <c r="W89" i="69"/>
  <c r="V94" i="69"/>
  <c r="V153" i="69" s="1"/>
  <c r="R321" i="69"/>
  <c r="CN35" i="5"/>
  <c r="CS6" i="5"/>
  <c r="CN28" i="5"/>
  <c r="AP3" i="1"/>
  <c r="BT10" i="5"/>
  <c r="BY10" i="5"/>
  <c r="CD5" i="5"/>
  <c r="CI5" i="5"/>
  <c r="CI7" i="5" s="1"/>
  <c r="S321" i="69"/>
  <c r="S337" i="69" s="1"/>
  <c r="T343" i="69" s="1"/>
  <c r="U294" i="69"/>
  <c r="U307" i="69" s="1"/>
  <c r="T319" i="69"/>
  <c r="U232" i="69"/>
  <c r="U78" i="69"/>
  <c r="U84" i="69" s="1"/>
  <c r="U142" i="69" s="1"/>
  <c r="U101" i="69"/>
  <c r="V101" i="69" s="1"/>
  <c r="W101" i="69" s="1"/>
  <c r="X101" i="69" s="1"/>
  <c r="Y101" i="69" s="1"/>
  <c r="U130" i="69"/>
  <c r="R50" i="69"/>
  <c r="R108" i="69" s="1"/>
  <c r="R117" i="69" s="1"/>
  <c r="R327" i="69" s="1"/>
  <c r="R346" i="69" s="1"/>
  <c r="R352" i="69" s="1"/>
  <c r="S43" i="69"/>
  <c r="U43" i="69" s="1"/>
  <c r="V43" i="69" s="1"/>
  <c r="V98" i="69"/>
  <c r="V72" i="69"/>
  <c r="V74" i="69" s="1"/>
  <c r="T168" i="69"/>
  <c r="T270" i="69" s="1"/>
  <c r="T277" i="69" s="1"/>
  <c r="T333" i="69" s="1"/>
  <c r="U339" i="69" s="1"/>
  <c r="T234" i="69"/>
  <c r="T238" i="69" s="1"/>
  <c r="T244" i="69" s="1"/>
  <c r="T300" i="69" s="1"/>
  <c r="T290" i="69"/>
  <c r="T297" i="69" s="1"/>
  <c r="T335" i="69" s="1"/>
  <c r="U341" i="69" s="1"/>
  <c r="T312" i="69"/>
  <c r="Y20" i="69"/>
  <c r="Y18" i="69" s="1"/>
  <c r="X18" i="69"/>
  <c r="S309" i="69"/>
  <c r="S336" i="69" s="1"/>
  <c r="T342" i="69" s="1"/>
  <c r="AK84" i="1" l="1"/>
  <c r="AK83" i="1" s="1"/>
  <c r="AK96" i="1"/>
  <c r="AK15" i="1"/>
  <c r="AJ3" i="1"/>
  <c r="AJ83" i="1"/>
  <c r="V340" i="69"/>
  <c r="DC13" i="5"/>
  <c r="S332" i="69"/>
  <c r="T338" i="69"/>
  <c r="R323" i="69"/>
  <c r="R337" i="69"/>
  <c r="S323" i="69"/>
  <c r="V103" i="69"/>
  <c r="V151" i="69" s="1"/>
  <c r="U103" i="69"/>
  <c r="U151" i="69" s="1"/>
  <c r="V175" i="69"/>
  <c r="V173" i="69" s="1"/>
  <c r="V280" i="69" s="1"/>
  <c r="V287" i="69" s="1"/>
  <c r="V334" i="69" s="1"/>
  <c r="X89" i="69"/>
  <c r="W94" i="69"/>
  <c r="W153" i="69" s="1"/>
  <c r="T321" i="69"/>
  <c r="T337" i="69" s="1"/>
  <c r="U343" i="69" s="1"/>
  <c r="CS35" i="5"/>
  <c r="CS28" i="5"/>
  <c r="AP84" i="1"/>
  <c r="BE3" i="1"/>
  <c r="CN5" i="5"/>
  <c r="CN7" i="5" s="1"/>
  <c r="V78" i="69"/>
  <c r="V84" i="69" s="1"/>
  <c r="V142" i="69" s="1"/>
  <c r="V130" i="69"/>
  <c r="S50" i="69"/>
  <c r="S108" i="69" s="1"/>
  <c r="S117" i="69" s="1"/>
  <c r="S327" i="69" s="1"/>
  <c r="S346" i="69" s="1"/>
  <c r="S352" i="69" s="1"/>
  <c r="T62" i="69"/>
  <c r="W72" i="69"/>
  <c r="W74" i="69" s="1"/>
  <c r="U168" i="69"/>
  <c r="U270" i="69" s="1"/>
  <c r="U277" i="69" s="1"/>
  <c r="U333" i="69" s="1"/>
  <c r="V339" i="69" s="1"/>
  <c r="W98" i="69"/>
  <c r="W103" i="69" s="1"/>
  <c r="V232" i="69"/>
  <c r="T309" i="69"/>
  <c r="U234" i="69"/>
  <c r="U238" i="69" s="1"/>
  <c r="U244" i="69" s="1"/>
  <c r="U300" i="69" s="1"/>
  <c r="U290" i="69"/>
  <c r="U297" i="69" s="1"/>
  <c r="U335" i="69" s="1"/>
  <c r="V341" i="69" s="1"/>
  <c r="U319" i="69"/>
  <c r="V294" i="69"/>
  <c r="V307" i="69" s="1"/>
  <c r="T120" i="69" l="1"/>
  <c r="T126" i="69" s="1"/>
  <c r="T328" i="69" s="1"/>
  <c r="CX12" i="5" s="1"/>
  <c r="CX14" i="5" s="1"/>
  <c r="AJ81" i="1"/>
  <c r="AJ15" i="1"/>
  <c r="AJ19" i="1" s="1"/>
  <c r="W340" i="69"/>
  <c r="DH13" i="5"/>
  <c r="S343" i="69"/>
  <c r="S338" i="69" s="1"/>
  <c r="R332" i="69"/>
  <c r="T323" i="69"/>
  <c r="T336" i="69"/>
  <c r="CX6" i="5"/>
  <c r="W175" i="69"/>
  <c r="W173" i="69" s="1"/>
  <c r="W280" i="69" s="1"/>
  <c r="W287" i="69" s="1"/>
  <c r="W334" i="69" s="1"/>
  <c r="Y89" i="69"/>
  <c r="X94" i="69"/>
  <c r="X153" i="69" s="1"/>
  <c r="CX42" i="5"/>
  <c r="CX28" i="5"/>
  <c r="CN42" i="5"/>
  <c r="BE84" i="1"/>
  <c r="BJ3" i="1"/>
  <c r="CN10" i="5"/>
  <c r="CS5" i="5"/>
  <c r="CS7" i="5" s="1"/>
  <c r="U312" i="69"/>
  <c r="V234" i="69"/>
  <c r="V238" i="69" s="1"/>
  <c r="V244" i="69" s="1"/>
  <c r="V300" i="69" s="1"/>
  <c r="V290" i="69"/>
  <c r="V297" i="69" s="1"/>
  <c r="V335" i="69" s="1"/>
  <c r="W341" i="69" s="1"/>
  <c r="X98" i="69"/>
  <c r="X103" i="69" s="1"/>
  <c r="W151" i="69"/>
  <c r="V319" i="69"/>
  <c r="W294" i="69"/>
  <c r="W307" i="69" s="1"/>
  <c r="V168" i="69"/>
  <c r="V270" i="69" s="1"/>
  <c r="V277" i="69" s="1"/>
  <c r="V333" i="69" s="1"/>
  <c r="W339" i="69" s="1"/>
  <c r="X72" i="69"/>
  <c r="X74" i="69" s="1"/>
  <c r="Y72" i="69"/>
  <c r="Y74" i="69" s="1"/>
  <c r="U309" i="69"/>
  <c r="U336" i="69" s="1"/>
  <c r="V342" i="69" s="1"/>
  <c r="W232" i="69"/>
  <c r="W78" i="69"/>
  <c r="W84" i="69" s="1"/>
  <c r="W142" i="69" s="1"/>
  <c r="W130" i="69"/>
  <c r="U62" i="69"/>
  <c r="U120" i="69" s="1"/>
  <c r="U126" i="69" s="1"/>
  <c r="U328" i="69" s="1"/>
  <c r="T50" i="69"/>
  <c r="T108" i="69" s="1"/>
  <c r="T117" i="69" s="1"/>
  <c r="T327" i="69" s="1"/>
  <c r="T346" i="69" s="1"/>
  <c r="T352" i="69" s="1"/>
  <c r="T347" i="69" l="1"/>
  <c r="CS42" i="5"/>
  <c r="CS10" i="5"/>
  <c r="DC12" i="5"/>
  <c r="DC14" i="5" s="1"/>
  <c r="DC17" i="5" s="1"/>
  <c r="U347" i="69"/>
  <c r="X340" i="69"/>
  <c r="DM13" i="5"/>
  <c r="BT5" i="1"/>
  <c r="BT85" i="1" s="1"/>
  <c r="U342" i="69"/>
  <c r="U338" i="69" s="1"/>
  <c r="T332" i="69"/>
  <c r="DC6" i="5"/>
  <c r="Y94" i="69"/>
  <c r="Y153" i="69" s="1"/>
  <c r="Y175" i="69"/>
  <c r="Y173" i="69" s="1"/>
  <c r="Y280" i="69" s="1"/>
  <c r="Y287" i="69" s="1"/>
  <c r="Y334" i="69" s="1"/>
  <c r="X175" i="69"/>
  <c r="X173" i="69" s="1"/>
  <c r="X280" i="69" s="1"/>
  <c r="X287" i="69" s="1"/>
  <c r="X334" i="69" s="1"/>
  <c r="CX5" i="5"/>
  <c r="CX7" i="5" s="1"/>
  <c r="U321" i="69"/>
  <c r="CX35" i="5"/>
  <c r="DC28" i="5"/>
  <c r="BO3" i="1"/>
  <c r="BJ84" i="1"/>
  <c r="V312" i="69"/>
  <c r="V309" i="69"/>
  <c r="V336" i="69" s="1"/>
  <c r="W342" i="69" s="1"/>
  <c r="W234" i="69"/>
  <c r="W238" i="69" s="1"/>
  <c r="W244" i="69" s="1"/>
  <c r="W300" i="69" s="1"/>
  <c r="W290" i="69"/>
  <c r="W297" i="69" s="1"/>
  <c r="W335" i="69" s="1"/>
  <c r="X341" i="69" s="1"/>
  <c r="X151" i="69"/>
  <c r="Y98" i="69"/>
  <c r="W168" i="69"/>
  <c r="W270" i="69" s="1"/>
  <c r="W277" i="69" s="1"/>
  <c r="W333" i="69" s="1"/>
  <c r="X339" i="69" s="1"/>
  <c r="U50" i="69"/>
  <c r="U108" i="69" s="1"/>
  <c r="U117" i="69" s="1"/>
  <c r="U327" i="69" s="1"/>
  <c r="U346" i="69" s="1"/>
  <c r="U352" i="69" s="1"/>
  <c r="V62" i="69"/>
  <c r="V120" i="69" s="1"/>
  <c r="V126" i="69" s="1"/>
  <c r="V328" i="69" s="1"/>
  <c r="Y78" i="69"/>
  <c r="Y84" i="69" s="1"/>
  <c r="Y142" i="69" s="1"/>
  <c r="Y130" i="69"/>
  <c r="X232" i="69"/>
  <c r="X78" i="69"/>
  <c r="X84" i="69" s="1"/>
  <c r="X142" i="69" s="1"/>
  <c r="X130" i="69"/>
  <c r="X294" i="69"/>
  <c r="X307" i="69" s="1"/>
  <c r="W319" i="69"/>
  <c r="DC35" i="5" l="1"/>
  <c r="DH12" i="5"/>
  <c r="DH14" i="5" s="1"/>
  <c r="DH17" i="5" s="1"/>
  <c r="V347" i="69"/>
  <c r="CX10" i="5"/>
  <c r="BY5" i="1"/>
  <c r="BY85" i="1" s="1"/>
  <c r="Y340" i="69"/>
  <c r="DW13" i="5" s="1"/>
  <c r="DR13" i="5"/>
  <c r="U323" i="69"/>
  <c r="U337" i="69"/>
  <c r="DH6" i="5"/>
  <c r="Y103" i="69"/>
  <c r="Y151" i="69" s="1"/>
  <c r="DC5" i="5"/>
  <c r="DC7" i="5" s="1"/>
  <c r="DH35" i="5"/>
  <c r="DH28" i="5"/>
  <c r="BT3" i="1"/>
  <c r="BO84" i="1"/>
  <c r="V321" i="69"/>
  <c r="W309" i="69"/>
  <c r="W336" i="69" s="1"/>
  <c r="X342" i="69" s="1"/>
  <c r="Y294" i="69"/>
  <c r="X319" i="69"/>
  <c r="Y232" i="69"/>
  <c r="V50" i="69"/>
  <c r="V108" i="69" s="1"/>
  <c r="V117" i="69" s="1"/>
  <c r="V327" i="69" s="1"/>
  <c r="V346" i="69" s="1"/>
  <c r="V352" i="69" s="1"/>
  <c r="W62" i="69"/>
  <c r="W120" i="69" s="1"/>
  <c r="W126" i="69" s="1"/>
  <c r="W328" i="69" s="1"/>
  <c r="X234" i="69"/>
  <c r="X238" i="69" s="1"/>
  <c r="X244" i="69" s="1"/>
  <c r="X300" i="69" s="1"/>
  <c r="X290" i="69"/>
  <c r="X297" i="69" s="1"/>
  <c r="X335" i="69" s="1"/>
  <c r="Y341" i="69" s="1"/>
  <c r="X168" i="69"/>
  <c r="X270" i="69" s="1"/>
  <c r="X277" i="69" s="1"/>
  <c r="X333" i="69" s="1"/>
  <c r="Y339" i="69" s="1"/>
  <c r="DC10" i="5" l="1"/>
  <c r="W347" i="69"/>
  <c r="DM12" i="5"/>
  <c r="DM14" i="5" s="1"/>
  <c r="CD5" i="1"/>
  <c r="CD85" i="1" s="1"/>
  <c r="V343" i="69"/>
  <c r="V338" i="69" s="1"/>
  <c r="U332" i="69"/>
  <c r="V323" i="69"/>
  <c r="V337" i="69"/>
  <c r="DM6" i="5"/>
  <c r="Y307" i="69"/>
  <c r="Y319" i="69" s="1"/>
  <c r="W312" i="69"/>
  <c r="W321" i="69" s="1"/>
  <c r="W337" i="69" s="1"/>
  <c r="X343" i="69" s="1"/>
  <c r="X338" i="69" s="1"/>
  <c r="DH5" i="5"/>
  <c r="DH7" i="5" s="1"/>
  <c r="DM35" i="5"/>
  <c r="DC42" i="5"/>
  <c r="DR6" i="5"/>
  <c r="DM28" i="5"/>
  <c r="BY3" i="1"/>
  <c r="BT84" i="1"/>
  <c r="X309" i="69"/>
  <c r="X336" i="69" s="1"/>
  <c r="Y342" i="69" s="1"/>
  <c r="Y168" i="69"/>
  <c r="Y270" i="69" s="1"/>
  <c r="Y277" i="69" s="1"/>
  <c r="Y333" i="69" s="1"/>
  <c r="W50" i="69"/>
  <c r="W108" i="69" s="1"/>
  <c r="W117" i="69" s="1"/>
  <c r="W327" i="69" s="1"/>
  <c r="W346" i="69" s="1"/>
  <c r="W352" i="69" s="1"/>
  <c r="X43" i="69"/>
  <c r="X62" i="69" s="1"/>
  <c r="X120" i="69" s="1"/>
  <c r="X126" i="69" s="1"/>
  <c r="X328" i="69" s="1"/>
  <c r="Y234" i="69"/>
  <c r="Y238" i="69" s="1"/>
  <c r="Y244" i="69" s="1"/>
  <c r="Y300" i="69" s="1"/>
  <c r="Y290" i="69"/>
  <c r="CI5" i="1" l="1"/>
  <c r="CI85" i="1" s="1"/>
  <c r="DM17" i="5"/>
  <c r="DH10" i="5"/>
  <c r="DR12" i="5"/>
  <c r="DR14" i="5" s="1"/>
  <c r="X347" i="69"/>
  <c r="W343" i="69"/>
  <c r="W338" i="69" s="1"/>
  <c r="V332" i="69"/>
  <c r="W332" i="69"/>
  <c r="W323" i="69"/>
  <c r="DW6" i="5"/>
  <c r="Y309" i="69"/>
  <c r="Y336" i="69" s="1"/>
  <c r="Y297" i="69"/>
  <c r="X312" i="69"/>
  <c r="X321" i="69" s="1"/>
  <c r="DM5" i="5"/>
  <c r="DM7" i="5" s="1"/>
  <c r="DR35" i="5"/>
  <c r="DH42" i="5"/>
  <c r="DR28" i="5"/>
  <c r="BY84" i="1"/>
  <c r="CD3" i="1"/>
  <c r="Y43" i="69"/>
  <c r="X50" i="69"/>
  <c r="X108" i="69" s="1"/>
  <c r="X117" i="69" s="1"/>
  <c r="X327" i="69" s="1"/>
  <c r="X346" i="69" s="1"/>
  <c r="X352" i="69" s="1"/>
  <c r="DM42" i="5" l="1"/>
  <c r="DM10" i="5"/>
  <c r="CN5" i="1"/>
  <c r="CN85" i="1" s="1"/>
  <c r="DR17" i="5"/>
  <c r="X323" i="69"/>
  <c r="X337" i="69"/>
  <c r="Y335" i="69"/>
  <c r="DW28" i="5" s="1"/>
  <c r="DW35" i="5"/>
  <c r="Y312" i="69"/>
  <c r="Y321" i="69" s="1"/>
  <c r="DR5" i="5"/>
  <c r="DR7" i="5" s="1"/>
  <c r="Y50" i="69"/>
  <c r="Y108" i="69" s="1"/>
  <c r="Y117" i="69" s="1"/>
  <c r="Y327" i="69" s="1"/>
  <c r="Y346" i="69" s="1"/>
  <c r="Y352" i="69" s="1"/>
  <c r="Y62" i="69"/>
  <c r="Y120" i="69" s="1"/>
  <c r="Y126" i="69" s="1"/>
  <c r="Y328" i="69" s="1"/>
  <c r="CI3" i="1"/>
  <c r="CD84" i="1"/>
  <c r="DR10" i="5" l="1"/>
  <c r="DW12" i="5"/>
  <c r="DW14" i="5" s="1"/>
  <c r="Y347" i="69"/>
  <c r="Y323" i="69"/>
  <c r="Y337" i="69"/>
  <c r="Y332" i="69" s="1"/>
  <c r="Y343" i="69"/>
  <c r="Y338" i="69" s="1"/>
  <c r="X332" i="69"/>
  <c r="DR42" i="5"/>
  <c r="DW5" i="5"/>
  <c r="DW7" i="5" s="1"/>
  <c r="CN3" i="1"/>
  <c r="CI84" i="1"/>
  <c r="CS5" i="1" l="1"/>
  <c r="CS85" i="1" s="1"/>
  <c r="DW17" i="5"/>
  <c r="DW42" i="5"/>
  <c r="CS3" i="1"/>
  <c r="DW10" i="5"/>
  <c r="CN84" i="1"/>
  <c r="CS84" i="1" l="1"/>
  <c r="E15" i="9" l="1"/>
  <c r="U142" i="8"/>
  <c r="T142" i="8"/>
  <c r="S142" i="8"/>
  <c r="R142" i="8"/>
  <c r="Q142" i="8"/>
  <c r="P142" i="8"/>
  <c r="M142" i="8"/>
  <c r="L142" i="8"/>
  <c r="K142" i="8"/>
  <c r="J142" i="8"/>
  <c r="O127" i="8"/>
  <c r="P127" i="8" s="1"/>
  <c r="P128" i="8" s="1"/>
  <c r="N125" i="8"/>
  <c r="N142" i="8" s="1"/>
  <c r="O125" i="8"/>
  <c r="N126" i="8" s="1"/>
  <c r="N128" i="8" s="1"/>
  <c r="N105" i="8"/>
  <c r="M105" i="8"/>
  <c r="L105" i="8"/>
  <c r="K105" i="8"/>
  <c r="J105" i="8"/>
  <c r="I105" i="8"/>
  <c r="H105" i="8"/>
  <c r="G105" i="8"/>
  <c r="F105" i="8"/>
  <c r="F99" i="8"/>
  <c r="E103" i="8" s="1"/>
  <c r="E105" i="8" s="1"/>
  <c r="H98" i="8"/>
  <c r="H100" i="8" s="1"/>
  <c r="H106" i="8" s="1"/>
  <c r="G98" i="8"/>
  <c r="G100" i="8" s="1"/>
  <c r="G106" i="8" s="1"/>
  <c r="F98" i="8"/>
  <c r="F100" i="8" s="1"/>
  <c r="F106" i="8" s="1"/>
  <c r="E98" i="8"/>
  <c r="E100" i="8" s="1"/>
  <c r="D98" i="8"/>
  <c r="D99" i="8" s="1"/>
  <c r="D106" i="8" s="1"/>
  <c r="F92" i="8"/>
  <c r="L68" i="8"/>
  <c r="H68" i="8"/>
  <c r="H63" i="8"/>
  <c r="G66" i="8" s="1"/>
  <c r="G63" i="8"/>
  <c r="F66" i="8" s="1"/>
  <c r="F63" i="8"/>
  <c r="F69" i="8" s="1"/>
  <c r="E63" i="8"/>
  <c r="D66" i="8" s="1"/>
  <c r="D63" i="8"/>
  <c r="L62" i="8"/>
  <c r="K66" i="8" s="1"/>
  <c r="K68" i="8" s="1"/>
  <c r="K62" i="8"/>
  <c r="K69" i="8" s="1"/>
  <c r="J62" i="8"/>
  <c r="I66" i="8" s="1"/>
  <c r="I62" i="8"/>
  <c r="I69" i="8" s="1"/>
  <c r="I141" i="8" s="1"/>
  <c r="I61" i="8"/>
  <c r="D61" i="8"/>
  <c r="U27" i="8"/>
  <c r="U141" i="8" s="1"/>
  <c r="T27" i="8"/>
  <c r="T141" i="8" s="1"/>
  <c r="S27" i="8"/>
  <c r="S141" i="8" s="1"/>
  <c r="R25" i="8"/>
  <c r="U24" i="8"/>
  <c r="U135" i="8" s="1"/>
  <c r="T24" i="8"/>
  <c r="T135" i="8" s="1"/>
  <c r="S24" i="8"/>
  <c r="S135" i="8" s="1"/>
  <c r="R24" i="8"/>
  <c r="R135" i="8" s="1"/>
  <c r="L24" i="8"/>
  <c r="L135" i="8" s="1"/>
  <c r="K19" i="8"/>
  <c r="R16" i="8"/>
  <c r="R27" i="8" s="1"/>
  <c r="R141" i="8" s="1"/>
  <c r="Q16" i="8"/>
  <c r="Q27" i="8" s="1"/>
  <c r="Q141" i="8" s="1"/>
  <c r="P16" i="8"/>
  <c r="O24" i="8" s="1"/>
  <c r="O16" i="8"/>
  <c r="O27" i="8" s="1"/>
  <c r="O141" i="8" s="1"/>
  <c r="N16" i="8"/>
  <c r="N27" i="8" s="1"/>
  <c r="N141" i="8" s="1"/>
  <c r="M16" i="8"/>
  <c r="M27" i="8" s="1"/>
  <c r="M141" i="8" s="1"/>
  <c r="L16" i="8"/>
  <c r="K24" i="8" s="1"/>
  <c r="K16" i="8"/>
  <c r="K27" i="8" s="1"/>
  <c r="J16" i="8"/>
  <c r="J27" i="8" s="1"/>
  <c r="I16" i="8"/>
  <c r="I27" i="8" s="1"/>
  <c r="H16" i="8"/>
  <c r="G24" i="8" s="1"/>
  <c r="G16" i="8"/>
  <c r="G27" i="8" s="1"/>
  <c r="F16" i="8"/>
  <c r="F27" i="8" s="1"/>
  <c r="H15" i="8"/>
  <c r="G15" i="8"/>
  <c r="F15" i="8"/>
  <c r="H89" i="3"/>
  <c r="G89" i="3"/>
  <c r="I88" i="3"/>
  <c r="H88" i="3"/>
  <c r="G88" i="3"/>
  <c r="F86" i="3"/>
  <c r="E86" i="3"/>
  <c r="D86" i="3"/>
  <c r="I86" i="3"/>
  <c r="H86" i="3"/>
  <c r="I82" i="3"/>
  <c r="F82" i="3"/>
  <c r="D82" i="3"/>
  <c r="G81" i="3"/>
  <c r="G82" i="3" s="1"/>
  <c r="G84" i="3" s="1"/>
  <c r="N80" i="3"/>
  <c r="M80" i="3"/>
  <c r="L80" i="3"/>
  <c r="K80" i="3"/>
  <c r="J80" i="3"/>
  <c r="H78" i="3"/>
  <c r="H82" i="3" s="1"/>
  <c r="H84" i="3" s="1"/>
  <c r="H76" i="3"/>
  <c r="E74" i="3"/>
  <c r="E82" i="3" s="1"/>
  <c r="C74" i="3"/>
  <c r="C82" i="3" s="1"/>
  <c r="N71" i="3"/>
  <c r="M71" i="3"/>
  <c r="L71" i="3"/>
  <c r="K71" i="3"/>
  <c r="J71" i="3"/>
  <c r="F68" i="3"/>
  <c r="F71" i="3" s="1"/>
  <c r="E68" i="3"/>
  <c r="E71" i="3" s="1"/>
  <c r="D68" i="3"/>
  <c r="D71" i="3" s="1"/>
  <c r="C68" i="3"/>
  <c r="C71" i="3" s="1"/>
  <c r="G66" i="3"/>
  <c r="F66" i="3"/>
  <c r="E66" i="3"/>
  <c r="D66" i="3"/>
  <c r="C66" i="3"/>
  <c r="I64" i="3"/>
  <c r="H64" i="3"/>
  <c r="G64" i="3"/>
  <c r="I63" i="3"/>
  <c r="H63" i="3"/>
  <c r="G63" i="3"/>
  <c r="F63" i="3"/>
  <c r="E63" i="3"/>
  <c r="D63" i="3"/>
  <c r="C63" i="3"/>
  <c r="G60" i="3"/>
  <c r="F60" i="3"/>
  <c r="E60" i="3"/>
  <c r="D60" i="3"/>
  <c r="C60" i="3"/>
  <c r="F58" i="3"/>
  <c r="E58" i="3"/>
  <c r="D58" i="3"/>
  <c r="C58" i="3"/>
  <c r="H57" i="3"/>
  <c r="G57" i="3"/>
  <c r="G68" i="3" s="1"/>
  <c r="G55" i="3"/>
  <c r="F55" i="3"/>
  <c r="E55" i="3"/>
  <c r="D55" i="3"/>
  <c r="C55" i="3"/>
  <c r="K52" i="3"/>
  <c r="J52" i="3"/>
  <c r="E49" i="3"/>
  <c r="F40" i="3"/>
  <c r="E40" i="3"/>
  <c r="D40" i="3"/>
  <c r="C40" i="3"/>
  <c r="J39" i="3"/>
  <c r="J40" i="3" s="1"/>
  <c r="I39" i="3"/>
  <c r="I40" i="3" s="1"/>
  <c r="H39" i="3"/>
  <c r="H40" i="3" s="1"/>
  <c r="G39" i="3"/>
  <c r="G40" i="3" s="1"/>
  <c r="N36" i="3"/>
  <c r="M36" i="3"/>
  <c r="L36" i="3"/>
  <c r="K36" i="3"/>
  <c r="F29" i="3"/>
  <c r="E29" i="3"/>
  <c r="D29" i="3"/>
  <c r="C29" i="3"/>
  <c r="J28" i="3"/>
  <c r="I28" i="3"/>
  <c r="I29" i="3" s="1"/>
  <c r="H28" i="3"/>
  <c r="H29" i="3" s="1"/>
  <c r="G28" i="3"/>
  <c r="G29" i="3" s="1"/>
  <c r="J25" i="3"/>
  <c r="J29" i="3" s="1"/>
  <c r="F20" i="3"/>
  <c r="F44" i="3" s="1"/>
  <c r="E20" i="3"/>
  <c r="D20" i="3"/>
  <c r="D44" i="3" s="1"/>
  <c r="C20" i="3"/>
  <c r="C44" i="3" s="1"/>
  <c r="C47" i="3" s="1"/>
  <c r="J18" i="3"/>
  <c r="I18" i="3"/>
  <c r="H18" i="3"/>
  <c r="G18" i="3"/>
  <c r="J17" i="3"/>
  <c r="J11" i="3"/>
  <c r="I11" i="3"/>
  <c r="H11" i="3"/>
  <c r="G11" i="3"/>
  <c r="I9" i="3"/>
  <c r="I20" i="3" s="1"/>
  <c r="H9" i="3"/>
  <c r="G9" i="3"/>
  <c r="F86" i="2"/>
  <c r="E86" i="2"/>
  <c r="F81" i="2" s="1"/>
  <c r="D86" i="2"/>
  <c r="E81" i="2" s="1"/>
  <c r="C86" i="2"/>
  <c r="D81" i="2" s="1"/>
  <c r="F84" i="2"/>
  <c r="F109" i="2" s="1"/>
  <c r="E84" i="2"/>
  <c r="E109" i="2" s="1"/>
  <c r="D84" i="2"/>
  <c r="D109" i="2" s="1"/>
  <c r="C84" i="2"/>
  <c r="C109" i="2" s="1"/>
  <c r="D73" i="2"/>
  <c r="C73" i="2"/>
  <c r="D71" i="2"/>
  <c r="C71" i="2"/>
  <c r="D67" i="2"/>
  <c r="C67" i="2"/>
  <c r="D65" i="2"/>
  <c r="C65" i="2"/>
  <c r="D63" i="2"/>
  <c r="C63" i="2"/>
  <c r="F53" i="2"/>
  <c r="F82" i="2" s="1"/>
  <c r="E53" i="2"/>
  <c r="E82" i="2" s="1"/>
  <c r="D53" i="2"/>
  <c r="D82" i="2" s="1"/>
  <c r="C53" i="2"/>
  <c r="C82" i="2" s="1"/>
  <c r="C50" i="2"/>
  <c r="D49" i="2"/>
  <c r="F39" i="2"/>
  <c r="E39" i="2"/>
  <c r="D39" i="2"/>
  <c r="C39" i="2"/>
  <c r="H40" i="2"/>
  <c r="L39" i="3" s="1"/>
  <c r="H37" i="2"/>
  <c r="I37" i="2" s="1"/>
  <c r="J37" i="2" s="1"/>
  <c r="K37" i="2" s="1"/>
  <c r="L37" i="2" s="1"/>
  <c r="M37" i="2" s="1"/>
  <c r="N37" i="2" s="1"/>
  <c r="O37" i="2" s="1"/>
  <c r="P37" i="2" s="1"/>
  <c r="Q37" i="2" s="1"/>
  <c r="R37" i="2" s="1"/>
  <c r="S37" i="2" s="1"/>
  <c r="T37" i="2" s="1"/>
  <c r="H35" i="2"/>
  <c r="I35" i="2" s="1"/>
  <c r="J35" i="2" s="1"/>
  <c r="K35" i="2" s="1"/>
  <c r="L35" i="2" s="1"/>
  <c r="M35" i="2" s="1"/>
  <c r="N35" i="2" s="1"/>
  <c r="O35" i="2" s="1"/>
  <c r="P35" i="2" s="1"/>
  <c r="Q35" i="2" s="1"/>
  <c r="R35" i="2" s="1"/>
  <c r="S35" i="2" s="1"/>
  <c r="T35" i="2" s="1"/>
  <c r="F31" i="2"/>
  <c r="E31" i="2"/>
  <c r="D31" i="2"/>
  <c r="D77" i="2" s="1"/>
  <c r="C31" i="2"/>
  <c r="C77" i="2" s="1"/>
  <c r="H29" i="2"/>
  <c r="I29" i="2" s="1"/>
  <c r="J29" i="2" s="1"/>
  <c r="K29" i="2" s="1"/>
  <c r="L29" i="2" s="1"/>
  <c r="M29" i="2" s="1"/>
  <c r="N29" i="2" s="1"/>
  <c r="O29" i="2" s="1"/>
  <c r="P29" i="2" s="1"/>
  <c r="Q29" i="2" s="1"/>
  <c r="R29" i="2" s="1"/>
  <c r="S29" i="2" s="1"/>
  <c r="T29" i="2" s="1"/>
  <c r="H28" i="2"/>
  <c r="I28" i="2" s="1"/>
  <c r="J28" i="2" s="1"/>
  <c r="K28" i="2" s="1"/>
  <c r="L28" i="2" s="1"/>
  <c r="M28" i="2" s="1"/>
  <c r="N28" i="2" s="1"/>
  <c r="O28" i="2" s="1"/>
  <c r="P28" i="2" s="1"/>
  <c r="Q28" i="2" s="1"/>
  <c r="R28" i="2" s="1"/>
  <c r="S28" i="2" s="1"/>
  <c r="T28" i="2" s="1"/>
  <c r="F18" i="2"/>
  <c r="F25" i="2" s="1"/>
  <c r="E18" i="2"/>
  <c r="E25" i="2" s="1"/>
  <c r="E32" i="2" s="1"/>
  <c r="D18" i="2"/>
  <c r="D25" i="2" s="1"/>
  <c r="C18" i="2"/>
  <c r="C75" i="2" s="1"/>
  <c r="H20" i="2"/>
  <c r="I20" i="2" s="1"/>
  <c r="J20" i="2" s="1"/>
  <c r="K20" i="2" s="1"/>
  <c r="L20" i="2" s="1"/>
  <c r="M20" i="2" s="1"/>
  <c r="N20" i="2" s="1"/>
  <c r="O20" i="2" s="1"/>
  <c r="P20" i="2" s="1"/>
  <c r="Q20" i="2" s="1"/>
  <c r="R20" i="2" s="1"/>
  <c r="S20" i="2" s="1"/>
  <c r="T20" i="2" s="1"/>
  <c r="F13" i="2"/>
  <c r="E13" i="2"/>
  <c r="D13" i="2"/>
  <c r="D69" i="2" s="1"/>
  <c r="C13" i="2"/>
  <c r="C69" i="2" s="1"/>
  <c r="D10" i="2"/>
  <c r="D14" i="2" s="1"/>
  <c r="C10" i="2"/>
  <c r="F9" i="2"/>
  <c r="F10" i="2" s="1"/>
  <c r="E9" i="2"/>
  <c r="E10" i="2" s="1"/>
  <c r="E12" i="70" s="1"/>
  <c r="H6" i="2"/>
  <c r="I6" i="2" s="1"/>
  <c r="J6" i="2" s="1"/>
  <c r="K6" i="2" s="1"/>
  <c r="CD51" i="5"/>
  <c r="BJ51" i="5"/>
  <c r="BO52" i="5"/>
  <c r="AZ51" i="5"/>
  <c r="AU51" i="5"/>
  <c r="AU50" i="5"/>
  <c r="AP51" i="5"/>
  <c r="AK51" i="5"/>
  <c r="AD51" i="5"/>
  <c r="AB51" i="5"/>
  <c r="Z51" i="5"/>
  <c r="V51" i="5"/>
  <c r="V50" i="5"/>
  <c r="Q51" i="5"/>
  <c r="Q50" i="5"/>
  <c r="K51" i="5"/>
  <c r="J51" i="5"/>
  <c r="I51" i="5"/>
  <c r="AZ50" i="5"/>
  <c r="AM50" i="5"/>
  <c r="AL50" i="5"/>
  <c r="AE50" i="5"/>
  <c r="AF50" i="5" s="1"/>
  <c r="AA50" i="5"/>
  <c r="K50" i="5"/>
  <c r="J50" i="5"/>
  <c r="F51" i="5"/>
  <c r="F50" i="5"/>
  <c r="G50" i="5" s="1"/>
  <c r="AI50" i="5"/>
  <c r="AH50" i="5"/>
  <c r="AG50" i="5"/>
  <c r="BF29" i="5"/>
  <c r="BK32" i="5" s="1"/>
  <c r="AX29" i="5"/>
  <c r="AW29" i="5"/>
  <c r="AV29" i="5"/>
  <c r="AW31" i="5" s="1"/>
  <c r="AT29" i="5"/>
  <c r="AS29" i="5"/>
  <c r="AR29" i="5"/>
  <c r="AQ29" i="5"/>
  <c r="AO29" i="5"/>
  <c r="AN29" i="5"/>
  <c r="AO31" i="5" s="1"/>
  <c r="AM29" i="5"/>
  <c r="AR32" i="5" s="1"/>
  <c r="AL29" i="5"/>
  <c r="AQ32" i="5" s="1"/>
  <c r="AJ29" i="5"/>
  <c r="AO32" i="5" s="1"/>
  <c r="AI29" i="5"/>
  <c r="AN32" i="5" s="1"/>
  <c r="AH29" i="5"/>
  <c r="AI31" i="5" s="1"/>
  <c r="AG29" i="5"/>
  <c r="AL32" i="5" s="1"/>
  <c r="AE29" i="5"/>
  <c r="AJ32" i="5" s="1"/>
  <c r="AD29" i="5"/>
  <c r="AI32" i="5" s="1"/>
  <c r="AC29" i="5"/>
  <c r="AB29" i="5"/>
  <c r="AG32" i="5" s="1"/>
  <c r="Z29" i="5"/>
  <c r="AB31" i="5" s="1"/>
  <c r="Y29" i="5"/>
  <c r="X29" i="5"/>
  <c r="AC32" i="5" s="1"/>
  <c r="W29" i="5"/>
  <c r="AB32" i="5" s="1"/>
  <c r="U29" i="5"/>
  <c r="T29" i="5"/>
  <c r="Y32" i="5" s="1"/>
  <c r="S29" i="5"/>
  <c r="R29" i="5"/>
  <c r="W32" i="5" s="1"/>
  <c r="P29" i="5"/>
  <c r="U32" i="5" s="1"/>
  <c r="O29" i="5"/>
  <c r="T32" i="5" s="1"/>
  <c r="N29" i="5"/>
  <c r="S32" i="5" s="1"/>
  <c r="M29" i="5"/>
  <c r="K29" i="5"/>
  <c r="P32" i="5" s="1"/>
  <c r="J29" i="5"/>
  <c r="O32" i="5" s="1"/>
  <c r="I29" i="5"/>
  <c r="N32" i="5" s="1"/>
  <c r="H29" i="5"/>
  <c r="M32" i="5" s="1"/>
  <c r="F29" i="5"/>
  <c r="H31" i="5" s="1"/>
  <c r="E29" i="5"/>
  <c r="D29" i="5"/>
  <c r="I32" i="5" s="1"/>
  <c r="C29" i="5"/>
  <c r="AY28" i="5"/>
  <c r="AY29" i="5" s="1"/>
  <c r="AU28" i="5"/>
  <c r="AU27" i="5"/>
  <c r="AP28" i="5"/>
  <c r="AP27" i="5"/>
  <c r="AK28" i="5"/>
  <c r="AK27" i="5"/>
  <c r="AF28" i="5"/>
  <c r="AF27" i="5"/>
  <c r="AA28" i="5"/>
  <c r="AA27" i="5"/>
  <c r="V28" i="5"/>
  <c r="V27" i="5"/>
  <c r="Q28" i="5"/>
  <c r="Q27" i="5"/>
  <c r="L28" i="5"/>
  <c r="L27" i="5"/>
  <c r="G28" i="5"/>
  <c r="G27" i="5"/>
  <c r="BA27" i="5"/>
  <c r="BE27" i="5" s="1"/>
  <c r="AZ27" i="5"/>
  <c r="AZ29" i="5" s="1"/>
  <c r="CD22" i="5"/>
  <c r="BD23" i="5"/>
  <c r="BC23" i="5"/>
  <c r="BD24" i="5" s="1"/>
  <c r="BB23" i="5"/>
  <c r="BC24" i="5" s="1"/>
  <c r="BA23" i="5"/>
  <c r="BB24" i="5" s="1"/>
  <c r="AY23" i="5"/>
  <c r="BD25" i="5" s="1"/>
  <c r="AX23" i="5"/>
  <c r="AW23" i="5"/>
  <c r="AT23" i="5"/>
  <c r="AS23" i="5"/>
  <c r="AR23" i="5"/>
  <c r="AO23" i="5"/>
  <c r="AN23" i="5"/>
  <c r="AI23" i="5"/>
  <c r="AH23" i="5"/>
  <c r="AG23" i="5"/>
  <c r="AD23" i="5"/>
  <c r="AC23" i="5"/>
  <c r="AB23" i="5"/>
  <c r="AG25" i="5" s="1"/>
  <c r="Z23" i="5"/>
  <c r="Y23" i="5"/>
  <c r="AD25" i="5" s="1"/>
  <c r="X23" i="5"/>
  <c r="W23" i="5"/>
  <c r="AB25" i="5" s="1"/>
  <c r="U23" i="5"/>
  <c r="Z25" i="5" s="1"/>
  <c r="T23" i="5"/>
  <c r="Y25" i="5" s="1"/>
  <c r="S23" i="5"/>
  <c r="X25" i="5" s="1"/>
  <c r="R23" i="5"/>
  <c r="W25" i="5" s="1"/>
  <c r="P23" i="5"/>
  <c r="O23" i="5"/>
  <c r="T25" i="5" s="1"/>
  <c r="N23" i="5"/>
  <c r="M23" i="5"/>
  <c r="R25" i="5" s="1"/>
  <c r="K23" i="5"/>
  <c r="P25" i="5" s="1"/>
  <c r="J23" i="5"/>
  <c r="O25" i="5" s="1"/>
  <c r="I23" i="5"/>
  <c r="N25" i="5" s="1"/>
  <c r="H23" i="5"/>
  <c r="M25" i="5" s="1"/>
  <c r="F23" i="5"/>
  <c r="E23" i="5"/>
  <c r="J25" i="5" s="1"/>
  <c r="D23" i="5"/>
  <c r="C23" i="5"/>
  <c r="H25" i="5" s="1"/>
  <c r="BE22" i="5"/>
  <c r="AZ22" i="5"/>
  <c r="AU22" i="5"/>
  <c r="AP22" i="5"/>
  <c r="AJ22" i="5"/>
  <c r="AJ50" i="5" s="1"/>
  <c r="AE22" i="5"/>
  <c r="AE23" i="5" s="1"/>
  <c r="AA22" i="5"/>
  <c r="V22" i="5"/>
  <c r="Q22" i="5"/>
  <c r="L22" i="5"/>
  <c r="G22" i="5"/>
  <c r="CD20" i="5"/>
  <c r="CD19" i="5"/>
  <c r="CD25" i="5"/>
  <c r="BE20" i="5"/>
  <c r="BE19" i="5"/>
  <c r="AZ20" i="5"/>
  <c r="AU20" i="5"/>
  <c r="AP20" i="5"/>
  <c r="AK20" i="5"/>
  <c r="AK19" i="5"/>
  <c r="AF20" i="5"/>
  <c r="AF19" i="5"/>
  <c r="AA20" i="5"/>
  <c r="AA19" i="5"/>
  <c r="V20" i="5"/>
  <c r="V19" i="5"/>
  <c r="Q20" i="5"/>
  <c r="Q19" i="5"/>
  <c r="Q23" i="5" s="1"/>
  <c r="V25" i="5" s="1"/>
  <c r="L20" i="5"/>
  <c r="L19" i="5"/>
  <c r="G20" i="5"/>
  <c r="G19" i="5"/>
  <c r="AV19" i="5"/>
  <c r="AV23" i="5" s="1"/>
  <c r="AX9" i="5"/>
  <c r="BF7" i="5"/>
  <c r="BC7" i="5"/>
  <c r="BC6" i="5" s="1"/>
  <c r="BB7" i="5"/>
  <c r="BB6" i="5" s="1"/>
  <c r="BA7" i="5"/>
  <c r="AI7" i="5"/>
  <c r="AH7" i="5"/>
  <c r="AG7" i="5"/>
  <c r="AG49" i="5" s="1"/>
  <c r="AE7" i="5"/>
  <c r="AD7" i="5"/>
  <c r="AC7" i="5"/>
  <c r="AB7" i="5"/>
  <c r="Z7" i="5"/>
  <c r="Y7" i="5"/>
  <c r="X7" i="5"/>
  <c r="W7" i="5"/>
  <c r="U7" i="5"/>
  <c r="T7" i="5"/>
  <c r="S7" i="5"/>
  <c r="R7" i="5"/>
  <c r="P7" i="5"/>
  <c r="O7" i="5"/>
  <c r="N7" i="5"/>
  <c r="M7" i="5"/>
  <c r="K7" i="5"/>
  <c r="J7" i="5"/>
  <c r="I7" i="5"/>
  <c r="H7" i="5"/>
  <c r="F7" i="5"/>
  <c r="E7" i="5"/>
  <c r="D7" i="5"/>
  <c r="C7" i="5"/>
  <c r="BA6" i="5"/>
  <c r="AT6" i="5"/>
  <c r="AT7" i="5" s="1"/>
  <c r="AS6" i="5"/>
  <c r="AS7" i="5" s="1"/>
  <c r="AR6" i="5"/>
  <c r="AR7" i="5" s="1"/>
  <c r="AQ6" i="5"/>
  <c r="AQ7" i="5" s="1"/>
  <c r="AO6" i="5"/>
  <c r="AO7" i="5" s="1"/>
  <c r="AN6" i="5"/>
  <c r="AN7" i="5" s="1"/>
  <c r="AM6" i="5"/>
  <c r="AM7" i="5" s="1"/>
  <c r="AL6" i="5"/>
  <c r="AJ6" i="5"/>
  <c r="AJ7" i="5" s="1"/>
  <c r="AF6" i="5"/>
  <c r="AF5" i="5"/>
  <c r="AA6" i="5"/>
  <c r="AA5" i="5"/>
  <c r="V6" i="5"/>
  <c r="V5" i="5"/>
  <c r="Q6" i="5"/>
  <c r="Q5" i="5"/>
  <c r="L6" i="5"/>
  <c r="L5" i="5"/>
  <c r="G6" i="5"/>
  <c r="G5" i="5"/>
  <c r="BE5" i="5"/>
  <c r="AY5" i="5"/>
  <c r="AY7" i="5" s="1"/>
  <c r="AX5" i="5"/>
  <c r="AU5" i="5"/>
  <c r="AP5" i="5"/>
  <c r="AK5" i="5"/>
  <c r="AT213" i="1"/>
  <c r="AS213" i="1"/>
  <c r="AR213" i="1"/>
  <c r="AQ213" i="1"/>
  <c r="AO213" i="1"/>
  <c r="AN213" i="1"/>
  <c r="AM213" i="1"/>
  <c r="AL213" i="1"/>
  <c r="AA211" i="1"/>
  <c r="V211" i="1"/>
  <c r="Q211" i="1"/>
  <c r="Q209" i="1"/>
  <c r="V209" i="1" s="1"/>
  <c r="AA209" i="1" s="1"/>
  <c r="Y209" i="1" s="1"/>
  <c r="Q208" i="1"/>
  <c r="V208" i="1" s="1"/>
  <c r="AA208" i="1" s="1"/>
  <c r="Y208" i="1" s="1"/>
  <c r="Q207" i="1"/>
  <c r="V207" i="1" s="1"/>
  <c r="U207" i="1" s="1"/>
  <c r="L211" i="1"/>
  <c r="L209" i="1"/>
  <c r="J209" i="1" s="1"/>
  <c r="L208" i="1"/>
  <c r="J208" i="1" s="1"/>
  <c r="L207" i="1"/>
  <c r="H207" i="1" s="1"/>
  <c r="AT210" i="1"/>
  <c r="AS210" i="1"/>
  <c r="AR210" i="1"/>
  <c r="AQ210" i="1"/>
  <c r="AO210" i="1"/>
  <c r="AN210" i="1"/>
  <c r="AM210" i="1"/>
  <c r="AL210" i="1"/>
  <c r="P209" i="1"/>
  <c r="M208" i="1"/>
  <c r="P207" i="1"/>
  <c r="N207" i="1"/>
  <c r="K208" i="1"/>
  <c r="I208" i="1"/>
  <c r="K207" i="1"/>
  <c r="I207" i="1"/>
  <c r="T204" i="1"/>
  <c r="U204" i="1" s="1"/>
  <c r="V204" i="1" s="1"/>
  <c r="W204" i="1" s="1"/>
  <c r="X204" i="1" s="1"/>
  <c r="Y204" i="1" s="1"/>
  <c r="Z204" i="1" s="1"/>
  <c r="AA204" i="1" s="1"/>
  <c r="AB204" i="1" s="1"/>
  <c r="AC204" i="1" s="1"/>
  <c r="AD204" i="1" s="1"/>
  <c r="AE204" i="1" s="1"/>
  <c r="AF204" i="1" s="1"/>
  <c r="AG204" i="1" s="1"/>
  <c r="AH204" i="1" s="1"/>
  <c r="AI204" i="1" s="1"/>
  <c r="AJ204" i="1" s="1"/>
  <c r="AK204" i="1" s="1"/>
  <c r="AL204" i="1" s="1"/>
  <c r="AM204" i="1" s="1"/>
  <c r="AN204" i="1" s="1"/>
  <c r="AO204" i="1" s="1"/>
  <c r="AP204" i="1" s="1"/>
  <c r="AQ204" i="1" s="1"/>
  <c r="AR204" i="1" s="1"/>
  <c r="AS204" i="1" s="1"/>
  <c r="AT204" i="1" s="1"/>
  <c r="AU204" i="1" s="1"/>
  <c r="AV204" i="1" s="1"/>
  <c r="AW204" i="1" s="1"/>
  <c r="AX204" i="1" s="1"/>
  <c r="AY204" i="1" s="1"/>
  <c r="AZ204" i="1" s="1"/>
  <c r="BA204" i="1" s="1"/>
  <c r="BB204" i="1" s="1"/>
  <c r="BC204" i="1" s="1"/>
  <c r="BD204" i="1" s="1"/>
  <c r="BE204" i="1" s="1"/>
  <c r="BF204" i="1" s="1"/>
  <c r="BG204" i="1" s="1"/>
  <c r="BH204" i="1" s="1"/>
  <c r="BI204" i="1" s="1"/>
  <c r="BJ204" i="1" s="1"/>
  <c r="BK204" i="1" s="1"/>
  <c r="BL204" i="1" s="1"/>
  <c r="BM204" i="1" s="1"/>
  <c r="BN204" i="1" s="1"/>
  <c r="BO204" i="1" s="1"/>
  <c r="BP204" i="1" s="1"/>
  <c r="BQ204" i="1" s="1"/>
  <c r="BR204" i="1" s="1"/>
  <c r="BS204" i="1" s="1"/>
  <c r="BT204" i="1" s="1"/>
  <c r="BU204" i="1" s="1"/>
  <c r="BV204" i="1" s="1"/>
  <c r="BW204" i="1" s="1"/>
  <c r="BX204" i="1" s="1"/>
  <c r="BY204" i="1" s="1"/>
  <c r="BZ204" i="1" s="1"/>
  <c r="CA204" i="1" s="1"/>
  <c r="CB204" i="1" s="1"/>
  <c r="CC204" i="1" s="1"/>
  <c r="CD204" i="1" s="1"/>
  <c r="CE204" i="1" s="1"/>
  <c r="CF204" i="1" s="1"/>
  <c r="CG204" i="1" s="1"/>
  <c r="CH204" i="1" s="1"/>
  <c r="CI204" i="1" s="1"/>
  <c r="CJ204" i="1" s="1"/>
  <c r="CK204" i="1" s="1"/>
  <c r="CL204" i="1" s="1"/>
  <c r="CM204" i="1" s="1"/>
  <c r="CN204" i="1" s="1"/>
  <c r="CO204" i="1" s="1"/>
  <c r="CP204" i="1" s="1"/>
  <c r="CQ204" i="1" s="1"/>
  <c r="CR204" i="1" s="1"/>
  <c r="CS204" i="1" s="1"/>
  <c r="Q204" i="1"/>
  <c r="L204" i="1"/>
  <c r="L199" i="1"/>
  <c r="V196" i="1"/>
  <c r="AA196" i="1" s="1"/>
  <c r="AF196" i="1" s="1"/>
  <c r="AK196" i="1" s="1"/>
  <c r="AP196" i="1" s="1"/>
  <c r="AU196" i="1" s="1"/>
  <c r="AZ196" i="1" s="1"/>
  <c r="BE196" i="1" s="1"/>
  <c r="BJ196" i="1" s="1"/>
  <c r="BO196" i="1" s="1"/>
  <c r="BT196" i="1" s="1"/>
  <c r="BY196" i="1" s="1"/>
  <c r="CD196" i="1" s="1"/>
  <c r="CI196" i="1" s="1"/>
  <c r="CN196" i="1" s="1"/>
  <c r="CS196" i="1" s="1"/>
  <c r="Q189" i="1"/>
  <c r="Q191" i="1" s="1"/>
  <c r="V189" i="1" s="1"/>
  <c r="AA170" i="1"/>
  <c r="AA171" i="1" s="1"/>
  <c r="V170" i="1"/>
  <c r="Q170" i="1"/>
  <c r="Q171" i="1" s="1"/>
  <c r="L170" i="1"/>
  <c r="X163" i="1"/>
  <c r="L162" i="1"/>
  <c r="L161" i="1" s="1"/>
  <c r="Q162" i="1"/>
  <c r="Q163" i="1" s="1"/>
  <c r="G162" i="1"/>
  <c r="X161" i="1"/>
  <c r="X155" i="1"/>
  <c r="X26" i="1" s="1"/>
  <c r="L154" i="1"/>
  <c r="L155" i="1" s="1"/>
  <c r="Q154" i="1"/>
  <c r="Q155" i="1" s="1"/>
  <c r="G154" i="1"/>
  <c r="X153" i="1"/>
  <c r="X24" i="1" s="1"/>
  <c r="AA144" i="1"/>
  <c r="X144" i="1"/>
  <c r="V144" i="1"/>
  <c r="S144" i="1"/>
  <c r="Q144" i="1"/>
  <c r="N144" i="1"/>
  <c r="L144" i="1"/>
  <c r="I144" i="1"/>
  <c r="AD140" i="1"/>
  <c r="Y142" i="1"/>
  <c r="X142" i="1"/>
  <c r="W142" i="1"/>
  <c r="U142" i="1"/>
  <c r="Y141" i="1"/>
  <c r="Y140" i="1" s="1"/>
  <c r="Y129" i="1" s="1"/>
  <c r="X141" i="1"/>
  <c r="W141" i="1"/>
  <c r="U141" i="1"/>
  <c r="U140" i="1" s="1"/>
  <c r="U129" i="1" s="1"/>
  <c r="S142" i="1"/>
  <c r="R142" i="1"/>
  <c r="P142" i="1"/>
  <c r="O142" i="1"/>
  <c r="N142" i="1"/>
  <c r="M142" i="1"/>
  <c r="K142" i="1"/>
  <c r="J142" i="1"/>
  <c r="I142" i="1"/>
  <c r="H142" i="1"/>
  <c r="S141" i="1"/>
  <c r="R141" i="1"/>
  <c r="P141" i="1"/>
  <c r="O141" i="1"/>
  <c r="N141" i="1"/>
  <c r="M141" i="1"/>
  <c r="K141" i="1"/>
  <c r="J141" i="1"/>
  <c r="I141" i="1"/>
  <c r="H141" i="1"/>
  <c r="AU140" i="1"/>
  <c r="N79" i="3" s="1"/>
  <c r="AP140" i="1"/>
  <c r="AP129" i="1" s="1"/>
  <c r="AK140" i="1"/>
  <c r="AA140" i="1"/>
  <c r="J79" i="3" s="1"/>
  <c r="X140" i="1"/>
  <c r="X129" i="1" s="1"/>
  <c r="T140" i="1"/>
  <c r="T129" i="1" s="1"/>
  <c r="Y136" i="1"/>
  <c r="Z136" i="1" s="1"/>
  <c r="X136" i="1"/>
  <c r="W136" i="1"/>
  <c r="R136" i="1"/>
  <c r="I89" i="3" s="1"/>
  <c r="M136" i="1"/>
  <c r="Z135" i="1"/>
  <c r="V135" i="1"/>
  <c r="V131" i="1"/>
  <c r="AU119" i="1"/>
  <c r="AU118" i="1"/>
  <c r="AP119" i="1"/>
  <c r="AP118" i="1"/>
  <c r="AA119" i="1"/>
  <c r="AA118" i="1"/>
  <c r="V119" i="1"/>
  <c r="V118" i="1"/>
  <c r="Q119" i="1"/>
  <c r="Q118" i="1"/>
  <c r="L119" i="1"/>
  <c r="AA113" i="1"/>
  <c r="F50" i="2" s="1"/>
  <c r="V113" i="1"/>
  <c r="E50" i="2" s="1"/>
  <c r="Q113" i="1"/>
  <c r="D50" i="2" s="1"/>
  <c r="AB110" i="1"/>
  <c r="Z110" i="1"/>
  <c r="Y110" i="1"/>
  <c r="X110" i="1"/>
  <c r="W110" i="1"/>
  <c r="T110" i="1"/>
  <c r="S110" i="1"/>
  <c r="R110" i="1"/>
  <c r="P110" i="1"/>
  <c r="O110" i="1"/>
  <c r="N110" i="1"/>
  <c r="M110" i="1"/>
  <c r="L110" i="1"/>
  <c r="K110" i="1"/>
  <c r="J110" i="1"/>
  <c r="I110" i="1"/>
  <c r="H110" i="1"/>
  <c r="AA109" i="1"/>
  <c r="U109" i="1"/>
  <c r="U110" i="1" s="1"/>
  <c r="Q109" i="1"/>
  <c r="Q108" i="1"/>
  <c r="Q199" i="1" s="1"/>
  <c r="V108" i="1"/>
  <c r="AU104" i="1"/>
  <c r="AP104" i="1"/>
  <c r="AA104" i="1"/>
  <c r="U104" i="1"/>
  <c r="U74" i="1" s="1"/>
  <c r="Q104" i="1"/>
  <c r="L104" i="1"/>
  <c r="C49" i="2" s="1"/>
  <c r="H104" i="1"/>
  <c r="W102" i="1"/>
  <c r="U102" i="1"/>
  <c r="U101" i="1"/>
  <c r="Q102" i="1"/>
  <c r="Q101" i="1"/>
  <c r="AT99" i="1"/>
  <c r="AS99" i="1"/>
  <c r="AR99" i="1"/>
  <c r="AQ99" i="1"/>
  <c r="AO99" i="1"/>
  <c r="AN99" i="1"/>
  <c r="AM99" i="1"/>
  <c r="AL99" i="1"/>
  <c r="AB98" i="1"/>
  <c r="AB99" i="1" s="1"/>
  <c r="Z98" i="1"/>
  <c r="Y98" i="1"/>
  <c r="X98" i="1"/>
  <c r="W98" i="1"/>
  <c r="V98" i="1"/>
  <c r="E48" i="2" s="1"/>
  <c r="E58" i="2" s="1"/>
  <c r="E61" i="2" s="1"/>
  <c r="T98" i="1"/>
  <c r="S98" i="1"/>
  <c r="R98" i="1"/>
  <c r="P98" i="1"/>
  <c r="O98" i="1"/>
  <c r="N98" i="1"/>
  <c r="M98" i="1"/>
  <c r="K98" i="1"/>
  <c r="J98" i="1"/>
  <c r="I98" i="1"/>
  <c r="H98" i="1"/>
  <c r="AA97" i="1"/>
  <c r="AA96" i="1"/>
  <c r="U97" i="1"/>
  <c r="U96" i="1"/>
  <c r="Q97" i="1"/>
  <c r="Q96" i="1"/>
  <c r="L97" i="1"/>
  <c r="L96" i="1"/>
  <c r="AK93" i="1"/>
  <c r="AA93" i="1"/>
  <c r="V93" i="1"/>
  <c r="Q93" i="1"/>
  <c r="L93" i="1"/>
  <c r="AU91" i="1"/>
  <c r="AP91" i="1"/>
  <c r="AK91" i="1"/>
  <c r="AA91" i="1"/>
  <c r="V91" i="1"/>
  <c r="Q91" i="1"/>
  <c r="L91" i="1"/>
  <c r="U89" i="1"/>
  <c r="U86" i="1"/>
  <c r="U84" i="1"/>
  <c r="P89" i="1"/>
  <c r="Q89" i="1" s="1"/>
  <c r="K89" i="1"/>
  <c r="L89" i="1" s="1"/>
  <c r="Y86" i="1"/>
  <c r="Y83" i="1" s="1"/>
  <c r="Y81" i="1" s="1"/>
  <c r="X86" i="1"/>
  <c r="X83" i="1" s="1"/>
  <c r="X81" i="1" s="1"/>
  <c r="W86" i="1"/>
  <c r="Q86" i="1"/>
  <c r="L86" i="1"/>
  <c r="Z84" i="1"/>
  <c r="BD7" i="5" s="1"/>
  <c r="BD6" i="5" s="1"/>
  <c r="P84" i="1"/>
  <c r="Q84" i="1" s="1"/>
  <c r="K84" i="1"/>
  <c r="L84" i="1" s="1"/>
  <c r="AE89" i="1"/>
  <c r="AD89" i="1"/>
  <c r="AC89" i="1"/>
  <c r="V83" i="1"/>
  <c r="T83" i="1"/>
  <c r="T81" i="1" s="1"/>
  <c r="S83" i="1"/>
  <c r="S81" i="1" s="1"/>
  <c r="R83" i="1"/>
  <c r="R81" i="1" s="1"/>
  <c r="O83" i="1"/>
  <c r="O81" i="1" s="1"/>
  <c r="N83" i="1"/>
  <c r="N81" i="1" s="1"/>
  <c r="M83" i="1"/>
  <c r="M81" i="1" s="1"/>
  <c r="J83" i="1"/>
  <c r="J81" i="1" s="1"/>
  <c r="I83" i="1"/>
  <c r="I81" i="1" s="1"/>
  <c r="H83" i="1"/>
  <c r="H81" i="1" s="1"/>
  <c r="AB81" i="1"/>
  <c r="AA76" i="1"/>
  <c r="AA75" i="1"/>
  <c r="AA73" i="1"/>
  <c r="AA72" i="1"/>
  <c r="AA71" i="1"/>
  <c r="AA70" i="1"/>
  <c r="AA68" i="1"/>
  <c r="AA67" i="1"/>
  <c r="AA66" i="1"/>
  <c r="AA65" i="1"/>
  <c r="AA62" i="1"/>
  <c r="AA60" i="1"/>
  <c r="AA59" i="1"/>
  <c r="V76" i="1"/>
  <c r="V75" i="1"/>
  <c r="V73" i="1"/>
  <c r="V72" i="1"/>
  <c r="V71" i="1"/>
  <c r="V70" i="1"/>
  <c r="V67" i="1"/>
  <c r="V66" i="1"/>
  <c r="V65" i="1"/>
  <c r="V63" i="1"/>
  <c r="V62" i="1"/>
  <c r="L76" i="1"/>
  <c r="L73" i="1"/>
  <c r="L72" i="1"/>
  <c r="L71" i="1"/>
  <c r="L70" i="1"/>
  <c r="L68" i="1"/>
  <c r="L67" i="1"/>
  <c r="L66" i="1"/>
  <c r="L65" i="1"/>
  <c r="L62" i="1"/>
  <c r="AU75" i="1"/>
  <c r="AU74" i="1"/>
  <c r="AP75" i="1"/>
  <c r="AP74" i="1"/>
  <c r="AK75" i="1"/>
  <c r="AK74" i="1"/>
  <c r="Q75" i="1"/>
  <c r="Q73" i="1"/>
  <c r="Q72" i="1"/>
  <c r="Q71" i="1"/>
  <c r="Q70" i="1"/>
  <c r="Q68" i="1"/>
  <c r="Q67" i="1"/>
  <c r="Q66" i="1"/>
  <c r="Q65" i="1"/>
  <c r="Q62" i="1"/>
  <c r="Q60" i="1"/>
  <c r="I75" i="1"/>
  <c r="L75" i="1" s="1"/>
  <c r="I74" i="1"/>
  <c r="G75" i="1"/>
  <c r="G74" i="1"/>
  <c r="AB74" i="1"/>
  <c r="AB73" i="1"/>
  <c r="Y74" i="1"/>
  <c r="X74" i="1"/>
  <c r="W74" i="1"/>
  <c r="T74" i="1"/>
  <c r="S74" i="1"/>
  <c r="R74" i="1"/>
  <c r="P74" i="1"/>
  <c r="O74" i="1"/>
  <c r="N74" i="1"/>
  <c r="M74" i="1"/>
  <c r="K74" i="1"/>
  <c r="J74" i="1"/>
  <c r="H74" i="1"/>
  <c r="AU70" i="1"/>
  <c r="AU69" i="1" s="1"/>
  <c r="AP70" i="1"/>
  <c r="AP69" i="1" s="1"/>
  <c r="AK70" i="1"/>
  <c r="AB68" i="1"/>
  <c r="AB64" i="1" s="1"/>
  <c r="Z69" i="1"/>
  <c r="Y69" i="1"/>
  <c r="X69" i="1"/>
  <c r="W69" i="1"/>
  <c r="U69" i="1"/>
  <c r="T69" i="1"/>
  <c r="S69" i="1"/>
  <c r="R69" i="1"/>
  <c r="P69" i="1"/>
  <c r="O69" i="1"/>
  <c r="N69" i="1"/>
  <c r="M69" i="1"/>
  <c r="K69" i="1"/>
  <c r="J69" i="1"/>
  <c r="I69" i="1"/>
  <c r="H69" i="1"/>
  <c r="G69" i="1"/>
  <c r="U68" i="1"/>
  <c r="V68" i="1" s="1"/>
  <c r="AU64" i="1"/>
  <c r="AP65" i="1"/>
  <c r="AP64" i="1" s="1"/>
  <c r="AK65" i="1"/>
  <c r="Z64" i="1"/>
  <c r="Y64" i="1"/>
  <c r="X64" i="1"/>
  <c r="W64" i="1"/>
  <c r="U64" i="1"/>
  <c r="T64" i="1"/>
  <c r="S64" i="1"/>
  <c r="R64" i="1"/>
  <c r="P64" i="1"/>
  <c r="O64" i="1"/>
  <c r="N64" i="1"/>
  <c r="M64" i="1"/>
  <c r="K64" i="1"/>
  <c r="J64" i="1"/>
  <c r="I64" i="1"/>
  <c r="H64" i="1"/>
  <c r="G64" i="1"/>
  <c r="Y63" i="1"/>
  <c r="AA63" i="1" s="1"/>
  <c r="J63" i="1"/>
  <c r="I63" i="1"/>
  <c r="W61" i="1"/>
  <c r="AA61" i="1" s="1"/>
  <c r="S61" i="1"/>
  <c r="V61" i="1" s="1"/>
  <c r="N61" i="1"/>
  <c r="M61" i="1"/>
  <c r="R60" i="1"/>
  <c r="P59" i="1"/>
  <c r="P61" i="1" s="1"/>
  <c r="O58" i="1"/>
  <c r="Q58" i="1" s="1"/>
  <c r="L58" i="1"/>
  <c r="AU57" i="1"/>
  <c r="AP57" i="1"/>
  <c r="AK57" i="1"/>
  <c r="Z58" i="1"/>
  <c r="Z57" i="1" s="1"/>
  <c r="Y58" i="1"/>
  <c r="Y57" i="1" s="1"/>
  <c r="X58" i="1"/>
  <c r="X57" i="1" s="1"/>
  <c r="U59" i="1"/>
  <c r="T59" i="1"/>
  <c r="T60" i="1" s="1"/>
  <c r="T58" i="1" s="1"/>
  <c r="S57" i="1"/>
  <c r="R57" i="1"/>
  <c r="K57" i="1"/>
  <c r="J57" i="1"/>
  <c r="I57" i="1"/>
  <c r="H57" i="1"/>
  <c r="G57" i="1"/>
  <c r="AB52" i="1"/>
  <c r="AA52" i="1"/>
  <c r="Z52" i="1"/>
  <c r="Y52" i="1"/>
  <c r="X52" i="1"/>
  <c r="W52" i="1"/>
  <c r="T52" i="1"/>
  <c r="R52" i="1"/>
  <c r="M52" i="1"/>
  <c r="AF51" i="1"/>
  <c r="AK51" i="1" s="1"/>
  <c r="AA51" i="1"/>
  <c r="V51" i="1"/>
  <c r="O106" i="1" l="1"/>
  <c r="AK69" i="1"/>
  <c r="AI70" i="1"/>
  <c r="AI69" i="1" s="1"/>
  <c r="AH70" i="1"/>
  <c r="AG70" i="1"/>
  <c r="AG69" i="1" s="1"/>
  <c r="AD129" i="1"/>
  <c r="AI140" i="1"/>
  <c r="AI129" i="1" s="1"/>
  <c r="AH140" i="1"/>
  <c r="AH129" i="1" s="1"/>
  <c r="AG140" i="1"/>
  <c r="AG129" i="1" s="1"/>
  <c r="AK64" i="1"/>
  <c r="AH65" i="1"/>
  <c r="AH64" i="1" s="1"/>
  <c r="AG65" i="1"/>
  <c r="AG64" i="1" s="1"/>
  <c r="AI65" i="1"/>
  <c r="AI64" i="1" s="1"/>
  <c r="AG135" i="1"/>
  <c r="AH135" i="1" s="1"/>
  <c r="AI135" i="1" s="1"/>
  <c r="AJ135" i="1" s="1"/>
  <c r="BF6" i="5"/>
  <c r="BK10" i="5"/>
  <c r="BE23" i="5"/>
  <c r="BJ25" i="5" s="1"/>
  <c r="F49" i="5"/>
  <c r="K49" i="5"/>
  <c r="P49" i="5"/>
  <c r="U49" i="5"/>
  <c r="Z49" i="5"/>
  <c r="E69" i="8"/>
  <c r="D104" i="8"/>
  <c r="O142" i="8"/>
  <c r="J207" i="1"/>
  <c r="J206" i="1" s="1"/>
  <c r="M207" i="1"/>
  <c r="F12" i="70"/>
  <c r="G20" i="3"/>
  <c r="F24" i="8"/>
  <c r="N24" i="8"/>
  <c r="N135" i="8" s="1"/>
  <c r="G69" i="8"/>
  <c r="G141" i="8" s="1"/>
  <c r="D32" i="2"/>
  <c r="H20" i="3"/>
  <c r="D52" i="2" s="1"/>
  <c r="H24" i="8"/>
  <c r="H135" i="8" s="1"/>
  <c r="P24" i="8"/>
  <c r="P135" i="8" s="1"/>
  <c r="E66" i="8"/>
  <c r="J69" i="8"/>
  <c r="O207" i="1"/>
  <c r="R207" i="1"/>
  <c r="S207" i="1" s="1"/>
  <c r="J20" i="3"/>
  <c r="F52" i="2" s="1"/>
  <c r="E44" i="3"/>
  <c r="J24" i="8"/>
  <c r="K141" i="8"/>
  <c r="J66" i="8"/>
  <c r="L69" i="8"/>
  <c r="J106" i="1"/>
  <c r="J112" i="1" s="1"/>
  <c r="J114" i="1" s="1"/>
  <c r="L63" i="1"/>
  <c r="K140" i="1"/>
  <c r="K129" i="1" s="1"/>
  <c r="K130" i="1" s="1"/>
  <c r="AB69" i="1"/>
  <c r="AB31" i="1" s="1"/>
  <c r="AB29" i="1" s="1"/>
  <c r="AK129" i="1"/>
  <c r="AF52" i="1"/>
  <c r="AK52" i="1" s="1"/>
  <c r="T207" i="1"/>
  <c r="P140" i="1"/>
  <c r="P129" i="1" s="1"/>
  <c r="P130" i="1" s="1"/>
  <c r="Q83" i="1"/>
  <c r="Q81" i="1" s="1"/>
  <c r="D47" i="2" s="1"/>
  <c r="D57" i="2" s="1"/>
  <c r="D60" i="2" s="1"/>
  <c r="S140" i="1"/>
  <c r="S129" i="1" s="1"/>
  <c r="S130" i="1" s="1"/>
  <c r="BF49" i="5"/>
  <c r="I140" i="1"/>
  <c r="I129" i="1" s="1"/>
  <c r="I130" i="1" s="1"/>
  <c r="I106" i="1"/>
  <c r="I112" i="1" s="1"/>
  <c r="I114" i="1" s="1"/>
  <c r="L98" i="1"/>
  <c r="C48" i="2" s="1"/>
  <c r="C58" i="2" s="1"/>
  <c r="C61" i="2" s="1"/>
  <c r="U98" i="1"/>
  <c r="U23" i="1" s="1"/>
  <c r="AB106" i="1"/>
  <c r="AB112" i="1" s="1"/>
  <c r="AB116" i="1" s="1"/>
  <c r="AB126" i="1" s="1"/>
  <c r="M106" i="1"/>
  <c r="M145" i="1" s="1"/>
  <c r="S106" i="1"/>
  <c r="S112" i="1" s="1"/>
  <c r="S116" i="1" s="1"/>
  <c r="S122" i="1" s="1"/>
  <c r="S125" i="1" s="1"/>
  <c r="X106" i="1"/>
  <c r="X112" i="1" s="1"/>
  <c r="X116" i="1" s="1"/>
  <c r="X122" i="1" s="1"/>
  <c r="N106" i="1"/>
  <c r="N145" i="1" s="1"/>
  <c r="T106" i="1"/>
  <c r="T145" i="1" s="1"/>
  <c r="H140" i="1"/>
  <c r="H129" i="1" s="1"/>
  <c r="H130" i="1" s="1"/>
  <c r="M140" i="1"/>
  <c r="M129" i="1" s="1"/>
  <c r="M130" i="1" s="1"/>
  <c r="R140" i="1"/>
  <c r="R129" i="1" s="1"/>
  <c r="R130" i="1" s="1"/>
  <c r="AE49" i="5"/>
  <c r="L23" i="5"/>
  <c r="Q25" i="5" s="1"/>
  <c r="Q29" i="5"/>
  <c r="V32" i="5" s="1"/>
  <c r="AA29" i="5"/>
  <c r="AF32" i="5" s="1"/>
  <c r="AK29" i="5"/>
  <c r="AP32" i="5" s="1"/>
  <c r="CD23" i="5"/>
  <c r="CI25" i="5" s="1"/>
  <c r="L29" i="5"/>
  <c r="Q32" i="5" s="1"/>
  <c r="V29" i="5"/>
  <c r="AA32" i="5" s="1"/>
  <c r="AF29" i="5"/>
  <c r="AK32" i="5" s="1"/>
  <c r="BG31" i="5"/>
  <c r="AF51" i="5"/>
  <c r="AV6" i="5"/>
  <c r="AV7" i="5" s="1"/>
  <c r="AW9" i="5" s="1"/>
  <c r="E49" i="5"/>
  <c r="J49" i="5"/>
  <c r="O49" i="5"/>
  <c r="T49" i="5"/>
  <c r="Y49" i="5"/>
  <c r="AD49" i="5"/>
  <c r="AK6" i="5"/>
  <c r="AK7" i="5" s="1"/>
  <c r="AZ91" i="1"/>
  <c r="AZ17" i="1"/>
  <c r="AF7" i="5"/>
  <c r="AK10" i="5" s="1"/>
  <c r="AI49" i="5"/>
  <c r="BH31" i="5"/>
  <c r="L50" i="5"/>
  <c r="D49" i="5"/>
  <c r="I49" i="5"/>
  <c r="N49" i="5"/>
  <c r="S49" i="5"/>
  <c r="X49" i="5"/>
  <c r="AC49" i="5"/>
  <c r="G23" i="5"/>
  <c r="L25" i="5" s="1"/>
  <c r="AA23" i="5"/>
  <c r="AF25" i="5" s="1"/>
  <c r="AZ14" i="1"/>
  <c r="AZ89" i="1" s="1"/>
  <c r="AW49" i="5"/>
  <c r="BT50" i="5"/>
  <c r="F32" i="2"/>
  <c r="F41" i="2" s="1"/>
  <c r="D41" i="2"/>
  <c r="E14" i="2"/>
  <c r="C72" i="2"/>
  <c r="L6" i="2"/>
  <c r="F14" i="2"/>
  <c r="C14" i="2"/>
  <c r="I40" i="2"/>
  <c r="F43" i="2"/>
  <c r="E41" i="2"/>
  <c r="D43" i="2"/>
  <c r="D85" i="2"/>
  <c r="L57" i="1"/>
  <c r="L163" i="1"/>
  <c r="W209" i="1"/>
  <c r="Q153" i="1"/>
  <c r="O140" i="1"/>
  <c r="O129" i="1" s="1"/>
  <c r="O130" i="1" s="1"/>
  <c r="AC140" i="1"/>
  <c r="AC129" i="1" s="1"/>
  <c r="AA129" i="1"/>
  <c r="V52" i="1"/>
  <c r="AD64" i="1"/>
  <c r="U83" i="1"/>
  <c r="U81" i="1" s="1"/>
  <c r="L153" i="1"/>
  <c r="O209" i="1"/>
  <c r="U209" i="1"/>
  <c r="H106" i="1"/>
  <c r="H112" i="1" s="1"/>
  <c r="L83" i="1"/>
  <c r="L81" i="1" s="1"/>
  <c r="C47" i="2" s="1"/>
  <c r="C57" i="2" s="1"/>
  <c r="C60" i="2" s="1"/>
  <c r="M209" i="1"/>
  <c r="M206" i="1" s="1"/>
  <c r="R209" i="1"/>
  <c r="S209" i="1" s="1"/>
  <c r="J140" i="1"/>
  <c r="J129" i="1" s="1"/>
  <c r="J130" i="1" s="1"/>
  <c r="H209" i="1"/>
  <c r="N209" i="1"/>
  <c r="T209" i="1"/>
  <c r="L206" i="1"/>
  <c r="Z86" i="1"/>
  <c r="BD29" i="5" s="1"/>
  <c r="BD28" i="5" s="1"/>
  <c r="Q98" i="1"/>
  <c r="D48" i="2" s="1"/>
  <c r="D58" i="2" s="1"/>
  <c r="D61" i="2" s="1"/>
  <c r="AA98" i="1"/>
  <c r="F48" i="2" s="1"/>
  <c r="F58" i="2" s="1"/>
  <c r="F61" i="2" s="1"/>
  <c r="Y130" i="1"/>
  <c r="L69" i="1"/>
  <c r="AA69" i="1"/>
  <c r="L64" i="1"/>
  <c r="P83" i="1"/>
  <c r="P81" i="1" s="1"/>
  <c r="P106" i="1" s="1"/>
  <c r="P112" i="1" s="1"/>
  <c r="P116" i="1" s="1"/>
  <c r="P122" i="1" s="1"/>
  <c r="O63" i="1"/>
  <c r="Q63" i="1" s="1"/>
  <c r="Q69" i="1"/>
  <c r="V69" i="1"/>
  <c r="AD69" i="1"/>
  <c r="AD31" i="1" s="1"/>
  <c r="AD29" i="1" s="1"/>
  <c r="Q74" i="1"/>
  <c r="Q35" i="1" s="1"/>
  <c r="V74" i="1"/>
  <c r="V35" i="1" s="1"/>
  <c r="AA74" i="1"/>
  <c r="AA35" i="1" s="1"/>
  <c r="Q64" i="1"/>
  <c r="K83" i="1"/>
  <c r="K81" i="1" s="1"/>
  <c r="K106" i="1" s="1"/>
  <c r="K112" i="1" s="1"/>
  <c r="K114" i="1" s="1"/>
  <c r="Q110" i="1"/>
  <c r="AA110" i="1"/>
  <c r="AA39" i="1" s="1"/>
  <c r="AU129" i="1"/>
  <c r="L142" i="1"/>
  <c r="Q142" i="1"/>
  <c r="V142" i="1"/>
  <c r="K209" i="1"/>
  <c r="K206" i="1" s="1"/>
  <c r="P208" i="1"/>
  <c r="P206" i="1" s="1"/>
  <c r="R208" i="1"/>
  <c r="C76" i="2"/>
  <c r="L10" i="3"/>
  <c r="L79" i="3"/>
  <c r="Q59" i="1"/>
  <c r="R106" i="1"/>
  <c r="R112" i="1" s="1"/>
  <c r="T130" i="1"/>
  <c r="M10" i="3"/>
  <c r="M79" i="3"/>
  <c r="V59" i="1"/>
  <c r="V64" i="1"/>
  <c r="V27" i="1" s="1"/>
  <c r="AA64" i="1"/>
  <c r="X99" i="1"/>
  <c r="V99" i="1"/>
  <c r="O112" i="1"/>
  <c r="O114" i="1" s="1"/>
  <c r="V136" i="1"/>
  <c r="Q161" i="1"/>
  <c r="I209" i="1"/>
  <c r="I206" i="1" s="1"/>
  <c r="N208" i="1"/>
  <c r="U208" i="1"/>
  <c r="N10" i="3"/>
  <c r="X130" i="1"/>
  <c r="N140" i="1"/>
  <c r="N129" i="1" s="1"/>
  <c r="N130" i="1" s="1"/>
  <c r="Z142" i="1"/>
  <c r="O208" i="1"/>
  <c r="W208" i="1"/>
  <c r="Q206" i="1"/>
  <c r="BC29" i="5"/>
  <c r="BC32" i="5" s="1"/>
  <c r="C78" i="2"/>
  <c r="Q172" i="1"/>
  <c r="Q213" i="1" s="1"/>
  <c r="AA172" i="1"/>
  <c r="BF28" i="5"/>
  <c r="BJ28" i="5" s="1"/>
  <c r="AH49" i="5"/>
  <c r="AH25" i="5"/>
  <c r="AN25" i="5"/>
  <c r="AX25" i="5"/>
  <c r="C49" i="5"/>
  <c r="H49" i="5"/>
  <c r="M49" i="5"/>
  <c r="R49" i="5"/>
  <c r="W49" i="5"/>
  <c r="AB49" i="5"/>
  <c r="V23" i="5"/>
  <c r="AA25" i="5" s="1"/>
  <c r="G7" i="5"/>
  <c r="L10" i="5" s="1"/>
  <c r="Q7" i="5"/>
  <c r="V10" i="5" s="1"/>
  <c r="AA7" i="5"/>
  <c r="AF10" i="5" s="1"/>
  <c r="BE6" i="5"/>
  <c r="BE7" i="5" s="1"/>
  <c r="D24" i="5"/>
  <c r="U24" i="5"/>
  <c r="AU29" i="5"/>
  <c r="AK22" i="5"/>
  <c r="AK23" i="5" s="1"/>
  <c r="AI25" i="5"/>
  <c r="AJ23" i="5"/>
  <c r="AJ49" i="5" s="1"/>
  <c r="AK49" i="5" s="1"/>
  <c r="F24" i="5"/>
  <c r="X24" i="5"/>
  <c r="G29" i="5"/>
  <c r="L32" i="5" s="1"/>
  <c r="AP6" i="5"/>
  <c r="N24" i="5"/>
  <c r="Z24" i="5"/>
  <c r="AP29" i="5"/>
  <c r="AU32" i="5" s="1"/>
  <c r="AP7" i="5"/>
  <c r="L7" i="5"/>
  <c r="Q10" i="5" s="1"/>
  <c r="V7" i="5"/>
  <c r="AA10" i="5" s="1"/>
  <c r="AZ19" i="5"/>
  <c r="AZ23" i="5" s="1"/>
  <c r="BE25" i="5" s="1"/>
  <c r="AF22" i="5"/>
  <c r="AF23" i="5" s="1"/>
  <c r="AT25" i="5"/>
  <c r="P24" i="5"/>
  <c r="O135" i="8"/>
  <c r="G135" i="8"/>
  <c r="F141" i="8"/>
  <c r="H27" i="8"/>
  <c r="H141" i="8" s="1"/>
  <c r="L27" i="8"/>
  <c r="P27" i="8"/>
  <c r="P141" i="8" s="1"/>
  <c r="F135" i="8"/>
  <c r="E68" i="8"/>
  <c r="J135" i="8"/>
  <c r="L141" i="8"/>
  <c r="O128" i="8"/>
  <c r="E135" i="8"/>
  <c r="F25" i="8"/>
  <c r="G25" i="8" s="1"/>
  <c r="H25" i="8" s="1"/>
  <c r="I24" i="8"/>
  <c r="M24" i="8"/>
  <c r="Q24" i="8"/>
  <c r="S25" i="8"/>
  <c r="D69" i="8"/>
  <c r="D141" i="8" s="1"/>
  <c r="D67" i="8"/>
  <c r="E67" i="8" s="1"/>
  <c r="I67" i="8"/>
  <c r="J141" i="8"/>
  <c r="E99" i="8"/>
  <c r="Q127" i="8"/>
  <c r="K135" i="8"/>
  <c r="C52" i="2"/>
  <c r="G44" i="3"/>
  <c r="G47" i="3" s="1"/>
  <c r="E52" i="2"/>
  <c r="I44" i="3"/>
  <c r="D46" i="3"/>
  <c r="D47" i="3" s="1"/>
  <c r="G71" i="3"/>
  <c r="H53" i="3"/>
  <c r="L52" i="3"/>
  <c r="G58" i="3"/>
  <c r="E43" i="2"/>
  <c r="F44" i="2" s="1"/>
  <c r="C25" i="2"/>
  <c r="C32" i="2" s="1"/>
  <c r="C41" i="2" s="1"/>
  <c r="C43" i="2" s="1"/>
  <c r="E59" i="2"/>
  <c r="E62" i="2" s="1"/>
  <c r="D75" i="2"/>
  <c r="D76" i="2" s="1"/>
  <c r="D92" i="2"/>
  <c r="F94" i="2"/>
  <c r="D72" i="2"/>
  <c r="D78" i="2"/>
  <c r="C91" i="2"/>
  <c r="C85" i="2"/>
  <c r="E93" i="2"/>
  <c r="F85" i="2"/>
  <c r="E85" i="2"/>
  <c r="AN49" i="5"/>
  <c r="AS10" i="5"/>
  <c r="AO9" i="5"/>
  <c r="AS49" i="5"/>
  <c r="AT9" i="5"/>
  <c r="AX10" i="5"/>
  <c r="BG10" i="5"/>
  <c r="AO10" i="5"/>
  <c r="AQ19" i="5"/>
  <c r="AR9" i="5"/>
  <c r="AV10" i="5"/>
  <c r="BA10" i="5"/>
  <c r="AY49" i="5"/>
  <c r="AY9" i="5"/>
  <c r="BD10" i="5"/>
  <c r="BA9" i="5"/>
  <c r="AM19" i="5"/>
  <c r="AM23" i="5" s="1"/>
  <c r="AR10" i="5"/>
  <c r="AN9" i="5"/>
  <c r="AO49" i="5"/>
  <c r="AT10" i="5"/>
  <c r="AQ9" i="5"/>
  <c r="AR49" i="5"/>
  <c r="AW10" i="5"/>
  <c r="AS9" i="5"/>
  <c r="AT49" i="5"/>
  <c r="AY10" i="5"/>
  <c r="AU6" i="5"/>
  <c r="AL7" i="5"/>
  <c r="BB29" i="5"/>
  <c r="E9" i="5"/>
  <c r="H9" i="5"/>
  <c r="J9" i="5"/>
  <c r="M9" i="5"/>
  <c r="O9" i="5"/>
  <c r="R9" i="5"/>
  <c r="T9" i="5"/>
  <c r="W9" i="5"/>
  <c r="Y9" i="5"/>
  <c r="AB9" i="5"/>
  <c r="AD9" i="5"/>
  <c r="AG9" i="5"/>
  <c r="AI9" i="5"/>
  <c r="BC9" i="5"/>
  <c r="BF9" i="5"/>
  <c r="H10" i="5"/>
  <c r="J10" i="5"/>
  <c r="N10" i="5"/>
  <c r="P10" i="5"/>
  <c r="R10" i="5"/>
  <c r="T10" i="5"/>
  <c r="X10" i="5"/>
  <c r="Z10" i="5"/>
  <c r="AB10" i="5"/>
  <c r="AD10" i="5"/>
  <c r="AH10" i="5"/>
  <c r="AJ10" i="5"/>
  <c r="AN10" i="5"/>
  <c r="BB10" i="5"/>
  <c r="AG24" i="5"/>
  <c r="O24" i="5"/>
  <c r="S25" i="5"/>
  <c r="R24" i="5"/>
  <c r="U25" i="5"/>
  <c r="AS24" i="5"/>
  <c r="AW25" i="5"/>
  <c r="AV24" i="5"/>
  <c r="AY25" i="5"/>
  <c r="AT24" i="5"/>
  <c r="K24" i="5"/>
  <c r="AE24" i="5"/>
  <c r="S52" i="5"/>
  <c r="AZ5" i="5"/>
  <c r="Q49" i="5"/>
  <c r="BF10" i="5"/>
  <c r="BA29" i="5"/>
  <c r="BA31" i="5" s="1"/>
  <c r="D9" i="5"/>
  <c r="F9" i="5"/>
  <c r="I9" i="5"/>
  <c r="K9" i="5"/>
  <c r="N9" i="5"/>
  <c r="P9" i="5"/>
  <c r="S9" i="5"/>
  <c r="U9" i="5"/>
  <c r="X9" i="5"/>
  <c r="Z9" i="5"/>
  <c r="AC9" i="5"/>
  <c r="AE9" i="5"/>
  <c r="AH9" i="5"/>
  <c r="AJ9" i="5"/>
  <c r="BB9" i="5"/>
  <c r="BD9" i="5"/>
  <c r="I10" i="5"/>
  <c r="K10" i="5"/>
  <c r="M10" i="5"/>
  <c r="O10" i="5"/>
  <c r="S10" i="5"/>
  <c r="U10" i="5"/>
  <c r="W10" i="5"/>
  <c r="Y10" i="5"/>
  <c r="AC10" i="5"/>
  <c r="AE10" i="5"/>
  <c r="AG10" i="5"/>
  <c r="AI10" i="5"/>
  <c r="AM10" i="5"/>
  <c r="BC10" i="5"/>
  <c r="E24" i="5"/>
  <c r="I25" i="5"/>
  <c r="H24" i="5"/>
  <c r="K25" i="5"/>
  <c r="Y24" i="5"/>
  <c r="AC25" i="5"/>
  <c r="AB24" i="5"/>
  <c r="AE25" i="5"/>
  <c r="AI24" i="5"/>
  <c r="AM25" i="5"/>
  <c r="AS25" i="5"/>
  <c r="AO24" i="5"/>
  <c r="BA25" i="5"/>
  <c r="AW24" i="5"/>
  <c r="AX49" i="5"/>
  <c r="BC25" i="5"/>
  <c r="AY24" i="5"/>
  <c r="I24" i="5"/>
  <c r="S24" i="5"/>
  <c r="AC24" i="5"/>
  <c r="AH24" i="5"/>
  <c r="AZ32" i="5"/>
  <c r="AY52" i="5"/>
  <c r="C52" i="5"/>
  <c r="AY31" i="5"/>
  <c r="AI52" i="5"/>
  <c r="K52" i="5"/>
  <c r="E52" i="5"/>
  <c r="M52" i="5"/>
  <c r="U52" i="5"/>
  <c r="Y52" i="5"/>
  <c r="AC52" i="5"/>
  <c r="AO52" i="5"/>
  <c r="AS52" i="5"/>
  <c r="AW52" i="5"/>
  <c r="D31" i="5"/>
  <c r="F31" i="5"/>
  <c r="I31" i="5"/>
  <c r="K31" i="5"/>
  <c r="N31" i="5"/>
  <c r="P31" i="5"/>
  <c r="S31" i="5"/>
  <c r="U31" i="5"/>
  <c r="X31" i="5"/>
  <c r="Z31" i="5"/>
  <c r="AC31" i="5"/>
  <c r="AE31" i="5"/>
  <c r="AH31" i="5"/>
  <c r="AJ31" i="5"/>
  <c r="AM31" i="5"/>
  <c r="AR31" i="5"/>
  <c r="AT31" i="5"/>
  <c r="K32" i="5"/>
  <c r="AE32" i="5"/>
  <c r="AM32" i="5"/>
  <c r="AT32" i="5"/>
  <c r="AX32" i="5"/>
  <c r="BB32" i="5"/>
  <c r="L51" i="5"/>
  <c r="L52" i="5" s="1"/>
  <c r="I52" i="5"/>
  <c r="O52" i="5"/>
  <c r="W52" i="5"/>
  <c r="AE52" i="5"/>
  <c r="AM52" i="5"/>
  <c r="J24" i="5"/>
  <c r="M24" i="5"/>
  <c r="T24" i="5"/>
  <c r="W24" i="5"/>
  <c r="AD24" i="5"/>
  <c r="AX24" i="5"/>
  <c r="BA24" i="5"/>
  <c r="BB25" i="5"/>
  <c r="D52" i="5"/>
  <c r="H52" i="5"/>
  <c r="N52" i="5"/>
  <c r="P52" i="5"/>
  <c r="R52" i="5"/>
  <c r="T52" i="5"/>
  <c r="X52" i="5"/>
  <c r="AN52" i="5"/>
  <c r="AS32" i="5"/>
  <c r="AR52" i="5"/>
  <c r="AW32" i="5"/>
  <c r="AT52" i="5"/>
  <c r="AY32" i="5"/>
  <c r="AV52" i="5"/>
  <c r="BA32" i="5"/>
  <c r="AX52" i="5"/>
  <c r="E31" i="5"/>
  <c r="J31" i="5"/>
  <c r="M31" i="5"/>
  <c r="O31" i="5"/>
  <c r="R31" i="5"/>
  <c r="T31" i="5"/>
  <c r="W31" i="5"/>
  <c r="Y31" i="5"/>
  <c r="AD31" i="5"/>
  <c r="AG31" i="5"/>
  <c r="AL31" i="5"/>
  <c r="AN31" i="5"/>
  <c r="AQ31" i="5"/>
  <c r="AS31" i="5"/>
  <c r="AV31" i="5"/>
  <c r="AX31" i="5"/>
  <c r="H32" i="5"/>
  <c r="J32" i="5"/>
  <c r="R32" i="5"/>
  <c r="X32" i="5"/>
  <c r="Z32" i="5"/>
  <c r="AD32" i="5"/>
  <c r="AH32" i="5"/>
  <c r="AV32" i="5"/>
  <c r="AG52" i="5"/>
  <c r="AK50" i="5"/>
  <c r="F52" i="5"/>
  <c r="G51" i="5"/>
  <c r="Z52" i="5"/>
  <c r="AA51" i="5"/>
  <c r="AD52" i="5"/>
  <c r="AH52" i="5"/>
  <c r="J52" i="5"/>
  <c r="O53" i="5" s="1"/>
  <c r="AB52" i="5"/>
  <c r="AP50" i="5"/>
  <c r="T57" i="1"/>
  <c r="I116" i="1"/>
  <c r="I122" i="1" s="1"/>
  <c r="U60" i="1"/>
  <c r="U58" i="1" s="1"/>
  <c r="U57" i="1" s="1"/>
  <c r="Y99" i="1"/>
  <c r="L141" i="1"/>
  <c r="J144" i="1"/>
  <c r="K144" i="1" s="1"/>
  <c r="V171" i="1"/>
  <c r="V172" i="1" s="1"/>
  <c r="V191" i="1"/>
  <c r="AA189" i="1" s="1"/>
  <c r="W58" i="1"/>
  <c r="O57" i="1"/>
  <c r="O61" i="1"/>
  <c r="Q61" i="1" s="1"/>
  <c r="AC64" i="1"/>
  <c r="AC27" i="1" s="1"/>
  <c r="AC25" i="1" s="1"/>
  <c r="AC69" i="1"/>
  <c r="AC31" i="1" s="1"/>
  <c r="AC29" i="1" s="1"/>
  <c r="L74" i="1"/>
  <c r="W83" i="1"/>
  <c r="W81" i="1" s="1"/>
  <c r="W106" i="1" s="1"/>
  <c r="V110" i="1"/>
  <c r="V39" i="1" s="1"/>
  <c r="AB140" i="1"/>
  <c r="AB129" i="1" s="1"/>
  <c r="AB130" i="1" s="1"/>
  <c r="Q141" i="1"/>
  <c r="V141" i="1"/>
  <c r="Z141" i="1"/>
  <c r="W140" i="1"/>
  <c r="W129" i="1" s="1"/>
  <c r="W130" i="1" s="1"/>
  <c r="O144" i="1"/>
  <c r="U144" i="1"/>
  <c r="Y144" i="1"/>
  <c r="L171" i="1"/>
  <c r="L172" i="1" s="1"/>
  <c r="H208" i="1"/>
  <c r="H206" i="1" s="1"/>
  <c r="T208" i="1"/>
  <c r="AA207" i="1"/>
  <c r="V206" i="1"/>
  <c r="AF209" i="1"/>
  <c r="Z209" i="1"/>
  <c r="X209" i="1"/>
  <c r="Z208" i="1"/>
  <c r="X208" i="1"/>
  <c r="AF208" i="1"/>
  <c r="P42" i="1"/>
  <c r="O42" i="1"/>
  <c r="N42" i="1"/>
  <c r="M42" i="1"/>
  <c r="L42" i="1"/>
  <c r="K42" i="1"/>
  <c r="J42" i="1"/>
  <c r="I42" i="1"/>
  <c r="H42" i="1"/>
  <c r="AB42" i="1"/>
  <c r="AF42" i="1" s="1"/>
  <c r="Z42" i="1"/>
  <c r="Y42" i="1"/>
  <c r="X42" i="1"/>
  <c r="W42" i="1"/>
  <c r="V42" i="1"/>
  <c r="E8" i="70" s="1"/>
  <c r="U42" i="1"/>
  <c r="T42" i="1"/>
  <c r="S42" i="1"/>
  <c r="R42" i="1"/>
  <c r="AB39" i="1"/>
  <c r="AB213" i="1" s="1"/>
  <c r="Z39" i="1"/>
  <c r="Y39" i="1"/>
  <c r="X39" i="1"/>
  <c r="W39" i="1"/>
  <c r="W213" i="1" s="1"/>
  <c r="U39" i="1"/>
  <c r="U213" i="1" s="1"/>
  <c r="T39" i="1"/>
  <c r="T213" i="1" s="1"/>
  <c r="S39" i="1"/>
  <c r="S213" i="1" s="1"/>
  <c r="R39" i="1"/>
  <c r="R213" i="1" s="1"/>
  <c r="P39" i="1"/>
  <c r="P213" i="1" s="1"/>
  <c r="O39" i="1"/>
  <c r="O213" i="1" s="1"/>
  <c r="N39" i="1"/>
  <c r="N213" i="1" s="1"/>
  <c r="M39" i="1"/>
  <c r="M213" i="1" s="1"/>
  <c r="L39" i="1"/>
  <c r="K39" i="1"/>
  <c r="K213" i="1" s="1"/>
  <c r="J39" i="1"/>
  <c r="J213" i="1" s="1"/>
  <c r="I39" i="1"/>
  <c r="I213" i="1" s="1"/>
  <c r="H39" i="1"/>
  <c r="H213" i="1" s="1"/>
  <c r="AU35" i="1"/>
  <c r="AP35" i="1"/>
  <c r="AB35" i="1"/>
  <c r="AF35" i="1" s="1"/>
  <c r="Z35" i="1"/>
  <c r="Y35" i="1"/>
  <c r="X35" i="1"/>
  <c r="W35" i="1"/>
  <c r="U35" i="1"/>
  <c r="T35" i="1"/>
  <c r="S35" i="1"/>
  <c r="R35" i="1"/>
  <c r="P35" i="1"/>
  <c r="O35" i="1"/>
  <c r="N35" i="1"/>
  <c r="M35" i="1"/>
  <c r="K35" i="1"/>
  <c r="J35" i="1"/>
  <c r="I35" i="1"/>
  <c r="H35" i="1"/>
  <c r="Q33" i="1"/>
  <c r="L33" i="1"/>
  <c r="P31" i="1"/>
  <c r="P162" i="1" s="1"/>
  <c r="O31" i="1"/>
  <c r="O162" i="1" s="1"/>
  <c r="N31" i="1"/>
  <c r="N162" i="1" s="1"/>
  <c r="M31" i="1"/>
  <c r="M162" i="1" s="1"/>
  <c r="K31" i="1"/>
  <c r="J31" i="1"/>
  <c r="I31" i="1"/>
  <c r="H31" i="1"/>
  <c r="P27" i="1"/>
  <c r="P154" i="1" s="1"/>
  <c r="O27" i="1"/>
  <c r="O154" i="1" s="1"/>
  <c r="N27" i="1"/>
  <c r="N154" i="1" s="1"/>
  <c r="M27" i="1"/>
  <c r="M154" i="1" s="1"/>
  <c r="K27" i="1"/>
  <c r="J27" i="1"/>
  <c r="I27" i="1"/>
  <c r="H27" i="1"/>
  <c r="Z31" i="1"/>
  <c r="Y31" i="1"/>
  <c r="X31" i="1"/>
  <c r="W31" i="1"/>
  <c r="W162" i="1" s="1"/>
  <c r="U31" i="1"/>
  <c r="U162" i="1" s="1"/>
  <c r="U29" i="1" s="1"/>
  <c r="T31" i="1"/>
  <c r="T162" i="1" s="1"/>
  <c r="T29" i="1" s="1"/>
  <c r="S31" i="1"/>
  <c r="S162" i="1" s="1"/>
  <c r="S29" i="1" s="1"/>
  <c r="R31" i="1"/>
  <c r="R162" i="1" s="1"/>
  <c r="R29" i="1" s="1"/>
  <c r="X30" i="1"/>
  <c r="Y29" i="1"/>
  <c r="X29" i="1"/>
  <c r="W29" i="1"/>
  <c r="X28" i="1"/>
  <c r="AB27" i="1"/>
  <c r="AB25" i="1" s="1"/>
  <c r="Z27" i="1"/>
  <c r="Y27" i="1"/>
  <c r="X27" i="1"/>
  <c r="W27" i="1"/>
  <c r="W154" i="1" s="1"/>
  <c r="W25" i="1" s="1"/>
  <c r="U27" i="1"/>
  <c r="U154" i="1" s="1"/>
  <c r="U25" i="1" s="1"/>
  <c r="T27" i="1"/>
  <c r="T154" i="1" s="1"/>
  <c r="T25" i="1" s="1"/>
  <c r="S27" i="1"/>
  <c r="S154" i="1" s="1"/>
  <c r="S25" i="1" s="1"/>
  <c r="R27" i="1"/>
  <c r="R154" i="1" s="1"/>
  <c r="R25" i="1" s="1"/>
  <c r="AB23" i="1"/>
  <c r="Z23" i="1"/>
  <c r="Y23" i="1"/>
  <c r="X23" i="1"/>
  <c r="W23" i="1"/>
  <c r="V23" i="1"/>
  <c r="T23" i="1"/>
  <c r="S23" i="1"/>
  <c r="R23" i="1"/>
  <c r="P23" i="1"/>
  <c r="N23" i="1"/>
  <c r="M23" i="1"/>
  <c r="K23" i="1"/>
  <c r="J23" i="1"/>
  <c r="I23" i="1"/>
  <c r="H23" i="1"/>
  <c r="H44" i="3" l="1"/>
  <c r="J44" i="3"/>
  <c r="AJ65" i="1"/>
  <c r="AJ64" i="1" s="1"/>
  <c r="AJ140" i="1"/>
  <c r="AJ129" i="1" s="1"/>
  <c r="AJ70" i="1"/>
  <c r="AJ69" i="1" s="1"/>
  <c r="AH69" i="1"/>
  <c r="AF140" i="1"/>
  <c r="AD27" i="1"/>
  <c r="AF64" i="1"/>
  <c r="AP51" i="1"/>
  <c r="AU51" i="1" s="1"/>
  <c r="AZ51" i="1" s="1"/>
  <c r="BE51" i="1" s="1"/>
  <c r="BJ51" i="1" s="1"/>
  <c r="BO51" i="1" s="1"/>
  <c r="BT51" i="1" s="1"/>
  <c r="BY51" i="1" s="1"/>
  <c r="CD51" i="1" s="1"/>
  <c r="CI51" i="1" s="1"/>
  <c r="CN51" i="1" s="1"/>
  <c r="CS51" i="1" s="1"/>
  <c r="AJ51" i="1"/>
  <c r="AJ52" i="1" s="1"/>
  <c r="AG51" i="1"/>
  <c r="AG52" i="1" s="1"/>
  <c r="AI51" i="1"/>
  <c r="AI52" i="1" s="1"/>
  <c r="AH51" i="1"/>
  <c r="AH52" i="1" s="1"/>
  <c r="AG136" i="1"/>
  <c r="AH136" i="1" s="1"/>
  <c r="AI136" i="1" s="1"/>
  <c r="AJ136" i="1" s="1"/>
  <c r="Z213" i="1"/>
  <c r="T112" i="1"/>
  <c r="M112" i="1"/>
  <c r="I145" i="1"/>
  <c r="AI53" i="5"/>
  <c r="AA49" i="5"/>
  <c r="G49" i="5"/>
  <c r="D68" i="8"/>
  <c r="M53" i="5"/>
  <c r="AA17" i="5"/>
  <c r="H145" i="1"/>
  <c r="J116" i="1"/>
  <c r="J122" i="1" s="1"/>
  <c r="J126" i="1" s="1"/>
  <c r="J228" i="1" s="1"/>
  <c r="S210" i="1"/>
  <c r="X114" i="1"/>
  <c r="AE129" i="1"/>
  <c r="L106" i="1"/>
  <c r="L112" i="1" s="1"/>
  <c r="C59" i="2"/>
  <c r="C62" i="2" s="1"/>
  <c r="Z83" i="1"/>
  <c r="N112" i="1"/>
  <c r="N116" i="1" s="1"/>
  <c r="N122" i="1" s="1"/>
  <c r="AB122" i="1"/>
  <c r="AB210" i="1" s="1"/>
  <c r="BF31" i="5"/>
  <c r="Y213" i="1"/>
  <c r="U106" i="1"/>
  <c r="U112" i="1" s="1"/>
  <c r="V112" i="1" s="1"/>
  <c r="V22" i="1"/>
  <c r="U130" i="1"/>
  <c r="X145" i="1"/>
  <c r="S126" i="1"/>
  <c r="AA23" i="1"/>
  <c r="S114" i="1"/>
  <c r="S145" i="1"/>
  <c r="O116" i="1"/>
  <c r="O122" i="1" s="1"/>
  <c r="O210" i="1" s="1"/>
  <c r="R145" i="1"/>
  <c r="V52" i="5"/>
  <c r="AC53" i="5"/>
  <c r="S53" i="5"/>
  <c r="AV49" i="5"/>
  <c r="AM53" i="5"/>
  <c r="G52" i="5"/>
  <c r="L53" i="5" s="1"/>
  <c r="W53" i="5"/>
  <c r="I53" i="5"/>
  <c r="AV9" i="5"/>
  <c r="L49" i="5"/>
  <c r="AF49" i="5"/>
  <c r="AZ6" i="5"/>
  <c r="AZ7" i="5" s="1"/>
  <c r="L140" i="1"/>
  <c r="L129" i="1" s="1"/>
  <c r="L130" i="1" s="1"/>
  <c r="V129" i="1"/>
  <c r="V130" i="1" s="1"/>
  <c r="V140" i="1"/>
  <c r="L54" i="1"/>
  <c r="X213" i="1"/>
  <c r="AE53" i="5"/>
  <c r="R17" i="5"/>
  <c r="N16" i="5"/>
  <c r="AC16" i="5"/>
  <c r="S16" i="5"/>
  <c r="W17" i="5"/>
  <c r="AW53" i="5"/>
  <c r="Y53" i="5"/>
  <c r="Z16" i="5"/>
  <c r="AD17" i="5"/>
  <c r="T17" i="5"/>
  <c r="P16" i="5"/>
  <c r="AE16" i="5"/>
  <c r="U16" i="5"/>
  <c r="Y17" i="5"/>
  <c r="O17" i="5"/>
  <c r="K16" i="5"/>
  <c r="J17" i="5"/>
  <c r="V17" i="5"/>
  <c r="AB17" i="5"/>
  <c r="X16" i="5"/>
  <c r="H17" i="5"/>
  <c r="H16" i="5"/>
  <c r="M17" i="5"/>
  <c r="I16" i="5"/>
  <c r="K53" i="5"/>
  <c r="AJ52" i="5"/>
  <c r="AO53" i="5" s="1"/>
  <c r="AJ24" i="5"/>
  <c r="W16" i="5"/>
  <c r="Z17" i="5"/>
  <c r="P17" i="5"/>
  <c r="M16" i="5"/>
  <c r="K17" i="5"/>
  <c r="AB16" i="5"/>
  <c r="AE17" i="5"/>
  <c r="R16" i="5"/>
  <c r="U17" i="5"/>
  <c r="L17" i="5"/>
  <c r="Q17" i="5"/>
  <c r="V49" i="5"/>
  <c r="AA52" i="5"/>
  <c r="Q52" i="5"/>
  <c r="Q53" i="5" s="1"/>
  <c r="AO25" i="5"/>
  <c r="AD16" i="5"/>
  <c r="X17" i="5"/>
  <c r="T16" i="5"/>
  <c r="I17" i="5"/>
  <c r="N17" i="5"/>
  <c r="J16" i="5"/>
  <c r="AJ25" i="5"/>
  <c r="AC17" i="5"/>
  <c r="Y16" i="5"/>
  <c r="S17" i="5"/>
  <c r="O16" i="5"/>
  <c r="AF52" i="5"/>
  <c r="BD32" i="5"/>
  <c r="AP10" i="5"/>
  <c r="AK52" i="5"/>
  <c r="BY50" i="5"/>
  <c r="AU18" i="1" s="1"/>
  <c r="C83" i="2"/>
  <c r="C74" i="2"/>
  <c r="C68" i="2"/>
  <c r="M6" i="2"/>
  <c r="C66" i="2"/>
  <c r="C64" i="2"/>
  <c r="J40" i="2"/>
  <c r="M39" i="3"/>
  <c r="D74" i="2"/>
  <c r="D83" i="2"/>
  <c r="Z140" i="1"/>
  <c r="Z129" i="1" s="1"/>
  <c r="Z130" i="1" s="1"/>
  <c r="K116" i="1"/>
  <c r="K122" i="1" s="1"/>
  <c r="K126" i="1" s="1"/>
  <c r="K228" i="1" s="1"/>
  <c r="O23" i="1"/>
  <c r="Q140" i="1"/>
  <c r="Q129" i="1" s="1"/>
  <c r="Q130" i="1" s="1"/>
  <c r="P114" i="1"/>
  <c r="V81" i="1"/>
  <c r="E47" i="2" s="1"/>
  <c r="E57" i="2" s="1"/>
  <c r="E60" i="2" s="1"/>
  <c r="T206" i="1"/>
  <c r="F59" i="2"/>
  <c r="F62" i="2" s="1"/>
  <c r="U206" i="1"/>
  <c r="V106" i="1"/>
  <c r="V145" i="1" s="1"/>
  <c r="D59" i="2"/>
  <c r="D62" i="2" s="1"/>
  <c r="L35" i="1"/>
  <c r="O206" i="1"/>
  <c r="N206" i="1"/>
  <c r="V29" i="1"/>
  <c r="C70" i="2"/>
  <c r="Q106" i="1"/>
  <c r="BD31" i="5"/>
  <c r="BC49" i="5"/>
  <c r="BD49" i="5"/>
  <c r="D70" i="2"/>
  <c r="D64" i="2"/>
  <c r="D66" i="2"/>
  <c r="V60" i="1"/>
  <c r="D68" i="2"/>
  <c r="V25" i="1"/>
  <c r="AA42" i="1"/>
  <c r="F8" i="70" s="1"/>
  <c r="BH32" i="5"/>
  <c r="BC28" i="5"/>
  <c r="S208" i="1"/>
  <c r="S206" i="1" s="1"/>
  <c r="R206" i="1"/>
  <c r="AA213" i="1"/>
  <c r="V213" i="1"/>
  <c r="L213" i="1"/>
  <c r="BG9" i="5"/>
  <c r="AY53" i="5"/>
  <c r="AG53" i="5"/>
  <c r="T53" i="5"/>
  <c r="AX53" i="5"/>
  <c r="AN53" i="5"/>
  <c r="AU7" i="5"/>
  <c r="AK25" i="5"/>
  <c r="E106" i="8"/>
  <c r="E141" i="8" s="1"/>
  <c r="D103" i="8"/>
  <c r="J67" i="8"/>
  <c r="T25" i="8"/>
  <c r="M135" i="8"/>
  <c r="I25" i="8"/>
  <c r="J25" i="8" s="1"/>
  <c r="H137" i="8"/>
  <c r="H139" i="8" s="1"/>
  <c r="I68" i="8"/>
  <c r="H26" i="8"/>
  <c r="F26" i="8"/>
  <c r="G26" i="8"/>
  <c r="Q137" i="8"/>
  <c r="R127" i="8"/>
  <c r="Q128" i="8"/>
  <c r="E137" i="8"/>
  <c r="E139" i="8" s="1"/>
  <c r="F67" i="8"/>
  <c r="Q26" i="8"/>
  <c r="Q135" i="8"/>
  <c r="Q139" i="8" s="1"/>
  <c r="I26" i="8"/>
  <c r="I135" i="8"/>
  <c r="D137" i="8"/>
  <c r="E46" i="3"/>
  <c r="E47" i="3" s="1"/>
  <c r="F46" i="3" s="1"/>
  <c r="F47" i="3" s="1"/>
  <c r="M52" i="3"/>
  <c r="N52" i="3" s="1"/>
  <c r="H68" i="3"/>
  <c r="H60" i="3"/>
  <c r="H66" i="3"/>
  <c r="H55" i="3"/>
  <c r="H58" i="3"/>
  <c r="H46" i="3"/>
  <c r="H47" i="3" s="1"/>
  <c r="G49" i="3"/>
  <c r="F93" i="2"/>
  <c r="E92" i="2"/>
  <c r="F92" i="2" s="1"/>
  <c r="D91" i="2"/>
  <c r="D90" i="2" s="1"/>
  <c r="E90" i="2" s="1"/>
  <c r="F90" i="2" s="1"/>
  <c r="G90" i="2" s="1"/>
  <c r="C90" i="2"/>
  <c r="N53" i="5"/>
  <c r="AH53" i="5"/>
  <c r="Z53" i="5"/>
  <c r="J53" i="5"/>
  <c r="BF32" i="5"/>
  <c r="BB31" i="5"/>
  <c r="BA49" i="5"/>
  <c r="BG32" i="5"/>
  <c r="BC31" i="5"/>
  <c r="BB28" i="5"/>
  <c r="AQ10" i="5"/>
  <c r="AM9" i="5"/>
  <c r="AL19" i="5"/>
  <c r="AR25" i="5"/>
  <c r="AN24" i="5"/>
  <c r="AQ23" i="5"/>
  <c r="AU19" i="5"/>
  <c r="AU23" i="5" s="1"/>
  <c r="AL9" i="5"/>
  <c r="AF53" i="5"/>
  <c r="AS53" i="5"/>
  <c r="U53" i="5"/>
  <c r="AR53" i="5"/>
  <c r="AB53" i="5"/>
  <c r="AT53" i="5"/>
  <c r="AD53" i="5"/>
  <c r="R53" i="5"/>
  <c r="P53" i="5"/>
  <c r="H53" i="5"/>
  <c r="AP93" i="1"/>
  <c r="X53" i="5"/>
  <c r="AL10" i="5"/>
  <c r="BB49" i="5"/>
  <c r="AM49" i="5"/>
  <c r="AZ49" i="5"/>
  <c r="AC83" i="1"/>
  <c r="T153" i="1"/>
  <c r="T155" i="1"/>
  <c r="R161" i="1"/>
  <c r="R163" i="1"/>
  <c r="V162" i="1"/>
  <c r="AA162" i="1" s="1"/>
  <c r="T163" i="1"/>
  <c r="T161" i="1"/>
  <c r="V31" i="1"/>
  <c r="V33" i="1" s="1"/>
  <c r="R153" i="1"/>
  <c r="R155" i="1"/>
  <c r="V154" i="1"/>
  <c r="AA154" i="1" s="1"/>
  <c r="S155" i="1"/>
  <c r="S26" i="1" s="1"/>
  <c r="S153" i="1"/>
  <c r="S24" i="1" s="1"/>
  <c r="U155" i="1"/>
  <c r="U153" i="1"/>
  <c r="W155" i="1"/>
  <c r="W153" i="1"/>
  <c r="AA27" i="1"/>
  <c r="S163" i="1"/>
  <c r="S30" i="1" s="1"/>
  <c r="S161" i="1"/>
  <c r="S28" i="1" s="1"/>
  <c r="U163" i="1"/>
  <c r="U161" i="1"/>
  <c r="W163" i="1"/>
  <c r="W161" i="1"/>
  <c r="AA31" i="1"/>
  <c r="AA102" i="1" s="1"/>
  <c r="AK209" i="1"/>
  <c r="AE209" i="1"/>
  <c r="AC209" i="1"/>
  <c r="AB209" i="1"/>
  <c r="AD209" i="1"/>
  <c r="AF207" i="1"/>
  <c r="Z207" i="1"/>
  <c r="Z206" i="1" s="1"/>
  <c r="X207" i="1"/>
  <c r="X206" i="1" s="1"/>
  <c r="AA206" i="1"/>
  <c r="W207" i="1"/>
  <c r="W206" i="1" s="1"/>
  <c r="Y207" i="1"/>
  <c r="Y206" i="1" s="1"/>
  <c r="O145" i="1"/>
  <c r="P144" i="1"/>
  <c r="K145" i="1"/>
  <c r="AA191" i="1"/>
  <c r="AF189" i="1" s="1"/>
  <c r="Z144" i="1"/>
  <c r="V194" i="1"/>
  <c r="V199" i="1" s="1"/>
  <c r="L145" i="1"/>
  <c r="I226" i="1"/>
  <c r="I210" i="1"/>
  <c r="I125" i="1"/>
  <c r="I126" i="1"/>
  <c r="I228" i="1" s="1"/>
  <c r="V58" i="1"/>
  <c r="V57" i="1" s="1"/>
  <c r="T116" i="1"/>
  <c r="T122" i="1" s="1"/>
  <c r="T114" i="1"/>
  <c r="AE208" i="1"/>
  <c r="AC208" i="1"/>
  <c r="AK208" i="1"/>
  <c r="AB208" i="1"/>
  <c r="AD208" i="1"/>
  <c r="M116" i="1"/>
  <c r="M122" i="1" s="1"/>
  <c r="M114" i="1"/>
  <c r="W145" i="1"/>
  <c r="W112" i="1"/>
  <c r="AA58" i="1"/>
  <c r="AA57" i="1" s="1"/>
  <c r="W57" i="1"/>
  <c r="J145" i="1"/>
  <c r="W99" i="1"/>
  <c r="P210" i="1"/>
  <c r="P126" i="1"/>
  <c r="P125" i="1"/>
  <c r="N114" i="1"/>
  <c r="AE69" i="1"/>
  <c r="R116" i="1"/>
  <c r="R114" i="1"/>
  <c r="X210" i="1"/>
  <c r="X126" i="1"/>
  <c r="X125" i="1"/>
  <c r="H116" i="1"/>
  <c r="H122" i="1" s="1"/>
  <c r="H114" i="1"/>
  <c r="AK18" i="1"/>
  <c r="AK17" i="1"/>
  <c r="AU17" i="1"/>
  <c r="AP18" i="1"/>
  <c r="AP17" i="1"/>
  <c r="Z99" i="1" l="1"/>
  <c r="Z81" i="1"/>
  <c r="AF69" i="1"/>
  <c r="AE31" i="1"/>
  <c r="AD25" i="1"/>
  <c r="AF27" i="1"/>
  <c r="AF129" i="1"/>
  <c r="K79" i="3"/>
  <c r="AP52" i="1"/>
  <c r="AU52" i="1" s="1"/>
  <c r="AZ52" i="1" s="1"/>
  <c r="BE52" i="1" s="1"/>
  <c r="BJ52" i="1" s="1"/>
  <c r="BO52" i="1" s="1"/>
  <c r="BT52" i="1" s="1"/>
  <c r="BY52" i="1" s="1"/>
  <c r="CD52" i="1" s="1"/>
  <c r="CI52" i="1" s="1"/>
  <c r="CN52" i="1" s="1"/>
  <c r="CS52" i="1" s="1"/>
  <c r="C27" i="70"/>
  <c r="AK53" i="5"/>
  <c r="O52" i="3"/>
  <c r="J125" i="1"/>
  <c r="J226" i="1"/>
  <c r="AB125" i="1"/>
  <c r="J210" i="1"/>
  <c r="O125" i="1"/>
  <c r="U114" i="1"/>
  <c r="U116" i="1"/>
  <c r="U122" i="1" s="1"/>
  <c r="U126" i="1" s="1"/>
  <c r="U145" i="1"/>
  <c r="O126" i="1"/>
  <c r="K210" i="1"/>
  <c r="K226" i="1"/>
  <c r="V53" i="5"/>
  <c r="AA53" i="5"/>
  <c r="AZ52" i="5"/>
  <c r="BE10" i="5"/>
  <c r="AJ53" i="5"/>
  <c r="N39" i="3"/>
  <c r="K40" i="2"/>
  <c r="N6" i="2"/>
  <c r="E91" i="2"/>
  <c r="F91" i="2" s="1"/>
  <c r="K125" i="1"/>
  <c r="E83" i="2"/>
  <c r="Q112" i="1"/>
  <c r="Q145" i="1"/>
  <c r="BE28" i="5"/>
  <c r="BE29" i="5" s="1"/>
  <c r="BE32" i="5" s="1"/>
  <c r="AA194" i="1"/>
  <c r="AA199" i="1" s="1"/>
  <c r="AA108" i="1" s="1"/>
  <c r="AC81" i="1"/>
  <c r="AU10" i="5"/>
  <c r="AZ10" i="5"/>
  <c r="R128" i="8"/>
  <c r="S127" i="8"/>
  <c r="R137" i="8"/>
  <c r="R139" i="8" s="1"/>
  <c r="U25" i="8"/>
  <c r="J137" i="8"/>
  <c r="J139" i="8" s="1"/>
  <c r="J68" i="8"/>
  <c r="D135" i="8"/>
  <c r="D139" i="8" s="1"/>
  <c r="D105" i="8"/>
  <c r="F137" i="8"/>
  <c r="F139" i="8" s="1"/>
  <c r="G67" i="8"/>
  <c r="F68" i="8"/>
  <c r="K25" i="8"/>
  <c r="J26" i="8"/>
  <c r="I137" i="8"/>
  <c r="I139" i="8" s="1"/>
  <c r="H49" i="3"/>
  <c r="I46" i="3"/>
  <c r="I47" i="3" s="1"/>
  <c r="H71" i="3"/>
  <c r="I53" i="3"/>
  <c r="H90" i="2"/>
  <c r="CD50" i="5"/>
  <c r="AU93" i="1"/>
  <c r="AV25" i="5"/>
  <c r="AR24" i="5"/>
  <c r="AQ49" i="5"/>
  <c r="AU49" i="5" s="1"/>
  <c r="AQ24" i="5"/>
  <c r="AQ52" i="5"/>
  <c r="AV53" i="5" s="1"/>
  <c r="AZ25" i="5"/>
  <c r="AU52" i="5"/>
  <c r="AP19" i="5"/>
  <c r="AP23" i="5" s="1"/>
  <c r="AL23" i="5"/>
  <c r="N210" i="1"/>
  <c r="N126" i="1"/>
  <c r="N125" i="1"/>
  <c r="AJ208" i="1"/>
  <c r="AH208" i="1"/>
  <c r="AP208" i="1"/>
  <c r="AG208" i="1"/>
  <c r="AI208" i="1"/>
  <c r="L116" i="1"/>
  <c r="L122" i="1" s="1"/>
  <c r="C51" i="2" s="1"/>
  <c r="L114" i="1"/>
  <c r="L177" i="1"/>
  <c r="L178" i="1" s="1"/>
  <c r="U125" i="1"/>
  <c r="AP209" i="1"/>
  <c r="AJ209" i="1"/>
  <c r="AH209" i="1"/>
  <c r="AG209" i="1"/>
  <c r="AI209" i="1"/>
  <c r="W28" i="1"/>
  <c r="W30" i="1"/>
  <c r="U30" i="1"/>
  <c r="W24" i="1"/>
  <c r="U24" i="1"/>
  <c r="AF154" i="1"/>
  <c r="Z154" i="1"/>
  <c r="V153" i="1"/>
  <c r="AA153" i="1" s="1"/>
  <c r="Y153" i="1" s="1"/>
  <c r="Y24" i="1" s="1"/>
  <c r="R24" i="1"/>
  <c r="T28" i="1"/>
  <c r="AF162" i="1"/>
  <c r="AD162" i="1" s="1"/>
  <c r="Z162" i="1"/>
  <c r="Z29" i="1" s="1"/>
  <c r="AA29" i="1" s="1"/>
  <c r="V161" i="1"/>
  <c r="AA161" i="1" s="1"/>
  <c r="Z161" i="1" s="1"/>
  <c r="Z28" i="1" s="1"/>
  <c r="R28" i="1"/>
  <c r="T24" i="1"/>
  <c r="H226" i="1"/>
  <c r="H210" i="1"/>
  <c r="H126" i="1"/>
  <c r="H228" i="1" s="1"/>
  <c r="H125" i="1"/>
  <c r="V177" i="1"/>
  <c r="V114" i="1"/>
  <c r="R122" i="1"/>
  <c r="W116" i="1"/>
  <c r="W114" i="1"/>
  <c r="M210" i="1"/>
  <c r="M125" i="1"/>
  <c r="Q122" i="1"/>
  <c r="D51" i="2" s="1"/>
  <c r="M126" i="1"/>
  <c r="T210" i="1"/>
  <c r="T126" i="1"/>
  <c r="T125" i="1"/>
  <c r="AF190" i="1"/>
  <c r="AF191" i="1" s="1"/>
  <c r="AK189" i="1" s="1"/>
  <c r="P145" i="1"/>
  <c r="AK207" i="1"/>
  <c r="AE207" i="1"/>
  <c r="AE206" i="1" s="1"/>
  <c r="AC207" i="1"/>
  <c r="AC206" i="1" s="1"/>
  <c r="AF206" i="1"/>
  <c r="AB207" i="1"/>
  <c r="AB206" i="1" s="1"/>
  <c r="AD207" i="1"/>
  <c r="AD206" i="1" s="1"/>
  <c r="U28" i="1"/>
  <c r="AA101" i="1"/>
  <c r="AA33" i="1"/>
  <c r="W26" i="1"/>
  <c r="U26" i="1"/>
  <c r="V155" i="1"/>
  <c r="AA155" i="1" s="1"/>
  <c r="Y155" i="1" s="1"/>
  <c r="Y26" i="1" s="1"/>
  <c r="R26" i="1"/>
  <c r="T30" i="1"/>
  <c r="V163" i="1"/>
  <c r="AA163" i="1" s="1"/>
  <c r="R30" i="1"/>
  <c r="T26" i="1"/>
  <c r="AD18" i="1"/>
  <c r="BH50" i="5" s="1"/>
  <c r="AE17" i="1"/>
  <c r="AB18" i="1"/>
  <c r="BF50" i="5" s="1"/>
  <c r="Z18" i="1"/>
  <c r="Y18" i="1"/>
  <c r="X18" i="1"/>
  <c r="W18" i="1"/>
  <c r="U18" i="1"/>
  <c r="T18" i="1"/>
  <c r="S18" i="1"/>
  <c r="R18" i="1"/>
  <c r="P18" i="1"/>
  <c r="O18" i="1"/>
  <c r="N18" i="1"/>
  <c r="M18" i="1"/>
  <c r="L18" i="1"/>
  <c r="AB17" i="1"/>
  <c r="Z17" i="1"/>
  <c r="Y17" i="1"/>
  <c r="X17" i="1"/>
  <c r="W17" i="1"/>
  <c r="U17" i="1"/>
  <c r="T17" i="1"/>
  <c r="S17" i="1"/>
  <c r="R17" i="1"/>
  <c r="P17" i="1"/>
  <c r="O17" i="1"/>
  <c r="N17" i="1"/>
  <c r="M17" i="1"/>
  <c r="K17" i="1"/>
  <c r="J17" i="1"/>
  <c r="I17" i="1"/>
  <c r="H17" i="1"/>
  <c r="AU14" i="1"/>
  <c r="AU89" i="1" s="1"/>
  <c r="AB15" i="1"/>
  <c r="AF14" i="1"/>
  <c r="AA14" i="1"/>
  <c r="AA89" i="1" s="1"/>
  <c r="AA83" i="1" s="1"/>
  <c r="AA99" i="1" s="1"/>
  <c r="Z14" i="1"/>
  <c r="Y14" i="1"/>
  <c r="X14" i="1"/>
  <c r="W14" i="1"/>
  <c r="U14" i="1"/>
  <c r="T14" i="1"/>
  <c r="S14" i="1"/>
  <c r="R14" i="1"/>
  <c r="P14" i="1"/>
  <c r="O14" i="1"/>
  <c r="N14" i="1"/>
  <c r="M14" i="1"/>
  <c r="K14" i="1"/>
  <c r="J14" i="1"/>
  <c r="I14" i="1"/>
  <c r="H14" i="1"/>
  <c r="AC7" i="1"/>
  <c r="AB7" i="1"/>
  <c r="Z7" i="1"/>
  <c r="Y7" i="1"/>
  <c r="X7" i="1"/>
  <c r="W7" i="1"/>
  <c r="U7" i="1"/>
  <c r="T7" i="1"/>
  <c r="S7" i="1"/>
  <c r="R7" i="1"/>
  <c r="P7" i="1"/>
  <c r="O7" i="1"/>
  <c r="N7" i="1"/>
  <c r="M7" i="1"/>
  <c r="K7" i="1"/>
  <c r="J7" i="1"/>
  <c r="I7" i="1"/>
  <c r="H7" i="1"/>
  <c r="AB3" i="1"/>
  <c r="Z3" i="1"/>
  <c r="Y3" i="1"/>
  <c r="X3" i="1"/>
  <c r="W3" i="1"/>
  <c r="U3" i="1"/>
  <c r="T3" i="1"/>
  <c r="S3" i="1"/>
  <c r="R3" i="1"/>
  <c r="P3" i="1"/>
  <c r="O3" i="1"/>
  <c r="N3" i="1"/>
  <c r="M3" i="1"/>
  <c r="K3" i="1"/>
  <c r="J3" i="1"/>
  <c r="I3" i="1"/>
  <c r="H3" i="1"/>
  <c r="V116" i="1" l="1"/>
  <c r="U210" i="1"/>
  <c r="AF31" i="1"/>
  <c r="AF17" i="1"/>
  <c r="L40" i="2"/>
  <c r="O39" i="3"/>
  <c r="P52" i="3"/>
  <c r="BC50" i="5"/>
  <c r="BC51" i="5"/>
  <c r="BF52" i="5"/>
  <c r="BK53" i="5" s="1"/>
  <c r="AE18" i="1"/>
  <c r="AZ53" i="5"/>
  <c r="Z25" i="1"/>
  <c r="AA25" i="1" s="1"/>
  <c r="BB50" i="5"/>
  <c r="BB51" i="5"/>
  <c r="AC15" i="1"/>
  <c r="AC19" i="1" s="1"/>
  <c r="AB19" i="1"/>
  <c r="AB37" i="1" s="1"/>
  <c r="AB41" i="1" s="1"/>
  <c r="AB45" i="1" s="1"/>
  <c r="AZ18" i="1"/>
  <c r="AZ93" i="1"/>
  <c r="O6" i="2"/>
  <c r="BE49" i="5"/>
  <c r="M15" i="1"/>
  <c r="M19" i="1" s="1"/>
  <c r="M37" i="1" s="1"/>
  <c r="M146" i="1" s="1"/>
  <c r="W15" i="1"/>
  <c r="W19" i="1" s="1"/>
  <c r="W37" i="1" s="1"/>
  <c r="W146" i="1" s="1"/>
  <c r="O15" i="1"/>
  <c r="O19" i="1" s="1"/>
  <c r="O37" i="1" s="1"/>
  <c r="O146" i="1" s="1"/>
  <c r="Y15" i="1"/>
  <c r="Y106" i="1" s="1"/>
  <c r="V30" i="1"/>
  <c r="J15" i="1"/>
  <c r="J19" i="1" s="1"/>
  <c r="J37" i="1" s="1"/>
  <c r="J41" i="1" s="1"/>
  <c r="J45" i="1" s="1"/>
  <c r="T15" i="1"/>
  <c r="T19" i="1" s="1"/>
  <c r="T37" i="1" s="1"/>
  <c r="T146" i="1" s="1"/>
  <c r="AB162" i="1"/>
  <c r="Q177" i="1"/>
  <c r="Q114" i="1"/>
  <c r="Q116" i="1"/>
  <c r="L14" i="1"/>
  <c r="Q14" i="1"/>
  <c r="K15" i="1"/>
  <c r="K19" i="1" s="1"/>
  <c r="K37" i="1" s="1"/>
  <c r="K146" i="1" s="1"/>
  <c r="V14" i="1"/>
  <c r="L3" i="1"/>
  <c r="I15" i="1"/>
  <c r="I19" i="1" s="1"/>
  <c r="I37" i="1" s="1"/>
  <c r="I41" i="1" s="1"/>
  <c r="I45" i="1" s="1"/>
  <c r="N15" i="1"/>
  <c r="N19" i="1" s="1"/>
  <c r="N37" i="1" s="1"/>
  <c r="N146" i="1" s="1"/>
  <c r="S15" i="1"/>
  <c r="S19" i="1" s="1"/>
  <c r="S37" i="1" s="1"/>
  <c r="S146" i="1" s="1"/>
  <c r="X15" i="1"/>
  <c r="X19" i="1" s="1"/>
  <c r="X37" i="1" s="1"/>
  <c r="X41" i="1" s="1"/>
  <c r="AC162" i="1"/>
  <c r="Q18" i="1"/>
  <c r="V18" i="1"/>
  <c r="AA18" i="1"/>
  <c r="BA50" i="5"/>
  <c r="P15" i="1"/>
  <c r="P19" i="1" s="1"/>
  <c r="P37" i="1" s="1"/>
  <c r="P146" i="1" s="1"/>
  <c r="U15" i="1"/>
  <c r="U19" i="1" s="1"/>
  <c r="U37" i="1" s="1"/>
  <c r="U146" i="1" s="1"/>
  <c r="Z15" i="1"/>
  <c r="Z106" i="1" s="1"/>
  <c r="L7" i="1"/>
  <c r="Q7" i="1"/>
  <c r="V7" i="1"/>
  <c r="AA7" i="1"/>
  <c r="V3" i="1"/>
  <c r="L17" i="1"/>
  <c r="Q17" i="1"/>
  <c r="V17" i="1"/>
  <c r="AA17" i="1"/>
  <c r="BA51" i="5"/>
  <c r="AA130" i="1"/>
  <c r="AF194" i="1"/>
  <c r="AF199" i="1" s="1"/>
  <c r="CI50" i="5"/>
  <c r="AD15" i="1"/>
  <c r="K137" i="8"/>
  <c r="K139" i="8" s="1"/>
  <c r="L25" i="8"/>
  <c r="K26" i="8"/>
  <c r="G137" i="8"/>
  <c r="G139" i="8" s="1"/>
  <c r="G68" i="8"/>
  <c r="T127" i="8"/>
  <c r="S128" i="8"/>
  <c r="S137" i="8"/>
  <c r="S139" i="8" s="1"/>
  <c r="I66" i="3"/>
  <c r="I55" i="3"/>
  <c r="J53" i="3"/>
  <c r="I68" i="3"/>
  <c r="I71" i="3" s="1"/>
  <c r="I60" i="3"/>
  <c r="I58" i="3"/>
  <c r="J46" i="3"/>
  <c r="J47" i="3" s="1"/>
  <c r="I49" i="3"/>
  <c r="I90" i="2"/>
  <c r="J90" i="2" s="1"/>
  <c r="K90" i="2" s="1"/>
  <c r="L90" i="2" s="1"/>
  <c r="M90" i="2" s="1"/>
  <c r="N90" i="2" s="1"/>
  <c r="O90" i="2" s="1"/>
  <c r="P90" i="2" s="1"/>
  <c r="Q90" i="2" s="1"/>
  <c r="R90" i="2" s="1"/>
  <c r="S90" i="2" s="1"/>
  <c r="T90" i="2" s="1"/>
  <c r="AU25" i="5"/>
  <c r="AP25" i="5"/>
  <c r="AP52" i="5"/>
  <c r="AQ25" i="5"/>
  <c r="AM24" i="5"/>
  <c r="AL25" i="5"/>
  <c r="AL24" i="5"/>
  <c r="AL52" i="5"/>
  <c r="AL49" i="5"/>
  <c r="AP49" i="5" s="1"/>
  <c r="Q3" i="1"/>
  <c r="AA3" i="1"/>
  <c r="AA15" i="1" s="1"/>
  <c r="H15" i="1"/>
  <c r="H19" i="1" s="1"/>
  <c r="H37" i="1" s="1"/>
  <c r="R15" i="1"/>
  <c r="R19" i="1" s="1"/>
  <c r="R37" i="1" s="1"/>
  <c r="AF163" i="1"/>
  <c r="AC163" i="1" s="1"/>
  <c r="Y163" i="1"/>
  <c r="AF155" i="1"/>
  <c r="AD155" i="1" s="1"/>
  <c r="Z155" i="1"/>
  <c r="Z26" i="1" s="1"/>
  <c r="AK191" i="1"/>
  <c r="AP189" i="1" s="1"/>
  <c r="AF161" i="1"/>
  <c r="AC161" i="1" s="1"/>
  <c r="AK162" i="1"/>
  <c r="AF29" i="1"/>
  <c r="Y161" i="1"/>
  <c r="AF153" i="1"/>
  <c r="AB153" i="1" s="1"/>
  <c r="AK154" i="1"/>
  <c r="AE154" i="1"/>
  <c r="AF25" i="1"/>
  <c r="Z153" i="1"/>
  <c r="Z24" i="1" s="1"/>
  <c r="Z163" i="1"/>
  <c r="Z30" i="1" s="1"/>
  <c r="AO208" i="1"/>
  <c r="AM208" i="1"/>
  <c r="AU208" i="1"/>
  <c r="AZ208" i="1" s="1"/>
  <c r="AL208" i="1"/>
  <c r="AN208" i="1"/>
  <c r="V26" i="1"/>
  <c r="AP207" i="1"/>
  <c r="AJ207" i="1"/>
  <c r="AJ206" i="1" s="1"/>
  <c r="AH207" i="1"/>
  <c r="AH206" i="1" s="1"/>
  <c r="AK206" i="1"/>
  <c r="AG207" i="1"/>
  <c r="AG206" i="1" s="1"/>
  <c r="AI207" i="1"/>
  <c r="AI206" i="1" s="1"/>
  <c r="Q210" i="1"/>
  <c r="Q125" i="1"/>
  <c r="Q126" i="1"/>
  <c r="W122" i="1"/>
  <c r="W126" i="1"/>
  <c r="R210" i="1"/>
  <c r="R126" i="1"/>
  <c r="R125" i="1"/>
  <c r="V122" i="1"/>
  <c r="E51" i="2" s="1"/>
  <c r="V28" i="1"/>
  <c r="V24" i="1"/>
  <c r="AU209" i="1"/>
  <c r="AZ209" i="1" s="1"/>
  <c r="AO209" i="1"/>
  <c r="AM209" i="1"/>
  <c r="AL209" i="1"/>
  <c r="AN209" i="1"/>
  <c r="L180" i="1"/>
  <c r="L182" i="1" s="1"/>
  <c r="Q176" i="1"/>
  <c r="L181" i="1"/>
  <c r="L210" i="1"/>
  <c r="L126" i="1"/>
  <c r="L125" i="1"/>
  <c r="BI50" i="5" l="1"/>
  <c r="BJ50" i="5" s="1"/>
  <c r="AF18" i="1"/>
  <c r="Q52" i="3"/>
  <c r="M40" i="2"/>
  <c r="P39" i="3"/>
  <c r="AE162" i="1"/>
  <c r="AE29" i="1"/>
  <c r="AE25" i="1"/>
  <c r="BC52" i="5"/>
  <c r="BC53" i="5" s="1"/>
  <c r="BB52" i="5"/>
  <c r="BB53" i="5" s="1"/>
  <c r="BD50" i="5"/>
  <c r="BD52" i="5" s="1"/>
  <c r="BD53" i="5" s="1"/>
  <c r="Z19" i="1"/>
  <c r="Z37" i="1" s="1"/>
  <c r="Z41" i="1" s="1"/>
  <c r="K225" i="1"/>
  <c r="T41" i="1"/>
  <c r="T43" i="1" s="1"/>
  <c r="I146" i="1"/>
  <c r="O41" i="1"/>
  <c r="O45" i="1" s="1"/>
  <c r="O47" i="1" s="1"/>
  <c r="W41" i="1"/>
  <c r="W43" i="1" s="1"/>
  <c r="AB43" i="1"/>
  <c r="J225" i="1"/>
  <c r="I225" i="1"/>
  <c r="K41" i="1"/>
  <c r="K45" i="1" s="1"/>
  <c r="K47" i="1" s="1"/>
  <c r="Y19" i="1"/>
  <c r="Y37" i="1" s="1"/>
  <c r="Y41" i="1" s="1"/>
  <c r="M41" i="1"/>
  <c r="M45" i="1" s="1"/>
  <c r="M123" i="1" s="1"/>
  <c r="M132" i="1" s="1"/>
  <c r="M133" i="1" s="1"/>
  <c r="Q15" i="1"/>
  <c r="Q19" i="1" s="1"/>
  <c r="Q37" i="1" s="1"/>
  <c r="Q41" i="1" s="1"/>
  <c r="Q45" i="1" s="1"/>
  <c r="P41" i="1"/>
  <c r="P45" i="1" s="1"/>
  <c r="P47" i="1" s="1"/>
  <c r="AW209" i="1"/>
  <c r="AV209" i="1"/>
  <c r="AX209" i="1"/>
  <c r="BE209" i="1"/>
  <c r="AY209" i="1"/>
  <c r="AW208" i="1"/>
  <c r="AV208" i="1"/>
  <c r="BE208" i="1"/>
  <c r="AX208" i="1"/>
  <c r="AY208" i="1"/>
  <c r="BE93" i="1"/>
  <c r="BE18" i="1"/>
  <c r="P6" i="2"/>
  <c r="AA24" i="1"/>
  <c r="N41" i="1"/>
  <c r="N45" i="1" s="1"/>
  <c r="N48" i="1" s="1"/>
  <c r="X146" i="1"/>
  <c r="J146" i="1"/>
  <c r="AB161" i="1"/>
  <c r="U41" i="1"/>
  <c r="U45" i="1" s="1"/>
  <c r="S41" i="1"/>
  <c r="S43" i="1" s="1"/>
  <c r="Q178" i="1"/>
  <c r="Q181" i="1" s="1"/>
  <c r="AC153" i="1"/>
  <c r="L15" i="1"/>
  <c r="L19" i="1" s="1"/>
  <c r="L37" i="1" s="1"/>
  <c r="AC155" i="1"/>
  <c r="AA26" i="1"/>
  <c r="AB155" i="1"/>
  <c r="V15" i="1"/>
  <c r="V19" i="1" s="1"/>
  <c r="BE51" i="5"/>
  <c r="BE52" i="5" s="1"/>
  <c r="BE53" i="5" s="1"/>
  <c r="BA52" i="5"/>
  <c r="CN50" i="5"/>
  <c r="AD19" i="1"/>
  <c r="T128" i="8"/>
  <c r="U127" i="8"/>
  <c r="T137" i="8"/>
  <c r="T139" i="8" s="1"/>
  <c r="M25" i="8"/>
  <c r="L137" i="8"/>
  <c r="L139" i="8" s="1"/>
  <c r="L26" i="8"/>
  <c r="J49" i="3"/>
  <c r="K46" i="3"/>
  <c r="J59" i="3"/>
  <c r="J57" i="3"/>
  <c r="J65" i="3"/>
  <c r="AQ53" i="5"/>
  <c r="AL53" i="5"/>
  <c r="AU53" i="5"/>
  <c r="AP53" i="5"/>
  <c r="AT209" i="1"/>
  <c r="AR209" i="1"/>
  <c r="AQ209" i="1"/>
  <c r="AS209" i="1"/>
  <c r="V210" i="1"/>
  <c r="V126" i="1"/>
  <c r="V125" i="1"/>
  <c r="W210" i="1"/>
  <c r="W125" i="1"/>
  <c r="AT208" i="1"/>
  <c r="AR208" i="1"/>
  <c r="AQ208" i="1"/>
  <c r="AS208" i="1"/>
  <c r="AB163" i="1"/>
  <c r="AP154" i="1"/>
  <c r="AP25" i="1" s="1"/>
  <c r="AK25" i="1"/>
  <c r="AK153" i="1"/>
  <c r="AF24" i="1"/>
  <c r="AK161" i="1"/>
  <c r="AF28" i="1"/>
  <c r="AD153" i="1"/>
  <c r="AK194" i="1"/>
  <c r="AK199" i="1" s="1"/>
  <c r="AK155" i="1"/>
  <c r="AF26" i="1"/>
  <c r="R146" i="1"/>
  <c r="R41" i="1"/>
  <c r="AA81" i="1"/>
  <c r="F47" i="2" s="1"/>
  <c r="AA19" i="1"/>
  <c r="Y112" i="1"/>
  <c r="Y145" i="1"/>
  <c r="AA106" i="1"/>
  <c r="AA145" i="1" s="1"/>
  <c r="J227" i="1"/>
  <c r="J123" i="1"/>
  <c r="J132" i="1" s="1"/>
  <c r="J133" i="1" s="1"/>
  <c r="J47" i="1"/>
  <c r="J48" i="1"/>
  <c r="J229" i="1" s="1"/>
  <c r="X45" i="1"/>
  <c r="X43" i="1"/>
  <c r="AU207" i="1"/>
  <c r="AZ207" i="1" s="1"/>
  <c r="AZ206" i="1" s="1"/>
  <c r="AO207" i="1"/>
  <c r="AO206" i="1" s="1"/>
  <c r="AM207" i="1"/>
  <c r="AM206" i="1" s="1"/>
  <c r="AP206" i="1"/>
  <c r="AL207" i="1"/>
  <c r="AL206" i="1" s="1"/>
  <c r="AN207" i="1"/>
  <c r="AN206" i="1" s="1"/>
  <c r="AD161" i="1"/>
  <c r="Y28" i="1"/>
  <c r="AA28" i="1" s="1"/>
  <c r="AP162" i="1"/>
  <c r="AK29" i="1"/>
  <c r="AP191" i="1"/>
  <c r="AU189" i="1" s="1"/>
  <c r="AD163" i="1"/>
  <c r="Y30" i="1"/>
  <c r="AA30" i="1" s="1"/>
  <c r="AK163" i="1"/>
  <c r="AF30" i="1"/>
  <c r="AB123" i="1"/>
  <c r="AB132" i="1" s="1"/>
  <c r="AB133" i="1" s="1"/>
  <c r="AB47" i="1"/>
  <c r="AB48" i="1"/>
  <c r="H225" i="1"/>
  <c r="H146" i="1"/>
  <c r="H41" i="1"/>
  <c r="H45" i="1" s="1"/>
  <c r="T45" i="1"/>
  <c r="Z112" i="1"/>
  <c r="Z145" i="1"/>
  <c r="I227" i="1"/>
  <c r="I123" i="1"/>
  <c r="I132" i="1" s="1"/>
  <c r="I133" i="1" s="1"/>
  <c r="I48" i="1"/>
  <c r="I229" i="1" s="1"/>
  <c r="I47" i="1"/>
  <c r="N40" i="2" l="1"/>
  <c r="Q39" i="3"/>
  <c r="R52" i="3"/>
  <c r="Y146" i="1"/>
  <c r="W45" i="1"/>
  <c r="W123" i="1" s="1"/>
  <c r="W132" i="1" s="1"/>
  <c r="W133" i="1" s="1"/>
  <c r="AF33" i="1"/>
  <c r="K48" i="1"/>
  <c r="K229" i="1" s="1"/>
  <c r="BG53" i="5"/>
  <c r="Q180" i="1"/>
  <c r="Q182" i="1" s="1"/>
  <c r="O48" i="1"/>
  <c r="O123" i="1"/>
  <c r="O132" i="1" s="1"/>
  <c r="O133" i="1" s="1"/>
  <c r="Z146" i="1"/>
  <c r="P123" i="1"/>
  <c r="P132" i="1" s="1"/>
  <c r="P133" i="1" s="1"/>
  <c r="P48" i="1"/>
  <c r="U43" i="1"/>
  <c r="K123" i="1"/>
  <c r="K132" i="1" s="1"/>
  <c r="K133" i="1" s="1"/>
  <c r="K227" i="1"/>
  <c r="Q146" i="1"/>
  <c r="S45" i="1"/>
  <c r="S47" i="1" s="1"/>
  <c r="M48" i="1"/>
  <c r="M47" i="1"/>
  <c r="N47" i="1"/>
  <c r="BB209" i="1"/>
  <c r="BA209" i="1"/>
  <c r="BC209" i="1"/>
  <c r="BJ209" i="1"/>
  <c r="BD209" i="1"/>
  <c r="BE207" i="1"/>
  <c r="BE206" i="1" s="1"/>
  <c r="AW207" i="1"/>
  <c r="AW206" i="1" s="1"/>
  <c r="AV207" i="1"/>
  <c r="AV206" i="1" s="1"/>
  <c r="AX207" i="1"/>
  <c r="AX206" i="1" s="1"/>
  <c r="AY207" i="1"/>
  <c r="AY206" i="1" s="1"/>
  <c r="BJ208" i="1"/>
  <c r="BC208" i="1"/>
  <c r="BB208" i="1"/>
  <c r="BD208" i="1"/>
  <c r="BA208" i="1"/>
  <c r="BJ18" i="1"/>
  <c r="BJ93" i="1"/>
  <c r="Q6" i="2"/>
  <c r="N123" i="1"/>
  <c r="N132" i="1" s="1"/>
  <c r="N133" i="1" s="1"/>
  <c r="V176" i="1"/>
  <c r="V178" i="1" s="1"/>
  <c r="V180" i="1" s="1"/>
  <c r="V182" i="1" s="1"/>
  <c r="AE155" i="1"/>
  <c r="AE26" i="1" s="1"/>
  <c r="AE153" i="1"/>
  <c r="AE24" i="1" s="1"/>
  <c r="L41" i="1"/>
  <c r="L45" i="1" s="1"/>
  <c r="L146" i="1"/>
  <c r="V37" i="1"/>
  <c r="BF53" i="5"/>
  <c r="BA53" i="5"/>
  <c r="CS50" i="5"/>
  <c r="F57" i="2"/>
  <c r="F60" i="2" s="1"/>
  <c r="F83" i="2"/>
  <c r="M137" i="8"/>
  <c r="M139" i="8" s="1"/>
  <c r="N25" i="8"/>
  <c r="M26" i="8"/>
  <c r="U128" i="8"/>
  <c r="U137" i="8"/>
  <c r="U139" i="8" s="1"/>
  <c r="J54" i="3"/>
  <c r="J75" i="3"/>
  <c r="J82" i="3" s="1"/>
  <c r="J63" i="3"/>
  <c r="J64" i="3"/>
  <c r="U123" i="1"/>
  <c r="U132" i="1" s="1"/>
  <c r="U133" i="1" s="1"/>
  <c r="U48" i="1"/>
  <c r="U47" i="1"/>
  <c r="T123" i="1"/>
  <c r="T132" i="1" s="1"/>
  <c r="T133" i="1" s="1"/>
  <c r="T47" i="1"/>
  <c r="T48" i="1"/>
  <c r="Y43" i="1"/>
  <c r="Y45" i="1"/>
  <c r="Q123" i="1"/>
  <c r="Q132" i="1" s="1"/>
  <c r="Q133" i="1" s="1"/>
  <c r="Q48" i="1"/>
  <c r="Q47" i="1"/>
  <c r="H227" i="1"/>
  <c r="H123" i="1"/>
  <c r="H132" i="1" s="1"/>
  <c r="H133" i="1" s="1"/>
  <c r="H47" i="1"/>
  <c r="H48" i="1"/>
  <c r="H229" i="1" s="1"/>
  <c r="AP163" i="1"/>
  <c r="AK30" i="1"/>
  <c r="AK31" i="1" s="1"/>
  <c r="AU191" i="1"/>
  <c r="AU162" i="1"/>
  <c r="AP29" i="1"/>
  <c r="X123" i="1"/>
  <c r="X132" i="1" s="1"/>
  <c r="X133" i="1" s="1"/>
  <c r="X47" i="1"/>
  <c r="X48" i="1"/>
  <c r="Z45" i="1"/>
  <c r="Z43" i="1"/>
  <c r="Y116" i="1"/>
  <c r="Y114" i="1"/>
  <c r="AA112" i="1"/>
  <c r="AP161" i="1"/>
  <c r="AK28" i="1"/>
  <c r="Z116" i="1"/>
  <c r="Z114" i="1"/>
  <c r="AE163" i="1"/>
  <c r="AP194" i="1"/>
  <c r="AP199" i="1" s="1"/>
  <c r="AT207" i="1"/>
  <c r="AT206" i="1" s="1"/>
  <c r="AR207" i="1"/>
  <c r="AR206" i="1" s="1"/>
  <c r="AU206" i="1"/>
  <c r="AQ207" i="1"/>
  <c r="AQ206" i="1" s="1"/>
  <c r="AS207" i="1"/>
  <c r="AS206" i="1" s="1"/>
  <c r="AA37" i="1"/>
  <c r="R45" i="1"/>
  <c r="R43" i="1"/>
  <c r="AP155" i="1"/>
  <c r="AK26" i="1"/>
  <c r="AK27" i="1" s="1"/>
  <c r="AE161" i="1"/>
  <c r="AE28" i="1" s="1"/>
  <c r="AP153" i="1"/>
  <c r="AK24" i="1"/>
  <c r="AU154" i="1"/>
  <c r="AU25" i="1" s="1"/>
  <c r="H49" i="2" l="1"/>
  <c r="AK102" i="1"/>
  <c r="AH31" i="1"/>
  <c r="AI31" i="1"/>
  <c r="AG31" i="1"/>
  <c r="AK101" i="1"/>
  <c r="AI27" i="1"/>
  <c r="AI101" i="1" s="1"/>
  <c r="AH27" i="1"/>
  <c r="AH101" i="1" s="1"/>
  <c r="AG27" i="1"/>
  <c r="AG101" i="1" s="1"/>
  <c r="L53" i="3"/>
  <c r="L57" i="3" s="1"/>
  <c r="S52" i="3"/>
  <c r="O40" i="2"/>
  <c r="R39" i="3"/>
  <c r="AK33" i="1"/>
  <c r="W47" i="1"/>
  <c r="W48" i="1"/>
  <c r="S123" i="1"/>
  <c r="S132" i="1" s="1"/>
  <c r="S133" i="1" s="1"/>
  <c r="S48" i="1"/>
  <c r="V181" i="1"/>
  <c r="AA176" i="1"/>
  <c r="BH208" i="1"/>
  <c r="BG208" i="1"/>
  <c r="BO208" i="1"/>
  <c r="BI208" i="1"/>
  <c r="BF208" i="1"/>
  <c r="BH209" i="1"/>
  <c r="BG209" i="1"/>
  <c r="BI209" i="1"/>
  <c r="BO209" i="1"/>
  <c r="BF209" i="1"/>
  <c r="AU29" i="1"/>
  <c r="AZ162" i="1"/>
  <c r="BJ207" i="1"/>
  <c r="BC207" i="1"/>
  <c r="BC206" i="1" s="1"/>
  <c r="BB207" i="1"/>
  <c r="BB206" i="1" s="1"/>
  <c r="BD207" i="1"/>
  <c r="BD206" i="1" s="1"/>
  <c r="BA207" i="1"/>
  <c r="BA206" i="1" s="1"/>
  <c r="AZ154" i="1"/>
  <c r="AZ25" i="1" s="1"/>
  <c r="BO93" i="1"/>
  <c r="BO18" i="1"/>
  <c r="AU194" i="1"/>
  <c r="AU199" i="1" s="1"/>
  <c r="AZ189" i="1"/>
  <c r="R6" i="2"/>
  <c r="V146" i="1"/>
  <c r="V41" i="1"/>
  <c r="E5" i="70" s="1"/>
  <c r="L48" i="1"/>
  <c r="L123" i="1"/>
  <c r="L132" i="1" s="1"/>
  <c r="L133" i="1" s="1"/>
  <c r="L47" i="1"/>
  <c r="CX50" i="5"/>
  <c r="N137" i="8"/>
  <c r="N139" i="8" s="1"/>
  <c r="O25" i="8"/>
  <c r="N26" i="8"/>
  <c r="L59" i="3"/>
  <c r="K63" i="3"/>
  <c r="K75" i="3"/>
  <c r="K64" i="3"/>
  <c r="AU153" i="1"/>
  <c r="AP24" i="1"/>
  <c r="Z126" i="1"/>
  <c r="Z122" i="1"/>
  <c r="AU161" i="1"/>
  <c r="AP28" i="1"/>
  <c r="AA177" i="1"/>
  <c r="AA114" i="1"/>
  <c r="Y122" i="1"/>
  <c r="Y126" i="1"/>
  <c r="AA116" i="1"/>
  <c r="Z123" i="1"/>
  <c r="Z132" i="1" s="1"/>
  <c r="Z133" i="1" s="1"/>
  <c r="Z47" i="1"/>
  <c r="Z48" i="1"/>
  <c r="Y123" i="1"/>
  <c r="Y132" i="1" s="1"/>
  <c r="Y133" i="1" s="1"/>
  <c r="Y48" i="1"/>
  <c r="Y47" i="1"/>
  <c r="AU155" i="1"/>
  <c r="AP26" i="1"/>
  <c r="AP27" i="1" s="1"/>
  <c r="R123" i="1"/>
  <c r="R132" i="1" s="1"/>
  <c r="R133" i="1" s="1"/>
  <c r="R47" i="1"/>
  <c r="V45" i="1"/>
  <c r="R48" i="1"/>
  <c r="AA146" i="1"/>
  <c r="AA41" i="1"/>
  <c r="F5" i="70" s="1"/>
  <c r="F10" i="70" s="1"/>
  <c r="F14" i="70" s="1"/>
  <c r="F16" i="70" s="1"/>
  <c r="AU163" i="1"/>
  <c r="AP30" i="1"/>
  <c r="AP31" i="1" s="1"/>
  <c r="AP102" i="1" s="1"/>
  <c r="AP101" i="1" l="1"/>
  <c r="I49" i="2"/>
  <c r="L65" i="3"/>
  <c r="M53" i="3" s="1"/>
  <c r="AJ31" i="1"/>
  <c r="AJ27" i="1"/>
  <c r="AJ101" i="1" s="1"/>
  <c r="P40" i="2"/>
  <c r="S39" i="3"/>
  <c r="T52" i="3"/>
  <c r="AP33" i="1"/>
  <c r="AA178" i="1"/>
  <c r="AF176" i="1" s="1"/>
  <c r="BJ206" i="1"/>
  <c r="BO207" i="1"/>
  <c r="BO206" i="1" s="1"/>
  <c r="BH207" i="1"/>
  <c r="BH206" i="1" s="1"/>
  <c r="BF207" i="1"/>
  <c r="BF206" i="1" s="1"/>
  <c r="BG207" i="1"/>
  <c r="BG206" i="1" s="1"/>
  <c r="BI207" i="1"/>
  <c r="BI206" i="1" s="1"/>
  <c r="BN208" i="1"/>
  <c r="BT208" i="1"/>
  <c r="BL208" i="1"/>
  <c r="BM208" i="1"/>
  <c r="BK208" i="1"/>
  <c r="AU30" i="1"/>
  <c r="AU31" i="1" s="1"/>
  <c r="AZ163" i="1"/>
  <c r="AU26" i="1"/>
  <c r="AU27" i="1" s="1"/>
  <c r="AZ155" i="1"/>
  <c r="BN209" i="1"/>
  <c r="BM209" i="1"/>
  <c r="BK209" i="1"/>
  <c r="BT209" i="1"/>
  <c r="BL209" i="1"/>
  <c r="F6" i="70"/>
  <c r="E10" i="70"/>
  <c r="E14" i="70" s="1"/>
  <c r="E16" i="70" s="1"/>
  <c r="AZ29" i="1"/>
  <c r="BE162" i="1"/>
  <c r="AU28" i="1"/>
  <c r="AZ161" i="1"/>
  <c r="AU24" i="1"/>
  <c r="AZ153" i="1"/>
  <c r="BE154" i="1"/>
  <c r="BE25" i="1" s="1"/>
  <c r="BT93" i="1"/>
  <c r="BT18" i="1"/>
  <c r="S6" i="2"/>
  <c r="AZ191" i="1"/>
  <c r="BE189" i="1" s="1"/>
  <c r="DC50" i="5"/>
  <c r="O137" i="8"/>
  <c r="O139" i="8" s="1"/>
  <c r="P25" i="8"/>
  <c r="O26" i="8"/>
  <c r="K40" i="3"/>
  <c r="K82" i="3"/>
  <c r="L75" i="3"/>
  <c r="L63" i="3"/>
  <c r="L64" i="3"/>
  <c r="V123" i="1"/>
  <c r="V132" i="1" s="1"/>
  <c r="V133" i="1" s="1"/>
  <c r="V47" i="1"/>
  <c r="V48" i="1"/>
  <c r="Z210" i="1"/>
  <c r="Z125" i="1"/>
  <c r="AA43" i="1"/>
  <c r="AA45" i="1"/>
  <c r="Y210" i="1"/>
  <c r="Y125" i="1"/>
  <c r="AA122" i="1"/>
  <c r="AU101" i="1" l="1"/>
  <c r="J49" i="2"/>
  <c r="L54" i="3"/>
  <c r="M65" i="3"/>
  <c r="M59" i="3"/>
  <c r="M57" i="3"/>
  <c r="Q40" i="2"/>
  <c r="T39" i="3"/>
  <c r="U52" i="3"/>
  <c r="AU102" i="1"/>
  <c r="AU33" i="1"/>
  <c r="F51" i="2"/>
  <c r="AA210" i="1"/>
  <c r="AA181" i="1"/>
  <c r="AA180" i="1"/>
  <c r="AA182" i="1" s="1"/>
  <c r="BR209" i="1"/>
  <c r="BQ209" i="1"/>
  <c r="BS209" i="1"/>
  <c r="BY209" i="1"/>
  <c r="BP209" i="1"/>
  <c r="AZ26" i="1"/>
  <c r="AZ27" i="1" s="1"/>
  <c r="BE155" i="1"/>
  <c r="BE29" i="1"/>
  <c r="BJ162" i="1"/>
  <c r="BE163" i="1"/>
  <c r="AZ30" i="1"/>
  <c r="AZ31" i="1" s="1"/>
  <c r="AZ102" i="1" s="1"/>
  <c r="BT207" i="1"/>
  <c r="BK207" i="1"/>
  <c r="BK206" i="1" s="1"/>
  <c r="BN207" i="1"/>
  <c r="BN206" i="1" s="1"/>
  <c r="BL207" i="1"/>
  <c r="BL206" i="1" s="1"/>
  <c r="BM207" i="1"/>
  <c r="BM206" i="1" s="1"/>
  <c r="BR208" i="1"/>
  <c r="BQ208" i="1"/>
  <c r="BY208" i="1"/>
  <c r="BS208" i="1"/>
  <c r="BP208" i="1"/>
  <c r="AZ28" i="1"/>
  <c r="BE161" i="1"/>
  <c r="AZ24" i="1"/>
  <c r="BE153" i="1"/>
  <c r="BJ154" i="1"/>
  <c r="BJ25" i="1" s="1"/>
  <c r="BY93" i="1"/>
  <c r="BY18" i="1"/>
  <c r="AZ194" i="1"/>
  <c r="AZ199" i="1" s="1"/>
  <c r="BE191" i="1"/>
  <c r="BJ189" i="1" s="1"/>
  <c r="T6" i="2"/>
  <c r="DH50" i="5"/>
  <c r="P137" i="8"/>
  <c r="P139" i="8" s="1"/>
  <c r="P26" i="8"/>
  <c r="L33" i="3"/>
  <c r="L40" i="3" s="1"/>
  <c r="L82" i="3"/>
  <c r="H36" i="2" s="1"/>
  <c r="M63" i="3"/>
  <c r="M75" i="3"/>
  <c r="M64" i="3"/>
  <c r="AA123" i="1"/>
  <c r="AA132" i="1" s="1"/>
  <c r="AA133" i="1" s="1"/>
  <c r="AA48" i="1"/>
  <c r="AA47" i="1"/>
  <c r="K49" i="2" l="1"/>
  <c r="N53" i="3"/>
  <c r="N65" i="3" s="1"/>
  <c r="V52" i="3"/>
  <c r="R40" i="2"/>
  <c r="U39" i="3"/>
  <c r="AZ33" i="1"/>
  <c r="BV209" i="1"/>
  <c r="BU209" i="1"/>
  <c r="BW209" i="1"/>
  <c r="BX209" i="1"/>
  <c r="CD209" i="1"/>
  <c r="BV208" i="1"/>
  <c r="BU208" i="1"/>
  <c r="CD208" i="1"/>
  <c r="BW208" i="1"/>
  <c r="BX208" i="1"/>
  <c r="BY207" i="1"/>
  <c r="BY206" i="1" s="1"/>
  <c r="BR207" i="1"/>
  <c r="BR206" i="1" s="1"/>
  <c r="BQ207" i="1"/>
  <c r="BQ206" i="1" s="1"/>
  <c r="BS207" i="1"/>
  <c r="BS206" i="1" s="1"/>
  <c r="BP207" i="1"/>
  <c r="BP206" i="1" s="1"/>
  <c r="AZ101" i="1"/>
  <c r="BE26" i="1"/>
  <c r="BE27" i="1" s="1"/>
  <c r="BJ155" i="1"/>
  <c r="BJ29" i="1"/>
  <c r="BO162" i="1"/>
  <c r="BT206" i="1"/>
  <c r="BE30" i="1"/>
  <c r="BE31" i="1" s="1"/>
  <c r="BJ163" i="1"/>
  <c r="BJ161" i="1"/>
  <c r="BE28" i="1"/>
  <c r="BJ153" i="1"/>
  <c r="BE24" i="1"/>
  <c r="BO154" i="1"/>
  <c r="BO25" i="1" s="1"/>
  <c r="CD93" i="1"/>
  <c r="CD18" i="1"/>
  <c r="BE194" i="1"/>
  <c r="BE199" i="1" s="1"/>
  <c r="BJ191" i="1"/>
  <c r="BO189" i="1" s="1"/>
  <c r="DM50" i="5"/>
  <c r="M33" i="3"/>
  <c r="M40" i="3" s="1"/>
  <c r="M82" i="3"/>
  <c r="I36" i="2" s="1"/>
  <c r="AK211" i="1"/>
  <c r="AF211" i="1"/>
  <c r="BE101" i="1" l="1"/>
  <c r="L49" i="2"/>
  <c r="M54" i="3"/>
  <c r="N59" i="3"/>
  <c r="N63" i="3" s="1"/>
  <c r="N57" i="3"/>
  <c r="AP211" i="1"/>
  <c r="S40" i="2"/>
  <c r="V39" i="3"/>
  <c r="W52" i="3"/>
  <c r="BE102" i="1"/>
  <c r="BE33" i="1"/>
  <c r="BJ30" i="1"/>
  <c r="BJ31" i="1" s="1"/>
  <c r="BO163" i="1"/>
  <c r="CD207" i="1"/>
  <c r="CD206" i="1" s="1"/>
  <c r="BV207" i="1"/>
  <c r="BV206" i="1" s="1"/>
  <c r="BU207" i="1"/>
  <c r="BU206" i="1" s="1"/>
  <c r="BW207" i="1"/>
  <c r="BW206" i="1" s="1"/>
  <c r="BX207" i="1"/>
  <c r="BX206" i="1" s="1"/>
  <c r="CI208" i="1"/>
  <c r="CB208" i="1"/>
  <c r="CC208" i="1"/>
  <c r="CA208" i="1"/>
  <c r="BZ208" i="1"/>
  <c r="BJ26" i="1"/>
  <c r="BJ27" i="1" s="1"/>
  <c r="BO155" i="1"/>
  <c r="CB209" i="1"/>
  <c r="CA209" i="1"/>
  <c r="CC209" i="1"/>
  <c r="BZ209" i="1"/>
  <c r="CI209" i="1"/>
  <c r="BO29" i="1"/>
  <c r="BT162" i="1"/>
  <c r="BO161" i="1"/>
  <c r="BJ28" i="1"/>
  <c r="BJ24" i="1"/>
  <c r="BO153" i="1"/>
  <c r="BJ194" i="1"/>
  <c r="BJ199" i="1" s="1"/>
  <c r="BT154" i="1"/>
  <c r="BT25" i="1" s="1"/>
  <c r="CI93" i="1"/>
  <c r="CI18" i="1"/>
  <c r="BO191" i="1"/>
  <c r="BT189" i="1" s="1"/>
  <c r="DR50" i="5"/>
  <c r="BJ101" i="1" l="1"/>
  <c r="M49" i="2"/>
  <c r="N75" i="3"/>
  <c r="N64" i="3"/>
  <c r="O53" i="3"/>
  <c r="N54" i="3"/>
  <c r="O65" i="3"/>
  <c r="X52" i="3"/>
  <c r="T40" i="2"/>
  <c r="X39" i="3" s="1"/>
  <c r="W39" i="3"/>
  <c r="BJ102" i="1"/>
  <c r="BJ33" i="1"/>
  <c r="CF209" i="1"/>
  <c r="CE209" i="1"/>
  <c r="CG209" i="1"/>
  <c r="CN209" i="1"/>
  <c r="CH209" i="1"/>
  <c r="BO26" i="1"/>
  <c r="BO27" i="1" s="1"/>
  <c r="BT155" i="1"/>
  <c r="BT29" i="1"/>
  <c r="BY162" i="1"/>
  <c r="CI207" i="1"/>
  <c r="CI206" i="1" s="1"/>
  <c r="CC207" i="1"/>
  <c r="CC206" i="1" s="1"/>
  <c r="CB207" i="1"/>
  <c r="CB206" i="1" s="1"/>
  <c r="BZ207" i="1"/>
  <c r="BZ206" i="1" s="1"/>
  <c r="CA207" i="1"/>
  <c r="CA206" i="1" s="1"/>
  <c r="BT163" i="1"/>
  <c r="BO30" i="1"/>
  <c r="BO31" i="1" s="1"/>
  <c r="BO102" i="1" s="1"/>
  <c r="CF208" i="1"/>
  <c r="CE208" i="1"/>
  <c r="CN208" i="1"/>
  <c r="CG208" i="1"/>
  <c r="CH208" i="1"/>
  <c r="BO28" i="1"/>
  <c r="BT161" i="1"/>
  <c r="BT153" i="1"/>
  <c r="BO24" i="1"/>
  <c r="BY154" i="1"/>
  <c r="BY25" i="1" s="1"/>
  <c r="CN93" i="1"/>
  <c r="CN18" i="1"/>
  <c r="BT191" i="1"/>
  <c r="BY189" i="1" s="1"/>
  <c r="BO194" i="1"/>
  <c r="BO199" i="1" s="1"/>
  <c r="DW50" i="5"/>
  <c r="N49" i="2" l="1"/>
  <c r="N33" i="3"/>
  <c r="N82" i="3"/>
  <c r="J36" i="2" s="1"/>
  <c r="O59" i="3"/>
  <c r="O57" i="3"/>
  <c r="BO33" i="1"/>
  <c r="BO101" i="1"/>
  <c r="CN207" i="1"/>
  <c r="CF207" i="1"/>
  <c r="CF206" i="1" s="1"/>
  <c r="CE207" i="1"/>
  <c r="CE206" i="1" s="1"/>
  <c r="CG207" i="1"/>
  <c r="CG206" i="1" s="1"/>
  <c r="CH207" i="1"/>
  <c r="CH206" i="1" s="1"/>
  <c r="CL209" i="1"/>
  <c r="CK209" i="1"/>
  <c r="CS209" i="1"/>
  <c r="CM209" i="1"/>
  <c r="CJ209" i="1"/>
  <c r="CL208" i="1"/>
  <c r="CK208" i="1"/>
  <c r="CS208" i="1"/>
  <c r="CM208" i="1"/>
  <c r="CJ208" i="1"/>
  <c r="BY155" i="1"/>
  <c r="BT26" i="1"/>
  <c r="BT27" i="1" s="1"/>
  <c r="BY163" i="1"/>
  <c r="BT30" i="1"/>
  <c r="BT31" i="1" s="1"/>
  <c r="BY29" i="1"/>
  <c r="CD162" i="1"/>
  <c r="BT28" i="1"/>
  <c r="BY161" i="1"/>
  <c r="BY153" i="1"/>
  <c r="BT24" i="1"/>
  <c r="CD154" i="1"/>
  <c r="CD25" i="1" s="1"/>
  <c r="CS18" i="1"/>
  <c r="CS93" i="1"/>
  <c r="BT194" i="1"/>
  <c r="BT199" i="1" s="1"/>
  <c r="BY191" i="1"/>
  <c r="CD189" i="1" s="1"/>
  <c r="BT101" i="1" l="1"/>
  <c r="O49" i="2"/>
  <c r="O63" i="3"/>
  <c r="O64" i="3"/>
  <c r="O75" i="3"/>
  <c r="P53" i="3"/>
  <c r="N40" i="3"/>
  <c r="AU211" i="1"/>
  <c r="BT102" i="1"/>
  <c r="BT33" i="1"/>
  <c r="BY26" i="1"/>
  <c r="BY27" i="1" s="1"/>
  <c r="CD155" i="1"/>
  <c r="CR209" i="1"/>
  <c r="CP209" i="1"/>
  <c r="CO209" i="1"/>
  <c r="CQ209" i="1"/>
  <c r="CS207" i="1"/>
  <c r="CL207" i="1"/>
  <c r="CL206" i="1" s="1"/>
  <c r="CK207" i="1"/>
  <c r="CK206" i="1" s="1"/>
  <c r="CM207" i="1"/>
  <c r="CM206" i="1" s="1"/>
  <c r="CJ207" i="1"/>
  <c r="CJ206" i="1" s="1"/>
  <c r="BY30" i="1"/>
  <c r="BY31" i="1" s="1"/>
  <c r="BY102" i="1" s="1"/>
  <c r="CD163" i="1"/>
  <c r="CD29" i="1"/>
  <c r="CI162" i="1"/>
  <c r="CO208" i="1"/>
  <c r="CR208" i="1"/>
  <c r="CP208" i="1"/>
  <c r="CQ208" i="1"/>
  <c r="CN206" i="1"/>
  <c r="CD161" i="1"/>
  <c r="BY28" i="1"/>
  <c r="BY24" i="1"/>
  <c r="CD153" i="1"/>
  <c r="CI154" i="1"/>
  <c r="CI25" i="1" s="1"/>
  <c r="CD191" i="1"/>
  <c r="CI189" i="1" s="1"/>
  <c r="BY194" i="1"/>
  <c r="BY199" i="1" s="1"/>
  <c r="BY101" i="1" l="1"/>
  <c r="P49" i="2"/>
  <c r="O33" i="3"/>
  <c r="O82" i="3"/>
  <c r="K36" i="2" s="1"/>
  <c r="P65" i="3"/>
  <c r="P59" i="3"/>
  <c r="P57" i="3"/>
  <c r="Q53" i="3" s="1"/>
  <c r="O54" i="3"/>
  <c r="BY33" i="1"/>
  <c r="CN162" i="1"/>
  <c r="CI29" i="1"/>
  <c r="CO207" i="1"/>
  <c r="CO206" i="1" s="1"/>
  <c r="CR207" i="1"/>
  <c r="CR206" i="1" s="1"/>
  <c r="CP207" i="1"/>
  <c r="CP206" i="1" s="1"/>
  <c r="CQ207" i="1"/>
  <c r="CQ206" i="1" s="1"/>
  <c r="CS206" i="1"/>
  <c r="CD30" i="1"/>
  <c r="CD31" i="1" s="1"/>
  <c r="CD102" i="1" s="1"/>
  <c r="CI163" i="1"/>
  <c r="CI155" i="1"/>
  <c r="CD26" i="1"/>
  <c r="CD27" i="1" s="1"/>
  <c r="CI161" i="1"/>
  <c r="CD28" i="1"/>
  <c r="CI153" i="1"/>
  <c r="CD24" i="1"/>
  <c r="CN154" i="1"/>
  <c r="CN25" i="1" s="1"/>
  <c r="CD194" i="1"/>
  <c r="CD199" i="1" s="1"/>
  <c r="CI191" i="1"/>
  <c r="CN189" i="1" s="1"/>
  <c r="CD101" i="1" l="1"/>
  <c r="Q49" i="2"/>
  <c r="Q65" i="3"/>
  <c r="P54" i="3"/>
  <c r="Q57" i="3"/>
  <c r="Q59" i="3"/>
  <c r="R53" i="3"/>
  <c r="Q54" i="3" s="1"/>
  <c r="P64" i="3"/>
  <c r="P63" i="3"/>
  <c r="P75" i="3"/>
  <c r="O40" i="3"/>
  <c r="AZ211" i="1"/>
  <c r="R57" i="3"/>
  <c r="CD33" i="1"/>
  <c r="CN163" i="1"/>
  <c r="CI30" i="1"/>
  <c r="CI31" i="1" s="1"/>
  <c r="CN29" i="1"/>
  <c r="CS162" i="1"/>
  <c r="CS29" i="1" s="1"/>
  <c r="CI26" i="1"/>
  <c r="CI27" i="1" s="1"/>
  <c r="CN155" i="1"/>
  <c r="CI28" i="1"/>
  <c r="CN161" i="1"/>
  <c r="CN153" i="1"/>
  <c r="CI24" i="1"/>
  <c r="CS154" i="1"/>
  <c r="CI194" i="1"/>
  <c r="CI199" i="1" s="1"/>
  <c r="CN191" i="1"/>
  <c r="CS189" i="1" s="1"/>
  <c r="CS191" i="1" s="1"/>
  <c r="CS194" i="1" s="1"/>
  <c r="CS199" i="1" s="1"/>
  <c r="CI101" i="1" l="1"/>
  <c r="R49" i="2"/>
  <c r="R65" i="3"/>
  <c r="P82" i="3"/>
  <c r="L36" i="2" s="1"/>
  <c r="P33" i="3"/>
  <c r="Q63" i="3"/>
  <c r="Q64" i="3"/>
  <c r="Q75" i="3"/>
  <c r="R59" i="3"/>
  <c r="S53" i="3" s="1"/>
  <c r="CI102" i="1"/>
  <c r="CI33" i="1"/>
  <c r="CS25" i="1"/>
  <c r="CS155" i="1"/>
  <c r="CS26" i="1" s="1"/>
  <c r="CN26" i="1"/>
  <c r="CN27" i="1" s="1"/>
  <c r="CS163" i="1"/>
  <c r="CS30" i="1" s="1"/>
  <c r="CS31" i="1" s="1"/>
  <c r="CS102" i="1" s="1"/>
  <c r="CN30" i="1"/>
  <c r="CN31" i="1" s="1"/>
  <c r="CN102" i="1" s="1"/>
  <c r="CN28" i="1"/>
  <c r="CS161" i="1"/>
  <c r="CS28" i="1" s="1"/>
  <c r="CN24" i="1"/>
  <c r="CS153" i="1"/>
  <c r="CS24" i="1" s="1"/>
  <c r="CN194" i="1"/>
  <c r="CN199" i="1" s="1"/>
  <c r="S49" i="2" l="1"/>
  <c r="CS27" i="1"/>
  <c r="R64" i="3"/>
  <c r="R75" i="3"/>
  <c r="R33" i="3" s="1"/>
  <c r="R63" i="3"/>
  <c r="BE211" i="1"/>
  <c r="P40" i="3"/>
  <c r="Q33" i="3"/>
  <c r="Q82" i="3"/>
  <c r="M36" i="2" s="1"/>
  <c r="R54" i="3"/>
  <c r="S59" i="3"/>
  <c r="S65" i="3"/>
  <c r="S57" i="3"/>
  <c r="CN33" i="1"/>
  <c r="CN101" i="1"/>
  <c r="CS33" i="1" l="1"/>
  <c r="T49" i="2"/>
  <c r="CS101" i="1"/>
  <c r="Q40" i="3"/>
  <c r="BJ211" i="1"/>
  <c r="R82" i="3"/>
  <c r="N36" i="2" s="1"/>
  <c r="T53" i="3"/>
  <c r="S54" i="3" s="1"/>
  <c r="T65" i="3"/>
  <c r="S63" i="3"/>
  <c r="S64" i="3"/>
  <c r="S75" i="3"/>
  <c r="T57" i="3"/>
  <c r="U53" i="3" s="1"/>
  <c r="U59" i="3" s="1"/>
  <c r="R40" i="3"/>
  <c r="BO211" i="1"/>
  <c r="T59" i="3"/>
  <c r="T75" i="3" s="1"/>
  <c r="U57" i="3"/>
  <c r="T64" i="3" l="1"/>
  <c r="T63" i="3"/>
  <c r="S82" i="3"/>
  <c r="O36" i="2" s="1"/>
  <c r="S33" i="3"/>
  <c r="T54" i="3"/>
  <c r="U65" i="3"/>
  <c r="V53" i="3" s="1"/>
  <c r="V65" i="3" s="1"/>
  <c r="V59" i="3"/>
  <c r="U75" i="3"/>
  <c r="U63" i="3"/>
  <c r="U64" i="3"/>
  <c r="T33" i="3"/>
  <c r="T82" i="3"/>
  <c r="P36" i="2" l="1"/>
  <c r="U54" i="3"/>
  <c r="V57" i="3"/>
  <c r="W53" i="3" s="1"/>
  <c r="BT211" i="1"/>
  <c r="S40" i="3"/>
  <c r="U33" i="3"/>
  <c r="U82" i="3"/>
  <c r="T40" i="3"/>
  <c r="BY211" i="1"/>
  <c r="V75" i="3"/>
  <c r="V63" i="3"/>
  <c r="V64" i="3"/>
  <c r="Q36" i="2" l="1"/>
  <c r="V54" i="3"/>
  <c r="W65" i="3"/>
  <c r="W57" i="3"/>
  <c r="W59" i="3"/>
  <c r="W63" i="3" s="1"/>
  <c r="W64" i="3"/>
  <c r="V33" i="3"/>
  <c r="V82" i="3"/>
  <c r="U40" i="3"/>
  <c r="CD211" i="1"/>
  <c r="R36" i="2" l="1"/>
  <c r="X53" i="3"/>
  <c r="X57" i="3" s="1"/>
  <c r="W75" i="3"/>
  <c r="W33" i="3"/>
  <c r="W82" i="3"/>
  <c r="X54" i="3"/>
  <c r="W54" i="3"/>
  <c r="V40" i="3"/>
  <c r="CI211" i="1"/>
  <c r="S36" i="2" l="1"/>
  <c r="X59" i="3"/>
  <c r="X63" i="3" s="1"/>
  <c r="X65" i="3"/>
  <c r="X75" i="3"/>
  <c r="X64" i="3"/>
  <c r="W40" i="3"/>
  <c r="CN211" i="1"/>
  <c r="AK19" i="1"/>
  <c r="AK81" i="1"/>
  <c r="AG96" i="1" l="1"/>
  <c r="AH96" i="1"/>
  <c r="AH98" i="1" s="1"/>
  <c r="AI96" i="1"/>
  <c r="AI98" i="1" s="1"/>
  <c r="AJ96" i="1"/>
  <c r="AJ98" i="1" s="1"/>
  <c r="X33" i="3"/>
  <c r="X82" i="3"/>
  <c r="T36" i="2" s="1"/>
  <c r="H47" i="2"/>
  <c r="AJ99" i="1" l="1"/>
  <c r="AI23" i="1"/>
  <c r="AI99" i="1"/>
  <c r="AH23" i="1"/>
  <c r="AH99" i="1"/>
  <c r="AG98" i="1"/>
  <c r="AJ82" i="1"/>
  <c r="X40" i="3"/>
  <c r="CS211" i="1"/>
  <c r="AG23" i="1" l="1"/>
  <c r="AG99" i="1"/>
  <c r="AU3" i="1" l="1"/>
  <c r="AU84" i="1" l="1"/>
  <c r="CD7" i="5"/>
  <c r="AZ3" i="1" l="1"/>
  <c r="CI10" i="5"/>
  <c r="CD10" i="5"/>
  <c r="AZ84" i="1" l="1"/>
  <c r="K137" i="69" l="1"/>
  <c r="K132" i="69" s="1"/>
  <c r="K135" i="69"/>
  <c r="L134" i="69"/>
  <c r="L137" i="69" l="1"/>
  <c r="L139" i="69" s="1"/>
  <c r="L135" i="69"/>
  <c r="M135" i="69"/>
  <c r="L162" i="69" l="1"/>
  <c r="L329" i="69"/>
  <c r="L326" i="69" l="1"/>
  <c r="L344" i="69" s="1"/>
  <c r="L348" i="69"/>
  <c r="L353" i="69" s="1"/>
  <c r="BK31" i="5" l="1"/>
  <c r="BN32" i="5"/>
  <c r="BI32" i="5"/>
  <c r="AE7" i="1"/>
  <c r="BI31" i="5"/>
  <c r="BJ29" i="5"/>
  <c r="AF7" i="1" l="1"/>
  <c r="BO32" i="5"/>
  <c r="BJ32" i="5"/>
  <c r="AK98" i="1"/>
  <c r="AF83" i="1" l="1"/>
  <c r="AF81" i="1" s="1"/>
  <c r="AK130" i="1"/>
  <c r="AK23" i="1"/>
  <c r="AJ23" i="1" s="1"/>
  <c r="AK99" i="1"/>
  <c r="H48" i="2"/>
  <c r="AC98" i="1" l="1"/>
  <c r="AD98" i="1"/>
  <c r="AD23" i="1" l="1"/>
  <c r="AD106" i="1"/>
  <c r="AC23" i="1"/>
  <c r="AC37" i="1" s="1"/>
  <c r="AC106" i="1"/>
  <c r="AC130" i="1"/>
  <c r="AC99" i="1"/>
  <c r="AD130" i="1"/>
  <c r="AD99" i="1"/>
  <c r="AE98" i="1"/>
  <c r="AF98" i="1" l="1"/>
  <c r="AF106" i="1" s="1"/>
  <c r="AE23" i="1"/>
  <c r="G48" i="2"/>
  <c r="AD37" i="1"/>
  <c r="AF23" i="1"/>
  <c r="AE130" i="1"/>
  <c r="AF130" i="1" l="1"/>
  <c r="AF99" i="1"/>
  <c r="N135" i="69"/>
  <c r="N137" i="69"/>
  <c r="N146" i="69" s="1"/>
  <c r="N148" i="69" s="1"/>
  <c r="N330" i="69" s="1"/>
  <c r="N349" i="69" s="1"/>
  <c r="N354" i="69" s="1"/>
  <c r="N139" i="69" l="1"/>
  <c r="BT34" i="5"/>
  <c r="BT36" i="5" s="1"/>
  <c r="N162" i="69" l="1"/>
  <c r="N329" i="69"/>
  <c r="AP9" i="1"/>
  <c r="AP87" i="1" s="1"/>
  <c r="BT39" i="5"/>
  <c r="N326" i="69" l="1"/>
  <c r="N344" i="69" s="1"/>
  <c r="N348" i="69"/>
  <c r="N353" i="69" s="1"/>
  <c r="BT27" i="5"/>
  <c r="BT29" i="5" s="1"/>
  <c r="BT52" i="5" l="1"/>
  <c r="BT49" i="5"/>
  <c r="BT32" i="5"/>
  <c r="AP7" i="1"/>
  <c r="AP96" i="1" s="1"/>
  <c r="AP98" i="1" l="1"/>
  <c r="I48" i="2" s="1"/>
  <c r="AP15" i="1"/>
  <c r="BT53" i="5"/>
  <c r="AP86" i="1"/>
  <c r="AP83" i="1" s="1"/>
  <c r="AP99" i="1" l="1"/>
  <c r="AP130" i="1"/>
  <c r="AP23" i="1"/>
  <c r="AP81" i="1"/>
  <c r="AP19" i="1"/>
  <c r="AP37" i="1" l="1"/>
  <c r="I47" i="2"/>
  <c r="AP106" i="1"/>
  <c r="S135" i="69" l="1"/>
  <c r="T135" i="69"/>
  <c r="X135" i="69"/>
  <c r="W135" i="69"/>
  <c r="Q135" i="69"/>
  <c r="R135" i="69"/>
  <c r="U135" i="69"/>
  <c r="Y135" i="69"/>
  <c r="P135" i="69"/>
  <c r="V135" i="69"/>
  <c r="X137" i="69"/>
  <c r="W137" i="69"/>
  <c r="W146" i="69" s="1"/>
  <c r="W158" i="69" s="1"/>
  <c r="R137" i="69"/>
  <c r="U137" i="69"/>
  <c r="V137" i="69"/>
  <c r="V146" i="69" s="1"/>
  <c r="V158" i="69" s="1"/>
  <c r="S137" i="69"/>
  <c r="S146" i="69" s="1"/>
  <c r="S158" i="69" s="1"/>
  <c r="P137" i="69"/>
  <c r="P139" i="69" s="1"/>
  <c r="P329" i="69" s="1"/>
  <c r="P348" i="69" s="1"/>
  <c r="P353" i="69" s="1"/>
  <c r="Q137" i="69"/>
  <c r="Q139" i="69" s="1"/>
  <c r="Q329" i="69" s="1"/>
  <c r="Q348" i="69" s="1"/>
  <c r="Q353" i="69" s="1"/>
  <c r="Y137" i="69"/>
  <c r="Y146" i="69" s="1"/>
  <c r="T137" i="69"/>
  <c r="T146" i="69" s="1"/>
  <c r="O135" i="69"/>
  <c r="O137" i="69"/>
  <c r="T158" i="69" l="1"/>
  <c r="T160" i="69" s="1"/>
  <c r="Y148" i="69"/>
  <c r="Y158" i="69"/>
  <c r="V139" i="69"/>
  <c r="V329" i="69" s="1"/>
  <c r="V348" i="69" s="1"/>
  <c r="V353" i="69" s="1"/>
  <c r="W139" i="69"/>
  <c r="W329" i="69" s="1"/>
  <c r="W348" i="69" s="1"/>
  <c r="W353" i="69" s="1"/>
  <c r="T139" i="69"/>
  <c r="T329" i="69" s="1"/>
  <c r="T348" i="69" s="1"/>
  <c r="T353" i="69" s="1"/>
  <c r="Q146" i="69"/>
  <c r="S139" i="69"/>
  <c r="S329" i="69" s="1"/>
  <c r="S348" i="69" s="1"/>
  <c r="S353" i="69" s="1"/>
  <c r="U146" i="69"/>
  <c r="U158" i="69" s="1"/>
  <c r="U139" i="69"/>
  <c r="U329" i="69" s="1"/>
  <c r="U348" i="69" s="1"/>
  <c r="U353" i="69" s="1"/>
  <c r="R146" i="69"/>
  <c r="R158" i="69" s="1"/>
  <c r="R139" i="69"/>
  <c r="R329" i="69" s="1"/>
  <c r="R348" i="69" s="1"/>
  <c r="R353" i="69" s="1"/>
  <c r="O146" i="69"/>
  <c r="O158" i="69" s="1"/>
  <c r="O139" i="69"/>
  <c r="O329" i="69" s="1"/>
  <c r="O348" i="69" s="1"/>
  <c r="O353" i="69" s="1"/>
  <c r="X146" i="69"/>
  <c r="X158" i="69" s="1"/>
  <c r="X139" i="69"/>
  <c r="X329" i="69" s="1"/>
  <c r="X348" i="69" s="1"/>
  <c r="X353" i="69" s="1"/>
  <c r="P146" i="69"/>
  <c r="P158" i="69" s="1"/>
  <c r="V160" i="69"/>
  <c r="V331" i="69" s="1"/>
  <c r="V350" i="69" s="1"/>
  <c r="V355" i="69" s="1"/>
  <c r="V148" i="69"/>
  <c r="V330" i="69" s="1"/>
  <c r="V349" i="69" s="1"/>
  <c r="V354" i="69" s="1"/>
  <c r="S148" i="69"/>
  <c r="S330" i="69" s="1"/>
  <c r="S349" i="69" s="1"/>
  <c r="S354" i="69" s="1"/>
  <c r="S160" i="69"/>
  <c r="S331" i="69" s="1"/>
  <c r="S350" i="69" s="1"/>
  <c r="S355" i="69" s="1"/>
  <c r="T148" i="69"/>
  <c r="T330" i="69" s="1"/>
  <c r="T349" i="69" s="1"/>
  <c r="T354" i="69" s="1"/>
  <c r="Y160" i="69"/>
  <c r="Y139" i="69"/>
  <c r="Y329" i="69" s="1"/>
  <c r="Y348" i="69" s="1"/>
  <c r="Y353" i="69" s="1"/>
  <c r="W160" i="69"/>
  <c r="W331" i="69" s="1"/>
  <c r="W350" i="69" s="1"/>
  <c r="W355" i="69" s="1"/>
  <c r="W148" i="69"/>
  <c r="W330" i="69" s="1"/>
  <c r="W349" i="69" s="1"/>
  <c r="W354" i="69" s="1"/>
  <c r="Y331" i="69" l="1"/>
  <c r="Y350" i="69" s="1"/>
  <c r="Y355" i="69" s="1"/>
  <c r="Y330" i="69"/>
  <c r="W326" i="69"/>
  <c r="W344" i="69" s="1"/>
  <c r="T331" i="69"/>
  <c r="T350" i="69" s="1"/>
  <c r="T355" i="69" s="1"/>
  <c r="S326" i="69"/>
  <c r="S344" i="69" s="1"/>
  <c r="V326" i="69"/>
  <c r="V344" i="69" s="1"/>
  <c r="CX27" i="5"/>
  <c r="CX29" i="5" s="1"/>
  <c r="T162" i="69"/>
  <c r="Y162" i="69"/>
  <c r="W162" i="69"/>
  <c r="S162" i="69"/>
  <c r="DH27" i="5"/>
  <c r="DH29" i="5" s="1"/>
  <c r="V162" i="69"/>
  <c r="Q148" i="69"/>
  <c r="Q330" i="69" s="1"/>
  <c r="Q349" i="69" s="1"/>
  <c r="Q354" i="69" s="1"/>
  <c r="Q158" i="69"/>
  <c r="Q160" i="69" s="1"/>
  <c r="CX41" i="5"/>
  <c r="CS27" i="5"/>
  <c r="CS29" i="5" s="1"/>
  <c r="CX34" i="5"/>
  <c r="CX36" i="5" s="1"/>
  <c r="DH41" i="5"/>
  <c r="DH43" i="5" s="1"/>
  <c r="P148" i="69"/>
  <c r="P330" i="69" s="1"/>
  <c r="P160" i="69"/>
  <c r="P331" i="69" s="1"/>
  <c r="P350" i="69" s="1"/>
  <c r="P355" i="69" s="1"/>
  <c r="R148" i="69"/>
  <c r="R330" i="69" s="1"/>
  <c r="R349" i="69" s="1"/>
  <c r="R354" i="69" s="1"/>
  <c r="R160" i="69"/>
  <c r="R331" i="69" s="1"/>
  <c r="R350" i="69" s="1"/>
  <c r="R355" i="69" s="1"/>
  <c r="DM34" i="5"/>
  <c r="DM36" i="5" s="1"/>
  <c r="CS34" i="5"/>
  <c r="CS36" i="5" s="1"/>
  <c r="CI27" i="5"/>
  <c r="CI29" i="5" s="1"/>
  <c r="X148" i="69"/>
  <c r="X330" i="69" s="1"/>
  <c r="X160" i="69"/>
  <c r="X331" i="69" s="1"/>
  <c r="X350" i="69" s="1"/>
  <c r="X355" i="69" s="1"/>
  <c r="O148" i="69"/>
  <c r="O330" i="69" s="1"/>
  <c r="O349" i="69" s="1"/>
  <c r="O354" i="69" s="1"/>
  <c r="O160" i="69"/>
  <c r="O331" i="69" s="1"/>
  <c r="O350" i="69" s="1"/>
  <c r="U160" i="69"/>
  <c r="U331" i="69" s="1"/>
  <c r="U350" i="69" s="1"/>
  <c r="U355" i="69" s="1"/>
  <c r="U148" i="69"/>
  <c r="U330" i="69" s="1"/>
  <c r="CS41" i="5"/>
  <c r="CS43" i="5" s="1"/>
  <c r="DM41" i="5"/>
  <c r="DM43" i="5" s="1"/>
  <c r="DH34" i="5"/>
  <c r="DH36" i="5" s="1"/>
  <c r="DM27" i="5"/>
  <c r="DM29" i="5" s="1"/>
  <c r="DW41" i="5" l="1"/>
  <c r="DW43" i="5" s="1"/>
  <c r="CS11" i="1" s="1"/>
  <c r="CS88" i="1" s="1"/>
  <c r="O326" i="69"/>
  <c r="O344" i="69" s="1"/>
  <c r="O355" i="69"/>
  <c r="BO7" i="1"/>
  <c r="CS52" i="5"/>
  <c r="CS49" i="5"/>
  <c r="U326" i="69"/>
  <c r="U344" i="69" s="1"/>
  <c r="U349" i="69"/>
  <c r="U354" i="69" s="1"/>
  <c r="P326" i="69"/>
  <c r="P344" i="69" s="1"/>
  <c r="P349" i="69"/>
  <c r="P354" i="69" s="1"/>
  <c r="CD7" i="1"/>
  <c r="DH52" i="5"/>
  <c r="DH49" i="5"/>
  <c r="R326" i="69"/>
  <c r="R344" i="69" s="1"/>
  <c r="DW34" i="5"/>
  <c r="DW36" i="5" s="1"/>
  <c r="CS9" i="1" s="1"/>
  <c r="CS87" i="1" s="1"/>
  <c r="Y349" i="69"/>
  <c r="Y354" i="69" s="1"/>
  <c r="DM52" i="5"/>
  <c r="DM49" i="5"/>
  <c r="X326" i="69"/>
  <c r="X344" i="69" s="1"/>
  <c r="X349" i="69"/>
  <c r="X354" i="69" s="1"/>
  <c r="Y326" i="69"/>
  <c r="Y344" i="69" s="1"/>
  <c r="T326" i="69"/>
  <c r="T344" i="69" s="1"/>
  <c r="CD86" i="1"/>
  <c r="Q331" i="69"/>
  <c r="CI41" i="5" s="1"/>
  <c r="CI43" i="5" s="1"/>
  <c r="BE11" i="1" s="1"/>
  <c r="BE88" i="1" s="1"/>
  <c r="CD34" i="5"/>
  <c r="CD36" i="5" s="1"/>
  <c r="P162" i="69"/>
  <c r="X162" i="69"/>
  <c r="Q162" i="69"/>
  <c r="U162" i="69"/>
  <c r="R162" i="69"/>
  <c r="O162" i="69"/>
  <c r="CX43" i="5"/>
  <c r="BT11" i="1" s="1"/>
  <c r="BT88" i="1" s="1"/>
  <c r="DM39" i="5"/>
  <c r="CD9" i="1"/>
  <c r="BY41" i="5"/>
  <c r="BY43" i="5" s="1"/>
  <c r="BE7" i="1"/>
  <c r="CN34" i="5"/>
  <c r="CN36" i="5" s="1"/>
  <c r="CD11" i="1"/>
  <c r="CD88" i="1" s="1"/>
  <c r="DM46" i="5"/>
  <c r="CI9" i="1"/>
  <c r="CI87" i="1" s="1"/>
  <c r="BT9" i="1"/>
  <c r="BT87" i="1" s="1"/>
  <c r="CD27" i="5"/>
  <c r="CD29" i="5" s="1"/>
  <c r="DC34" i="5"/>
  <c r="DC36" i="5" s="1"/>
  <c r="DR41" i="5"/>
  <c r="CN27" i="5"/>
  <c r="CN29" i="5" s="1"/>
  <c r="DR27" i="5"/>
  <c r="DR29" i="5" s="1"/>
  <c r="BY34" i="5"/>
  <c r="BY36" i="5" s="1"/>
  <c r="DC27" i="5"/>
  <c r="DC29" i="5" s="1"/>
  <c r="CD41" i="5"/>
  <c r="CD43" i="5" s="1"/>
  <c r="CI7" i="1"/>
  <c r="DM32" i="5"/>
  <c r="CI11" i="1"/>
  <c r="CI88" i="1" s="1"/>
  <c r="BO11" i="1"/>
  <c r="BO88" i="1" s="1"/>
  <c r="BT7" i="1"/>
  <c r="DC41" i="5"/>
  <c r="DC43" i="5" s="1"/>
  <c r="DR34" i="5"/>
  <c r="DR36" i="5" s="1"/>
  <c r="CX39" i="5"/>
  <c r="BO9" i="1"/>
  <c r="BO87" i="1" s="1"/>
  <c r="DW27" i="5"/>
  <c r="DW29" i="5" s="1"/>
  <c r="BY27" i="5"/>
  <c r="BY29" i="5" s="1"/>
  <c r="CX32" i="5"/>
  <c r="CN41" i="5"/>
  <c r="CN43" i="5" s="1"/>
  <c r="BT96" i="1" l="1"/>
  <c r="BT98" i="1" s="1"/>
  <c r="BT130" i="1" s="1"/>
  <c r="CI96" i="1"/>
  <c r="CI98" i="1" s="1"/>
  <c r="CI23" i="1" s="1"/>
  <c r="BO86" i="1"/>
  <c r="BO83" i="1" s="1"/>
  <c r="BO96" i="1"/>
  <c r="BO98" i="1" s="1"/>
  <c r="BO130" i="1" s="1"/>
  <c r="CD96" i="1"/>
  <c r="CD98" i="1" s="1"/>
  <c r="CD23" i="1" s="1"/>
  <c r="CX49" i="5"/>
  <c r="CD15" i="1"/>
  <c r="DR32" i="5"/>
  <c r="CD52" i="5"/>
  <c r="CD49" i="5"/>
  <c r="Q326" i="69"/>
  <c r="Q344" i="69" s="1"/>
  <c r="Q350" i="69"/>
  <c r="Q355" i="69" s="1"/>
  <c r="DC52" i="5"/>
  <c r="DH53" i="5" s="1"/>
  <c r="DC49" i="5"/>
  <c r="CX52" i="5"/>
  <c r="CN52" i="5"/>
  <c r="CS53" i="5" s="1"/>
  <c r="CN49" i="5"/>
  <c r="BY52" i="5"/>
  <c r="BY49" i="5"/>
  <c r="DW52" i="5"/>
  <c r="DW49" i="5"/>
  <c r="BT15" i="1"/>
  <c r="CI15" i="1"/>
  <c r="BO15" i="1"/>
  <c r="CI34" i="5"/>
  <c r="CI36" i="5" s="1"/>
  <c r="CI49" i="5" s="1"/>
  <c r="CX46" i="5"/>
  <c r="CX53" i="5"/>
  <c r="DR43" i="5"/>
  <c r="DR46" i="5" s="1"/>
  <c r="CD32" i="5"/>
  <c r="BY32" i="5"/>
  <c r="AU7" i="1"/>
  <c r="CS32" i="5"/>
  <c r="BJ7" i="1"/>
  <c r="BE86" i="1"/>
  <c r="CN9" i="1"/>
  <c r="CN87" i="1" s="1"/>
  <c r="DW39" i="5"/>
  <c r="CD39" i="5"/>
  <c r="BY39" i="5"/>
  <c r="AU9" i="1"/>
  <c r="AU87" i="1" s="1"/>
  <c r="DW32" i="5"/>
  <c r="CN7" i="1"/>
  <c r="BY9" i="1"/>
  <c r="BY87" i="1" s="1"/>
  <c r="DH39" i="5"/>
  <c r="DC39" i="5"/>
  <c r="AU11" i="1"/>
  <c r="AU88" i="1" s="1"/>
  <c r="CD46" i="5"/>
  <c r="BT86" i="1"/>
  <c r="BT83" i="1" s="1"/>
  <c r="AZ9" i="1"/>
  <c r="AZ87" i="1" s="1"/>
  <c r="CD87" i="1"/>
  <c r="CD83" i="1" s="1"/>
  <c r="CS46" i="5"/>
  <c r="BJ11" i="1"/>
  <c r="BJ88" i="1" s="1"/>
  <c r="CI86" i="1"/>
  <c r="CI83" i="1" s="1"/>
  <c r="DR39" i="5"/>
  <c r="BJ9" i="1"/>
  <c r="BJ87" i="1" s="1"/>
  <c r="CS39" i="5"/>
  <c r="CN32" i="5"/>
  <c r="DH32" i="5"/>
  <c r="BY7" i="1"/>
  <c r="CS7" i="1"/>
  <c r="DH46" i="5"/>
  <c r="BY11" i="1"/>
  <c r="BY88" i="1" s="1"/>
  <c r="DC46" i="5"/>
  <c r="DC32" i="5"/>
  <c r="CI46" i="5"/>
  <c r="AZ11" i="1"/>
  <c r="AZ88" i="1" s="1"/>
  <c r="CN46" i="5"/>
  <c r="CI32" i="5"/>
  <c r="AZ7" i="1"/>
  <c r="DM53" i="5"/>
  <c r="BY96" i="1" l="1"/>
  <c r="BY98" i="1" s="1"/>
  <c r="BY130" i="1" s="1"/>
  <c r="AZ96" i="1"/>
  <c r="AZ98" i="1" s="1"/>
  <c r="AZ23" i="1" s="1"/>
  <c r="BJ96" i="1"/>
  <c r="AU96" i="1"/>
  <c r="AU98" i="1" s="1"/>
  <c r="AU23" i="1" s="1"/>
  <c r="CS15" i="1"/>
  <c r="CS96" i="1"/>
  <c r="CS98" i="1" s="1"/>
  <c r="T48" i="2" s="1"/>
  <c r="DR49" i="5"/>
  <c r="CI52" i="5"/>
  <c r="CI53" i="5" s="1"/>
  <c r="DR52" i="5"/>
  <c r="DR53" i="5" s="1"/>
  <c r="AZ15" i="1"/>
  <c r="AU15" i="1"/>
  <c r="BJ15" i="1"/>
  <c r="BY15" i="1"/>
  <c r="BE9" i="1"/>
  <c r="CI39" i="5"/>
  <c r="CN39" i="5"/>
  <c r="BT23" i="1"/>
  <c r="CN11" i="1"/>
  <c r="CN88" i="1" s="1"/>
  <c r="O48" i="2"/>
  <c r="DW46" i="5"/>
  <c r="BT99" i="1"/>
  <c r="CD99" i="1"/>
  <c r="BO99" i="1"/>
  <c r="N48" i="2"/>
  <c r="BO23" i="1"/>
  <c r="CI99" i="1"/>
  <c r="R48" i="2"/>
  <c r="CI130" i="1"/>
  <c r="CD130" i="1"/>
  <c r="Q48" i="2"/>
  <c r="BJ98" i="1"/>
  <c r="BJ130" i="1" s="1"/>
  <c r="BT81" i="1"/>
  <c r="BT19" i="1"/>
  <c r="CN86" i="1"/>
  <c r="DC53" i="5"/>
  <c r="CD53" i="5"/>
  <c r="BY53" i="5"/>
  <c r="BY86" i="1"/>
  <c r="BY83" i="1" s="1"/>
  <c r="BO19" i="1"/>
  <c r="BO81" i="1"/>
  <c r="CS86" i="1"/>
  <c r="CS83" i="1" s="1"/>
  <c r="AZ86" i="1"/>
  <c r="AZ83" i="1" s="1"/>
  <c r="CI81" i="1"/>
  <c r="CI19" i="1"/>
  <c r="CI37" i="1" s="1"/>
  <c r="CD81" i="1"/>
  <c r="CD19" i="1"/>
  <c r="CD37" i="1" s="1"/>
  <c r="BJ86" i="1"/>
  <c r="BJ83" i="1" s="1"/>
  <c r="AU86" i="1"/>
  <c r="AU83" i="1" s="1"/>
  <c r="CN96" i="1" l="1"/>
  <c r="CN98" i="1" s="1"/>
  <c r="CN130" i="1" s="1"/>
  <c r="BE96" i="1"/>
  <c r="BE98" i="1" s="1"/>
  <c r="CN53" i="5"/>
  <c r="CN15" i="1"/>
  <c r="CN19" i="1" s="1"/>
  <c r="BE87" i="1"/>
  <c r="BE83" i="1" s="1"/>
  <c r="BE15" i="1"/>
  <c r="BE19" i="1" s="1"/>
  <c r="BJ99" i="1"/>
  <c r="BT37" i="1"/>
  <c r="DW53" i="5"/>
  <c r="CN83" i="1"/>
  <c r="CS99" i="1"/>
  <c r="CS23" i="1"/>
  <c r="BO37" i="1"/>
  <c r="AZ99" i="1"/>
  <c r="BY99" i="1"/>
  <c r="BY23" i="1"/>
  <c r="CS130" i="1"/>
  <c r="BJ23" i="1"/>
  <c r="AU130" i="1"/>
  <c r="AU99" i="1"/>
  <c r="P48" i="2"/>
  <c r="M48" i="2"/>
  <c r="J48" i="2"/>
  <c r="AZ130" i="1"/>
  <c r="K48" i="2"/>
  <c r="AU81" i="1"/>
  <c r="AU19" i="1"/>
  <c r="CI106" i="1"/>
  <c r="R47" i="2"/>
  <c r="BJ19" i="1"/>
  <c r="BJ81" i="1"/>
  <c r="Q47" i="2"/>
  <c r="CD106" i="1"/>
  <c r="AZ81" i="1"/>
  <c r="AZ19" i="1"/>
  <c r="AZ37" i="1" s="1"/>
  <c r="CS81" i="1"/>
  <c r="CS19" i="1"/>
  <c r="BO106" i="1"/>
  <c r="N47" i="2"/>
  <c r="BY19" i="1"/>
  <c r="BY81" i="1"/>
  <c r="BT106" i="1"/>
  <c r="O47" i="2"/>
  <c r="BE23" i="1" l="1"/>
  <c r="BE37" i="1" s="1"/>
  <c r="BE130" i="1"/>
  <c r="L48" i="2"/>
  <c r="BE99" i="1"/>
  <c r="BE81" i="1"/>
  <c r="L47" i="2" s="1"/>
  <c r="CN81" i="1"/>
  <c r="S47" i="2" s="1"/>
  <c r="S48" i="2"/>
  <c r="CN99" i="1"/>
  <c r="CN23" i="1"/>
  <c r="CN37" i="1" s="1"/>
  <c r="CS37" i="1"/>
  <c r="BY37" i="1"/>
  <c r="BJ37" i="1"/>
  <c r="BY106" i="1"/>
  <c r="P47" i="2"/>
  <c r="AU37" i="1"/>
  <c r="AZ106" i="1"/>
  <c r="K47" i="2"/>
  <c r="J47" i="2"/>
  <c r="AU106" i="1"/>
  <c r="CS106" i="1"/>
  <c r="T47" i="2"/>
  <c r="BJ106" i="1"/>
  <c r="M47" i="2"/>
  <c r="BE106" i="1" l="1"/>
  <c r="CN106" i="1"/>
  <c r="AD110" i="1" l="1"/>
  <c r="AD39" i="1" s="1"/>
  <c r="AC110" i="1"/>
  <c r="AC112" i="1" l="1"/>
  <c r="AC39" i="1"/>
  <c r="AD112" i="1"/>
  <c r="AE110" i="1"/>
  <c r="AE39" i="1" s="1"/>
  <c r="AF39" i="1" l="1"/>
  <c r="AD41" i="1"/>
  <c r="AD45" i="1" s="1"/>
  <c r="AD213" i="1"/>
  <c r="AC213" i="1"/>
  <c r="AC41" i="1"/>
  <c r="AC116" i="1" l="1"/>
  <c r="AC122" i="1" s="1"/>
  <c r="AC126" i="1" s="1"/>
  <c r="AE213" i="1"/>
  <c r="AD116" i="1"/>
  <c r="AC45" i="1"/>
  <c r="AC43" i="1"/>
  <c r="AD43" i="1"/>
  <c r="AC210" i="1" l="1"/>
  <c r="AC125" i="1"/>
  <c r="AC47" i="1"/>
  <c r="AC48" i="1"/>
  <c r="AC123" i="1"/>
  <c r="AC132" i="1" s="1"/>
  <c r="AC133" i="1" s="1"/>
  <c r="AD122" i="1"/>
  <c r="AD126" i="1" s="1"/>
  <c r="AD48" i="1"/>
  <c r="AD123" i="1"/>
  <c r="AD132" i="1" s="1"/>
  <c r="AD133" i="1" s="1"/>
  <c r="AD47" i="1"/>
  <c r="AD125" i="1" l="1"/>
  <c r="AD210" i="1"/>
  <c r="G8" i="70" l="1"/>
  <c r="G50" i="2" l="1"/>
  <c r="G47" i="2" l="1"/>
  <c r="AF112" i="1"/>
  <c r="AF116" i="1" s="1"/>
  <c r="AF177" i="1" l="1"/>
  <c r="AF178" i="1" s="1"/>
  <c r="AF114" i="1"/>
  <c r="AF122" i="1"/>
  <c r="AF210" i="1" l="1"/>
  <c r="AF126" i="1"/>
  <c r="AF180" i="1"/>
  <c r="AF182" i="1" s="1"/>
  <c r="AF181" i="1"/>
  <c r="AK176" i="1"/>
  <c r="G39" i="2"/>
  <c r="G51" i="2"/>
  <c r="AF125" i="1"/>
  <c r="BH9" i="5" l="1"/>
  <c r="BH49" i="5"/>
  <c r="BH10" i="5"/>
  <c r="BH52" i="5"/>
  <c r="BH6" i="5"/>
  <c r="BJ6" i="5" s="1"/>
  <c r="BJ7" i="5" s="1"/>
  <c r="BO10" i="5" l="1"/>
  <c r="BJ10" i="5"/>
  <c r="BJ52" i="5"/>
  <c r="BJ49" i="5"/>
  <c r="BH53" i="5"/>
  <c r="BM53" i="5"/>
  <c r="BN10" i="5"/>
  <c r="BK9" i="5"/>
  <c r="BI49" i="5"/>
  <c r="BI9" i="5"/>
  <c r="BI52" i="5"/>
  <c r="BI10" i="5"/>
  <c r="BO53" i="5" l="1"/>
  <c r="BJ53" i="5"/>
  <c r="BI53" i="5"/>
  <c r="BN53" i="5"/>
  <c r="AE3" i="1"/>
  <c r="AF3" i="1" s="1"/>
  <c r="AF15" i="1" s="1"/>
  <c r="AF19" i="1" s="1"/>
  <c r="AE99" i="1"/>
  <c r="AF37" i="1" l="1"/>
  <c r="AE15" i="1"/>
  <c r="AE106" i="1" s="1"/>
  <c r="AF41" i="1" l="1"/>
  <c r="AE19" i="1"/>
  <c r="AE37" i="1" s="1"/>
  <c r="AE41" i="1" s="1"/>
  <c r="AE112" i="1"/>
  <c r="AE116" i="1" s="1"/>
  <c r="AE126" i="1" s="1"/>
  <c r="G5" i="70" l="1"/>
  <c r="AF43" i="1"/>
  <c r="AF45" i="1"/>
  <c r="AE122" i="1"/>
  <c r="AE43" i="1"/>
  <c r="AE45" i="1"/>
  <c r="AF123" i="1" l="1"/>
  <c r="AF132" i="1" s="1"/>
  <c r="AF133" i="1" s="1"/>
  <c r="AF48" i="1"/>
  <c r="AF47" i="1"/>
  <c r="G6" i="70"/>
  <c r="G10" i="70"/>
  <c r="AE123" i="1"/>
  <c r="AE132" i="1" s="1"/>
  <c r="AE133" i="1" s="1"/>
  <c r="AE47" i="1"/>
  <c r="AE48" i="1"/>
  <c r="AE210" i="1"/>
  <c r="AE125" i="1"/>
  <c r="AG37" i="1" l="1"/>
  <c r="AH37" i="1"/>
  <c r="AI37" i="1"/>
  <c r="AJ37" i="1"/>
  <c r="AG102" i="1"/>
  <c r="AH102" i="1"/>
  <c r="AI102" i="1"/>
  <c r="AJ102" i="1"/>
  <c r="AJ130" i="1" s="1"/>
  <c r="AH130" i="1" l="1"/>
  <c r="AH106" i="1"/>
  <c r="AI130" i="1"/>
  <c r="AI106" i="1"/>
  <c r="AG106" i="1"/>
  <c r="AG130" i="1"/>
  <c r="AJ106" i="1"/>
  <c r="AK104" i="1"/>
  <c r="AK35" i="1" s="1"/>
  <c r="AK37" i="1" s="1"/>
  <c r="AK106" i="1" l="1"/>
  <c r="AK118" i="1" l="1"/>
  <c r="AK119" i="1"/>
  <c r="AF170" i="1" l="1"/>
  <c r="AF171" i="1" s="1"/>
  <c r="AF172" i="1" l="1"/>
  <c r="AF213" i="1" l="1"/>
  <c r="AK39" i="1"/>
  <c r="AK108" i="1" l="1"/>
  <c r="AK41" i="1"/>
  <c r="H5" i="70" l="1"/>
  <c r="AH108" i="1"/>
  <c r="AH110" i="1" s="1"/>
  <c r="AI108" i="1"/>
  <c r="AI110" i="1" s="1"/>
  <c r="AG108" i="1"/>
  <c r="AG110" i="1" s="1"/>
  <c r="AK110" i="1"/>
  <c r="AK112" i="1" s="1"/>
  <c r="AH112" i="1" l="1"/>
  <c r="AH39" i="1"/>
  <c r="AI112" i="1"/>
  <c r="AI39" i="1"/>
  <c r="AJ108" i="1"/>
  <c r="AJ110" i="1" s="1"/>
  <c r="AJ112" i="1" s="1"/>
  <c r="H6" i="70"/>
  <c r="AK177" i="1"/>
  <c r="AK178" i="1" s="1"/>
  <c r="AG112" i="1"/>
  <c r="AG39" i="1"/>
  <c r="AI213" i="1" l="1"/>
  <c r="AI41" i="1"/>
  <c r="AG213" i="1"/>
  <c r="AG41" i="1"/>
  <c r="AJ39" i="1"/>
  <c r="AK181" i="1"/>
  <c r="AK180" i="1"/>
  <c r="AK182" i="1" s="1"/>
  <c r="AK42" i="1" s="1"/>
  <c r="AP176" i="1"/>
  <c r="AH213" i="1"/>
  <c r="AH41" i="1"/>
  <c r="AJ213" i="1" l="1"/>
  <c r="AJ41" i="1"/>
  <c r="AK43" i="1"/>
  <c r="H8" i="70"/>
  <c r="AK113" i="1"/>
  <c r="AK45" i="1"/>
  <c r="H50" i="2" l="1"/>
  <c r="AK116" i="1"/>
  <c r="AK114" i="1"/>
  <c r="H9" i="70"/>
  <c r="H10" i="70"/>
  <c r="AK47" i="1"/>
  <c r="AK48" i="1"/>
  <c r="AK123" i="1"/>
  <c r="AK132" i="1" s="1"/>
  <c r="AK133" i="1" s="1"/>
  <c r="AH114" i="1" l="1"/>
  <c r="AH113" i="1" s="1"/>
  <c r="AJ114" i="1"/>
  <c r="AJ113" i="1" s="1"/>
  <c r="AI114" i="1"/>
  <c r="AI113" i="1" s="1"/>
  <c r="AG114" i="1"/>
  <c r="AG113" i="1" s="1"/>
  <c r="L5" i="3"/>
  <c r="H38" i="2" s="1"/>
  <c r="AK122" i="1"/>
  <c r="AG42" i="1" l="1"/>
  <c r="AG116" i="1"/>
  <c r="AI42" i="1"/>
  <c r="AI116" i="1"/>
  <c r="AI122" i="1" s="1"/>
  <c r="H51" i="2"/>
  <c r="AK210" i="1"/>
  <c r="AK125" i="1"/>
  <c r="AK126" i="1"/>
  <c r="AJ42" i="1"/>
  <c r="AJ116" i="1"/>
  <c r="H39" i="2"/>
  <c r="AH42" i="1"/>
  <c r="AH116" i="1"/>
  <c r="AH122" i="1" s="1"/>
  <c r="AI126" i="1" l="1"/>
  <c r="AI210" i="1"/>
  <c r="AI125" i="1"/>
  <c r="AI45" i="1"/>
  <c r="AI43" i="1"/>
  <c r="AH210" i="1"/>
  <c r="AH125" i="1"/>
  <c r="AH126" i="1"/>
  <c r="AJ126" i="1"/>
  <c r="AJ122" i="1"/>
  <c r="AG126" i="1"/>
  <c r="AG122" i="1"/>
  <c r="AH43" i="1"/>
  <c r="AH45" i="1"/>
  <c r="AJ43" i="1"/>
  <c r="AJ45" i="1"/>
  <c r="AG45" i="1"/>
  <c r="AG43" i="1"/>
  <c r="AG210" i="1" l="1"/>
  <c r="AG125" i="1"/>
  <c r="AJ210" i="1"/>
  <c r="AJ125" i="1"/>
  <c r="AJ47" i="1"/>
  <c r="AJ48" i="1"/>
  <c r="AJ123" i="1"/>
  <c r="AJ132" i="1" s="1"/>
  <c r="AJ133" i="1" s="1"/>
  <c r="AI48" i="1"/>
  <c r="AI47" i="1"/>
  <c r="AI123" i="1"/>
  <c r="AI132" i="1" s="1"/>
  <c r="AI133" i="1" s="1"/>
  <c r="AH47" i="1"/>
  <c r="AH48" i="1"/>
  <c r="AH123" i="1"/>
  <c r="AH132" i="1" s="1"/>
  <c r="AH133" i="1" s="1"/>
  <c r="AG47" i="1"/>
  <c r="AG48" i="1"/>
  <c r="AG123" i="1"/>
  <c r="AG132" i="1" s="1"/>
  <c r="AG133" i="1" s="1"/>
  <c r="G57" i="2"/>
  <c r="G60" i="2" s="1"/>
  <c r="G63" i="2"/>
  <c r="G64" i="2" s="1"/>
  <c r="H64" i="2" s="1"/>
  <c r="H63" i="2" l="1"/>
  <c r="H7" i="2" s="1"/>
  <c r="I64" i="2"/>
  <c r="I63" i="2" l="1"/>
  <c r="I7" i="2" s="1"/>
  <c r="J64" i="2"/>
  <c r="L14" i="3"/>
  <c r="H57" i="2"/>
  <c r="H60" i="2" s="1"/>
  <c r="I57" i="2" l="1"/>
  <c r="I60" i="2" s="1"/>
  <c r="M14" i="3"/>
  <c r="K64" i="2"/>
  <c r="J63" i="2"/>
  <c r="J7" i="2" s="1"/>
  <c r="J57" i="2" l="1"/>
  <c r="J60" i="2" s="1"/>
  <c r="N14" i="3"/>
  <c r="K63" i="2"/>
  <c r="K7" i="2" s="1"/>
  <c r="O14" i="3" s="1"/>
  <c r="L64" i="2"/>
  <c r="L63" i="2" l="1"/>
  <c r="L7" i="2" s="1"/>
  <c r="M64" i="2"/>
  <c r="K57" i="2"/>
  <c r="K60" i="2" s="1"/>
  <c r="L57" i="2" l="1"/>
  <c r="L60" i="2" s="1"/>
  <c r="P14" i="3"/>
  <c r="M63" i="2"/>
  <c r="M7" i="2" s="1"/>
  <c r="N64" i="2"/>
  <c r="N63" i="2" l="1"/>
  <c r="N7" i="2" s="1"/>
  <c r="R14" i="3" s="1"/>
  <c r="O64" i="2"/>
  <c r="M57" i="2"/>
  <c r="M60" i="2" s="1"/>
  <c r="Q14" i="3"/>
  <c r="O63" i="2" l="1"/>
  <c r="O7" i="2" s="1"/>
  <c r="S14" i="3" s="1"/>
  <c r="P64" i="2"/>
  <c r="N57" i="2"/>
  <c r="N60" i="2" s="1"/>
  <c r="P63" i="2" l="1"/>
  <c r="P7" i="2" s="1"/>
  <c r="Q64" i="2"/>
  <c r="O57" i="2"/>
  <c r="O60" i="2" s="1"/>
  <c r="P57" i="2" l="1"/>
  <c r="P60" i="2" s="1"/>
  <c r="T14" i="3"/>
  <c r="R64" i="2"/>
  <c r="Q63" i="2"/>
  <c r="Q7" i="2" s="1"/>
  <c r="S64" i="2" l="1"/>
  <c r="R63" i="2"/>
  <c r="R7" i="2" s="1"/>
  <c r="Q57" i="2"/>
  <c r="Q60" i="2" s="1"/>
  <c r="U14" i="3"/>
  <c r="R57" i="2" l="1"/>
  <c r="R60" i="2" s="1"/>
  <c r="S63" i="2"/>
  <c r="S7" i="2" s="1"/>
  <c r="T64" i="2"/>
  <c r="T63" i="2" s="1"/>
  <c r="T7" i="2" s="1"/>
  <c r="T57" i="2" s="1"/>
  <c r="T60" i="2" s="1"/>
  <c r="V14" i="3"/>
  <c r="X14" i="3" l="1"/>
  <c r="S57" i="2"/>
  <c r="S60" i="2" s="1"/>
  <c r="W14" i="3"/>
  <c r="G58" i="2"/>
  <c r="G61" i="2"/>
  <c r="G67" i="2"/>
  <c r="G68" i="2" s="1"/>
  <c r="H68" i="2"/>
  <c r="I68" i="2" l="1"/>
  <c r="H67" i="2"/>
  <c r="H8" i="2" s="1"/>
  <c r="I67" i="2" l="1"/>
  <c r="I8" i="2" s="1"/>
  <c r="M15" i="3" s="1"/>
  <c r="J68" i="2"/>
  <c r="H58" i="2"/>
  <c r="H61" i="2" s="1"/>
  <c r="L15" i="3"/>
  <c r="K68" i="2" l="1"/>
  <c r="J67" i="2"/>
  <c r="J8" i="2" s="1"/>
  <c r="N15" i="3" s="1"/>
  <c r="I58" i="2"/>
  <c r="I61" i="2" s="1"/>
  <c r="J58" i="2" l="1"/>
  <c r="J61" i="2" s="1"/>
  <c r="L68" i="2"/>
  <c r="K67" i="2"/>
  <c r="K8" i="2" s="1"/>
  <c r="K58" i="2" l="1"/>
  <c r="K61" i="2" s="1"/>
  <c r="L67" i="2"/>
  <c r="L8" i="2" s="1"/>
  <c r="P15" i="3" s="1"/>
  <c r="M68" i="2"/>
  <c r="O15" i="3"/>
  <c r="M67" i="2" l="1"/>
  <c r="M8" i="2" s="1"/>
  <c r="N68" i="2"/>
  <c r="L58" i="2"/>
  <c r="L61" i="2" s="1"/>
  <c r="M58" i="2" l="1"/>
  <c r="M61" i="2" s="1"/>
  <c r="Q15" i="3"/>
  <c r="O68" i="2"/>
  <c r="N67" i="2"/>
  <c r="N8" i="2" s="1"/>
  <c r="R15" i="3" s="1"/>
  <c r="O67" i="2" l="1"/>
  <c r="O8" i="2" s="1"/>
  <c r="S15" i="3" s="1"/>
  <c r="P68" i="2"/>
  <c r="N58" i="2"/>
  <c r="N61" i="2" s="1"/>
  <c r="O58" i="2" l="1"/>
  <c r="O61" i="2" s="1"/>
  <c r="P67" i="2"/>
  <c r="P8" i="2" s="1"/>
  <c r="T15" i="3" s="1"/>
  <c r="Q68" i="2"/>
  <c r="Q67" i="2" l="1"/>
  <c r="Q8" i="2" s="1"/>
  <c r="U15" i="3" s="1"/>
  <c r="R68" i="2"/>
  <c r="P58" i="2"/>
  <c r="P61" i="2" s="1"/>
  <c r="S68" i="2" l="1"/>
  <c r="R67" i="2"/>
  <c r="R8" i="2" s="1"/>
  <c r="V15" i="3" s="1"/>
  <c r="Q58" i="2"/>
  <c r="Q61" i="2" s="1"/>
  <c r="R58" i="2" l="1"/>
  <c r="R61" i="2" s="1"/>
  <c r="T68" i="2"/>
  <c r="T67" i="2" s="1"/>
  <c r="T8" i="2" s="1"/>
  <c r="T58" i="2" s="1"/>
  <c r="T61" i="2" s="1"/>
  <c r="S67" i="2"/>
  <c r="S8" i="2" s="1"/>
  <c r="S58" i="2" l="1"/>
  <c r="S61" i="2" s="1"/>
  <c r="X15" i="3"/>
  <c r="W15" i="3"/>
  <c r="G10" i="2"/>
  <c r="G65" i="2"/>
  <c r="G66" i="2" s="1"/>
  <c r="H66" i="2" s="1"/>
  <c r="H65" i="2" l="1"/>
  <c r="H9" i="2" s="1"/>
  <c r="I66" i="2"/>
  <c r="I65" i="2" l="1"/>
  <c r="I9" i="2" s="1"/>
  <c r="J66" i="2"/>
  <c r="J65" i="2" l="1"/>
  <c r="J9" i="2" s="1"/>
  <c r="K66" i="2"/>
  <c r="K65" i="2" l="1"/>
  <c r="K9" i="2" s="1"/>
  <c r="L66" i="2"/>
  <c r="L65" i="2" l="1"/>
  <c r="L9" i="2" s="1"/>
  <c r="M66" i="2"/>
  <c r="M65" i="2" l="1"/>
  <c r="M9" i="2" s="1"/>
  <c r="N66" i="2"/>
  <c r="O66" i="2" l="1"/>
  <c r="N65" i="2"/>
  <c r="N9" i="2" s="1"/>
  <c r="O65" i="2" l="1"/>
  <c r="O9" i="2" s="1"/>
  <c r="P66" i="2"/>
  <c r="P65" i="2" l="1"/>
  <c r="P9" i="2" s="1"/>
  <c r="Q66" i="2"/>
  <c r="Q65" i="2" l="1"/>
  <c r="Q9" i="2" s="1"/>
  <c r="R66" i="2"/>
  <c r="S66" i="2" l="1"/>
  <c r="R65" i="2"/>
  <c r="R9" i="2" s="1"/>
  <c r="T66" i="2" l="1"/>
  <c r="T65" i="2" s="1"/>
  <c r="T9" i="2" s="1"/>
  <c r="S65" i="2"/>
  <c r="S9" i="2" s="1"/>
  <c r="G14" i="2"/>
  <c r="G69" i="2"/>
  <c r="G70" i="2"/>
  <c r="H70" i="2" s="1"/>
  <c r="H69" i="2" l="1"/>
  <c r="H13" i="2" s="1"/>
  <c r="I70" i="2"/>
  <c r="I69" i="2" l="1"/>
  <c r="I13" i="2" s="1"/>
  <c r="J70" i="2"/>
  <c r="L16" i="3"/>
  <c r="M16" i="3" l="1"/>
  <c r="J69" i="2"/>
  <c r="J13" i="2" s="1"/>
  <c r="N16" i="3" s="1"/>
  <c r="K70" i="2"/>
  <c r="K69" i="2" l="1"/>
  <c r="K13" i="2" s="1"/>
  <c r="L70" i="2"/>
  <c r="O16" i="3" l="1"/>
  <c r="L69" i="2"/>
  <c r="L13" i="2" s="1"/>
  <c r="P16" i="3" s="1"/>
  <c r="M70" i="2"/>
  <c r="M69" i="2" l="1"/>
  <c r="M13" i="2" s="1"/>
  <c r="N70" i="2"/>
  <c r="Q16" i="3" l="1"/>
  <c r="N69" i="2"/>
  <c r="N13" i="2" s="1"/>
  <c r="R16" i="3" s="1"/>
  <c r="O70" i="2"/>
  <c r="O69" i="2" l="1"/>
  <c r="O13" i="2" s="1"/>
  <c r="P70" i="2"/>
  <c r="S16" i="3" l="1"/>
  <c r="P69" i="2"/>
  <c r="P13" i="2" s="1"/>
  <c r="T16" i="3" s="1"/>
  <c r="Q70" i="2"/>
  <c r="R70" i="2" l="1"/>
  <c r="Q69" i="2"/>
  <c r="Q13" i="2" s="1"/>
  <c r="U16" i="3" s="1"/>
  <c r="S70" i="2" l="1"/>
  <c r="R69" i="2"/>
  <c r="R13" i="2" s="1"/>
  <c r="V16" i="3" s="1"/>
  <c r="T70" i="2" l="1"/>
  <c r="T69" i="2" s="1"/>
  <c r="T13" i="2" s="1"/>
  <c r="S69" i="2"/>
  <c r="S13" i="2" s="1"/>
  <c r="G71" i="2"/>
  <c r="G72" i="2"/>
  <c r="H72" i="2" s="1"/>
  <c r="X16" i="3" l="1"/>
  <c r="W16" i="3"/>
  <c r="H71" i="2"/>
  <c r="H17" i="2" s="1"/>
  <c r="I72" i="2"/>
  <c r="I71" i="2" l="1"/>
  <c r="I17" i="2" s="1"/>
  <c r="J72" i="2"/>
  <c r="L17" i="3"/>
  <c r="J71" i="2" l="1"/>
  <c r="J17" i="2" s="1"/>
  <c r="K72" i="2"/>
  <c r="M17" i="3"/>
  <c r="K71" i="2" l="1"/>
  <c r="K17" i="2" s="1"/>
  <c r="L72" i="2"/>
  <c r="N17" i="3"/>
  <c r="O17" i="3" l="1"/>
  <c r="L71" i="2"/>
  <c r="L17" i="2" s="1"/>
  <c r="M72" i="2"/>
  <c r="P17" i="3" l="1"/>
  <c r="N72" i="2"/>
  <c r="M71" i="2"/>
  <c r="M17" i="2" s="1"/>
  <c r="N71" i="2" l="1"/>
  <c r="N17" i="2" s="1"/>
  <c r="O72" i="2"/>
  <c r="Q17" i="3"/>
  <c r="O71" i="2" l="1"/>
  <c r="O17" i="2" s="1"/>
  <c r="P72" i="2"/>
  <c r="R17" i="3"/>
  <c r="P71" i="2" l="1"/>
  <c r="P17" i="2" s="1"/>
  <c r="Q72" i="2"/>
  <c r="S17" i="3"/>
  <c r="R72" i="2" l="1"/>
  <c r="Q71" i="2"/>
  <c r="Q17" i="2" s="1"/>
  <c r="T17" i="3"/>
  <c r="U17" i="3" l="1"/>
  <c r="S72" i="2"/>
  <c r="R71" i="2"/>
  <c r="R17" i="2" s="1"/>
  <c r="S71" i="2" l="1"/>
  <c r="S17" i="2" s="1"/>
  <c r="T72" i="2"/>
  <c r="T71" i="2" s="1"/>
  <c r="T17" i="2" s="1"/>
  <c r="V17" i="3"/>
  <c r="X17" i="3" l="1"/>
  <c r="W17" i="3"/>
  <c r="G59" i="2"/>
  <c r="G62" i="2" s="1"/>
  <c r="G75" i="2"/>
  <c r="G76" i="2"/>
  <c r="H76" i="2" s="1"/>
  <c r="I76" i="2" s="1"/>
  <c r="H75" i="2" l="1"/>
  <c r="H18" i="2" s="1"/>
  <c r="J76" i="2"/>
  <c r="I75" i="2"/>
  <c r="I18" i="2" s="1"/>
  <c r="H59" i="2" l="1"/>
  <c r="H62" i="2" s="1"/>
  <c r="J75" i="2"/>
  <c r="J18" i="2" s="1"/>
  <c r="K76" i="2"/>
  <c r="I59" i="2"/>
  <c r="I62" i="2" s="1"/>
  <c r="K75" i="2" l="1"/>
  <c r="K18" i="2" s="1"/>
  <c r="L76" i="2"/>
  <c r="J59" i="2"/>
  <c r="J62" i="2" s="1"/>
  <c r="K59" i="2" l="1"/>
  <c r="K62" i="2" s="1"/>
  <c r="M76" i="2"/>
  <c r="L75" i="2"/>
  <c r="L18" i="2" s="1"/>
  <c r="L59" i="2" l="1"/>
  <c r="L62" i="2" s="1"/>
  <c r="M75" i="2"/>
  <c r="M18" i="2" s="1"/>
  <c r="N76" i="2"/>
  <c r="M59" i="2" l="1"/>
  <c r="M62" i="2" s="1"/>
  <c r="N75" i="2"/>
  <c r="N18" i="2" s="1"/>
  <c r="O76" i="2"/>
  <c r="N59" i="2" l="1"/>
  <c r="N62" i="2" s="1"/>
  <c r="O75" i="2"/>
  <c r="O18" i="2" s="1"/>
  <c r="P76" i="2"/>
  <c r="O59" i="2" l="1"/>
  <c r="O62" i="2" s="1"/>
  <c r="Q76" i="2"/>
  <c r="P75" i="2"/>
  <c r="P18" i="2" s="1"/>
  <c r="R76" i="2" l="1"/>
  <c r="Q75" i="2"/>
  <c r="Q18" i="2" s="1"/>
  <c r="P59" i="2"/>
  <c r="P62" i="2" s="1"/>
  <c r="Q59" i="2" l="1"/>
  <c r="Q62" i="2" s="1"/>
  <c r="R75" i="2"/>
  <c r="R18" i="2" s="1"/>
  <c r="S76" i="2"/>
  <c r="R59" i="2" l="1"/>
  <c r="R62" i="2" s="1"/>
  <c r="S75" i="2"/>
  <c r="S18" i="2" s="1"/>
  <c r="T76" i="2"/>
  <c r="T75" i="2" s="1"/>
  <c r="T18" i="2" s="1"/>
  <c r="S59" i="2" l="1"/>
  <c r="S62" i="2" s="1"/>
  <c r="T59" i="2"/>
  <c r="T62" i="2" s="1"/>
  <c r="G25" i="2"/>
  <c r="G12" i="70" l="1"/>
  <c r="G73" i="2"/>
  <c r="G74" i="2" s="1"/>
  <c r="H74" i="2" s="1"/>
  <c r="H73" i="2" l="1"/>
  <c r="I74" i="2"/>
  <c r="I73" i="2" l="1"/>
  <c r="J74" i="2"/>
  <c r="H19" i="2"/>
  <c r="H27" i="2" l="1"/>
  <c r="L19" i="3" s="1"/>
  <c r="J73" i="2"/>
  <c r="K74" i="2"/>
  <c r="I19" i="2" l="1"/>
  <c r="K73" i="2"/>
  <c r="L74" i="2"/>
  <c r="M74" i="2" l="1"/>
  <c r="L73" i="2"/>
  <c r="I27" i="2"/>
  <c r="M19" i="3" s="1"/>
  <c r="J19" i="2" l="1"/>
  <c r="M73" i="2"/>
  <c r="N74" i="2"/>
  <c r="J27" i="2" l="1"/>
  <c r="K19" i="2" s="1"/>
  <c r="K27" i="2" s="1"/>
  <c r="O19" i="3" s="1"/>
  <c r="N73" i="2"/>
  <c r="O74" i="2"/>
  <c r="N19" i="3" l="1"/>
  <c r="O73" i="2"/>
  <c r="P74" i="2"/>
  <c r="L19" i="2"/>
  <c r="L27" i="2" l="1"/>
  <c r="P19" i="3" s="1"/>
  <c r="P73" i="2"/>
  <c r="Q74" i="2"/>
  <c r="Q73" i="2" l="1"/>
  <c r="R74" i="2"/>
  <c r="M19" i="2"/>
  <c r="M27" i="2" l="1"/>
  <c r="Q19" i="3" s="1"/>
  <c r="R73" i="2"/>
  <c r="S74" i="2"/>
  <c r="S73" i="2" l="1"/>
  <c r="T74" i="2"/>
  <c r="T73" i="2" s="1"/>
  <c r="N19" i="2"/>
  <c r="N27" i="2" l="1"/>
  <c r="R19" i="3" s="1"/>
  <c r="O19" i="2" l="1"/>
  <c r="O27" i="2" s="1"/>
  <c r="S19" i="3" s="1"/>
  <c r="P19" i="2" l="1"/>
  <c r="P27" i="2" l="1"/>
  <c r="Q19" i="2" s="1"/>
  <c r="Q27" i="2" l="1"/>
  <c r="R19" i="2" s="1"/>
  <c r="T19" i="3"/>
  <c r="U19" i="3" l="1"/>
  <c r="R27" i="2"/>
  <c r="S19" i="2" s="1"/>
  <c r="V19" i="3" l="1"/>
  <c r="S27" i="2"/>
  <c r="T19" i="2" s="1"/>
  <c r="W19" i="3" l="1"/>
  <c r="T27" i="2"/>
  <c r="X19" i="3" s="1"/>
  <c r="G32" i="2"/>
  <c r="G41" i="2" s="1"/>
  <c r="G43" i="2" s="1"/>
  <c r="G44" i="2" s="1"/>
  <c r="G77" i="2"/>
  <c r="G78" i="2" s="1"/>
  <c r="H78" i="2" s="1"/>
  <c r="H77" i="2" l="1"/>
  <c r="I78" i="2"/>
  <c r="I77" i="2" l="1"/>
  <c r="J78" i="2"/>
  <c r="H24" i="2"/>
  <c r="H25" i="2" l="1"/>
  <c r="H32" i="2" s="1"/>
  <c r="H41" i="2" s="1"/>
  <c r="H31" i="2"/>
  <c r="I24" i="2" s="1"/>
  <c r="J77" i="2"/>
  <c r="K78" i="2"/>
  <c r="L18" i="3" l="1"/>
  <c r="I25" i="2"/>
  <c r="I31" i="2"/>
  <c r="M18" i="3" s="1"/>
  <c r="K77" i="2"/>
  <c r="L78" i="2"/>
  <c r="J24" i="2" l="1"/>
  <c r="M78" i="2"/>
  <c r="L77" i="2"/>
  <c r="I32" i="2"/>
  <c r="J25" i="2" l="1"/>
  <c r="J31" i="2"/>
  <c r="K24" i="2" s="1"/>
  <c r="M77" i="2"/>
  <c r="N78" i="2"/>
  <c r="N18" i="3" l="1"/>
  <c r="J32" i="2"/>
  <c r="K25" i="2"/>
  <c r="K31" i="2"/>
  <c r="L24" i="2" s="1"/>
  <c r="N77" i="2"/>
  <c r="O78" i="2"/>
  <c r="O18" i="3" l="1"/>
  <c r="L25" i="2"/>
  <c r="L31" i="2"/>
  <c r="M24" i="2" s="1"/>
  <c r="P78" i="2"/>
  <c r="O77" i="2"/>
  <c r="K32" i="2"/>
  <c r="P18" i="3" l="1"/>
  <c r="M25" i="2"/>
  <c r="M31" i="2"/>
  <c r="Q18" i="3" s="1"/>
  <c r="P77" i="2"/>
  <c r="Q78" i="2"/>
  <c r="L32" i="2"/>
  <c r="M32" i="2" l="1"/>
  <c r="N24" i="2"/>
  <c r="Q77" i="2"/>
  <c r="R78" i="2"/>
  <c r="N25" i="2" l="1"/>
  <c r="N31" i="2"/>
  <c r="R18" i="3" s="1"/>
  <c r="S78" i="2"/>
  <c r="R77" i="2"/>
  <c r="N32" i="2" l="1"/>
  <c r="O24" i="2"/>
  <c r="S77" i="2"/>
  <c r="T78" i="2"/>
  <c r="T77" i="2" s="1"/>
  <c r="O25" i="2" l="1"/>
  <c r="O31" i="2"/>
  <c r="S18" i="3" s="1"/>
  <c r="O32" i="2" l="1"/>
  <c r="P24" i="2"/>
  <c r="P25" i="2" l="1"/>
  <c r="P31" i="2"/>
  <c r="T18" i="3" s="1"/>
  <c r="P32" i="2" l="1"/>
  <c r="Q24" i="2"/>
  <c r="Q25" i="2" l="1"/>
  <c r="Q31" i="2"/>
  <c r="R24" i="2" s="1"/>
  <c r="U18" i="3" l="1"/>
  <c r="R25" i="2"/>
  <c r="R31" i="2"/>
  <c r="S24" i="2" s="1"/>
  <c r="Q32" i="2"/>
  <c r="V18" i="3" l="1"/>
  <c r="S25" i="2"/>
  <c r="S31" i="2"/>
  <c r="T24" i="2" s="1"/>
  <c r="R32" i="2"/>
  <c r="W18" i="3" l="1"/>
  <c r="T25" i="2"/>
  <c r="T31" i="2"/>
  <c r="X18" i="3" s="1"/>
  <c r="S32" i="2"/>
  <c r="K20" i="3"/>
  <c r="T32" i="2" l="1"/>
  <c r="G52" i="2"/>
  <c r="G13" i="70"/>
  <c r="K29" i="3"/>
  <c r="K44" i="3" s="1"/>
  <c r="K47" i="3" s="1"/>
  <c r="G53" i="2"/>
  <c r="G82" i="2"/>
  <c r="G83" i="2"/>
  <c r="H83" i="2" s="1"/>
  <c r="H82" i="2" l="1"/>
  <c r="I83" i="2"/>
  <c r="L46" i="3"/>
  <c r="K49" i="3"/>
  <c r="G92" i="2"/>
  <c r="G93" i="2"/>
  <c r="G95" i="2"/>
  <c r="G94" i="2"/>
  <c r="G91" i="2"/>
  <c r="H93" i="2" l="1"/>
  <c r="L27" i="3"/>
  <c r="H94" i="2"/>
  <c r="H92" i="2"/>
  <c r="H96" i="2"/>
  <c r="H91" i="2"/>
  <c r="H95" i="2"/>
  <c r="G109" i="2"/>
  <c r="K7" i="3" s="1"/>
  <c r="J83" i="2"/>
  <c r="I82" i="2"/>
  <c r="I95" i="2" l="1"/>
  <c r="G84" i="2"/>
  <c r="H81" i="2" s="1"/>
  <c r="AF144" i="1"/>
  <c r="G11" i="70"/>
  <c r="G14" i="70" s="1"/>
  <c r="I96" i="2"/>
  <c r="J82" i="2"/>
  <c r="K83" i="2"/>
  <c r="I97" i="2"/>
  <c r="I92" i="2"/>
  <c r="I94" i="2"/>
  <c r="I93" i="2"/>
  <c r="M27" i="3"/>
  <c r="I91" i="2"/>
  <c r="H109" i="2"/>
  <c r="L7" i="3" s="1"/>
  <c r="L29" i="3"/>
  <c r="H13" i="70"/>
  <c r="H53" i="2"/>
  <c r="J96" i="2" l="1"/>
  <c r="J94" i="2"/>
  <c r="J93" i="2"/>
  <c r="N27" i="3"/>
  <c r="J92" i="2"/>
  <c r="J98" i="2"/>
  <c r="J91" i="2"/>
  <c r="J95" i="2"/>
  <c r="I109" i="2"/>
  <c r="M7" i="3" s="1"/>
  <c r="G16" i="70"/>
  <c r="G15" i="70"/>
  <c r="L83" i="2"/>
  <c r="K82" i="2"/>
  <c r="H84" i="2"/>
  <c r="H86" i="2" s="1"/>
  <c r="AK144" i="1"/>
  <c r="H11" i="70"/>
  <c r="L8" i="3"/>
  <c r="L9" i="3" s="1"/>
  <c r="I13" i="70"/>
  <c r="M29" i="3"/>
  <c r="I53" i="2"/>
  <c r="J97" i="2"/>
  <c r="AF145" i="1"/>
  <c r="AB144" i="1"/>
  <c r="AF146" i="1"/>
  <c r="AD144" i="1"/>
  <c r="AC144" i="1"/>
  <c r="K97" i="2" l="1"/>
  <c r="AD146" i="1"/>
  <c r="AD145" i="1"/>
  <c r="H12" i="2"/>
  <c r="I81" i="2"/>
  <c r="AK146" i="1"/>
  <c r="AI144" i="1"/>
  <c r="AK145" i="1"/>
  <c r="AH144" i="1"/>
  <c r="AG144" i="1"/>
  <c r="AC145" i="1"/>
  <c r="AC146" i="1"/>
  <c r="L20" i="3"/>
  <c r="J109" i="2"/>
  <c r="N7" i="3" s="1"/>
  <c r="L82" i="2"/>
  <c r="M83" i="2"/>
  <c r="N29" i="3"/>
  <c r="J13" i="70"/>
  <c r="J53" i="2"/>
  <c r="AB146" i="1"/>
  <c r="AB145" i="1"/>
  <c r="AE144" i="1"/>
  <c r="K92" i="2"/>
  <c r="O27" i="3"/>
  <c r="K93" i="2"/>
  <c r="K94" i="2"/>
  <c r="K99" i="2"/>
  <c r="K91" i="2"/>
  <c r="K95" i="2"/>
  <c r="K96" i="2"/>
  <c r="I84" i="2"/>
  <c r="I11" i="70"/>
  <c r="AP144" i="1"/>
  <c r="M8" i="3"/>
  <c r="K98" i="2"/>
  <c r="L98" i="2" s="1"/>
  <c r="AJ144" i="1" l="1"/>
  <c r="AJ146" i="1" s="1"/>
  <c r="AP145" i="1"/>
  <c r="AP146" i="1"/>
  <c r="J11" i="70"/>
  <c r="J84" i="2"/>
  <c r="AU144" i="1"/>
  <c r="N8" i="3"/>
  <c r="M9" i="3"/>
  <c r="L99" i="2"/>
  <c r="N83" i="2"/>
  <c r="M82" i="2"/>
  <c r="I86" i="2"/>
  <c r="L92" i="2"/>
  <c r="P27" i="3"/>
  <c r="L93" i="2"/>
  <c r="L100" i="2"/>
  <c r="L94" i="2"/>
  <c r="L91" i="2"/>
  <c r="L95" i="2"/>
  <c r="L96" i="2"/>
  <c r="L97" i="2"/>
  <c r="AE145" i="1"/>
  <c r="AE146" i="1"/>
  <c r="AG146" i="1"/>
  <c r="AG145" i="1"/>
  <c r="AI145" i="1"/>
  <c r="AI146" i="1"/>
  <c r="K109" i="2"/>
  <c r="O7" i="3" s="1"/>
  <c r="O29" i="3"/>
  <c r="K13" i="70"/>
  <c r="K53" i="2"/>
  <c r="H52" i="2"/>
  <c r="L44" i="3"/>
  <c r="L47" i="3" s="1"/>
  <c r="AH145" i="1"/>
  <c r="AH146" i="1"/>
  <c r="L109" i="2" l="1"/>
  <c r="P7" i="3" s="1"/>
  <c r="BE144" i="1" s="1"/>
  <c r="AJ145" i="1"/>
  <c r="M46" i="3"/>
  <c r="H5" i="2"/>
  <c r="AU145" i="1"/>
  <c r="AU146" i="1"/>
  <c r="L53" i="2"/>
  <c r="P29" i="3"/>
  <c r="L13" i="70"/>
  <c r="AZ144" i="1"/>
  <c r="K11" i="70"/>
  <c r="K84" i="2"/>
  <c r="O8" i="3"/>
  <c r="M100" i="2"/>
  <c r="I12" i="2"/>
  <c r="J81" i="2"/>
  <c r="J86" i="2" s="1"/>
  <c r="O83" i="2"/>
  <c r="N82" i="2"/>
  <c r="N9" i="3"/>
  <c r="M92" i="2"/>
  <c r="M94" i="2"/>
  <c r="M101" i="2"/>
  <c r="M93" i="2"/>
  <c r="Q27" i="3"/>
  <c r="M91" i="2"/>
  <c r="M95" i="2"/>
  <c r="M96" i="2"/>
  <c r="M97" i="2"/>
  <c r="M98" i="2"/>
  <c r="M99" i="2"/>
  <c r="L84" i="2" l="1"/>
  <c r="P8" i="3"/>
  <c r="P9" i="3" s="1"/>
  <c r="L11" i="70"/>
  <c r="L49" i="3"/>
  <c r="AK170" i="1"/>
  <c r="AK172" i="1" s="1"/>
  <c r="N101" i="2"/>
  <c r="N102" i="2"/>
  <c r="R27" i="3"/>
  <c r="N94" i="2"/>
  <c r="N92" i="2"/>
  <c r="N93" i="2"/>
  <c r="N91" i="2"/>
  <c r="N95" i="2"/>
  <c r="N96" i="2"/>
  <c r="N97" i="2"/>
  <c r="N98" i="2"/>
  <c r="N99" i="2"/>
  <c r="C19" i="70"/>
  <c r="H10" i="2"/>
  <c r="BE145" i="1"/>
  <c r="BE146" i="1"/>
  <c r="N100" i="2"/>
  <c r="AZ146" i="1"/>
  <c r="AZ145" i="1"/>
  <c r="Q29" i="3"/>
  <c r="M13" i="70"/>
  <c r="M53" i="2"/>
  <c r="M109" i="2"/>
  <c r="Q7" i="3" s="1"/>
  <c r="O82" i="2"/>
  <c r="P83" i="2"/>
  <c r="O9" i="3"/>
  <c r="J12" i="2"/>
  <c r="K81" i="2"/>
  <c r="K86" i="2" s="1"/>
  <c r="N109" i="2" l="1"/>
  <c r="R7" i="3" s="1"/>
  <c r="R29" i="3"/>
  <c r="N13" i="70"/>
  <c r="N53" i="2"/>
  <c r="O94" i="2"/>
  <c r="O92" i="2"/>
  <c r="S27" i="3"/>
  <c r="O103" i="2"/>
  <c r="O93" i="2"/>
  <c r="O91" i="2"/>
  <c r="O95" i="2"/>
  <c r="O96" i="2"/>
  <c r="O97" i="2"/>
  <c r="O98" i="2"/>
  <c r="O99" i="2"/>
  <c r="O100" i="2"/>
  <c r="H12" i="70"/>
  <c r="H14" i="70" s="1"/>
  <c r="H14" i="2"/>
  <c r="H43" i="2" s="1"/>
  <c r="H44" i="2" s="1"/>
  <c r="O102" i="2"/>
  <c r="K12" i="2"/>
  <c r="L81" i="2"/>
  <c r="L86" i="2" s="1"/>
  <c r="P82" i="2"/>
  <c r="Q83" i="2"/>
  <c r="M11" i="70"/>
  <c r="M84" i="2"/>
  <c r="BJ144" i="1"/>
  <c r="Q8" i="3"/>
  <c r="Q9" i="3" s="1"/>
  <c r="O101" i="2"/>
  <c r="P102" i="2" l="1"/>
  <c r="O109" i="2"/>
  <c r="S7" i="3" s="1"/>
  <c r="L12" i="2"/>
  <c r="M81" i="2"/>
  <c r="M86" i="2" s="1"/>
  <c r="P103" i="2"/>
  <c r="H16" i="70"/>
  <c r="H15" i="70"/>
  <c r="N11" i="70"/>
  <c r="N84" i="2"/>
  <c r="BO144" i="1"/>
  <c r="R8" i="3"/>
  <c r="R9" i="3" s="1"/>
  <c r="BJ145" i="1"/>
  <c r="BJ146" i="1"/>
  <c r="Q82" i="2"/>
  <c r="R83" i="2"/>
  <c r="P104" i="2"/>
  <c r="P94" i="2"/>
  <c r="P92" i="2"/>
  <c r="P93" i="2"/>
  <c r="T27" i="3"/>
  <c r="P91" i="2"/>
  <c r="P95" i="2"/>
  <c r="P96" i="2"/>
  <c r="P97" i="2"/>
  <c r="P98" i="2"/>
  <c r="P99" i="2"/>
  <c r="P100" i="2"/>
  <c r="P101" i="2"/>
  <c r="O13" i="70"/>
  <c r="O53" i="2"/>
  <c r="S29" i="3"/>
  <c r="P53" i="2" l="1"/>
  <c r="P13" i="70"/>
  <c r="T29" i="3"/>
  <c r="Q104" i="2"/>
  <c r="S83" i="2"/>
  <c r="R82" i="2"/>
  <c r="M12" i="2"/>
  <c r="N81" i="2"/>
  <c r="N86" i="2" s="1"/>
  <c r="Q92" i="2"/>
  <c r="U27" i="3"/>
  <c r="Q94" i="2"/>
  <c r="Q93" i="2"/>
  <c r="Q105" i="2"/>
  <c r="Q91" i="2"/>
  <c r="Q95" i="2"/>
  <c r="Q96" i="2"/>
  <c r="Q97" i="2"/>
  <c r="Q98" i="2"/>
  <c r="Q99" i="2"/>
  <c r="Q100" i="2"/>
  <c r="Q101" i="2"/>
  <c r="Q102" i="2"/>
  <c r="BO145" i="1"/>
  <c r="BO146" i="1"/>
  <c r="Q103" i="2"/>
  <c r="P109" i="2"/>
  <c r="T7" i="3" s="1"/>
  <c r="O11" i="70"/>
  <c r="O84" i="2"/>
  <c r="BT144" i="1"/>
  <c r="S8" i="3"/>
  <c r="S9" i="3" s="1"/>
  <c r="R104" i="2" l="1"/>
  <c r="Q109" i="2"/>
  <c r="U7" i="3" s="1"/>
  <c r="U29" i="3"/>
  <c r="Q13" i="70"/>
  <c r="Q53" i="2"/>
  <c r="R94" i="2"/>
  <c r="V27" i="3"/>
  <c r="R93" i="2"/>
  <c r="R92" i="2"/>
  <c r="R106" i="2"/>
  <c r="R91" i="2"/>
  <c r="R95" i="2"/>
  <c r="R96" i="2"/>
  <c r="R97" i="2"/>
  <c r="R98" i="2"/>
  <c r="R99" i="2"/>
  <c r="R100" i="2"/>
  <c r="R101" i="2"/>
  <c r="R102" i="2"/>
  <c r="R103" i="2"/>
  <c r="BT145" i="1"/>
  <c r="BT146" i="1"/>
  <c r="R105" i="2"/>
  <c r="N12" i="2"/>
  <c r="O81" i="2"/>
  <c r="O86" i="2" s="1"/>
  <c r="P11" i="70"/>
  <c r="P84" i="2"/>
  <c r="BY144" i="1"/>
  <c r="T8" i="3"/>
  <c r="S82" i="2"/>
  <c r="T83" i="2"/>
  <c r="T82" i="2" s="1"/>
  <c r="W27" i="3" l="1"/>
  <c r="S94" i="2"/>
  <c r="T94" i="2" s="1"/>
  <c r="S92" i="2"/>
  <c r="T92" i="2" s="1"/>
  <c r="S93" i="2"/>
  <c r="T93" i="2" s="1"/>
  <c r="S107" i="2"/>
  <c r="T107" i="2" s="1"/>
  <c r="S91" i="2"/>
  <c r="T91" i="2" s="1"/>
  <c r="S95" i="2"/>
  <c r="T95" i="2" s="1"/>
  <c r="S96" i="2"/>
  <c r="T96" i="2" s="1"/>
  <c r="S97" i="2"/>
  <c r="T97" i="2" s="1"/>
  <c r="S98" i="2"/>
  <c r="T98" i="2" s="1"/>
  <c r="S99" i="2"/>
  <c r="T99" i="2" s="1"/>
  <c r="S100" i="2"/>
  <c r="T100" i="2" s="1"/>
  <c r="S101" i="2"/>
  <c r="T101" i="2" s="1"/>
  <c r="S102" i="2"/>
  <c r="T102" i="2" s="1"/>
  <c r="S103" i="2"/>
  <c r="T103" i="2" s="1"/>
  <c r="S104" i="2"/>
  <c r="T104" i="2" s="1"/>
  <c r="BY145" i="1"/>
  <c r="BY146" i="1"/>
  <c r="O12" i="2"/>
  <c r="P81" i="2"/>
  <c r="P86" i="2" s="1"/>
  <c r="R109" i="2"/>
  <c r="V7" i="3" s="1"/>
  <c r="R53" i="2"/>
  <c r="R13" i="70"/>
  <c r="V29" i="3"/>
  <c r="T9" i="3"/>
  <c r="S105" i="2"/>
  <c r="T105" i="2" s="1"/>
  <c r="X27" i="3"/>
  <c r="T108" i="2"/>
  <c r="S106" i="2"/>
  <c r="T106" i="2" s="1"/>
  <c r="Q11" i="70"/>
  <c r="CD144" i="1"/>
  <c r="Q84" i="2"/>
  <c r="U8" i="3"/>
  <c r="CD145" i="1" l="1"/>
  <c r="CD146" i="1"/>
  <c r="P12" i="2"/>
  <c r="Q81" i="2"/>
  <c r="Q86" i="2" s="1"/>
  <c r="S109" i="2"/>
  <c r="W7" i="3" s="1"/>
  <c r="U9" i="3"/>
  <c r="T109" i="2"/>
  <c r="X7" i="3" s="1"/>
  <c r="X29" i="3"/>
  <c r="T13" i="70"/>
  <c r="T53" i="2"/>
  <c r="R84" i="2"/>
  <c r="R11" i="70"/>
  <c r="CI144" i="1"/>
  <c r="V8" i="3"/>
  <c r="V9" i="3" s="1"/>
  <c r="S53" i="2"/>
  <c r="W29" i="3"/>
  <c r="S13" i="70"/>
  <c r="CI146" i="1" l="1"/>
  <c r="CI145" i="1"/>
  <c r="T84" i="2"/>
  <c r="CS144" i="1"/>
  <c r="T11" i="70"/>
  <c r="X8" i="3"/>
  <c r="X9" i="3" s="1"/>
  <c r="S11" i="70"/>
  <c r="S84" i="2"/>
  <c r="CN144" i="1"/>
  <c r="W8" i="3"/>
  <c r="W9" i="3" s="1"/>
  <c r="R81" i="2"/>
  <c r="R86" i="2" s="1"/>
  <c r="Q12" i="2"/>
  <c r="CN146" i="1" l="1"/>
  <c r="CN145" i="1"/>
  <c r="R12" i="2"/>
  <c r="S81" i="2"/>
  <c r="S86" i="2" s="1"/>
  <c r="CS145" i="1"/>
  <c r="CS146" i="1"/>
  <c r="S12" i="2" l="1"/>
  <c r="T81" i="2"/>
  <c r="T86" i="2" s="1"/>
  <c r="T12" i="2" s="1"/>
  <c r="AK213" i="1"/>
  <c r="BE171" i="1"/>
  <c r="BJ171" i="1" s="1"/>
  <c r="BO171" i="1" s="1"/>
  <c r="BT171" i="1" s="1"/>
  <c r="BY171" i="1" s="1"/>
  <c r="CD171" i="1" s="1"/>
  <c r="CI171" i="1" s="1"/>
  <c r="CN171" i="1" s="1"/>
  <c r="CS171" i="1" s="1"/>
  <c r="AP171" i="1"/>
  <c r="AU171" i="1"/>
  <c r="AZ171" i="1" s="1"/>
  <c r="AP39" i="1"/>
  <c r="AP108" i="1" l="1"/>
  <c r="AP110" i="1" s="1"/>
  <c r="AP112" i="1" s="1"/>
  <c r="AP41" i="1"/>
  <c r="I5" i="70" l="1"/>
  <c r="AP177" i="1"/>
  <c r="AP178" i="1" s="1"/>
  <c r="I6" i="70" l="1"/>
  <c r="AP181" i="1"/>
  <c r="AU176" i="1"/>
  <c r="AP180" i="1"/>
  <c r="AP182" i="1" s="1"/>
  <c r="AP42" i="1" s="1"/>
  <c r="AP113" i="1" l="1"/>
  <c r="I8" i="70"/>
  <c r="AP43" i="1"/>
  <c r="AP45" i="1"/>
  <c r="AP47" i="1" l="1"/>
  <c r="AP48" i="1"/>
  <c r="AP123" i="1"/>
  <c r="AP132" i="1" s="1"/>
  <c r="AP133" i="1" s="1"/>
  <c r="I9" i="70"/>
  <c r="I10" i="70"/>
  <c r="I50" i="2"/>
  <c r="AP116" i="1"/>
  <c r="AP114" i="1"/>
  <c r="AP122" i="1" l="1"/>
  <c r="M5" i="3"/>
  <c r="AP125" i="1" l="1"/>
  <c r="AP126" i="1"/>
  <c r="AP210" i="1"/>
  <c r="I51" i="2"/>
  <c r="I38" i="2"/>
  <c r="M20" i="3"/>
  <c r="I52" i="2" l="1"/>
  <c r="M44" i="3"/>
  <c r="M47" i="3" s="1"/>
  <c r="I39" i="2"/>
  <c r="I41" i="2" s="1"/>
  <c r="N46" i="3" l="1"/>
  <c r="I5" i="2"/>
  <c r="I10" i="2" l="1"/>
  <c r="AP170" i="1"/>
  <c r="AP172" i="1" s="1"/>
  <c r="M49" i="3"/>
  <c r="AU39" i="1" l="1"/>
  <c r="AP213" i="1"/>
  <c r="I12" i="70"/>
  <c r="I14" i="70" s="1"/>
  <c r="I14" i="2"/>
  <c r="I43" i="2" s="1"/>
  <c r="I44" i="2" s="1"/>
  <c r="I15" i="70" l="1"/>
  <c r="I16" i="70"/>
  <c r="AU41" i="1"/>
  <c r="AU108" i="1"/>
  <c r="AU110" i="1" s="1"/>
  <c r="AU112" i="1" s="1"/>
  <c r="J5" i="70" l="1"/>
  <c r="AU177" i="1"/>
  <c r="AU178" i="1" s="1"/>
  <c r="AU181" i="1" l="1"/>
  <c r="AZ176" i="1"/>
  <c r="AU180" i="1"/>
  <c r="AU182" i="1" s="1"/>
  <c r="AU42" i="1" s="1"/>
  <c r="J6" i="70"/>
  <c r="J8" i="70" l="1"/>
  <c r="AU113" i="1"/>
  <c r="AU43" i="1"/>
  <c r="AU45" i="1"/>
  <c r="J9" i="70" l="1"/>
  <c r="J10" i="70"/>
  <c r="J50" i="2"/>
  <c r="AU116" i="1"/>
  <c r="AU114" i="1"/>
  <c r="AU47" i="1"/>
  <c r="AU48" i="1"/>
  <c r="AU123" i="1"/>
  <c r="AU132" i="1" s="1"/>
  <c r="AU133" i="1" s="1"/>
  <c r="N5" i="3" l="1"/>
  <c r="AU122" i="1"/>
  <c r="AU125" i="1" l="1"/>
  <c r="J51" i="2"/>
  <c r="AU210" i="1"/>
  <c r="AU126" i="1"/>
  <c r="N20" i="3"/>
  <c r="J38" i="2"/>
  <c r="J39" i="2" l="1"/>
  <c r="J41" i="2" s="1"/>
  <c r="J52" i="2"/>
  <c r="N44" i="3"/>
  <c r="N47" i="3" s="1"/>
  <c r="O46" i="3" l="1"/>
  <c r="J5" i="2"/>
  <c r="J10" i="2" l="1"/>
  <c r="AU170" i="1"/>
  <c r="AU172" i="1" s="1"/>
  <c r="N49" i="3"/>
  <c r="AZ39" i="1" l="1"/>
  <c r="AU213" i="1"/>
  <c r="J12" i="70"/>
  <c r="J14" i="70" s="1"/>
  <c r="J14" i="2"/>
  <c r="J43" i="2" s="1"/>
  <c r="J44" i="2" s="1"/>
  <c r="J15" i="70" l="1"/>
  <c r="J16" i="70"/>
  <c r="AZ41" i="1"/>
  <c r="AZ108" i="1"/>
  <c r="AZ110" i="1" s="1"/>
  <c r="AZ112" i="1" s="1"/>
  <c r="K5" i="70" l="1"/>
  <c r="AZ177" i="1"/>
  <c r="AZ178" i="1" s="1"/>
  <c r="AZ181" i="1" l="1"/>
  <c r="BE176" i="1"/>
  <c r="AZ180" i="1"/>
  <c r="AZ182" i="1" s="1"/>
  <c r="AZ42" i="1" s="1"/>
  <c r="K6" i="70"/>
  <c r="AZ43" i="1" l="1"/>
  <c r="K8" i="70"/>
  <c r="AZ113" i="1"/>
  <c r="AZ45" i="1"/>
  <c r="AZ48" i="1" l="1"/>
  <c r="AZ123" i="1"/>
  <c r="AZ132" i="1" s="1"/>
  <c r="AZ133" i="1" s="1"/>
  <c r="AZ47" i="1"/>
  <c r="K50" i="2"/>
  <c r="AZ114" i="1"/>
  <c r="AZ116" i="1"/>
  <c r="K9" i="70"/>
  <c r="K10" i="70"/>
  <c r="AZ122" i="1" l="1"/>
  <c r="O5" i="3"/>
  <c r="O20" i="3" l="1"/>
  <c r="K38" i="2"/>
  <c r="AZ210" i="1"/>
  <c r="AZ125" i="1"/>
  <c r="AZ126" i="1"/>
  <c r="K51" i="2"/>
  <c r="K39" i="2" l="1"/>
  <c r="K41" i="2" s="1"/>
  <c r="K52" i="2"/>
  <c r="O44" i="3"/>
  <c r="O47" i="3" s="1"/>
  <c r="P46" i="3" l="1"/>
  <c r="K5" i="2"/>
  <c r="K10" i="2" l="1"/>
  <c r="AZ170" i="1"/>
  <c r="AZ172" i="1" s="1"/>
  <c r="O49" i="3"/>
  <c r="BE39" i="1" l="1"/>
  <c r="AZ213" i="1"/>
  <c r="K14" i="2"/>
  <c r="K43" i="2" s="1"/>
  <c r="K44" i="2" s="1"/>
  <c r="K12" i="70"/>
  <c r="K14" i="70" s="1"/>
  <c r="K16" i="70" l="1"/>
  <c r="K15" i="70"/>
  <c r="BE41" i="1"/>
  <c r="BE108" i="1"/>
  <c r="BE110" i="1" s="1"/>
  <c r="BE112" i="1" s="1"/>
  <c r="BE177" i="1" l="1"/>
  <c r="BE178" i="1" s="1"/>
  <c r="L5" i="70"/>
  <c r="L6" i="70" l="1"/>
  <c r="BE180" i="1"/>
  <c r="BE182" i="1" s="1"/>
  <c r="BE42" i="1" s="1"/>
  <c r="BE181" i="1"/>
  <c r="BJ176" i="1"/>
  <c r="L8" i="70" l="1"/>
  <c r="BE113" i="1"/>
  <c r="BE43" i="1"/>
  <c r="BE45" i="1"/>
  <c r="BE123" i="1" l="1"/>
  <c r="BE132" i="1" s="1"/>
  <c r="BE133" i="1" s="1"/>
  <c r="BE47" i="1"/>
  <c r="BE48" i="1"/>
  <c r="L50" i="2"/>
  <c r="BE114" i="1"/>
  <c r="BE116" i="1"/>
  <c r="L9" i="70"/>
  <c r="L10" i="70"/>
  <c r="BE122" i="1" l="1"/>
  <c r="P5" i="3"/>
  <c r="P20" i="3" l="1"/>
  <c r="L38" i="2"/>
  <c r="BE126" i="1"/>
  <c r="BE125" i="1"/>
  <c r="BE210" i="1"/>
  <c r="L51" i="2"/>
  <c r="L39" i="2" l="1"/>
  <c r="L41" i="2" s="1"/>
  <c r="L52" i="2"/>
  <c r="P44" i="3"/>
  <c r="P47" i="3" s="1"/>
  <c r="Q46" i="3" l="1"/>
  <c r="L5" i="2"/>
  <c r="L10" i="2" l="1"/>
  <c r="BE170" i="1"/>
  <c r="BE172" i="1" s="1"/>
  <c r="P49" i="3"/>
  <c r="BJ39" i="1" l="1"/>
  <c r="BE213" i="1"/>
  <c r="L12" i="70"/>
  <c r="L14" i="70" s="1"/>
  <c r="L14" i="2"/>
  <c r="L43" i="2" s="1"/>
  <c r="L44" i="2" s="1"/>
  <c r="L15" i="70" l="1"/>
  <c r="L16" i="70"/>
  <c r="BJ41" i="1"/>
  <c r="BJ108" i="1"/>
  <c r="BJ110" i="1" s="1"/>
  <c r="BJ112" i="1" s="1"/>
  <c r="M5" i="70" l="1"/>
  <c r="BJ177" i="1"/>
  <c r="BJ178" i="1" s="1"/>
  <c r="BJ180" i="1" l="1"/>
  <c r="BJ182" i="1" s="1"/>
  <c r="BJ42" i="1" s="1"/>
  <c r="BO176" i="1"/>
  <c r="BJ181" i="1"/>
  <c r="M6" i="70"/>
  <c r="BJ113" i="1" l="1"/>
  <c r="BJ43" i="1"/>
  <c r="M8" i="70"/>
  <c r="BJ45" i="1"/>
  <c r="M9" i="70" l="1"/>
  <c r="M10" i="70"/>
  <c r="M50" i="2"/>
  <c r="BJ116" i="1"/>
  <c r="BJ114" i="1"/>
  <c r="BJ47" i="1"/>
  <c r="BJ48" i="1"/>
  <c r="BJ123" i="1"/>
  <c r="BJ132" i="1" s="1"/>
  <c r="BJ133" i="1" s="1"/>
  <c r="BJ122" i="1" l="1"/>
  <c r="Q5" i="3"/>
  <c r="Q20" i="3" l="1"/>
  <c r="M38" i="2"/>
  <c r="BJ125" i="1"/>
  <c r="BJ210" i="1"/>
  <c r="BJ126" i="1"/>
  <c r="M51" i="2"/>
  <c r="M39" i="2" l="1"/>
  <c r="M41" i="2" s="1"/>
  <c r="M52" i="2"/>
  <c r="Q44" i="3"/>
  <c r="Q47" i="3" s="1"/>
  <c r="R46" i="3" l="1"/>
  <c r="M5" i="2"/>
  <c r="M10" i="2" l="1"/>
  <c r="BJ170" i="1"/>
  <c r="BJ172" i="1" s="1"/>
  <c r="Q49" i="3"/>
  <c r="BO39" i="1" l="1"/>
  <c r="BJ213" i="1"/>
  <c r="M14" i="2"/>
  <c r="M43" i="2" s="1"/>
  <c r="M44" i="2" s="1"/>
  <c r="M12" i="70"/>
  <c r="M14" i="70" s="1"/>
  <c r="M15" i="70" l="1"/>
  <c r="M16" i="70"/>
  <c r="BO41" i="1"/>
  <c r="BO108" i="1"/>
  <c r="BO110" i="1" s="1"/>
  <c r="BO112" i="1" s="1"/>
  <c r="N5" i="70" l="1"/>
  <c r="BO177" i="1"/>
  <c r="BO178" i="1" s="1"/>
  <c r="BO180" i="1" l="1"/>
  <c r="BO182" i="1" s="1"/>
  <c r="BO42" i="1" s="1"/>
  <c r="BO181" i="1"/>
  <c r="BT176" i="1"/>
  <c r="N6" i="70"/>
  <c r="BO113" i="1" l="1"/>
  <c r="N8" i="70"/>
  <c r="BO43" i="1"/>
  <c r="BO45" i="1"/>
  <c r="N50" i="2" l="1"/>
  <c r="BO116" i="1"/>
  <c r="BO114" i="1"/>
  <c r="N9" i="70"/>
  <c r="N10" i="70"/>
  <c r="BO48" i="1"/>
  <c r="BO47" i="1"/>
  <c r="BO123" i="1"/>
  <c r="BO132" i="1" s="1"/>
  <c r="BO133" i="1" s="1"/>
  <c r="BO122" i="1" l="1"/>
  <c r="R5" i="3"/>
  <c r="BO126" i="1" l="1"/>
  <c r="BO125" i="1"/>
  <c r="BO210" i="1"/>
  <c r="N51" i="2"/>
  <c r="R20" i="3"/>
  <c r="N38" i="2"/>
  <c r="N39" i="2" l="1"/>
  <c r="N41" i="2" s="1"/>
  <c r="N52" i="2"/>
  <c r="R44" i="3"/>
  <c r="R47" i="3" s="1"/>
  <c r="S46" i="3" l="1"/>
  <c r="N5" i="2"/>
  <c r="N10" i="2" l="1"/>
  <c r="BO170" i="1"/>
  <c r="BO172" i="1" s="1"/>
  <c r="R49" i="3"/>
  <c r="BT39" i="1" l="1"/>
  <c r="BO213" i="1"/>
  <c r="N12" i="70"/>
  <c r="N14" i="70" s="1"/>
  <c r="N14" i="2"/>
  <c r="N43" i="2" s="1"/>
  <c r="N44" i="2" s="1"/>
  <c r="N16" i="70" l="1"/>
  <c r="N15" i="70"/>
  <c r="BT41" i="1"/>
  <c r="BT108" i="1"/>
  <c r="BT110" i="1" s="1"/>
  <c r="BT112" i="1" s="1"/>
  <c r="O5" i="70" l="1"/>
  <c r="BT177" i="1"/>
  <c r="BT178" i="1" s="1"/>
  <c r="BT181" i="1" l="1"/>
  <c r="BY176" i="1"/>
  <c r="BT180" i="1"/>
  <c r="BT182" i="1" s="1"/>
  <c r="BT42" i="1" s="1"/>
  <c r="O6" i="70"/>
  <c r="O8" i="70" l="1"/>
  <c r="BT113" i="1"/>
  <c r="BT43" i="1"/>
  <c r="BT45" i="1"/>
  <c r="O50" i="2" l="1"/>
  <c r="BT116" i="1"/>
  <c r="BT114" i="1"/>
  <c r="O9" i="70"/>
  <c r="O10" i="70"/>
  <c r="BT47" i="1"/>
  <c r="BT123" i="1"/>
  <c r="BT132" i="1" s="1"/>
  <c r="BT133" i="1" s="1"/>
  <c r="BT48" i="1"/>
  <c r="BT122" i="1" l="1"/>
  <c r="S5" i="3"/>
  <c r="S20" i="3" l="1"/>
  <c r="O38" i="2"/>
  <c r="BT125" i="1"/>
  <c r="BT126" i="1"/>
  <c r="O51" i="2"/>
  <c r="BT210" i="1"/>
  <c r="O39" i="2" l="1"/>
  <c r="O41" i="2" s="1"/>
  <c r="O52" i="2"/>
  <c r="S44" i="3"/>
  <c r="S47" i="3" s="1"/>
  <c r="T46" i="3" l="1"/>
  <c r="O5" i="2"/>
  <c r="O10" i="2" l="1"/>
  <c r="BT170" i="1"/>
  <c r="BT172" i="1" s="1"/>
  <c r="S49" i="3"/>
  <c r="BY39" i="1" l="1"/>
  <c r="BT213" i="1"/>
  <c r="O14" i="2"/>
  <c r="O43" i="2" s="1"/>
  <c r="O44" i="2" s="1"/>
  <c r="O12" i="70"/>
  <c r="P12" i="70" l="1"/>
  <c r="Q12" i="70" s="1"/>
  <c r="R12" i="70" s="1"/>
  <c r="S12" i="70" s="1"/>
  <c r="T12" i="70" s="1"/>
  <c r="O14" i="70"/>
  <c r="BY41" i="1"/>
  <c r="BY108" i="1"/>
  <c r="BY110" i="1" s="1"/>
  <c r="BY112" i="1" s="1"/>
  <c r="P5" i="70" l="1"/>
  <c r="O16" i="70"/>
  <c r="O15" i="70"/>
  <c r="BY177" i="1"/>
  <c r="BY178" i="1" s="1"/>
  <c r="BY181" i="1" l="1"/>
  <c r="BY180" i="1"/>
  <c r="BY182" i="1" s="1"/>
  <c r="BY42" i="1" s="1"/>
  <c r="CD176" i="1"/>
  <c r="P6" i="70"/>
  <c r="BY113" i="1" l="1"/>
  <c r="BY43" i="1"/>
  <c r="P8" i="70"/>
  <c r="BY45" i="1"/>
  <c r="P9" i="70" l="1"/>
  <c r="P10" i="70"/>
  <c r="P14" i="70" s="1"/>
  <c r="P50" i="2"/>
  <c r="BY114" i="1"/>
  <c r="BY116" i="1"/>
  <c r="BY48" i="1"/>
  <c r="BY47" i="1"/>
  <c r="BY123" i="1"/>
  <c r="BY132" i="1" s="1"/>
  <c r="BY133" i="1" s="1"/>
  <c r="P15" i="70" l="1"/>
  <c r="P16" i="70"/>
  <c r="BY122" i="1"/>
  <c r="T5" i="3"/>
  <c r="BY210" i="1" l="1"/>
  <c r="BY125" i="1"/>
  <c r="P51" i="2"/>
  <c r="BY126" i="1"/>
  <c r="T20" i="3"/>
  <c r="P38" i="2"/>
  <c r="P39" i="2" l="1"/>
  <c r="P41" i="2" s="1"/>
  <c r="P52" i="2"/>
  <c r="T44" i="3"/>
  <c r="T47" i="3" s="1"/>
  <c r="P5" i="2" l="1"/>
  <c r="U46" i="3"/>
  <c r="P10" i="2" l="1"/>
  <c r="P14" i="2" s="1"/>
  <c r="P43" i="2" s="1"/>
  <c r="P44" i="2" s="1"/>
  <c r="BY170" i="1"/>
  <c r="BY172" i="1" s="1"/>
  <c r="T49" i="3"/>
  <c r="CD39" i="1" l="1"/>
  <c r="BY213" i="1"/>
  <c r="CD41" i="1" l="1"/>
  <c r="CD108" i="1"/>
  <c r="CD110" i="1" s="1"/>
  <c r="CD112" i="1" s="1"/>
  <c r="CD177" i="1" l="1"/>
  <c r="CD178" i="1" s="1"/>
  <c r="Q5" i="70"/>
  <c r="Q6" i="70" l="1"/>
  <c r="CD181" i="1"/>
  <c r="CI176" i="1"/>
  <c r="CD180" i="1"/>
  <c r="CD182" i="1" s="1"/>
  <c r="CD42" i="1" s="1"/>
  <c r="CD43" i="1" l="1"/>
  <c r="CD113" i="1"/>
  <c r="Q8" i="70"/>
  <c r="CD45" i="1"/>
  <c r="CD47" i="1" l="1"/>
  <c r="CD48" i="1"/>
  <c r="CD123" i="1"/>
  <c r="CD132" i="1" s="1"/>
  <c r="CD133" i="1" s="1"/>
  <c r="Q50" i="2"/>
  <c r="CD116" i="1"/>
  <c r="CD114" i="1"/>
  <c r="Q9" i="70"/>
  <c r="Q10" i="70"/>
  <c r="Q14" i="70" s="1"/>
  <c r="Q15" i="70" l="1"/>
  <c r="Q16" i="70"/>
  <c r="CD122" i="1"/>
  <c r="U5" i="3"/>
  <c r="U20" i="3" l="1"/>
  <c r="Q38" i="2"/>
  <c r="Q51" i="2"/>
  <c r="CD126" i="1"/>
  <c r="CD210" i="1"/>
  <c r="CD125" i="1"/>
  <c r="Q39" i="2" l="1"/>
  <c r="Q41" i="2" s="1"/>
  <c r="Q52" i="2"/>
  <c r="U44" i="3"/>
  <c r="U47" i="3" s="1"/>
  <c r="V46" i="3" l="1"/>
  <c r="Q5" i="2"/>
  <c r="Q10" i="2" l="1"/>
  <c r="Q14" i="2" s="1"/>
  <c r="Q43" i="2" s="1"/>
  <c r="Q44" i="2" s="1"/>
  <c r="CD170" i="1"/>
  <c r="CD172" i="1" s="1"/>
  <c r="U49" i="3"/>
  <c r="CI39" i="1" l="1"/>
  <c r="CD213" i="1"/>
  <c r="CI41" i="1" l="1"/>
  <c r="CI108" i="1"/>
  <c r="CI110" i="1" s="1"/>
  <c r="CI112" i="1" s="1"/>
  <c r="CI177" i="1" l="1"/>
  <c r="CI178" i="1" s="1"/>
  <c r="R5" i="70"/>
  <c r="R6" i="70" l="1"/>
  <c r="CI180" i="1"/>
  <c r="CI182" i="1" s="1"/>
  <c r="CI42" i="1" s="1"/>
  <c r="CI181" i="1"/>
  <c r="CN176" i="1"/>
  <c r="CI43" i="1" l="1"/>
  <c r="CI113" i="1"/>
  <c r="R8" i="70"/>
  <c r="CI45" i="1"/>
  <c r="CI47" i="1" l="1"/>
  <c r="CI123" i="1"/>
  <c r="CI132" i="1" s="1"/>
  <c r="CI133" i="1" s="1"/>
  <c r="CI48" i="1"/>
  <c r="R50" i="2"/>
  <c r="CI114" i="1"/>
  <c r="CI116" i="1"/>
  <c r="R9" i="70"/>
  <c r="R10" i="70"/>
  <c r="R14" i="70" s="1"/>
  <c r="R16" i="70" l="1"/>
  <c r="R15" i="70"/>
  <c r="CI122" i="1"/>
  <c r="V5" i="3"/>
  <c r="V20" i="3" l="1"/>
  <c r="R38" i="2"/>
  <c r="CI125" i="1"/>
  <c r="CI210" i="1"/>
  <c r="CI126" i="1"/>
  <c r="R51" i="2"/>
  <c r="R39" i="2" l="1"/>
  <c r="R41" i="2" s="1"/>
  <c r="R52" i="2"/>
  <c r="V44" i="3"/>
  <c r="V47" i="3" s="1"/>
  <c r="W46" i="3" l="1"/>
  <c r="R5" i="2"/>
  <c r="R10" i="2" l="1"/>
  <c r="R14" i="2" s="1"/>
  <c r="R43" i="2" s="1"/>
  <c r="R44" i="2" s="1"/>
  <c r="CI170" i="1"/>
  <c r="CI172" i="1" s="1"/>
  <c r="V49" i="3"/>
  <c r="CN39" i="1" l="1"/>
  <c r="CI213" i="1"/>
  <c r="CN41" i="1" l="1"/>
  <c r="CN108" i="1"/>
  <c r="CN110" i="1" s="1"/>
  <c r="CN112" i="1" s="1"/>
  <c r="CN177" i="1" l="1"/>
  <c r="CN178" i="1" s="1"/>
  <c r="S5" i="70"/>
  <c r="S6" i="70" l="1"/>
  <c r="CN181" i="1"/>
  <c r="CS176" i="1"/>
  <c r="CN180" i="1"/>
  <c r="CN182" i="1" s="1"/>
  <c r="CN42" i="1" s="1"/>
  <c r="CN43" i="1" l="1"/>
  <c r="S8" i="70"/>
  <c r="CN113" i="1"/>
  <c r="CN45" i="1"/>
  <c r="CN48" i="1" l="1"/>
  <c r="CN47" i="1"/>
  <c r="CN123" i="1"/>
  <c r="CN132" i="1" s="1"/>
  <c r="CN133" i="1" s="1"/>
  <c r="S50" i="2"/>
  <c r="CN114" i="1"/>
  <c r="CN116" i="1"/>
  <c r="S9" i="70"/>
  <c r="S10" i="70"/>
  <c r="S14" i="70" s="1"/>
  <c r="S16" i="70" l="1"/>
  <c r="S15" i="70"/>
  <c r="CN122" i="1"/>
  <c r="W5" i="3"/>
  <c r="CN125" i="1" l="1"/>
  <c r="CN126" i="1"/>
  <c r="CN210" i="1"/>
  <c r="S51" i="2"/>
  <c r="W20" i="3"/>
  <c r="S38" i="2"/>
  <c r="S39" i="2" l="1"/>
  <c r="S41" i="2" s="1"/>
  <c r="S52" i="2"/>
  <c r="W44" i="3"/>
  <c r="W47" i="3" s="1"/>
  <c r="X46" i="3" l="1"/>
  <c r="S5" i="2"/>
  <c r="S10" i="2" l="1"/>
  <c r="S14" i="2" s="1"/>
  <c r="S43" i="2" s="1"/>
  <c r="S44" i="2" s="1"/>
  <c r="CN170" i="1"/>
  <c r="CN172" i="1" s="1"/>
  <c r="W49" i="3"/>
  <c r="CS39" i="1" l="1"/>
  <c r="CN213" i="1"/>
  <c r="CS41" i="1" l="1"/>
  <c r="CS108" i="1"/>
  <c r="CS110" i="1" s="1"/>
  <c r="CS112" i="1" s="1"/>
  <c r="CS177" i="1" l="1"/>
  <c r="CS178" i="1" s="1"/>
  <c r="T5" i="70"/>
  <c r="T6" i="70" l="1"/>
  <c r="CS181" i="1"/>
  <c r="CS180" i="1"/>
  <c r="CS182" i="1" s="1"/>
  <c r="CS42" i="1" s="1"/>
  <c r="CS43" i="1" l="1"/>
  <c r="CS113" i="1"/>
  <c r="T8" i="70"/>
  <c r="CS45" i="1"/>
  <c r="CS48" i="1" l="1"/>
  <c r="CS47" i="1"/>
  <c r="CS123" i="1"/>
  <c r="CS132" i="1" s="1"/>
  <c r="CS133" i="1" s="1"/>
  <c r="T9" i="70"/>
  <c r="T10" i="70"/>
  <c r="T14" i="70" s="1"/>
  <c r="T50" i="2"/>
  <c r="CS114" i="1"/>
  <c r="CS116" i="1"/>
  <c r="CS122" i="1" l="1"/>
  <c r="X5" i="3"/>
  <c r="T16" i="70"/>
  <c r="T15" i="70"/>
  <c r="U14" i="70"/>
  <c r="X20" i="3" l="1"/>
  <c r="T38" i="2"/>
  <c r="T39" i="2" s="1"/>
  <c r="T41" i="2" s="1"/>
  <c r="U16" i="70"/>
  <c r="C18" i="70" s="1"/>
  <c r="C20" i="70" s="1"/>
  <c r="C21" i="70" s="1"/>
  <c r="U15" i="70"/>
  <c r="CS210" i="1"/>
  <c r="T51" i="2"/>
  <c r="CS126" i="1"/>
  <c r="CS125" i="1"/>
  <c r="T52" i="2" l="1"/>
  <c r="X44" i="3"/>
  <c r="X47" i="3" s="1"/>
  <c r="T5" i="2" l="1"/>
  <c r="T10" i="2" l="1"/>
  <c r="T14" i="2" s="1"/>
  <c r="T43" i="2" s="1"/>
  <c r="T44" i="2" s="1"/>
  <c r="CS170" i="1"/>
  <c r="CS172" i="1" s="1"/>
  <c r="CS213" i="1" s="1"/>
  <c r="X49" i="3"/>
</calcChain>
</file>

<file path=xl/comments1.xml><?xml version="1.0" encoding="utf-8"?>
<comments xmlns="http://schemas.openxmlformats.org/spreadsheetml/2006/main">
  <authors>
    <author>Harrison, Matthew (Research)</author>
    <author>Mendiratta, Divya (Research)</author>
    <author>Brienne Kugler</author>
  </authors>
  <commentList>
    <comment ref="U52" authorId="0">
      <text>
        <r>
          <rPr>
            <b/>
            <sz val="9"/>
            <color indexed="81"/>
            <rFont val="Tahoma"/>
            <family val="2"/>
          </rPr>
          <t>Harrison, Matthew (Research):</t>
        </r>
        <r>
          <rPr>
            <sz val="9"/>
            <color indexed="81"/>
            <rFont val="Tahoma"/>
            <family val="2"/>
          </rPr>
          <t xml:space="preserve">
includes options which become dilutive once profitable</t>
        </r>
      </text>
    </comment>
    <comment ref="K58" authorId="1">
      <text>
        <r>
          <rPr>
            <sz val="9"/>
            <color indexed="81"/>
            <rFont val="Tahoma"/>
            <family val="2"/>
          </rPr>
          <t xml:space="preserve">Source: 8K 4Q14
</t>
        </r>
      </text>
    </comment>
    <comment ref="O58" authorId="1">
      <text>
        <r>
          <rPr>
            <sz val="9"/>
            <color indexed="81"/>
            <rFont val="Tahoma"/>
            <family val="2"/>
          </rPr>
          <t>Company was not reporting the adjustment for 3Q14. Therefore, in order to reconcile with the reported numbers we have taken Annual number and 3Q14 kept as balancing
HCV related revenues and costs: $44.626mn
Source: 8k 4Q14 Pg 11</t>
        </r>
      </text>
    </comment>
    <comment ref="I63" authorId="1">
      <text>
        <r>
          <rPr>
            <sz val="9"/>
            <color indexed="81"/>
            <rFont val="Tahoma"/>
            <family val="2"/>
          </rPr>
          <t xml:space="preserve">HCV related  costs
</t>
        </r>
      </text>
    </comment>
    <comment ref="J63" authorId="1">
      <text>
        <r>
          <rPr>
            <sz val="9"/>
            <color indexed="81"/>
            <rFont val="Tahoma"/>
            <family val="2"/>
          </rPr>
          <t xml:space="preserve">-Inventory Write-off and Restructuring Expenses: $17.324mn
-Restructuring expense: $12.048mn
</t>
        </r>
      </text>
    </comment>
    <comment ref="O63" authorId="1">
      <text>
        <r>
          <rPr>
            <sz val="9"/>
            <color indexed="81"/>
            <rFont val="Tahoma"/>
            <family val="2"/>
          </rPr>
          <t>GAAP Operating Income: $142.203mn
Non-GAAP Operating Income: $58.440mn
Reported Non- GAAP Adjustments were not reconciling with the difference between reported GAAP and Non-GAAP operating income. Therefore, in order to match with reported numbers we have adjusted the difference
Source: 8K 3Q14</t>
        </r>
      </text>
    </comment>
    <comment ref="H75" authorId="1">
      <text>
        <r>
          <rPr>
            <sz val="9"/>
            <color indexed="81"/>
            <rFont val="Tahoma"/>
            <family val="2"/>
          </rPr>
          <t>Alios transaction</t>
        </r>
        <r>
          <rPr>
            <b/>
            <sz val="9"/>
            <color indexed="81"/>
            <rFont val="Tahoma"/>
            <family val="2"/>
          </rPr>
          <t xml:space="preserve"> </t>
        </r>
      </text>
    </comment>
    <comment ref="V196" authorId="2">
      <text>
        <r>
          <rPr>
            <b/>
            <sz val="8"/>
            <color indexed="81"/>
            <rFont val="Tahoma"/>
            <family val="2"/>
          </rPr>
          <t>Brienne Kugler:</t>
        </r>
        <r>
          <rPr>
            <sz val="8"/>
            <color indexed="81"/>
            <rFont val="Tahoma"/>
            <family val="2"/>
          </rPr>
          <t xml:space="preserve">
The company expects ~$60mn/year through at least 2020</t>
        </r>
      </text>
    </comment>
  </commentList>
</comments>
</file>

<file path=xl/comments2.xml><?xml version="1.0" encoding="utf-8"?>
<comments xmlns="http://schemas.openxmlformats.org/spreadsheetml/2006/main">
  <authors>
    <author>David Friedman</author>
    <author>Brienne Kugler</author>
    <author>slifsara</author>
  </authors>
  <commentList>
    <comment ref="AG5" authorId="0">
      <text>
        <r>
          <rPr>
            <b/>
            <sz val="8"/>
            <color indexed="81"/>
            <rFont val="Tahoma"/>
            <family val="2"/>
          </rPr>
          <t>David Friedman:</t>
        </r>
        <r>
          <rPr>
            <sz val="8"/>
            <color indexed="81"/>
            <rFont val="Tahoma"/>
            <family val="2"/>
          </rPr>
          <t xml:space="preserve">
est ~600 pts</t>
        </r>
      </text>
    </comment>
    <comment ref="AH5" authorId="0">
      <text>
        <r>
          <rPr>
            <b/>
            <sz val="8"/>
            <color indexed="81"/>
            <rFont val="Tahoma"/>
            <family val="2"/>
          </rPr>
          <t>David Friedman:</t>
        </r>
        <r>
          <rPr>
            <sz val="8"/>
            <color indexed="81"/>
            <rFont val="Tahoma"/>
            <family val="2"/>
          </rPr>
          <t xml:space="preserve">
est ~900</t>
        </r>
      </text>
    </comment>
    <comment ref="AI5" authorId="0">
      <text>
        <r>
          <rPr>
            <b/>
            <sz val="8"/>
            <color indexed="81"/>
            <rFont val="Tahoma"/>
            <family val="2"/>
          </rPr>
          <t>David Friedman:</t>
        </r>
        <r>
          <rPr>
            <sz val="8"/>
            <color indexed="81"/>
            <rFont val="Tahoma"/>
            <family val="2"/>
          </rPr>
          <t xml:space="preserve">
est ~1050
</t>
        </r>
      </text>
    </comment>
    <comment ref="AJ5" authorId="1">
      <text>
        <r>
          <rPr>
            <b/>
            <sz val="8"/>
            <color indexed="81"/>
            <rFont val="Tahoma"/>
            <family val="2"/>
          </rPr>
          <t>Brienne Kugler:</t>
        </r>
        <r>
          <rPr>
            <sz val="8"/>
            <color indexed="81"/>
            <rFont val="Tahoma"/>
            <family val="2"/>
          </rPr>
          <t xml:space="preserve">
Estimated</t>
        </r>
      </text>
    </comment>
    <comment ref="AM5" authorId="1">
      <text>
        <r>
          <rPr>
            <b/>
            <sz val="8"/>
            <color indexed="81"/>
            <rFont val="Tahoma"/>
            <family val="2"/>
          </rPr>
          <t>Brienne Kugler:</t>
        </r>
        <r>
          <rPr>
            <sz val="8"/>
            <color indexed="81"/>
            <rFont val="Tahoma"/>
            <family val="2"/>
          </rPr>
          <t xml:space="preserve">
Nearly all eligible patients with the G551D mutation in the United States and Europe have started treatment with KALYDECO</t>
        </r>
      </text>
    </comment>
    <comment ref="AQ5" authorId="1">
      <text>
        <r>
          <rPr>
            <b/>
            <sz val="8"/>
            <color indexed="81"/>
            <rFont val="Tahoma"/>
            <family val="2"/>
          </rPr>
          <t>Brienne Kugler:</t>
        </r>
        <r>
          <rPr>
            <sz val="8"/>
            <color indexed="81"/>
            <rFont val="Tahoma"/>
            <family val="2"/>
          </rPr>
          <t xml:space="preserve">
Other gating mutations PDUFA 3/27/14</t>
        </r>
      </text>
    </comment>
    <comment ref="AR5" authorId="1">
      <text>
        <r>
          <rPr>
            <b/>
            <sz val="8"/>
            <color indexed="81"/>
            <rFont val="Tahoma"/>
            <family val="2"/>
          </rPr>
          <t>Brienne Kugler:</t>
        </r>
        <r>
          <rPr>
            <sz val="8"/>
            <color indexed="81"/>
            <rFont val="Tahoma"/>
            <family val="2"/>
          </rPr>
          <t xml:space="preserve">
2-5 yr old data 2Q14 - bump up</t>
        </r>
      </text>
    </comment>
    <comment ref="AJ6" authorId="1">
      <text>
        <r>
          <rPr>
            <b/>
            <sz val="8"/>
            <color indexed="81"/>
            <rFont val="Tahoma"/>
            <family val="2"/>
          </rPr>
          <t>Brienne Kugler:</t>
        </r>
        <r>
          <rPr>
            <sz val="8"/>
            <color indexed="81"/>
            <rFont val="Tahoma"/>
            <family val="2"/>
          </rPr>
          <t xml:space="preserve">
Estimated - Majority of growth due to EU</t>
        </r>
      </text>
    </comment>
    <comment ref="AL6" authorId="1">
      <text>
        <r>
          <rPr>
            <b/>
            <sz val="8"/>
            <color indexed="81"/>
            <rFont val="Tahoma"/>
            <family val="2"/>
          </rPr>
          <t>Brienne Kugler:</t>
        </r>
        <r>
          <rPr>
            <sz val="8"/>
            <color indexed="81"/>
            <rFont val="Tahoma"/>
            <family val="2"/>
          </rPr>
          <t xml:space="preserve">
Scotland fund begins March 1</t>
        </r>
      </text>
    </comment>
    <comment ref="AM6" authorId="1">
      <text>
        <r>
          <rPr>
            <b/>
            <sz val="8"/>
            <color indexed="81"/>
            <rFont val="Tahoma"/>
            <family val="2"/>
          </rPr>
          <t>Brienne Kugler:</t>
        </r>
        <r>
          <rPr>
            <sz val="8"/>
            <color indexed="81"/>
            <rFont val="Tahoma"/>
            <family val="2"/>
          </rPr>
          <t xml:space="preserve">
$2-3mn inventory build in 2Q</t>
        </r>
      </text>
    </comment>
    <comment ref="AS19" authorId="1">
      <text>
        <r>
          <rPr>
            <b/>
            <sz val="8"/>
            <color indexed="81"/>
            <rFont val="Tahoma"/>
            <family val="2"/>
          </rPr>
          <t>Brienne Kugler:</t>
        </r>
        <r>
          <rPr>
            <sz val="8"/>
            <color indexed="81"/>
            <rFont val="Tahoma"/>
            <family val="2"/>
          </rPr>
          <t xml:space="preserve">
VRTX ends sales and distribution of Incivek</t>
        </r>
      </text>
    </comment>
    <comment ref="AM20" authorId="1">
      <text>
        <r>
          <rPr>
            <b/>
            <sz val="8"/>
            <color indexed="81"/>
            <rFont val="Tahoma"/>
            <family val="2"/>
          </rPr>
          <t>Brienne Kugler:</t>
        </r>
        <r>
          <rPr>
            <sz val="8"/>
            <color indexed="81"/>
            <rFont val="Tahoma"/>
            <family val="2"/>
          </rPr>
          <t xml:space="preserve">
LatAm expansion</t>
        </r>
      </text>
    </comment>
    <comment ref="E51" authorId="2">
      <text>
        <r>
          <rPr>
            <b/>
            <sz val="8"/>
            <color indexed="81"/>
            <rFont val="Tahoma"/>
            <family val="2"/>
          </rPr>
          <t xml:space="preserve">slifsara:
</t>
        </r>
        <r>
          <rPr>
            <sz val="8"/>
            <color indexed="81"/>
            <rFont val="Tahoma"/>
            <family val="2"/>
          </rPr>
          <t xml:space="preserve">June 2006: Vertex enetered into collab agreement with Janssen Pharmacetutica for dev, manufacture and commercialization of telaprevir. 
Janssen funds 50% of costs. 
Janssen made a $165mn payment to Vertex in July 2006. 
</t>
        </r>
        <r>
          <rPr>
            <sz val="8"/>
            <color indexed="81"/>
            <rFont val="Tahoma"/>
            <family val="2"/>
          </rPr>
          <t xml:space="preserve">
25.4mn in revenue from J&amp;J for R&amp;D reimbursement and amortized portion of upfront payment</t>
        </r>
      </text>
    </comment>
    <comment ref="H51" authorId="2">
      <text>
        <r>
          <rPr>
            <b/>
            <sz val="8"/>
            <color indexed="81"/>
            <rFont val="Tahoma"/>
            <family val="2"/>
          </rPr>
          <t>slifsara:</t>
        </r>
        <r>
          <rPr>
            <sz val="8"/>
            <color indexed="81"/>
            <rFont val="Tahoma"/>
            <family val="2"/>
          </rPr>
          <t xml:space="preserve">
$42.8mn in revenue under the Janssen agreement--includes amortized portion of $165mn upfront and R&amp;D funding and a $15mn milestone payment 
$15mn milestone in connection with patient enrollment in PROVE 3. </t>
        </r>
      </text>
    </comment>
    <comment ref="I51" authorId="2">
      <text>
        <r>
          <rPr>
            <b/>
            <sz val="8"/>
            <color indexed="81"/>
            <rFont val="Tahoma"/>
            <family val="2"/>
          </rPr>
          <t>slifsara:</t>
        </r>
        <r>
          <rPr>
            <sz val="8"/>
            <color indexed="81"/>
            <rFont val="Tahoma"/>
            <family val="2"/>
          </rPr>
          <t xml:space="preserve">
$22.7mn from Janssen agreement</t>
        </r>
      </text>
    </comment>
    <comment ref="M51" authorId="2">
      <text>
        <r>
          <rPr>
            <b/>
            <sz val="8"/>
            <color indexed="81"/>
            <rFont val="Tahoma"/>
            <family val="2"/>
          </rPr>
          <t>slifsara:</t>
        </r>
        <r>
          <rPr>
            <sz val="8"/>
            <color indexed="81"/>
            <rFont val="Tahoma"/>
            <family val="2"/>
          </rPr>
          <t xml:space="preserve">
$25.5mn from Janssen agreement.  
$10mn milestone in connection with commencement of Phase II trial of telaprevir in genotype 2/3 patients</t>
        </r>
      </text>
    </comment>
    <comment ref="N51" authorId="2">
      <text>
        <r>
          <rPr>
            <b/>
            <sz val="8"/>
            <color indexed="81"/>
            <rFont val="Tahoma"/>
            <family val="2"/>
          </rPr>
          <t>slifsara:</t>
        </r>
        <r>
          <rPr>
            <sz val="8"/>
            <color indexed="81"/>
            <rFont val="Tahoma"/>
            <family val="2"/>
          </rPr>
          <t xml:space="preserve">
$45mn milestone payment in connection with commencement of Phase III clinical trial for telaprevir</t>
        </r>
      </text>
    </comment>
    <comment ref="Z51" authorId="2">
      <text>
        <r>
          <rPr>
            <b/>
            <sz val="8"/>
            <color indexed="81"/>
            <rFont val="Tahoma"/>
            <family val="2"/>
          </rPr>
          <t>slifsara:</t>
        </r>
        <r>
          <rPr>
            <sz val="8"/>
            <color indexed="81"/>
            <rFont val="Tahoma"/>
            <family val="2"/>
          </rPr>
          <t xml:space="preserve">
US filing mlestone payment here?</t>
        </r>
      </text>
    </comment>
    <comment ref="AB51" authorId="2">
      <text>
        <r>
          <rPr>
            <b/>
            <sz val="8"/>
            <color indexed="81"/>
            <rFont val="Tahoma"/>
            <family val="2"/>
          </rPr>
          <t>slifsara:</t>
        </r>
        <r>
          <rPr>
            <sz val="8"/>
            <color indexed="81"/>
            <rFont val="Tahoma"/>
            <family val="2"/>
          </rPr>
          <t xml:space="preserve">
$50mn Janssen milestone payment for acceptance of MAA for TVR in Europe</t>
        </r>
      </text>
    </comment>
    <comment ref="AD51" authorId="2">
      <text>
        <r>
          <rPr>
            <b/>
            <sz val="8"/>
            <color indexed="81"/>
            <rFont val="Tahoma"/>
            <family val="2"/>
          </rPr>
          <t>slifsara:</t>
        </r>
        <r>
          <rPr>
            <sz val="8"/>
            <color indexed="81"/>
            <rFont val="Tahoma"/>
            <family val="2"/>
          </rPr>
          <t xml:space="preserve">
$200mn milestone from Janssen.</t>
        </r>
      </text>
    </comment>
    <comment ref="AE51" authorId="2">
      <text>
        <r>
          <rPr>
            <b/>
            <sz val="8"/>
            <color indexed="81"/>
            <rFont val="Tahoma"/>
            <family val="2"/>
          </rPr>
          <t>slifsara:</t>
        </r>
        <r>
          <rPr>
            <sz val="8"/>
            <color indexed="81"/>
            <rFont val="Tahoma"/>
            <family val="2"/>
          </rPr>
          <t xml:space="preserve">
65mn milestone from Mitsubishi Tanabe</t>
        </r>
      </text>
    </comment>
  </commentList>
</comments>
</file>

<file path=xl/comments3.xml><?xml version="1.0" encoding="utf-8"?>
<comments xmlns="http://schemas.openxmlformats.org/spreadsheetml/2006/main">
  <authors>
    <author>Mendiratta, Divya (Research)</author>
  </authors>
  <commentList>
    <comment ref="G52" authorId="0">
      <text>
        <r>
          <rPr>
            <sz val="9"/>
            <color indexed="81"/>
            <rFont val="Tahoma"/>
            <family val="2"/>
          </rPr>
          <t>Closing Price as on 31st Dec 2013
Source: NASDAQ</t>
        </r>
      </text>
    </comment>
    <comment ref="H52" authorId="0">
      <text>
        <r>
          <rPr>
            <sz val="9"/>
            <color indexed="81"/>
            <rFont val="Tahoma"/>
            <family val="2"/>
          </rPr>
          <t>Closing Price as on 31st Dec 2014
Source: NASDAQ</t>
        </r>
      </text>
    </comment>
  </commentList>
</comments>
</file>

<file path=xl/comments4.xml><?xml version="1.0" encoding="utf-8"?>
<comments xmlns="http://schemas.openxmlformats.org/spreadsheetml/2006/main">
  <authors>
    <author>Amoozegar, Cyrus (Research)</author>
    <author>Harrison, Matthew (Research)</author>
  </authors>
  <commentList>
    <comment ref="I10" authorId="0">
      <text>
        <r>
          <rPr>
            <b/>
            <sz val="9"/>
            <color indexed="81"/>
            <rFont val="Tahoma"/>
            <family val="2"/>
          </rPr>
          <t>Amoozegar, Cyrus (Research):</t>
        </r>
        <r>
          <rPr>
            <sz val="9"/>
            <color indexed="81"/>
            <rFont val="Tahoma"/>
            <family val="2"/>
          </rPr>
          <t xml:space="preserve">
Late 2014 eligible pt bump from R117H</t>
        </r>
      </text>
    </comment>
    <comment ref="G43" authorId="0">
      <text>
        <r>
          <rPr>
            <b/>
            <sz val="9"/>
            <color indexed="81"/>
            <rFont val="Tahoma"/>
            <family val="2"/>
          </rPr>
          <t>Amoozegar, Cyrus (Research):</t>
        </r>
        <r>
          <rPr>
            <sz val="9"/>
            <color indexed="81"/>
            <rFont val="Tahoma"/>
            <family val="2"/>
          </rPr>
          <t xml:space="preserve">
Based on 3Q11 Presentation</t>
        </r>
      </text>
    </comment>
    <comment ref="I44" authorId="0">
      <text>
        <r>
          <rPr>
            <b/>
            <sz val="9"/>
            <color indexed="81"/>
            <rFont val="Tahoma"/>
            <family val="2"/>
          </rPr>
          <t>Amoozegar, Cyrus (Research):</t>
        </r>
        <r>
          <rPr>
            <sz val="9"/>
            <color indexed="81"/>
            <rFont val="Tahoma"/>
            <family val="2"/>
          </rPr>
          <t xml:space="preserve">
4Q13 Earnings Presentation</t>
        </r>
      </text>
    </comment>
    <comment ref="I45" authorId="0">
      <text>
        <r>
          <rPr>
            <b/>
            <sz val="9"/>
            <color indexed="81"/>
            <rFont val="Tahoma"/>
            <family val="2"/>
          </rPr>
          <t>Amoozegar, Cyrus (Research):</t>
        </r>
        <r>
          <rPr>
            <sz val="9"/>
            <color indexed="81"/>
            <rFont val="Tahoma"/>
            <family val="2"/>
          </rPr>
          <t xml:space="preserve">
December 29, 2014 PR</t>
        </r>
      </text>
    </comment>
    <comment ref="L46" authorId="0">
      <text>
        <r>
          <rPr>
            <b/>
            <sz val="9"/>
            <color indexed="81"/>
            <rFont val="Tahoma"/>
            <family val="2"/>
          </rPr>
          <t>Amoozegar, Cyrus (Research):</t>
        </r>
        <r>
          <rPr>
            <sz val="9"/>
            <color indexed="81"/>
            <rFont val="Tahoma"/>
            <family val="2"/>
          </rPr>
          <t xml:space="preserve">
May 17, 2017 PR</t>
        </r>
      </text>
    </comment>
    <comment ref="O48" authorId="0">
      <text>
        <r>
          <rPr>
            <b/>
            <sz val="9"/>
            <color indexed="81"/>
            <rFont val="Tahoma"/>
            <family val="2"/>
          </rPr>
          <t>Amoozegar, Cyrus (Research):</t>
        </r>
        <r>
          <rPr>
            <sz val="9"/>
            <color indexed="81"/>
            <rFont val="Tahoma"/>
            <family val="2"/>
          </rPr>
          <t xml:space="preserve">
MS Estimate</t>
        </r>
      </text>
    </comment>
    <comment ref="J67" authorId="0">
      <text>
        <r>
          <rPr>
            <b/>
            <sz val="9"/>
            <color indexed="81"/>
            <rFont val="Tahoma"/>
            <family val="2"/>
          </rPr>
          <t>Amoozegar, Cyrus (Research):</t>
        </r>
        <r>
          <rPr>
            <sz val="9"/>
            <color indexed="81"/>
            <rFont val="Tahoma"/>
            <family val="2"/>
          </rPr>
          <t xml:space="preserve">
From 9/28/16 PR</t>
        </r>
      </text>
    </comment>
    <comment ref="K68" authorId="0">
      <text>
        <r>
          <rPr>
            <b/>
            <sz val="9"/>
            <color indexed="81"/>
            <rFont val="Tahoma"/>
            <family val="2"/>
          </rPr>
          <t>Amoozegar, Cyrus (Research):</t>
        </r>
        <r>
          <rPr>
            <sz val="9"/>
            <color indexed="81"/>
            <rFont val="Tahoma"/>
            <family val="2"/>
          </rPr>
          <t xml:space="preserve">
From 7/27/16 PR</t>
        </r>
      </text>
    </comment>
    <comment ref="N69" authorId="0">
      <text>
        <r>
          <rPr>
            <b/>
            <sz val="9"/>
            <color indexed="81"/>
            <rFont val="Tahoma"/>
            <family val="2"/>
          </rPr>
          <t>Amoozegar, Cyrus (Research):</t>
        </r>
        <r>
          <rPr>
            <sz val="9"/>
            <color indexed="81"/>
            <rFont val="Tahoma"/>
            <family val="2"/>
          </rPr>
          <t xml:space="preserve">
MS Estimate</t>
        </r>
      </text>
    </comment>
    <comment ref="P70" authorId="0">
      <text>
        <r>
          <rPr>
            <b/>
            <sz val="9"/>
            <color indexed="81"/>
            <rFont val="Tahoma"/>
            <family val="2"/>
          </rPr>
          <t>Amoozegar, Cyrus (Research):</t>
        </r>
        <r>
          <rPr>
            <sz val="9"/>
            <color indexed="81"/>
            <rFont val="Tahoma"/>
            <family val="2"/>
          </rPr>
          <t xml:space="preserve">
MS Estimate</t>
        </r>
      </text>
    </comment>
    <comment ref="O98" authorId="0">
      <text>
        <r>
          <rPr>
            <b/>
            <sz val="9"/>
            <color indexed="81"/>
            <rFont val="Tahoma"/>
            <family val="2"/>
          </rPr>
          <t>Amoozegar, Cyrus (Research):</t>
        </r>
        <r>
          <rPr>
            <sz val="9"/>
            <color indexed="81"/>
            <rFont val="Tahoma"/>
            <family val="2"/>
          </rPr>
          <t xml:space="preserve">
MS estimate based on mgt.'s estimate of 24,000 WW total</t>
        </r>
      </text>
    </comment>
    <comment ref="Q99" authorId="0">
      <text>
        <r>
          <rPr>
            <b/>
            <sz val="9"/>
            <color indexed="81"/>
            <rFont val="Tahoma"/>
            <family val="2"/>
          </rPr>
          <t>Amoozegar, Cyrus (Research):</t>
        </r>
        <r>
          <rPr>
            <sz val="9"/>
            <color indexed="81"/>
            <rFont val="Tahoma"/>
            <family val="2"/>
          </rPr>
          <t xml:space="preserve">
MS Estimate</t>
        </r>
      </text>
    </comment>
    <comment ref="T100" authorId="0">
      <text>
        <r>
          <rPr>
            <b/>
            <sz val="9"/>
            <color indexed="81"/>
            <rFont val="Tahoma"/>
            <family val="2"/>
          </rPr>
          <t>Amoozegar, Cyrus (Research):</t>
        </r>
        <r>
          <rPr>
            <sz val="9"/>
            <color indexed="81"/>
            <rFont val="Tahoma"/>
            <family val="2"/>
          </rPr>
          <t xml:space="preserve">
MS Estimate</t>
        </r>
      </text>
    </comment>
    <comment ref="U101" authorId="0">
      <text>
        <r>
          <rPr>
            <b/>
            <sz val="9"/>
            <color indexed="81"/>
            <rFont val="Tahoma"/>
            <family val="2"/>
          </rPr>
          <t>Amoozegar, Cyrus (Research):</t>
        </r>
        <r>
          <rPr>
            <sz val="9"/>
            <color indexed="81"/>
            <rFont val="Tahoma"/>
            <family val="2"/>
          </rPr>
          <t xml:space="preserve">
MS Estimate</t>
        </r>
      </text>
    </comment>
    <comment ref="J130" authorId="0">
      <text>
        <r>
          <rPr>
            <b/>
            <sz val="9"/>
            <color indexed="81"/>
            <rFont val="Tahoma"/>
            <family val="2"/>
          </rPr>
          <t>Amoozegar, Cyrus (Research):</t>
        </r>
        <r>
          <rPr>
            <sz val="9"/>
            <color indexed="81"/>
            <rFont val="Tahoma"/>
            <family val="2"/>
          </rPr>
          <t xml:space="preserve">
Mgt. Estimate</t>
        </r>
      </text>
    </comment>
    <comment ref="L134" authorId="1">
      <text>
        <r>
          <rPr>
            <b/>
            <sz val="9"/>
            <color indexed="81"/>
            <rFont val="Tahoma"/>
            <family val="2"/>
          </rPr>
          <t>Harrison, Matthew (Research):</t>
        </r>
        <r>
          <rPr>
            <sz val="9"/>
            <color indexed="81"/>
            <rFont val="Tahoma"/>
            <family val="2"/>
          </rPr>
          <t xml:space="preserve">
blended pricing bc price raised on 7/1/2017</t>
        </r>
      </text>
    </comment>
    <comment ref="G202" authorId="0">
      <text>
        <r>
          <rPr>
            <b/>
            <sz val="9"/>
            <color indexed="81"/>
            <rFont val="Tahoma"/>
            <family val="2"/>
          </rPr>
          <t>Amoozegar, Cyrus (Research):</t>
        </r>
        <r>
          <rPr>
            <sz val="9"/>
            <color indexed="81"/>
            <rFont val="Tahoma"/>
            <family val="2"/>
          </rPr>
          <t xml:space="preserve">
Based on 3Q11 Presentation</t>
        </r>
      </text>
    </comment>
    <comment ref="I203" authorId="0">
      <text>
        <r>
          <rPr>
            <b/>
            <sz val="9"/>
            <color indexed="81"/>
            <rFont val="Tahoma"/>
            <family val="2"/>
          </rPr>
          <t>Amoozegar, Cyrus (Research):</t>
        </r>
        <r>
          <rPr>
            <sz val="9"/>
            <color indexed="81"/>
            <rFont val="Tahoma"/>
            <family val="2"/>
          </rPr>
          <t xml:space="preserve">
5/1/2014 Transcript</t>
        </r>
      </text>
    </comment>
    <comment ref="J204" authorId="0">
      <text>
        <r>
          <rPr>
            <b/>
            <sz val="9"/>
            <color indexed="81"/>
            <rFont val="Tahoma"/>
            <family val="2"/>
          </rPr>
          <t>Amoozegar, Cyrus (Research):</t>
        </r>
        <r>
          <rPr>
            <sz val="9"/>
            <color indexed="81"/>
            <rFont val="Tahoma"/>
            <family val="2"/>
          </rPr>
          <t xml:space="preserve">
11/18/2015 PR</t>
        </r>
      </text>
    </comment>
    <comment ref="J205" authorId="0">
      <text>
        <r>
          <rPr>
            <b/>
            <sz val="9"/>
            <color indexed="81"/>
            <rFont val="Tahoma"/>
            <family val="2"/>
          </rPr>
          <t>Amoozegar, Cyrus (Research):</t>
        </r>
        <r>
          <rPr>
            <sz val="9"/>
            <color indexed="81"/>
            <rFont val="Tahoma"/>
            <family val="2"/>
          </rPr>
          <t xml:space="preserve">
11/18/2015 PR</t>
        </r>
      </text>
    </comment>
    <comment ref="O206" authorId="0">
      <text>
        <r>
          <rPr>
            <b/>
            <sz val="9"/>
            <color indexed="81"/>
            <rFont val="Tahoma"/>
            <family val="2"/>
          </rPr>
          <t>Amoozegar, Cyrus (Research):</t>
        </r>
        <r>
          <rPr>
            <sz val="9"/>
            <color indexed="81"/>
            <rFont val="Tahoma"/>
            <family val="2"/>
          </rPr>
          <t xml:space="preserve">
MS Estimate</t>
        </r>
      </text>
    </comment>
    <comment ref="J227" authorId="0">
      <text>
        <r>
          <rPr>
            <b/>
            <sz val="9"/>
            <color indexed="81"/>
            <rFont val="Tahoma"/>
            <family val="2"/>
          </rPr>
          <t>Amoozegar, Cyrus (Research):</t>
        </r>
        <r>
          <rPr>
            <sz val="9"/>
            <color indexed="81"/>
            <rFont val="Tahoma"/>
            <family val="2"/>
          </rPr>
          <t xml:space="preserve">
11/20/15 PR</t>
        </r>
      </text>
    </comment>
    <comment ref="M228" authorId="0">
      <text>
        <r>
          <rPr>
            <b/>
            <sz val="9"/>
            <color indexed="81"/>
            <rFont val="Tahoma"/>
            <family val="2"/>
          </rPr>
          <t>Amoozegar, Cyrus (Research):</t>
        </r>
        <r>
          <rPr>
            <sz val="9"/>
            <color indexed="81"/>
            <rFont val="Tahoma"/>
            <family val="2"/>
          </rPr>
          <t xml:space="preserve">
4/27/17 PR</t>
        </r>
      </text>
    </comment>
    <comment ref="N229" authorId="0">
      <text>
        <r>
          <rPr>
            <b/>
            <sz val="9"/>
            <color indexed="81"/>
            <rFont val="Tahoma"/>
            <family val="2"/>
          </rPr>
          <t>Amoozegar, Cyrus (Research):</t>
        </r>
        <r>
          <rPr>
            <sz val="9"/>
            <color indexed="81"/>
            <rFont val="Tahoma"/>
            <family val="2"/>
          </rPr>
          <t xml:space="preserve">
MS Estimate</t>
        </r>
      </text>
    </comment>
    <comment ref="O230" authorId="0">
      <text>
        <r>
          <rPr>
            <b/>
            <sz val="9"/>
            <color indexed="81"/>
            <rFont val="Tahoma"/>
            <family val="2"/>
          </rPr>
          <t>Amoozegar, Cyrus (Research):</t>
        </r>
        <r>
          <rPr>
            <sz val="9"/>
            <color indexed="81"/>
            <rFont val="Tahoma"/>
            <family val="2"/>
          </rPr>
          <t xml:space="preserve">
MS Estimate</t>
        </r>
      </text>
    </comment>
  </commentList>
</comments>
</file>

<file path=xl/comments5.xml><?xml version="1.0" encoding="utf-8"?>
<comments xmlns="http://schemas.openxmlformats.org/spreadsheetml/2006/main">
  <authors>
    <author>slifsara</author>
  </authors>
  <commentList>
    <comment ref="I5" authorId="0">
      <text>
        <r>
          <rPr>
            <b/>
            <sz val="8"/>
            <color indexed="81"/>
            <rFont val="Tahoma"/>
            <family val="2"/>
          </rPr>
          <t>slifsara:</t>
        </r>
        <r>
          <rPr>
            <sz val="8"/>
            <color indexed="81"/>
            <rFont val="Tahoma"/>
            <family val="2"/>
          </rPr>
          <t xml:space="preserve">
As of December 31, 2009-- Vertex had received $100mn of contingent milestone payments related to the development of telaprevir under the collaboration agreement. 
Additional contingent milestone payments of up to $250mn related to reg filing and approval of telaprevir by EMEA and launch in EU possible. 
3Q09--enterest into two financial transactions related to $250mn in potential future milestone payments--issued note in amount of $155mn secured by first $155mn of these payments
and...
sold rights to remaining $95mn in future milestone payments</t>
        </r>
      </text>
    </comment>
    <comment ref="J5" authorId="0">
      <text>
        <r>
          <rPr>
            <b/>
            <sz val="8"/>
            <color indexed="81"/>
            <rFont val="Tahoma"/>
            <family val="2"/>
          </rPr>
          <t xml:space="preserve">slifsara:
</t>
        </r>
        <r>
          <rPr>
            <sz val="8"/>
            <color indexed="81"/>
            <rFont val="Tahoma"/>
            <family val="2"/>
          </rPr>
          <t>Assume they get this and  the rest were sold (EU filing, approval, and launch)</t>
        </r>
      </text>
    </comment>
    <comment ref="I55" authorId="0">
      <text>
        <r>
          <rPr>
            <b/>
            <sz val="8"/>
            <color indexed="81"/>
            <rFont val="Tahoma"/>
            <family val="2"/>
          </rPr>
          <t>slifsara:</t>
        </r>
        <r>
          <rPr>
            <sz val="8"/>
            <color indexed="81"/>
            <rFont val="Tahoma"/>
            <family val="2"/>
          </rPr>
          <t xml:space="preserve">
As of end of 2009, Mitsubishi has three ongoing Phase III trials in ~300 treatment naïve patients.  Completed dosing portion of the phase III trials.
</t>
        </r>
      </text>
    </comment>
    <comment ref="E88" authorId="0">
      <text>
        <r>
          <rPr>
            <b/>
            <sz val="8"/>
            <color indexed="81"/>
            <rFont val="Tahoma"/>
            <family val="2"/>
          </rPr>
          <t>slifsara:</t>
        </r>
        <r>
          <rPr>
            <sz val="8"/>
            <color indexed="81"/>
            <rFont val="Tahoma"/>
            <family val="2"/>
          </rPr>
          <t xml:space="preserve">
demonstrated activity on clinically relevant biomarker</t>
        </r>
      </text>
    </comment>
    <comment ref="I88" authorId="0">
      <text>
        <r>
          <rPr>
            <b/>
            <sz val="8"/>
            <color indexed="81"/>
            <rFont val="Tahoma"/>
            <family val="2"/>
          </rPr>
          <t>slifsara:</t>
        </r>
        <r>
          <rPr>
            <sz val="8"/>
            <color indexed="81"/>
            <rFont val="Tahoma"/>
            <family val="2"/>
          </rPr>
          <t xml:space="preserve">
As of December 31st 2009-- Vertex had received an aggregate of $70.8mn in milestone payments from this collaboration. </t>
        </r>
      </text>
    </comment>
    <comment ref="F92" authorId="0">
      <text>
        <r>
          <rPr>
            <b/>
            <sz val="8"/>
            <color indexed="81"/>
            <rFont val="Tahoma"/>
            <family val="2"/>
          </rPr>
          <t>slifsara:</t>
        </r>
        <r>
          <rPr>
            <sz val="8"/>
            <color indexed="81"/>
            <rFont val="Tahoma"/>
            <family val="2"/>
          </rPr>
          <t xml:space="preserve">
From 10K</t>
        </r>
      </text>
    </comment>
  </commentList>
</comments>
</file>

<file path=xl/sharedStrings.xml><?xml version="1.0" encoding="utf-8"?>
<sst xmlns="http://schemas.openxmlformats.org/spreadsheetml/2006/main" count="1803" uniqueCount="1049">
  <si>
    <t>1Q12</t>
  </si>
  <si>
    <t>2Q12</t>
  </si>
  <si>
    <t>3Q12</t>
  </si>
  <si>
    <t>4Q12</t>
  </si>
  <si>
    <t>1Q13</t>
  </si>
  <si>
    <t>2Q13</t>
  </si>
  <si>
    <t>3Q13</t>
  </si>
  <si>
    <t>4Q13</t>
  </si>
  <si>
    <t>1Q14</t>
  </si>
  <si>
    <t>2Q14</t>
  </si>
  <si>
    <t>2015E</t>
  </si>
  <si>
    <t>2016E</t>
  </si>
  <si>
    <t>2017E</t>
  </si>
  <si>
    <t>1Q18E</t>
  </si>
  <si>
    <t>2Q18E</t>
  </si>
  <si>
    <t>3Q18E</t>
  </si>
  <si>
    <t>4Q18E</t>
  </si>
  <si>
    <t>2018E</t>
  </si>
  <si>
    <t>2Q19E</t>
  </si>
  <si>
    <t>3Q19E</t>
  </si>
  <si>
    <t>4Q19E</t>
  </si>
  <si>
    <t>2019E</t>
  </si>
  <si>
    <t>1Q20E</t>
  </si>
  <si>
    <t>2Q20E</t>
  </si>
  <si>
    <t>3Q20E</t>
  </si>
  <si>
    <t>4Q20E</t>
  </si>
  <si>
    <t>2020E</t>
  </si>
  <si>
    <t>VERTEX PHARMACEUTICALS INC. (NSDQ:VRTX)</t>
  </si>
  <si>
    <t>3Q14</t>
  </si>
  <si>
    <t>4Q14</t>
  </si>
  <si>
    <t>1Q19E</t>
  </si>
  <si>
    <t>Revenues</t>
  </si>
  <si>
    <t>Net product sales</t>
  </si>
  <si>
    <t>KALYDECO</t>
  </si>
  <si>
    <t>ORKAMBI</t>
  </si>
  <si>
    <t>INCIVEK</t>
  </si>
  <si>
    <t>Collaboration and license agreement revenues</t>
  </si>
  <si>
    <t>Non-GAAP Adjustment</t>
  </si>
  <si>
    <t>Non-GAAP Revenues</t>
  </si>
  <si>
    <t>Consensus Revenue</t>
  </si>
  <si>
    <t>Costs and expenses</t>
  </si>
  <si>
    <t>Cost of product revenues</t>
  </si>
  <si>
    <t>Bull</t>
  </si>
  <si>
    <t>Base</t>
  </si>
  <si>
    <t>Bear</t>
  </si>
  <si>
    <t>Research &amp; development</t>
  </si>
  <si>
    <t>Selling, general &amp; administrative</t>
  </si>
  <si>
    <t>Operating Income (Loss)</t>
  </si>
  <si>
    <t>Non-GAAP Operating Income (Loss)</t>
  </si>
  <si>
    <t>Restructuring expense, impairment charges</t>
  </si>
  <si>
    <t>Pretax Income (Loss)</t>
  </si>
  <si>
    <t>Income Taxes (expense) benefit</t>
  </si>
  <si>
    <t>Tax Rate</t>
  </si>
  <si>
    <t>Net Income (Loss)</t>
  </si>
  <si>
    <t>Non-GAAP Net Income (Loss)</t>
  </si>
  <si>
    <t>EPS (basic)</t>
  </si>
  <si>
    <t>Non-GAAP EPS (basic)</t>
  </si>
  <si>
    <t>Options Expense</t>
  </si>
  <si>
    <t xml:space="preserve">  % of operating expense</t>
  </si>
  <si>
    <t>Tax impact</t>
  </si>
  <si>
    <t>Net Income (non-GAAP, incl option exp)</t>
  </si>
  <si>
    <t>EPS, diluted (non-GAAP, incl option exp)</t>
  </si>
  <si>
    <t>Basic Shares Outstanding</t>
  </si>
  <si>
    <t>Diluted Shares Outstanding</t>
  </si>
  <si>
    <t>Diluted Shares Outstanding - ModelWare</t>
  </si>
  <si>
    <t>Non-GAAP to GAAP Adjustments</t>
  </si>
  <si>
    <t>Stock Comp</t>
  </si>
  <si>
    <t>General and administrative</t>
  </si>
  <si>
    <t>Research and development</t>
  </si>
  <si>
    <t>Depreciation &amp; Amortization</t>
  </si>
  <si>
    <t>Period-end basic shares</t>
  </si>
  <si>
    <t>Unrecorded goodwill</t>
  </si>
  <si>
    <t>Statutory tax rate</t>
  </si>
  <si>
    <t>Federal tax</t>
  </si>
  <si>
    <t>State tax</t>
  </si>
  <si>
    <r>
      <t xml:space="preserve">ModelWare data </t>
    </r>
    <r>
      <rPr>
        <b/>
        <u/>
        <sz val="10"/>
        <color rgb="FF00B050"/>
        <rFont val="Arial"/>
        <family val="2"/>
      </rPr>
      <t>(Please do not delete)</t>
    </r>
  </si>
  <si>
    <t>Cash and ST Investments:</t>
  </si>
  <si>
    <t>Cash and cash equivalents</t>
  </si>
  <si>
    <t>Accounts receivable, net</t>
  </si>
  <si>
    <t>Inventories</t>
  </si>
  <si>
    <t>Prepaid expenses and other current assets</t>
  </si>
  <si>
    <t>Total current assets</t>
  </si>
  <si>
    <t>Property and equipment, net</t>
  </si>
  <si>
    <t>Other non-current assets</t>
  </si>
  <si>
    <t>Total Assets</t>
  </si>
  <si>
    <t>Current liabilities:</t>
  </si>
  <si>
    <t>Total current liabilities</t>
  </si>
  <si>
    <t>Total liabilities</t>
  </si>
  <si>
    <t>Stockholders’ equity:</t>
  </si>
  <si>
    <t>Common stock </t>
  </si>
  <si>
    <t>Additional paid-in capital</t>
  </si>
  <si>
    <t>Accumulated other comprehensive income(loss)</t>
  </si>
  <si>
    <t>Total stockholders’ equity</t>
  </si>
  <si>
    <t>Total Liabilities and Stockholders’ Equity</t>
  </si>
  <si>
    <t>Check</t>
  </si>
  <si>
    <t>COGS</t>
  </si>
  <si>
    <t>Operating expenses</t>
  </si>
  <si>
    <t>Taxes</t>
  </si>
  <si>
    <t>NI</t>
  </si>
  <si>
    <t>Operating CF</t>
  </si>
  <si>
    <t>Capex</t>
  </si>
  <si>
    <t>Operating Activity</t>
  </si>
  <si>
    <t>AR Turnover (Total Sales / AR)</t>
  </si>
  <si>
    <t>Inventory Turnover (COGS / Inv)</t>
  </si>
  <si>
    <t>AP &amp; Accrued Liabilities Turnover (COGS / AP &amp; Accrued Liabilities)</t>
  </si>
  <si>
    <t>Days Sales Outstanding</t>
  </si>
  <si>
    <t>Days inventory outstanding</t>
  </si>
  <si>
    <t>Days payable outstanding</t>
  </si>
  <si>
    <t>Accounts receivable</t>
  </si>
  <si>
    <t xml:space="preserve">      % of revenue</t>
  </si>
  <si>
    <t xml:space="preserve">     % of revenue</t>
  </si>
  <si>
    <t xml:space="preserve">    % operating expenses</t>
  </si>
  <si>
    <t>Deferred revenue</t>
  </si>
  <si>
    <t>Property and Equipment, Net</t>
  </si>
  <si>
    <t xml:space="preserve">  Beginning balance</t>
  </si>
  <si>
    <t xml:space="preserve">  Capital expenditures, net</t>
  </si>
  <si>
    <t xml:space="preserve">  Depreciation</t>
  </si>
  <si>
    <t xml:space="preserve">  Others</t>
  </si>
  <si>
    <t>Ending Balance</t>
  </si>
  <si>
    <t>Existing PP&amp;E</t>
  </si>
  <si>
    <t xml:space="preserve">  2013 capital expenditures</t>
  </si>
  <si>
    <t xml:space="preserve">  2014 capital expenditures</t>
  </si>
  <si>
    <t xml:space="preserve">  2015 capital expenditures</t>
  </si>
  <si>
    <t xml:space="preserve">  2016 capital expenditures</t>
  </si>
  <si>
    <t xml:space="preserve">  2017 capital expenditures</t>
  </si>
  <si>
    <t xml:space="preserve">  2018 capital expenditures</t>
  </si>
  <si>
    <t xml:space="preserve">  2019 capital expenditures</t>
  </si>
  <si>
    <t xml:space="preserve">  2020 capital expenditures</t>
  </si>
  <si>
    <t xml:space="preserve"> Total depreciation</t>
  </si>
  <si>
    <t>2009-FY</t>
  </si>
  <si>
    <t>2010-FY</t>
  </si>
  <si>
    <t>2011-FY</t>
  </si>
  <si>
    <t>2012-FY</t>
  </si>
  <si>
    <t>Cash Flows From Operating Activities</t>
  </si>
  <si>
    <t>Net loss</t>
  </si>
  <si>
    <t>Adjustments to reconcile net loss to net cash used in operating activities:</t>
  </si>
  <si>
    <t>Changes in operating assets and liabilities:</t>
  </si>
  <si>
    <t>Prepaid expenses and other assets</t>
  </si>
  <si>
    <t>Net cash used in operating activities</t>
  </si>
  <si>
    <t>Cash Flows From Investing Activities</t>
  </si>
  <si>
    <t>Net cash used in investing activities</t>
  </si>
  <si>
    <t>Cash Flows From Financing Activities</t>
  </si>
  <si>
    <t>Net cash provided by financing activities</t>
  </si>
  <si>
    <t>Effect of exchange rate changes on cash and cash equivalents</t>
  </si>
  <si>
    <t>Net (decrease) increase in cash and cash equivalents</t>
  </si>
  <si>
    <t>Cash and cash equivalents at beginning of period</t>
  </si>
  <si>
    <t>Cash and cash equivalents at end of period</t>
  </si>
  <si>
    <t>Stock Options and Share Count</t>
  </si>
  <si>
    <t xml:space="preserve">Stock Price (average) </t>
  </si>
  <si>
    <t>Option Balance (Beginning Year)</t>
  </si>
  <si>
    <t>Average Options Exercisable</t>
  </si>
  <si>
    <t xml:space="preserve">   % Exercisable</t>
  </si>
  <si>
    <t>Weighted Average Exercise Price of exercisable</t>
  </si>
  <si>
    <t>Options Cancelled</t>
  </si>
  <si>
    <t xml:space="preserve">   % Cancelled </t>
  </si>
  <si>
    <t>Options Exercised</t>
  </si>
  <si>
    <t xml:space="preserve">     % of Outstanding Options</t>
  </si>
  <si>
    <t>Weighted Average Exercise Price</t>
  </si>
  <si>
    <t xml:space="preserve">   Statutory Tax rate</t>
  </si>
  <si>
    <t>Proceeds from option</t>
  </si>
  <si>
    <t>Tax Benefit from Options</t>
  </si>
  <si>
    <t>Options Granted</t>
  </si>
  <si>
    <t>Closing Balance</t>
  </si>
  <si>
    <t>Keyed</t>
  </si>
  <si>
    <t>Shares Issued</t>
  </si>
  <si>
    <t>Proceeds from share issuance</t>
  </si>
  <si>
    <t>Stock option exercises</t>
  </si>
  <si>
    <t>Warrant exercise</t>
  </si>
  <si>
    <t>Shares Repurchased (mm)</t>
  </si>
  <si>
    <t>Share Repurchase Cost</t>
  </si>
  <si>
    <t>Stock options expense</t>
  </si>
  <si>
    <t>Others</t>
  </si>
  <si>
    <t>Total Change in APIC</t>
  </si>
  <si>
    <t>Beginning Period Shares</t>
  </si>
  <si>
    <t>End of Period Shares</t>
  </si>
  <si>
    <t xml:space="preserve">Average Shares Outstanding-basic </t>
  </si>
  <si>
    <t>Average Shares Outstanding-diluted</t>
  </si>
  <si>
    <t>HCV related revenues</t>
  </si>
  <si>
    <t>Other adjustments</t>
  </si>
  <si>
    <t>Royalty expenses</t>
  </si>
  <si>
    <t>Other income/(expense)</t>
  </si>
  <si>
    <t>Net Income (Loss) from Continuing Operations</t>
  </si>
  <si>
    <t>Non-GAAP Net Income (Loss) from Continuing Operations</t>
  </si>
  <si>
    <t>Income (loss) from discontinued operations</t>
  </si>
  <si>
    <t>Income (loss) attributable to noncontrolling interest</t>
  </si>
  <si>
    <t>EPS (diluted)</t>
  </si>
  <si>
    <t>Non-GAAP EPS (diluted)</t>
  </si>
  <si>
    <t>Stock-based compesnation expense</t>
  </si>
  <si>
    <t>HCV related costs</t>
  </si>
  <si>
    <t>Non-GAAP Adjustment to cost of product/royalties</t>
  </si>
  <si>
    <t>Cost of product revenues/royalties</t>
  </si>
  <si>
    <t>Marketable securities, available for sale</t>
  </si>
  <si>
    <t>Deferred revenues, current portion</t>
  </si>
  <si>
    <t>Deferred revenue, excluding current portion</t>
  </si>
  <si>
    <t>Other liabilities, current portion</t>
  </si>
  <si>
    <t>Other liabilitites</t>
  </si>
  <si>
    <t>Depreciation and amortization expense</t>
  </si>
  <si>
    <t>Stock-based compensation expense</t>
  </si>
  <si>
    <t>Other non-cash items, net</t>
  </si>
  <si>
    <t>Purchases of marketable securities</t>
  </si>
  <si>
    <t>Sales and maturities of marketable securities</t>
  </si>
  <si>
    <t>Expenditures for property and equipment</t>
  </si>
  <si>
    <t>GAAP net income</t>
  </si>
  <si>
    <t>Non-GAAP net income</t>
  </si>
  <si>
    <t>GAAP EPS</t>
  </si>
  <si>
    <t>Non-GAAP operating income</t>
  </si>
  <si>
    <t>Hard-keyed</t>
  </si>
  <si>
    <t>Accrued expenses</t>
  </si>
  <si>
    <t>Capital lease obligations, current portion</t>
  </si>
  <si>
    <t>Accrued restructuring expense, excluding current portion</t>
  </si>
  <si>
    <t>Capital lease obligations, excluding current portion</t>
  </si>
  <si>
    <t>Noncontrolling interest</t>
  </si>
  <si>
    <t>Royalty revenues</t>
  </si>
  <si>
    <t>Accounts payable</t>
  </si>
  <si>
    <t>Accrued expenses and other liabilities</t>
  </si>
  <si>
    <t>(Increase) decrease in other assets</t>
  </si>
  <si>
    <t>Payment for acquisition of variable interest entity</t>
  </si>
  <si>
    <t>Issuances of common stock under benefit plans</t>
  </si>
  <si>
    <t xml:space="preserve">Payments to redeem secured notes </t>
  </si>
  <si>
    <t>Payments on capital lease obligations</t>
  </si>
  <si>
    <t>Proceeds from senior secured term loan</t>
  </si>
  <si>
    <t>Depreciation</t>
  </si>
  <si>
    <t>Amortization</t>
  </si>
  <si>
    <t>Tax benefit from equity compensation</t>
  </si>
  <si>
    <t>EBITDA (GAAP)</t>
  </si>
  <si>
    <t>EBITDA (Non-GAAP)</t>
  </si>
  <si>
    <t>Foreign tax</t>
  </si>
  <si>
    <t>NM</t>
  </si>
  <si>
    <t>Non-GAAP EPS, continuing operations</t>
  </si>
  <si>
    <t>Check (Can be deleted)</t>
  </si>
  <si>
    <t>G551D</t>
  </si>
  <si>
    <t>R117H</t>
  </si>
  <si>
    <t>Pricing</t>
  </si>
  <si>
    <t>YoY Increase</t>
  </si>
  <si>
    <t>Gross to Net</t>
  </si>
  <si>
    <t>Product revenue</t>
  </si>
  <si>
    <t>1Q06A</t>
  </si>
  <si>
    <t>2Q06A</t>
  </si>
  <si>
    <t>3Q06A</t>
  </si>
  <si>
    <t>4Q06A</t>
  </si>
  <si>
    <t>1Q07A</t>
  </si>
  <si>
    <t>2Q07A</t>
  </si>
  <si>
    <t>3Q07A</t>
  </si>
  <si>
    <t>4Q07A</t>
  </si>
  <si>
    <t>1Q08A</t>
  </si>
  <si>
    <t>2Q08A</t>
  </si>
  <si>
    <t>3Q08A</t>
  </si>
  <si>
    <t>4Q08A</t>
  </si>
  <si>
    <t>1Q09A</t>
  </si>
  <si>
    <t>2Q09A</t>
  </si>
  <si>
    <t>3Q09A</t>
  </si>
  <si>
    <t>4Q09A</t>
  </si>
  <si>
    <t>1Q10A</t>
  </si>
  <si>
    <t>2Q10A</t>
  </si>
  <si>
    <t>3Q10A</t>
  </si>
  <si>
    <t>4Q10A</t>
  </si>
  <si>
    <t>1Q11A</t>
  </si>
  <si>
    <t>2Q11A</t>
  </si>
  <si>
    <t>3Q11A</t>
  </si>
  <si>
    <t>4Q11A</t>
  </si>
  <si>
    <t>1Q12A</t>
  </si>
  <si>
    <t>2Q12A</t>
  </si>
  <si>
    <t>3Q12A</t>
  </si>
  <si>
    <t>4Q12A</t>
  </si>
  <si>
    <t>1Q13A</t>
  </si>
  <si>
    <t>2Q13A</t>
  </si>
  <si>
    <t>3Q13A</t>
  </si>
  <si>
    <t>4Q13A</t>
  </si>
  <si>
    <t>1Q14A</t>
  </si>
  <si>
    <t>2Q14A</t>
  </si>
  <si>
    <t>3Q14A</t>
  </si>
  <si>
    <t>4Q14A</t>
  </si>
  <si>
    <t>1Q21E</t>
  </si>
  <si>
    <t>2Q21E</t>
  </si>
  <si>
    <t>3Q21E</t>
  </si>
  <si>
    <t>4Q21E</t>
  </si>
  <si>
    <t>2021E</t>
  </si>
  <si>
    <t>Kalydeco Sales (US)</t>
  </si>
  <si>
    <t>Kalydeco Sales (ex-US)</t>
  </si>
  <si>
    <t xml:space="preserve">Kalydeco revenues, net </t>
  </si>
  <si>
    <t>Co. Guidance</t>
  </si>
  <si>
    <t xml:space="preserve">    QoQ Growth</t>
  </si>
  <si>
    <t xml:space="preserve">    YoY Growth</t>
  </si>
  <si>
    <t>MN</t>
  </si>
  <si>
    <t>Incivek sale (US)</t>
  </si>
  <si>
    <t>Incivek sale (ex-US)</t>
  </si>
  <si>
    <t>Incivek royalty (ex-US)</t>
  </si>
  <si>
    <t xml:space="preserve">Incivek revenues, net </t>
  </si>
  <si>
    <t xml:space="preserve">Total product revenue </t>
  </si>
  <si>
    <t>Collaborative &amp; other R&amp;D revenues</t>
  </si>
  <si>
    <t>Total Revenue</t>
  </si>
  <si>
    <t>Orkambi Sales (US)</t>
  </si>
  <si>
    <t>Orkambi Sales (ex-US)</t>
  </si>
  <si>
    <t xml:space="preserve">Orkambi revenues, net </t>
  </si>
  <si>
    <t>Scenario</t>
  </si>
  <si>
    <t>R&amp;D</t>
  </si>
  <si>
    <t xml:space="preserve">    YoY Growth (bull case)</t>
  </si>
  <si>
    <t xml:space="preserve">    YoY Growth (base case)</t>
  </si>
  <si>
    <t xml:space="preserve">    YoY Growth (bear case)</t>
  </si>
  <si>
    <t>Real estate restructuring costs</t>
  </si>
  <si>
    <t>SG&amp;A</t>
  </si>
  <si>
    <t>Interest Income</t>
  </si>
  <si>
    <t>Average cash &amp; investments</t>
  </si>
  <si>
    <t xml:space="preserve">  Interest rate</t>
  </si>
  <si>
    <t>Non-GAAP R&amp;D (bull)</t>
  </si>
  <si>
    <t>Non-GAAP R&amp;D (base)</t>
  </si>
  <si>
    <t>Non-GAAP R&amp;D (bear)</t>
  </si>
  <si>
    <t>Non-GAAP SG&amp;A (bull)</t>
  </si>
  <si>
    <t>Non-GAAP SG&amp;A (base)</t>
  </si>
  <si>
    <t>Non-GAAP (bear)</t>
  </si>
  <si>
    <t>Income Taxes</t>
  </si>
  <si>
    <t>NOL carryforwards</t>
  </si>
  <si>
    <t>Pretax Income</t>
  </si>
  <si>
    <t>Ending NOL</t>
  </si>
  <si>
    <t>Taxable Income</t>
  </si>
  <si>
    <t>Income taxes owed</t>
  </si>
  <si>
    <t>Income taxes paid</t>
  </si>
  <si>
    <t>Debt</t>
  </si>
  <si>
    <t>2017 Secured Loan</t>
  </si>
  <si>
    <t>Beginning of year debt</t>
  </si>
  <si>
    <t>Repyaments</t>
  </si>
  <si>
    <t>End of year debt</t>
  </si>
  <si>
    <t>Interest rate</t>
  </si>
  <si>
    <t>Interest payments</t>
  </si>
  <si>
    <t>Lease Obligation</t>
  </si>
  <si>
    <t>Interest expense (P&amp;L)</t>
  </si>
  <si>
    <t>Actual Interest expense</t>
  </si>
  <si>
    <t>Cost of debt</t>
  </si>
  <si>
    <t>Interest expense, net</t>
  </si>
  <si>
    <t>Total Other income/(expense)</t>
  </si>
  <si>
    <t>Available principal</t>
  </si>
  <si>
    <t>Initial</t>
  </si>
  <si>
    <t>Addiional</t>
  </si>
  <si>
    <t>`</t>
  </si>
  <si>
    <t>Long-term debt</t>
  </si>
  <si>
    <t>Debt, current portion</t>
  </si>
  <si>
    <t>Other liabilities</t>
  </si>
  <si>
    <t>Other financing activities</t>
  </si>
  <si>
    <t>Retained earnings (accumulated deficit)</t>
  </si>
  <si>
    <t>Company</t>
  </si>
  <si>
    <t>Kalydeco</t>
  </si>
  <si>
    <t>Tax rate</t>
  </si>
  <si>
    <t>2011E</t>
  </si>
  <si>
    <t>2012E</t>
  </si>
  <si>
    <t>2014E</t>
  </si>
  <si>
    <t>Discount Rate</t>
  </si>
  <si>
    <t>Terminal Growth Rate</t>
  </si>
  <si>
    <t>Net Cash</t>
  </si>
  <si>
    <t>Equity Value</t>
  </si>
  <si>
    <t>Collaborations</t>
  </si>
  <si>
    <t>2010E</t>
  </si>
  <si>
    <t>2013E</t>
  </si>
  <si>
    <t>Deal with J&amp;J</t>
  </si>
  <si>
    <t>Milestone</t>
  </si>
  <si>
    <t>Upfront</t>
  </si>
  <si>
    <t>Patient enrollment in Prove 3</t>
  </si>
  <si>
    <t>Commencement of telaprevir Phase III</t>
  </si>
  <si>
    <t>telaprevir Phase III data</t>
  </si>
  <si>
    <t>Acceptance of TVR MAA</t>
  </si>
  <si>
    <t>Commencement of Phase III trial in genotype 2/3 patients</t>
  </si>
  <si>
    <t xml:space="preserve">Incivek approval </t>
  </si>
  <si>
    <t>Mitsubishi milestone</t>
  </si>
  <si>
    <t>Payment</t>
  </si>
  <si>
    <t>Amortization period</t>
  </si>
  <si>
    <t>Cash received</t>
  </si>
  <si>
    <t>Cash recognized</t>
  </si>
  <si>
    <t>Deferred cash (current)</t>
  </si>
  <si>
    <t>Deferred cash (non-current)</t>
  </si>
  <si>
    <t>Total deferred</t>
  </si>
  <si>
    <t>Total cash recognized</t>
  </si>
  <si>
    <t>J&amp;J Deal</t>
  </si>
  <si>
    <t xml:space="preserve">   Deal Date: June 30, 2006</t>
  </si>
  <si>
    <t xml:space="preserve">   Molecules involved: telaprevir</t>
  </si>
  <si>
    <t xml:space="preserve">   Geographies included: Europe, South America, the Middle East, Africa and Australia</t>
  </si>
  <si>
    <t xml:space="preserve">   Upfront payment: $165mn</t>
  </si>
  <si>
    <t xml:space="preserve">   Milestones: Vertex could receive up to $380mn based on successful development and launch of VX-950 in the territories</t>
  </si>
  <si>
    <t xml:space="preserve">   Royalties: Tiered royalty averaging a mid-20 percent range of net sales in Janssen's regions and contingent upon successful commercialization (Janssen responsible for certain third party royalties in its regions)</t>
  </si>
  <si>
    <t xml:space="preserve">   Deal terms: Janssen has exclusive rights to commercialize telaprevir in Europe, South America, the Middle East, Africa and Australia</t>
  </si>
  <si>
    <t xml:space="preserve">                    Janssen reimburses 50% of drug development costs incurred by Vertex for NA and Janssen territories (Vertex leads development plan for telaprevir in NA and Janssen territories)</t>
  </si>
  <si>
    <t xml:space="preserve">                    Vertex and Janssen responsible for drug supply in their respective territories</t>
  </si>
  <si>
    <t xml:space="preserve">   Termination rights: Janssen may terminate the collaboration agreement upon six months' notice (all manufacturing, commercialization and IP rights revert to Vertex)</t>
  </si>
  <si>
    <t>3Q09: Two financial transactions related to $250mn potential future milestone payments</t>
  </si>
  <si>
    <t>1) Issued note in amout of $155mn secured by first $155mn of these milestone payments</t>
  </si>
  <si>
    <t>2) Sold rights to remaining $95mn in future milestone payments</t>
  </si>
  <si>
    <t>-If Janssen is able to successfully commercialize telaprevir, anticipate these milestones will be earned prior to April 2012</t>
  </si>
  <si>
    <t>-Expect will result in proceeds from first $155mn will be used to redeem the 2012 notes and remaining $95mn will be paid by Janssen to purchaser of these milestones</t>
  </si>
  <si>
    <t>-$100mn of potential milestone payments related to regualtory filing with and approval fo telaprevir by EMEA and $55mn related to launch fo telaprevir in the EU</t>
  </si>
  <si>
    <t xml:space="preserve">-Company required to redeem portion of the notes equal to each milestone payment as each is earned under the collaboration. </t>
  </si>
  <si>
    <t>Deal with Mitsubishi</t>
  </si>
  <si>
    <t>First dosing of telaprevir in Phase 1b in US</t>
  </si>
  <si>
    <t>First dowing of telaprevir in a patient by Mitsubishi</t>
  </si>
  <si>
    <t>Amended agreement to include combo use</t>
  </si>
  <si>
    <t>Mitsubishi Pharma Deal</t>
  </si>
  <si>
    <t xml:space="preserve">   Deal Date: June, 2004</t>
  </si>
  <si>
    <t xml:space="preserve">   Geographies included: Japan and Far East countries</t>
  </si>
  <si>
    <t xml:space="preserve">   Upfront payment:</t>
  </si>
  <si>
    <t xml:space="preserve">   Milestones: up to $33mn in pre-commercialization payments (includes up-front licensing fees, a significant contribution to drug development costs through Phase II and clinical milestone payments)</t>
  </si>
  <si>
    <t xml:space="preserve">   Royalties: Vertex will receive on sales and retains an option to supply bulk drug material to Mitsubishi for commercialization in its territories</t>
  </si>
  <si>
    <t xml:space="preserve">   Deal Terms: Mitsubishi has exclusive rights to develop and commercialize telaprevir in Japan and certain Far East countries</t>
  </si>
  <si>
    <t>Amendment: July 2009</t>
  </si>
  <si>
    <t xml:space="preserve">   - 2004 agreement provided rights to telaprevir as a monotherapy</t>
  </si>
  <si>
    <t xml:space="preserve">   -Amended agreement provide license to commercialize telaprevir as part of a combination regimen with interferon and ribavirin</t>
  </si>
  <si>
    <t xml:space="preserve">  -Mitsubishi paid Vertex $105mn (being amortized over expected period of performance)</t>
  </si>
  <si>
    <r>
      <t xml:space="preserve">  -Bonus milestone payments </t>
    </r>
    <r>
      <rPr>
        <b/>
        <i/>
        <sz val="10"/>
        <rFont val="Arial"/>
        <family val="2"/>
      </rPr>
      <t xml:space="preserve">in lieu </t>
    </r>
    <r>
      <rPr>
        <sz val="10"/>
        <rFont val="Arial"/>
        <family val="2"/>
      </rPr>
      <t>of royalties, that if realized would range between $15mn and $65mn</t>
    </r>
  </si>
  <si>
    <t>Termination rights: agreement may be terminated at any time without cause with 60 days' prior written notice</t>
  </si>
  <si>
    <t>Deal with Merck</t>
  </si>
  <si>
    <t>Phase I data</t>
  </si>
  <si>
    <t>Start of clinical trial in CML</t>
  </si>
  <si>
    <t>Drug candidate selection</t>
  </si>
  <si>
    <t>?</t>
  </si>
  <si>
    <t>Merck Deal</t>
  </si>
  <si>
    <t xml:space="preserve">   Deal Date: June 22, 2004</t>
  </si>
  <si>
    <t xml:space="preserve">   Molecules involved:VX-680 (Aurora kinase inhibitor)</t>
  </si>
  <si>
    <t xml:space="preserve">   Geographies included: Worldwide</t>
  </si>
  <si>
    <t xml:space="preserve">   Upfront payment: $20mn</t>
  </si>
  <si>
    <t xml:space="preserve">   Milestones: $14mn in research funding 2004-2006</t>
  </si>
  <si>
    <t xml:space="preserve">                     Up to $350mn in milestone payments including $130mn for successful development of VX-680 in first oncology indication</t>
  </si>
  <si>
    <t xml:space="preserve">                     Additional milestone payments for development of VX-680 and follow-on compounds in subsequent major oncology indications</t>
  </si>
  <si>
    <t xml:space="preserve">   Royalties: on product sales</t>
  </si>
  <si>
    <t xml:space="preserve">   Deal Terms: Merck responsible for clinical development and commercialization of VX-680 WW and pays Vertex royalties on product sales</t>
  </si>
  <si>
    <t xml:space="preserve">                     Vertex has opportunity to negotiate a co-promote agreement with Merck prior to commercialization</t>
  </si>
  <si>
    <t xml:space="preserve">  Termination rights: Merck may terminate the agreement at any time without cause upon 90 days' advance written notice except that six months' advance written notice is required for termination at any time when a product has marketing approval in a major </t>
  </si>
  <si>
    <t xml:space="preserve">  **Merck does not anticipate continuing further development activities at this time</t>
  </si>
  <si>
    <t>GSK Royalty Sale</t>
  </si>
  <si>
    <t>Recognized</t>
  </si>
  <si>
    <t>Deferred, current</t>
  </si>
  <si>
    <t>Deferred, non-current</t>
  </si>
  <si>
    <t>May 2008: Sold right to future royalties for Lexiva/Telzir in return for one time cash payment of $160mn</t>
  </si>
  <si>
    <t xml:space="preserve">-Deferred the recognition of revenues from this sale. </t>
  </si>
  <si>
    <t>-recognizing revenues over the term of the agreement with GSK</t>
  </si>
  <si>
    <t>Deferred revenue (current)</t>
  </si>
  <si>
    <t>Deferred revenue (non-current)</t>
  </si>
  <si>
    <t>Total deferred revenue</t>
  </si>
  <si>
    <t>Royalty payments</t>
  </si>
  <si>
    <t>Debt Financings</t>
  </si>
  <si>
    <t>February 2008: $287.5mn in aggregate principal amount of 4.75% convertible senior subordinated notes due 2013</t>
  </si>
  <si>
    <t xml:space="preserve">June 2009: Company exchanged 6.6mn shares of newly issued common stock for $143.5mn in aggregate principal of 2013 notes </t>
  </si>
  <si>
    <t>November 2009: Company exchanged 4.9mn shares of newly issued common stock for $11.9mn in aggregate principal amount of the 2013 notes</t>
  </si>
  <si>
    <t>As a result of these exchanges, as of Dec 31, 2009, the outstanding aggregate principal amount was $32.1</t>
  </si>
  <si>
    <t xml:space="preserve">      -Vertex announced that on March 19th 2010, it will redeem the outstanding $32.1mn aggregate principal amount of the 4.75% convertible senior subordinated notes</t>
  </si>
  <si>
    <t>Equity Financings</t>
  </si>
  <si>
    <t>Date</t>
  </si>
  <si>
    <t>Type</t>
  </si>
  <si>
    <t xml:space="preserve">Amount </t>
  </si>
  <si>
    <t>Price</t>
  </si>
  <si>
    <t>Public</t>
  </si>
  <si>
    <t>13.512mn</t>
  </si>
  <si>
    <t>9.1mn</t>
  </si>
  <si>
    <t>6.9mn</t>
  </si>
  <si>
    <t>$220mn</t>
  </si>
  <si>
    <t>8.625mn</t>
  </si>
  <si>
    <t>$320mn</t>
  </si>
  <si>
    <t>10mn</t>
  </si>
  <si>
    <t>$500.5mn</t>
  </si>
  <si>
    <t>13mn</t>
  </si>
  <si>
    <t>Royalty Transactions</t>
  </si>
  <si>
    <t>Sold rights to future royalties for Lexiva and Agenerase under 1993 license agreement with GSK</t>
  </si>
  <si>
    <t>-One time cash payment $160mn</t>
  </si>
  <si>
    <t>-Vertex received ~$35mn for sale of up to $95mn of rights to potential future milestone payments Vertex is eligible to receive from Janssen Pharmaceutica for launch of telaprevir in Europe</t>
  </si>
  <si>
    <t>-Vertex received $120mn in cash for issuance of notes secured by $155mn in future telaprevir milestone payments Vertex is eligible to receive for filing, approval and launch of telaprevir in Europe</t>
  </si>
  <si>
    <t xml:space="preserve">   -Notes payable Oct 31, 2012, or as the milestone payments securing the notes are earned prior to Oct, 31, 2012 in the total amount of $155mn. </t>
  </si>
  <si>
    <t xml:space="preserve">   -Notes issued at a discount and do NOT pay interest prior to maturity. </t>
  </si>
  <si>
    <t xml:space="preserve">   -Milestones subject of these transactions include $100mn related to regulatory filing and approval of telaprevir in Europe and $150mn related to potential launch in EU</t>
  </si>
  <si>
    <t>EU</t>
  </si>
  <si>
    <t>Terminal</t>
  </si>
  <si>
    <t>Growth</t>
  </si>
  <si>
    <t>Sum of Discounted CF</t>
  </si>
  <si>
    <t>Equity Value Per Share</t>
  </si>
  <si>
    <t>Intermediate Growth Rate</t>
  </si>
  <si>
    <t>Time of Valuation</t>
  </si>
  <si>
    <t>Shares Outstanding</t>
  </si>
  <si>
    <t>Selector ---&gt;</t>
  </si>
  <si>
    <t>1 = Bull</t>
  </si>
  <si>
    <t>2 = Base</t>
  </si>
  <si>
    <t>3 = Bear</t>
  </si>
  <si>
    <t>Tax benefit from stock options</t>
  </si>
  <si>
    <t>Non-GAAP Adjustment to Revenue</t>
  </si>
  <si>
    <t>Non-GAAP Adjustment to R&amp;D</t>
  </si>
  <si>
    <t>Non-GAAP Adjustment to SG&amp;A</t>
  </si>
  <si>
    <t>Non-GAAP Adjustment to restructuring expense, impairment charges</t>
  </si>
  <si>
    <t>Non-GAAP Adjustment to other income/(expense)</t>
  </si>
  <si>
    <t>Non-GAAP Adjustment to taxes</t>
  </si>
  <si>
    <t>Non-GAAP Adjustments</t>
  </si>
  <si>
    <t>INCIVEK revenues</t>
  </si>
  <si>
    <t>Collaborative revenues</t>
  </si>
  <si>
    <t>($ in millions)</t>
  </si>
  <si>
    <t>USD</t>
  </si>
  <si>
    <t>VRTX.O</t>
  </si>
  <si>
    <t>Vertex Pharmaceuticals</t>
  </si>
  <si>
    <t>Net income for modelware</t>
  </si>
  <si>
    <t>Net equity issuance</t>
  </si>
  <si>
    <t>Common Dividend</t>
  </si>
  <si>
    <t>Currency</t>
  </si>
  <si>
    <t>VRTX.O,mscalc:closePriceCurrencyCalc</t>
  </si>
  <si>
    <t>VRTX.O,mscalc:sedolCodeCalc</t>
  </si>
  <si>
    <t>VRTX.O,mscalc:targetPrice,,,,USD</t>
  </si>
  <si>
    <t>$F$2</t>
  </si>
  <si>
    <t>2931034</t>
  </si>
  <si>
    <t>Orkambi</t>
  </si>
  <si>
    <t>Non-GAAP EBIT</t>
  </si>
  <si>
    <t>Non-GAAP EBIT, after tax</t>
  </si>
  <si>
    <t>Plus: D&amp;A</t>
  </si>
  <si>
    <t>Less: Capital expenditures</t>
  </si>
  <si>
    <t>Plus/Less: Change in non-Cash WC</t>
  </si>
  <si>
    <t>Present Value of FCFF</t>
  </si>
  <si>
    <t>Free Cash Flow to Firm (FCFF)</t>
  </si>
  <si>
    <t>Total non-GAAP R&amp;D and SG&amp;A</t>
  </si>
  <si>
    <t>Consensus EPS</t>
  </si>
  <si>
    <t>YoY Growth</t>
  </si>
  <si>
    <t>Key Numbers</t>
  </si>
  <si>
    <t>3Q15A</t>
  </si>
  <si>
    <t>1Q15A</t>
  </si>
  <si>
    <t>2Q15A</t>
  </si>
  <si>
    <t>Bull / Base / Bear Scenarios</t>
  </si>
  <si>
    <t>2014A</t>
  </si>
  <si>
    <t>2013A</t>
  </si>
  <si>
    <t>4Q15A</t>
  </si>
  <si>
    <t>2015A</t>
  </si>
  <si>
    <t>1Q16A</t>
  </si>
  <si>
    <t>2Q16A</t>
  </si>
  <si>
    <t>3Q16A</t>
  </si>
  <si>
    <t>% COGS</t>
  </si>
  <si>
    <t>4Q16A</t>
  </si>
  <si>
    <t>Customer Deposits</t>
  </si>
  <si>
    <t>Credit Facility</t>
  </si>
  <si>
    <t>Proceeds from revolving credit facility</t>
  </si>
  <si>
    <t>2016A</t>
  </si>
  <si>
    <t>1Q17A</t>
  </si>
  <si>
    <t>Case</t>
  </si>
  <si>
    <t>United States</t>
  </si>
  <si>
    <t>Penetration</t>
  </si>
  <si>
    <t>Tez/Iva</t>
  </si>
  <si>
    <t>Triple - homozygote</t>
  </si>
  <si>
    <t>Triple - heterozygote</t>
  </si>
  <si>
    <t>Patient Numbers</t>
  </si>
  <si>
    <t>Age</t>
  </si>
  <si>
    <t>Mutations</t>
  </si>
  <si>
    <t>6+</t>
  </si>
  <si>
    <t>see*</t>
  </si>
  <si>
    <t>2+</t>
  </si>
  <si>
    <t>Residual function</t>
  </si>
  <si>
    <t>Splice mutations</t>
  </si>
  <si>
    <t>Mid-2018</t>
  </si>
  <si>
    <t>0+</t>
  </si>
  <si>
    <t>Total available Kalydeco patients</t>
  </si>
  <si>
    <t>* G1244E, G1349D, G178R, G551S, S125N, S1255P, S549N, S549R</t>
  </si>
  <si>
    <t>12+</t>
  </si>
  <si>
    <t>homo F508del</t>
  </si>
  <si>
    <t>Total available Orkambi patients</t>
  </si>
  <si>
    <t>% Never starts/Discontinuations</t>
  </si>
  <si>
    <t>Orkambi Never Starts/Discontinuations</t>
  </si>
  <si>
    <t>homo F508del^</t>
  </si>
  <si>
    <t>Splice/Residual</t>
  </si>
  <si>
    <t>Total available Tez/Iva patients</t>
  </si>
  <si>
    <t>^ we only assume those patients who discontinued Orkambi or never started</t>
  </si>
  <si>
    <t>Triple combination</t>
  </si>
  <si>
    <t>Mid-2020</t>
  </si>
  <si>
    <t>Heterozygote</t>
  </si>
  <si>
    <t>Total Patients on Drug</t>
  </si>
  <si>
    <t>Avg Duration</t>
  </si>
  <si>
    <t>Gross Price/month - Kalydeco</t>
  </si>
  <si>
    <t>Net Price/month - Kalydeco</t>
  </si>
  <si>
    <t>Total Kalydeco Sales ($USDm)</t>
  </si>
  <si>
    <t>Gross Price/month - Orkambi</t>
  </si>
  <si>
    <t>Net Price/month - Orkambi</t>
  </si>
  <si>
    <t>Total Orkambi Sales ($USDm)</t>
  </si>
  <si>
    <t>Gross Price/month - Tez/Iva</t>
  </si>
  <si>
    <t>Net Price/month - Tez/Iva</t>
  </si>
  <si>
    <t>Total Tez/Iva Sales ($USDm)</t>
  </si>
  <si>
    <t xml:space="preserve">Triplet </t>
  </si>
  <si>
    <t>Gross Price/month - Triplet</t>
  </si>
  <si>
    <t>Net Price/month - Triplet</t>
  </si>
  <si>
    <t>Total Triplet Sales ($USDm)</t>
  </si>
  <si>
    <t>Total US Sales</t>
  </si>
  <si>
    <t>EU Patient Numbers</t>
  </si>
  <si>
    <t>18+</t>
  </si>
  <si>
    <t>Mid-2021</t>
  </si>
  <si>
    <t>Price/month - Kalydeco</t>
  </si>
  <si>
    <t>Total EU Sales</t>
  </si>
  <si>
    <t>Total ROW Sales</t>
  </si>
  <si>
    <t>Total CF Sales</t>
  </si>
  <si>
    <t>Triplet</t>
  </si>
  <si>
    <t>Total Kalydeco</t>
  </si>
  <si>
    <t>Total Orkambi</t>
  </si>
  <si>
    <t>Total Tez/Iva</t>
  </si>
  <si>
    <t>Total Triplet</t>
  </si>
  <si>
    <t>Royalty on Kalydeco Sales to CFF</t>
  </si>
  <si>
    <t>Royalty on Orkambi Sales to CFF</t>
  </si>
  <si>
    <t>Royalty on Tez/Iva Sales to CFF</t>
  </si>
  <si>
    <t>Royalty on Triplet Sales to CFF</t>
  </si>
  <si>
    <t>1Q22E</t>
  </si>
  <si>
    <t>2Q23E</t>
  </si>
  <si>
    <t>3Q22E</t>
  </si>
  <si>
    <t>2Q22E</t>
  </si>
  <si>
    <t>4Q22E</t>
  </si>
  <si>
    <t>2022E</t>
  </si>
  <si>
    <t>1Q23E</t>
  </si>
  <si>
    <t>3Q23E</t>
  </si>
  <si>
    <t>4Q23E</t>
  </si>
  <si>
    <t>2023E</t>
  </si>
  <si>
    <t>1Q24E</t>
  </si>
  <si>
    <t>2Q24E</t>
  </si>
  <si>
    <t>3Q24E</t>
  </si>
  <si>
    <t>4Q24E</t>
  </si>
  <si>
    <t>2024E</t>
  </si>
  <si>
    <t>1Q25E</t>
  </si>
  <si>
    <t>2Q25E</t>
  </si>
  <si>
    <t>3Q25E</t>
  </si>
  <si>
    <t>4Q25E</t>
  </si>
  <si>
    <t>2025E</t>
  </si>
  <si>
    <t>1Q26E</t>
  </si>
  <si>
    <t>2Q26E</t>
  </si>
  <si>
    <t>3Q26E</t>
  </si>
  <si>
    <t>4Q26E</t>
  </si>
  <si>
    <t>2026E</t>
  </si>
  <si>
    <t>1Q27E</t>
  </si>
  <si>
    <t>2Q27E</t>
  </si>
  <si>
    <t>3Q27E</t>
  </si>
  <si>
    <t>4Q27E</t>
  </si>
  <si>
    <t>2027E</t>
  </si>
  <si>
    <t>1Q28E</t>
  </si>
  <si>
    <t>2Q28E</t>
  </si>
  <si>
    <t>3Q28E</t>
  </si>
  <si>
    <t>4Q28E</t>
  </si>
  <si>
    <t>2028E</t>
  </si>
  <si>
    <t>1Q29E</t>
  </si>
  <si>
    <t>2Q29E</t>
  </si>
  <si>
    <t>3Q29E</t>
  </si>
  <si>
    <t>4Q29E</t>
  </si>
  <si>
    <t>2029E</t>
  </si>
  <si>
    <t>1Q30E</t>
  </si>
  <si>
    <t>2Q30E</t>
  </si>
  <si>
    <t>3Q30E</t>
  </si>
  <si>
    <t>4Q30E</t>
  </si>
  <si>
    <t>2030E</t>
  </si>
  <si>
    <t>Totals</t>
  </si>
  <si>
    <t>Triplet Sales (US)</t>
  </si>
  <si>
    <t>Triplet Sales (ex-US)</t>
  </si>
  <si>
    <t>Triple Combo</t>
  </si>
  <si>
    <t>TEZ/IVA</t>
  </si>
  <si>
    <t>TRIPLET</t>
  </si>
  <si>
    <t xml:space="preserve">  2021 capital expenditures</t>
  </si>
  <si>
    <t xml:space="preserve">  2022 capital expenditures</t>
  </si>
  <si>
    <t xml:space="preserve">  2023 capital expenditures</t>
  </si>
  <si>
    <t xml:space="preserve">  2024 capital expenditures</t>
  </si>
  <si>
    <t xml:space="preserve">  2025 capital expenditures</t>
  </si>
  <si>
    <t xml:space="preserve">  2026 capital expenditures</t>
  </si>
  <si>
    <t xml:space="preserve">  2027 capital expenditures</t>
  </si>
  <si>
    <t xml:space="preserve">  2028 capital expenditures</t>
  </si>
  <si>
    <t xml:space="preserve">  2029 capital expenditures</t>
  </si>
  <si>
    <t xml:space="preserve">  2030 capital expenditures</t>
  </si>
  <si>
    <t xml:space="preserve"> </t>
  </si>
  <si>
    <t>Net Price/month - Pairity with Orkambi</t>
  </si>
  <si>
    <t>Orkambi (2030 US Patent)</t>
  </si>
  <si>
    <t>Tez/Iva (2027 US Patent)</t>
  </si>
  <si>
    <t>Kalydeco (2027 US Patent)</t>
  </si>
  <si>
    <t>Deuterated Kalydeco</t>
  </si>
  <si>
    <t>Total available Triple (homo) patients</t>
  </si>
  <si>
    <t>Total available Triple (het/min) patients</t>
  </si>
  <si>
    <t>Splice</t>
  </si>
  <si>
    <t>Total available Triple (homo/Splice) patients</t>
  </si>
  <si>
    <t>Triplet Risk-adjustment</t>
  </si>
  <si>
    <t>Total Deuterated Kalydeco Sales ($USDm)</t>
  </si>
  <si>
    <t>Total Deuterated Kalydeco</t>
  </si>
  <si>
    <t>Deuterated Kalydeco Sales (US)</t>
  </si>
  <si>
    <t>Deuterated Kalydeco Sales (ex-US)</t>
  </si>
  <si>
    <t xml:space="preserve">Deuterated Kalydeco revenues, net </t>
  </si>
  <si>
    <t>DEUTERATED KALYDECO</t>
  </si>
  <si>
    <t>2Q17A</t>
  </si>
  <si>
    <t>3Q17A</t>
  </si>
  <si>
    <t>$810-830M</t>
  </si>
  <si>
    <t>$1,290-1,320M</t>
  </si>
  <si>
    <t>Co. Guidance: $1.33-1.36B</t>
  </si>
  <si>
    <t>Triplet revenues, net (risk-adj)</t>
  </si>
  <si>
    <t>RIC</t>
  </si>
  <si>
    <t>Current Stock Price</t>
  </si>
  <si>
    <t>Count</t>
  </si>
  <si>
    <t>4Q17A</t>
  </si>
  <si>
    <t>2017A</t>
  </si>
  <si>
    <t>200</t>
  </si>
  <si>
    <t>Symdeko</t>
  </si>
  <si>
    <t>$2,650-2,800M</t>
  </si>
  <si>
    <t>Mid-2019</t>
  </si>
  <si>
    <t>Symdeko Sales (US)</t>
  </si>
  <si>
    <t>Symdeko Sales (ex-US)</t>
  </si>
  <si>
    <t xml:space="preserve">Symdeko revenues, net </t>
  </si>
  <si>
    <t>Research</t>
  </si>
  <si>
    <t>MSA72HLP</t>
  </si>
  <si>
    <t>e = Morgan Stanley Research estimates unless otherwise noted</t>
  </si>
  <si>
    <t>Source: Morgan Stanley Research unless otherwise noted</t>
  </si>
  <si>
    <t>Stocks ratings are relative to the analyst's industry coverage universe.</t>
  </si>
  <si>
    <t>1585 Broadway</t>
  </si>
  <si>
    <t>New York, NY  10036-8293</t>
  </si>
  <si>
    <t>Tel: +1 (1)212 761 4000</t>
  </si>
  <si>
    <t>Authors: Matthew Harrison</t>
  </si>
  <si>
    <t>Date: 16 Apr 2018</t>
  </si>
  <si>
    <t>Ticker: VRTX.O</t>
  </si>
  <si>
    <t>Stock Rating: Overweight</t>
  </si>
  <si>
    <t>Industry: Biotechnology</t>
  </si>
  <si>
    <t>Industry View: In-Line</t>
  </si>
  <si>
    <t>Price as of 16 Apr 2018: 159.56</t>
  </si>
  <si>
    <t>Target Price: 200</t>
  </si>
  <si>
    <t>Analyst Certification</t>
  </si>
  <si>
    <t>Unless otherwise stated, the individuals listed on the cover page of this report are research analysts.</t>
  </si>
  <si>
    <t>Global Research Conflict Management Policy</t>
  </si>
  <si>
    <t>Important US Regulatory Disclosures on Subject Companies</t>
  </si>
  <si>
    <t>Morgan Stanley &amp; Co. LLC makes a market in the securities of Vertex Pharmaceuticals.</t>
  </si>
  <si>
    <t>STOCK RATINGS</t>
  </si>
  <si>
    <t>Global Stock Ratings Distribution</t>
  </si>
  <si>
    <t>(as of March 31, 2018)</t>
  </si>
  <si>
    <t>Coverage Universe</t>
  </si>
  <si>
    <t>Investment Banking Clients (IBC)</t>
  </si>
  <si>
    <t>Other Material Investment Services Clients (MISC)</t>
  </si>
  <si>
    <t>Stock Rating Category</t>
  </si>
  <si>
    <t>% of Total</t>
  </si>
  <si>
    <t>% of Total IBC</t>
  </si>
  <si>
    <t>% of Rating Category</t>
  </si>
  <si>
    <t>% of Total Other MISC</t>
  </si>
  <si>
    <t>Overweight/Buy</t>
  </si>
  <si>
    <t>Equal-weight/Hold</t>
  </si>
  <si>
    <t>Not-Rated/Hold</t>
  </si>
  <si>
    <t>Underweight/Sell</t>
  </si>
  <si>
    <t>Total</t>
  </si>
  <si>
    <t>Analyst Stock Ratings</t>
  </si>
  <si>
    <t>Analyst Industry Views</t>
  </si>
  <si>
    <t>.</t>
  </si>
  <si>
    <t>Stock Price, Price Target and Rating History (See Rating Definitions)</t>
  </si>
  <si>
    <t>Important Disclosures for Morgan Stanley Smith Barney LLC Customers</t>
  </si>
  <si>
    <t>Other Important Disclosures</t>
  </si>
  <si>
    <t>Morgan Stanley Research, or any portion thereof may not be reprinted, sold or redistributed without the</t>
  </si>
  <si>
    <t>written consent of Morgan Stanley.</t>
  </si>
  <si>
    <t>The trademarks and service marks contained in Morgan Stanley Research are the property of their</t>
  </si>
  <si>
    <t>respective owners. Third-party data providers make no warranties or representations relating to the</t>
  </si>
  <si>
    <t>accuracy, completeness, or timeliness of the data they provide and shall not have liability for any</t>
  </si>
  <si>
    <t>damages relating to such data. The Global Industry Classification Standard (GICS) was developed by and</t>
  </si>
  <si>
    <t>is the exclusive property of MSCI and S&amp;P.</t>
  </si>
  <si>
    <t>As required by the Capital Markets Board of Turkey, investment information, comments and recommendations</t>
  </si>
  <si>
    <t>stated here, are not within the scope of investment advisory activity. Investment advisory service is</t>
  </si>
  <si>
    <t>provided exclusively to persons based on their risk and income preferences by the authorized firms.</t>
  </si>
  <si>
    <t>Comments and recommendations stated here are general in nature. These opinions may not fit to your</t>
  </si>
  <si>
    <t>financial status, risk and return preferences. For this reason, to make an investment decision by</t>
  </si>
  <si>
    <t>relying solely to this information stated here may not bring about outcomes that fit your expectations.</t>
  </si>
  <si>
    <t>The information in Morgan Stanley Research is being communicated by Morgan Stanley &amp; Co. International</t>
  </si>
  <si>
    <t>plc (QFC Branch), regulated by the Qatar Financial Centre Regulatory Authority (the QFCRA), and is</t>
  </si>
  <si>
    <t>directed at business customers and market counterparties only and is not intended for Retail Customers</t>
  </si>
  <si>
    <t>as defined by the QFCRA.</t>
  </si>
  <si>
    <t>plc (DIFC Branch), regulated by the Dubai Financial Services Authority (the DFSA), and is directed at</t>
  </si>
  <si>
    <t>Professional Clients only, as defined by the DFSA. The financial products or financial services to which</t>
  </si>
  <si>
    <t>this research relates will only be made available to a customer who we are satisfied meets the</t>
  </si>
  <si>
    <t>regulatory criteria to be a Professional Client.</t>
  </si>
  <si>
    <t>Morgan Stanley Research is disseminated in Brazil by Morgan Stanley C.T.V.M. S.A.; in Mexico by Morgan</t>
  </si>
  <si>
    <t>Stanley México, Casa de Bolsa, S.A. de C.V which is regulated by Comision Nacional Bancaria y de</t>
  </si>
  <si>
    <t>Valores. Paseo de los Tamarindos 90, Torre 1, Col. Bosques de las Lomas Floor 29, 05120 Mexico City; in</t>
  </si>
  <si>
    <t>Japan by Morgan Stanley MUFG Securities Co., Ltd. and, for Commodities related research reports only,</t>
  </si>
  <si>
    <t>Morgan Stanley Capital Group Japan Co., Ltd; in Hong Kong by Morgan Stanley Asia Limited (which accepts</t>
  </si>
  <si>
    <t>responsibility for its contents) and by Morgan Stanley Asia International Limited, Hong Kong Branch; in</t>
  </si>
  <si>
    <t>Singapore by Morgan Stanley Asia (Singapore) Pte. (Registration number 199206298Z) and/or Morgan Stanley</t>
  </si>
  <si>
    <t>Asia (Singapore) Securities Pte Ltd (Registration number 200008434H), regulated by the Monetary</t>
  </si>
  <si>
    <t>Authority of Singapore (which accepts legal responsibility for its contents and should be contacted with</t>
  </si>
  <si>
    <t>respect to any matters arising from, or in connection with, Morgan Stanley Research) and by Morgan</t>
  </si>
  <si>
    <t>Stanley Asia International Limited, Singapore Branch (Registration number T11FC0207F); in Australia to</t>
  </si>
  <si>
    <t>"wholesale clients" within the meaning of the Australian Corporations Act by Morgan Stanley Australia</t>
  </si>
  <si>
    <t>Limited A.B.N. 67 003 734 576, holder of Australian financial services license No. 233742, which accepts</t>
  </si>
  <si>
    <t>responsibility for its contents; in Australia to "wholesale clients" and "retail clients" within the</t>
  </si>
  <si>
    <t>meaning of the Australian Corporations Act by Morgan Stanley Wealth Management Australia Pty Ltd (A.B.N.</t>
  </si>
  <si>
    <t>19 009 145 555, holder of Australian financial services license No. 240813, which accepts responsibility</t>
  </si>
  <si>
    <t>for its contents; in Korea by Morgan Stanley &amp; Co International plc, Seoul Branch; in India by Morgan</t>
  </si>
  <si>
    <t>Stanley India Company Private Limited; in Indonesia by PT. Morgan Stanley Sekuritas Indonesia; in Canada</t>
  </si>
  <si>
    <t>by Morgan Stanley Canada Limited, which has approved of and takes responsibility for its contents in</t>
  </si>
  <si>
    <t>Canada; in Germany by Morgan Stanley Bank AG, Frankfurt am Main and Morgan Stanley Private Wealth</t>
  </si>
  <si>
    <t>Management Limited, Niederlassung Deutschland, regulated by Bundesanstalt fuer</t>
  </si>
  <si>
    <t>Finanzdienstleistungsaufsicht (BaFin); in Spain by Morgan Stanley, S.V., S.A., a Morgan Stanley group</t>
  </si>
  <si>
    <t>company, which is supervised by the Spanish Securities Markets Commission (CNMV) and states that Morgan</t>
  </si>
  <si>
    <t>Stanley Research has been written and distributed in accordance with the rules of conduct applicable to</t>
  </si>
  <si>
    <t>financial research as established under Spanish regulations; in the US by Morgan Stanley &amp; Co. LLC,</t>
  </si>
  <si>
    <t>which accepts responsibility for its contents. Morgan Stanley &amp; Co. International plc, authorized by the</t>
  </si>
  <si>
    <t>Prudential Regulatory Authority and regulated by the Financial Conduct Authority and the Prudential</t>
  </si>
  <si>
    <t>Regulatory Authority, disseminates in the UK research that it has prepared, and approves solely for the</t>
  </si>
  <si>
    <t>purposes of section 21 of the Financial Services and Markets Act 2000, research which has been prepared</t>
  </si>
  <si>
    <t>by any of its affiliates. RMB Morgan Stanley Proprietary Limited is a member of the JSE Limited and</t>
  </si>
  <si>
    <t>regulated by the Financial Services Board in South Africa. RMB Morgan Stanley Proprietary Limited is a</t>
  </si>
  <si>
    <t>joint venture owned equally by Morgan Stanley International Holdings Inc. and RMB Investment Advisory</t>
  </si>
  <si>
    <t>(Proprietary) Limited, which is wholly owned by FirstRand Limited. The information in Morgan Stanley</t>
  </si>
  <si>
    <t>Research is being disseminated by Morgan Stanley Saudi Arabia, regulated by the Capital Market Authority</t>
  </si>
  <si>
    <t>in the Kingdom of Saudi Arabia , and is directed at Sophisticated investors only.</t>
  </si>
  <si>
    <t>Morgan Stanley is not incorporated under PRC law and the research in relation to this report is</t>
  </si>
  <si>
    <t>conducted outside the PRC. Morgan Stanley Research does not constitute an offer to sell or the</t>
  </si>
  <si>
    <t>solicitation of an offer to buy any securities in the PRC. PRC investors shall have the relevant</t>
  </si>
  <si>
    <t>qualifications to invest in such securities and shall be responsible for obtaining all relevant</t>
  </si>
  <si>
    <t>approvals, licenses, verifications and/or registrations from the relevant governmental authorities</t>
  </si>
  <si>
    <t>themselves. Neither this report nor any part of it is intended as, or shall constitute, provision of any</t>
  </si>
  <si>
    <t>consultancy or advisory service of securities investment as defined under PRC law. Such information is</t>
  </si>
  <si>
    <t>provided for your reference only.</t>
  </si>
  <si>
    <t>To our readers based in Taiwan or trading in Taiwan securities/instruments: Information on</t>
  </si>
  <si>
    <t>securities/instruments that trade in Taiwan is distributed by Morgan Stanley Taiwan Limited ("MSTL").</t>
  </si>
  <si>
    <t>Such information is for your reference only. The reader should independently evaluate the investment</t>
  </si>
  <si>
    <t>risks and is solely responsible for their investment decisions. Morgan Stanley Research may not be</t>
  </si>
  <si>
    <t>distributed to the public media or quoted or used by the public media without the express written</t>
  </si>
  <si>
    <t>consent of Morgan Stanley. Any non-customer reader within the scope of Article 7-1 of the Taiwan Stock</t>
  </si>
  <si>
    <t>Exchange Recommendation Regulations accessing and/or receiving Morgan Stanley Research is not permitted</t>
  </si>
  <si>
    <t>to provide Morgan Stanley Research to any third party (including but not limited to related parties,</t>
  </si>
  <si>
    <t>affiliated companies and any other third parties) or engage in any activities regarding Morgan Stanley</t>
  </si>
  <si>
    <t>Research which may create or give the appearance of creating a conflict of interest. Information on</t>
  </si>
  <si>
    <t>securities/instruments that do not trade in Taiwan is for informational purposes only and is not to be</t>
  </si>
  <si>
    <t>construed as a recommendation or a solicitation to trade in such securities/instruments. MSTL may not</t>
  </si>
  <si>
    <t>execute transactions for clients in these securities/instruments.</t>
  </si>
  <si>
    <t>Morgan Stanley may make investment decisions that are inconsistent with the recommendations or views in</t>
  </si>
  <si>
    <t>this report.</t>
  </si>
  <si>
    <t>Morgan Stanley Research personnel may participate in company events such as site visits and are</t>
  </si>
  <si>
    <t>generally prohibited from accepting payment by the company of associated expenses unless pre-approved by</t>
  </si>
  <si>
    <t>authorized members of Research management.</t>
  </si>
  <si>
    <t>With the exception of information regarding Morgan Stanley, Morgan Stanley Research is based on public</t>
  </si>
  <si>
    <t>information. Morgan Stanley makes every effort to use reliable, comprehensive information, but we make</t>
  </si>
  <si>
    <t>no representation that it is accurate or complete. We have no obligation to tell you when opinions or</t>
  </si>
  <si>
    <t>information in Morgan Stanley Research change apart from when we intend to discontinue equity research</t>
  </si>
  <si>
    <t>coverage of a subject company. Facts and views presented in Morgan Stanley Research have not been</t>
  </si>
  <si>
    <t>reviewed by, and may not reflect information known to, professionals in other Morgan Stanley business</t>
  </si>
  <si>
    <t>areas, including investment banking personnel.</t>
  </si>
  <si>
    <t>The "Important US Regulatory Disclosures on Subject Companies" section in Morgan Stanley Research lists</t>
  </si>
  <si>
    <t>all companies mentioned where Morgan Stanley owns 1% or more of a class of common equity securities of</t>
  </si>
  <si>
    <t>the companies. For all other companies mentioned in Morgan Stanley Research, Morgan Stanley may have an</t>
  </si>
  <si>
    <t>investment of less than 1% in securities/instruments or derivatives of securities/instruments of</t>
  </si>
  <si>
    <t>companies and may trade them in ways different from those discussed in Morgan Stanley Research.</t>
  </si>
  <si>
    <t>Employees of Morgan Stanley not involved in the preparation of Morgan Stanley Research may have</t>
  </si>
  <si>
    <t>investments in securities/instruments or derivatives of securities/instruments of companies mentioned</t>
  </si>
  <si>
    <t>and may trade them in ways different from those discussed in Morgan Stanley Research. Derivatives may be</t>
  </si>
  <si>
    <t>issued by Morgan Stanley or associated persons.</t>
  </si>
  <si>
    <t>The fixed income research analysts, strategists or economists principally responsible for the</t>
  </si>
  <si>
    <t>preparation of Morgan Stanley Research have received compensation based upon various factors, including</t>
  </si>
  <si>
    <t>quality, accuracy and value of research, firm profitability or revenues (which include fixed income</t>
  </si>
  <si>
    <t>trading and capital markets profitability or revenues), client feedback and competitive factors. Fixed</t>
  </si>
  <si>
    <t>Income Research analysts', strategists' or economists' compensation is not linked to investment banking</t>
  </si>
  <si>
    <t>or capital markets transactions performed by Morgan Stanley or the profitability or revenues of</t>
  </si>
  <si>
    <t>particular trading desks.</t>
  </si>
  <si>
    <t>Morgan Stanley Research does not provide individually tailored investment advice. Morgan Stanley</t>
  </si>
  <si>
    <t>Research has been prepared without regard to the circumstances and objectives of those who receive it.</t>
  </si>
  <si>
    <t>Morgan Stanley recommends that investors independently evaluate particular investments and strategies,</t>
  </si>
  <si>
    <t>and encourages investors to seek the advice of a financial adviser. The appropriateness of an investment</t>
  </si>
  <si>
    <t>or strategy will depend on an investor's circumstances and objectives. The securities, instruments, or</t>
  </si>
  <si>
    <t>strategies discussed in Morgan Stanley Research may not be suitable for all investors, and certain</t>
  </si>
  <si>
    <t>investors may not be eligible to purchase or participate in some or all of them. Morgan Stanley Research</t>
  </si>
  <si>
    <t>is not an offer to buy or sell or the solicitation of an offer to buy or sell any security/instrument or</t>
  </si>
  <si>
    <t>to participate in any particular trading strategy. The value of and income from your investments may</t>
  </si>
  <si>
    <t>vary because of changes in interest rates, foreign exchange rates, default rates, prepayment rates,</t>
  </si>
  <si>
    <t>securities/instruments prices, market indexes, operational or financial conditions of companies or other</t>
  </si>
  <si>
    <t>factors. There may be time limitations on the exercise of options or other rights in</t>
  </si>
  <si>
    <t>securities/instruments transactions. Past performance is not necessarily a guide to future performance.</t>
  </si>
  <si>
    <t>Estimates of future performance are based on assumptions that may not be realized. If provided, and</t>
  </si>
  <si>
    <t>unless otherwise stated, the closing price on the cover page is that of the primary exchange for the</t>
  </si>
  <si>
    <t>subject company's securities/instruments.</t>
  </si>
  <si>
    <t>If you do not agree to our Terms of Use and/or if you do not wish to provide your consent to Morgan</t>
  </si>
  <si>
    <t>Stanley processing your personal data or using cookies please do not access our research.</t>
  </si>
  <si>
    <t>Any access and/or use of Morgan Stanley Research is subject to Morgan Stanley's Terms of Use</t>
  </si>
  <si>
    <t>(http://www.morganstanley.com/terms.html). By accessing and/or using Morgan Stanley Research, you are</t>
  </si>
  <si>
    <t>indicating that you have read and agree to be bound by our Terms of Use</t>
  </si>
  <si>
    <t>(http://www.morganstanley.com/terms.html). In addition you consent to Morgan Stanley processing your</t>
  </si>
  <si>
    <t>personal data and using cookies in accordance with our Privacy Policy and our Global Cookies Policy</t>
  </si>
  <si>
    <t>(http://www.morganstanley.com/privacy_pledge.html), including for the purposes of setting your</t>
  </si>
  <si>
    <t>preferences and to collect readership data so that we can deliver better and more personalized service</t>
  </si>
  <si>
    <t>and products to you. To find out more information about how Morgan Stanley processes personal data, how</t>
  </si>
  <si>
    <t>we use cookies and how to reject cookies see our Privacy Policy and our Global Cookies Policy</t>
  </si>
  <si>
    <t>(http://www.morganstanley.com/privacy_pledge.html).</t>
  </si>
  <si>
    <t>Morgan Stanley Research is provided to our clients through our proprietary research portal on Matrix and</t>
  </si>
  <si>
    <t>also distributed electronically by Morgan Stanley to clients. Certain, but not all, Morgan Stanley</t>
  </si>
  <si>
    <t>Research products are also made available to clients through third-party vendors or redistributed to</t>
  </si>
  <si>
    <t>clients through alternate electronic means as a convenience. For access to all available Morgan Stanley</t>
  </si>
  <si>
    <t>Research, please contact your sales representative or go to Matrix at</t>
  </si>
  <si>
    <t>http://www.morganstanley.com/matrix.</t>
  </si>
  <si>
    <t>Morgan Stanley produces an equity research product called a "Tactical Idea." Views contained in a</t>
  </si>
  <si>
    <t>"Tactical Idea" on a particular stock may be contrary to the recommendations or views expressed in</t>
  </si>
  <si>
    <t>research on the same stock. This may be the result of differing time horizons, methodologies, market</t>
  </si>
  <si>
    <t>events, or other factors. For all research available on a particular stock, please contact your sales</t>
  </si>
  <si>
    <t>representative or go to Matrix at http://www.morganstanley.com/matrix.</t>
  </si>
  <si>
    <t>Morgan Stanley is not acting as a municipal advisor and the opinions or views contained herein are not</t>
  </si>
  <si>
    <t>intended to be, and do not constitute, advice within the meaning of Section 975 of the Dodd-Frank Wall</t>
  </si>
  <si>
    <t>Street Reform and Consumer Protection Act.</t>
  </si>
  <si>
    <t>Morgan Stanley Research policy is to update research reports as and when the Research Analyst and</t>
  </si>
  <si>
    <t>Research Management deem appropriate, based on developments with the issuer, the sector, or the market</t>
  </si>
  <si>
    <t>that may have a material impact on the research views or opinions stated therein. In addition, certain</t>
  </si>
  <si>
    <t>Research publications are intended to be updated on a regular periodic basis</t>
  </si>
  <si>
    <t>(weekly/monthly/quarterly/annual) and will ordinarily be updated with that frequency, unless the</t>
  </si>
  <si>
    <t>Research Analyst and Research Management determine that a different publication schedule is appropriate</t>
  </si>
  <si>
    <t>based on current conditions.</t>
  </si>
  <si>
    <t>Each Morgan Stanley Equity Research report is reviewed and approved on behalf of Morgan Stanley Smith</t>
  </si>
  <si>
    <t>Barney LLC. This review and approval is conducted by the same person who reviews the Equity Research</t>
  </si>
  <si>
    <t>report on behalf of Morgan Stanley. This could create a conflict of interest.</t>
  </si>
  <si>
    <t>Important disclosures regarding the relationship between the companies that are the subject of Morgan</t>
  </si>
  <si>
    <t>Stanley Research and Morgan Stanley Smith Barney LLC or Morgan Stanley or any of their affiliates, are</t>
  </si>
  <si>
    <t>available on the Morgan Stanley Wealth Management disclosure website at</t>
  </si>
  <si>
    <t>www.morganstanley.com/online/researchdisclosures. For Morgan Stanley specific disclosures, you may refer</t>
  </si>
  <si>
    <t>to www.morganstanley.com/researchdisclosures.</t>
  </si>
  <si>
    <t>Benchmarks for each region are as follows: North America - S&amp;P 500; Latin America - relevant MSCI</t>
  </si>
  <si>
    <t>country index or MSCI Latin America Index; Europe - MSCI Europe; Japan - TOPIX; Asia - relevant MSCI</t>
  </si>
  <si>
    <t>country index or MSCI sub-regional index or MSCI AC Asia Pacific ex Japan Index.</t>
  </si>
  <si>
    <t>Cautious (C): The analyst views the performance of his or her industry coverage universe over the next</t>
  </si>
  <si>
    <t>12-18 months with caution vs. the relevant broad market benchmark, as indicated below.</t>
  </si>
  <si>
    <t>In-Line (I): The analyst expects the performance of his or her industry coverage universe over the next</t>
  </si>
  <si>
    <t>12-18 months to be in line with the relevant broad market benchmark, as indicated below.</t>
  </si>
  <si>
    <t>Attractive (A): The analyst expects the performance of his or her industry coverage universe over the</t>
  </si>
  <si>
    <t>next 12-18 months to be attractive vs. the relevant broad market benchmark, as indicated below.</t>
  </si>
  <si>
    <t>Unless otherwise specified, the time frame for price targets included in Morgan Stanley Research is 12</t>
  </si>
  <si>
    <t>to 18 months.</t>
  </si>
  <si>
    <t>Underweight (U). The stock's total return is expected to be below the average total return of the</t>
  </si>
  <si>
    <t>analyst's industry (or industry team's) coverage universe, on a risk-adjusted basis, over the next 12-18</t>
  </si>
  <si>
    <t>months.</t>
  </si>
  <si>
    <t>Not-Rated (NR). Currently the analyst does not have adequate conviction about the stock's total return</t>
  </si>
  <si>
    <t>relative to the average total return of the analyst's industry (or industry team's) coverage universe,</t>
  </si>
  <si>
    <t>on a risk-adjusted basis, over the next 12-18 months.</t>
  </si>
  <si>
    <t>Equal-weight (E). The stock's total return is expected to be in line with the average total return of</t>
  </si>
  <si>
    <t>the analyst's industry (or industry team's) coverage universe, on a risk-adjusted basis, over the next</t>
  </si>
  <si>
    <t>12-18 months.</t>
  </si>
  <si>
    <t>Overweight (O). The stock's total return is expected to exceed the average total return of the analyst's</t>
  </si>
  <si>
    <t>industry (or industry team's) coverage universe, on a risk-adjusted basis, over the next 12-18 months.</t>
  </si>
  <si>
    <t>Data include common stock and ADRs currently assigned ratings. Investment Banking Clients are companies</t>
  </si>
  <si>
    <t>from whom Morgan Stanley received investment banking compensation in the last 12 months. Due to rounding</t>
  </si>
  <si>
    <t>off of decimals, the percentages provided in the "% of total" column may not add up to exactly 100</t>
  </si>
  <si>
    <t>percent.</t>
  </si>
  <si>
    <t>For disclosure purposes only (in accordance with NASD and NYSE requirements), we include the category</t>
  </si>
  <si>
    <t>headings of Buy, Hold, and Sell alongside our ratings of Overweight, Equal-weight, Not-Rated and</t>
  </si>
  <si>
    <t>Underweight. Morgan Stanley does not assign ratings of Buy, Hold or Sell to the stocks we cover.</t>
  </si>
  <si>
    <t>Overweight, Equal-weight, Not-Rated and Underweight are not the equivalent of buy, hold, and sell but</t>
  </si>
  <si>
    <t>represent recommended relative weightings (see definitions below). To satisfy regulatory requirements,</t>
  </si>
  <si>
    <t>we correspond Overweight, our most positive stock rating, with a buy recommendation; we correspond</t>
  </si>
  <si>
    <t>Equal-weight and Not-Rated to hold and Underweight to sell recommendations, respectively.</t>
  </si>
  <si>
    <t>The Stock Ratings described below apply to Morgan Stanley's Fundamental Equity Research and do not apply</t>
  </si>
  <si>
    <t>to Debt Research produced by the Firm.</t>
  </si>
  <si>
    <t>Morgan Stanley uses a relative rating system using terms such as Overweight, Equal-weight, Not-Rated or</t>
  </si>
  <si>
    <t>Underweight (see definitions below). Morgan Stanley does not assign ratings of Buy, Hold or Sell to the</t>
  </si>
  <si>
    <t>stocks we cover. Overweight, Equal-weight, Not-Rated and Underweight are not the equivalent of buy, hold</t>
  </si>
  <si>
    <t>and sell. Investors should carefully read the definitions of all ratings used in Morgan Stanley</t>
  </si>
  <si>
    <t>Research. In addition, since Morgan Stanley Research contains more complete information concerning the</t>
  </si>
  <si>
    <t>analyst's views, investors should carefully read Morgan Stanley Research, in its entirety, and not infer</t>
  </si>
  <si>
    <t>the contents from the rating alone. In any case, ratings (or research) should not be used or relied upon</t>
  </si>
  <si>
    <t>as investment advice. An investor's decision to buy or sell a stock should depend on individual</t>
  </si>
  <si>
    <t>circumstances (such as the investor's existing holdings) and other considerations.</t>
  </si>
  <si>
    <t>Certain disclosures listed above are also for compliance with applicable regulations in non-US</t>
  </si>
  <si>
    <t>jurisdictions.</t>
  </si>
  <si>
    <t>Morgan Stanley and its affiliates do business that relates to companies/instruments covered in Morgan</t>
  </si>
  <si>
    <t>Stanley Research, including market making, providing liquidity, fund management, commercial banking,</t>
  </si>
  <si>
    <t>extension of credit, investment services and investment banking. Morgan Stanley sells to and buys from</t>
  </si>
  <si>
    <t>customers the securities/instruments of companies covered in Morgan Stanley Research on a principal</t>
  </si>
  <si>
    <t>basis. Morgan Stanley may have a position in the debt of the Company or instruments discussed in this</t>
  </si>
  <si>
    <t>report. Morgan Stanley trades or may trade as principal in the debt securities (or in related</t>
  </si>
  <si>
    <t>derivatives) that are the subject of the debt research report.</t>
  </si>
  <si>
    <t>The equity research analysts or strategists principally responsible for the preparation of Morgan</t>
  </si>
  <si>
    <t>Stanley Research have received compensation based upon various factors, including quality of research,</t>
  </si>
  <si>
    <t>investor client feedback, stock picking, competitive factors, firm revenues and overall investment</t>
  </si>
  <si>
    <t>banking revenues. Equity Research analysts' or strategists' compensation is not linked to investment</t>
  </si>
  <si>
    <t>banking or capital markets transactions performed by Morgan Stanley or the profitability or revenues of</t>
  </si>
  <si>
    <t>Within the last 12 months, Morgan Stanley has either provided or is providing non-investment banking,</t>
  </si>
  <si>
    <t>securities-related services to and/or in the past has entered into an agreement to provide services or</t>
  </si>
  <si>
    <t>has a client relationship with the following company: Vertex Pharmaceuticals.</t>
  </si>
  <si>
    <t>Within the last 12 months, Morgan Stanley has provided or is providing investment banking services to,</t>
  </si>
  <si>
    <t>or has an investment banking client relationship with, the following company: Vertex Pharmaceuticals.</t>
  </si>
  <si>
    <t>Within the last 12 months, Morgan Stanley has received compensation for products and services other than</t>
  </si>
  <si>
    <t>investment banking services from Vertex Pharmaceuticals.</t>
  </si>
  <si>
    <t>In the next 3 months, Morgan Stanley expects to receive or intends to seek compensation for investment</t>
  </si>
  <si>
    <t>banking services from Vertex Pharmaceuticals.</t>
  </si>
  <si>
    <t>Morgan Stanley Research has been published in accordance with our conflict management policy, which is</t>
  </si>
  <si>
    <t>available at www.morganstanley.com/institutional/research/conflictpolicies.</t>
  </si>
  <si>
    <t>The following analysts hereby certify that their views about the companies and their securities</t>
  </si>
  <si>
    <t>discussed in this report are accurately expressed and that they have not received and will not receive</t>
  </si>
  <si>
    <t>direct or indirect compensation in exchange for expressing specific recommendations or views in this</t>
  </si>
  <si>
    <t>report: Matthew Harrison.</t>
  </si>
  <si>
    <t>For valuation methodology and risks associated with any recommendation, rating or price target</t>
  </si>
  <si>
    <t>referenced in this research report, please contact the Client Support Team as follows: US/Canada +1 800</t>
  </si>
  <si>
    <t>303-2495; Hong Kong +852 2848-5999; Latin America +1 718 754-5444 (U.S.); London +44 (0)20-7425-8169;</t>
  </si>
  <si>
    <t>Singapore +65 6834-6860; Sydney +61 (0)2-9770-1505; Tokyo +81 (0)3-6836-9000. Alternatively you may</t>
  </si>
  <si>
    <t>contact your investment representative or Morgan Stanley Research at 1585 Broadway, (Attention: Research</t>
  </si>
  <si>
    <t>Management), New York, NY 10036 USA.</t>
  </si>
  <si>
    <t>For important disclosures, stock price charts and equity rating histories regarding companies that are</t>
  </si>
  <si>
    <t>the subject of this report, please see the Morgan Stanley Research Disclosure Website at</t>
  </si>
  <si>
    <t>www.morganstanley.com/researchdisclosures, or contact your investment representative or Morgan Stanley</t>
  </si>
  <si>
    <t>Research at 1585 Broadway, (Attention: Research Management), New York, NY, 10036 USA.</t>
  </si>
  <si>
    <t>The information and opinions in Morgan Stanley Research were prepared by Morgan Stanley &amp; Co. LLC,</t>
  </si>
  <si>
    <t>and/or Morgan Stanley C.T.V.M. S.A., and/or Morgan Stanley Mexico, Casa de Bolsa, S.A. de C.V., and/or</t>
  </si>
  <si>
    <t>Morgan Stanley Canada Limited. As used in this disclosure section, "Morgan Stanley" includes Morgan</t>
  </si>
  <si>
    <t>Stanley &amp; Co. LLC, Morgan Stanley C.T.V.M. S.A., Morgan Stanley Mexico, Casa de Bolsa, S.A. de C.V.,</t>
  </si>
  <si>
    <t>Morgan Stanley Canada Limited and their affiliates as necessary.</t>
  </si>
  <si>
    <t>Morgan Stanley does and seeks to do business with companies covered in Morgan Stanley Research. As a</t>
  </si>
  <si>
    <t>result, investors should be aware that the firm may have a conflict of interest that could affect the</t>
  </si>
  <si>
    <t>objectivity of Morgan Stanley Research. Investors should consider Morgan Stanley Research as only a</t>
  </si>
  <si>
    <t>single factor in making their investment decision.</t>
  </si>
  <si>
    <t>© Copyright 2018 Morgan Stanley</t>
  </si>
  <si>
    <t>MacroVersion</t>
  </si>
  <si>
    <t>PublishDate</t>
  </si>
  <si>
    <t>Discipline</t>
  </si>
  <si>
    <t>ResearchTopic</t>
  </si>
  <si>
    <t>DocType</t>
  </si>
  <si>
    <t>Model</t>
  </si>
  <si>
    <t>SubjectCode</t>
  </si>
  <si>
    <t>Description</t>
  </si>
  <si>
    <t>KeepVersions</t>
  </si>
  <si>
    <t>All</t>
  </si>
  <si>
    <t>Rating</t>
  </si>
  <si>
    <t>CurrYearTotalRevenue*</t>
  </si>
  <si>
    <t>CurrYearEPS*</t>
  </si>
  <si>
    <t>NextYearTotalRevenue*</t>
  </si>
  <si>
    <t>NextYearEPS*</t>
  </si>
  <si>
    <t>FollowingYearTotalRevenue*</t>
  </si>
  <si>
    <t>FollowingYearEPS*</t>
  </si>
  <si>
    <t>5YearGrowthRate</t>
  </si>
  <si>
    <t>UpdateReason</t>
  </si>
  <si>
    <t>Authors</t>
  </si>
  <si>
    <t>Tickers</t>
  </si>
  <si>
    <t>CUSIP</t>
  </si>
  <si>
    <t>SEDOL</t>
  </si>
  <si>
    <t>PathName</t>
  </si>
  <si>
    <t>Distribution</t>
  </si>
  <si>
    <t>Deleted</t>
  </si>
  <si>
    <t>NO</t>
  </si>
  <si>
    <t>EmailAlert</t>
  </si>
  <si>
    <t>YES</t>
  </si>
  <si>
    <t>CurrQtrEPS</t>
  </si>
  <si>
    <t>CYEnd</t>
  </si>
  <si>
    <t>CQEnd</t>
  </si>
  <si>
    <t>CurrYearTotalRevenueActual*</t>
  </si>
  <si>
    <t>NextYearTotalRevenueActual*</t>
  </si>
  <si>
    <t>FollowingYearTotalRevenueActual*</t>
  </si>
  <si>
    <t>Multiplier</t>
  </si>
  <si>
    <t>TemplateRegion</t>
  </si>
  <si>
    <t>ObjectType</t>
  </si>
  <si>
    <t>excel</t>
  </si>
  <si>
    <t>LanguageCode</t>
  </si>
  <si>
    <t>en-US</t>
  </si>
  <si>
    <t>SubmitterUserId</t>
  </si>
  <si>
    <t>IndustryId</t>
  </si>
  <si>
    <t>TickerRegion</t>
  </si>
  <si>
    <t>AdditionalInstructions</t>
  </si>
  <si>
    <t>*Estimated</t>
  </si>
  <si>
    <t>Overweight / In-Line</t>
  </si>
  <si>
    <t>Regular Update</t>
  </si>
  <si>
    <t>NorthAmerica</t>
  </si>
  <si>
    <t>purohvik</t>
  </si>
  <si>
    <t>92532F100</t>
  </si>
  <si>
    <t>L:\HEALTH\Biotech\Harrison\Models\VRTX_MH.xlsx</t>
  </si>
  <si>
    <t>[BRO MSA]</t>
  </si>
  <si>
    <t>[PRODUCT MODEL]</t>
  </si>
  <si>
    <t>[EMAIL_ALERT YES]</t>
  </si>
  <si>
    <t>[DISCIPLINE Company]</t>
  </si>
  <si>
    <t>[SUPPRESSED NO]</t>
  </si>
  <si>
    <t>[DOCDAT 2018-04-16]</t>
  </si>
  <si>
    <t>[DOCTIME 12:50]</t>
  </si>
  <si>
    <t>[PSYM VRTX.O(S&amp;P) (None)]</t>
  </si>
  <si>
    <t>[COU 1]</t>
  </si>
  <si>
    <t>[ANA ]</t>
  </si>
  <si>
    <t>[HL VRTX.O Model]</t>
  </si>
  <si>
    <t>[IND BIOTEC]</t>
  </si>
  <si>
    <t>[PANA MSA72HLP]</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</si>
</sst>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_-&quot;£&quot;* #,##0.00_-;\-&quot;£&quot;* #,##0.00_-;_-&quot;£&quot;* &quot;-&quot;??_-;_-@_-"/>
    <numFmt numFmtId="165" formatCode="&quot;$&quot;#,##0.0_);\(&quot;$&quot;#,##0.0\)"/>
    <numFmt numFmtId="166" formatCode="#,##0.0_);\(#,##0.0\)"/>
    <numFmt numFmtId="167" formatCode="_(* #,##0.0_);_(* \(#,##0.0\);_(* &quot;-&quot;??_);_(@_)"/>
    <numFmt numFmtId="168" formatCode="_(* #,##0.0_);_(* \(#,##0.0\);_(* &quot;-&quot;?_);_(@_)"/>
    <numFmt numFmtId="169" formatCode="0.0%"/>
    <numFmt numFmtId="170" formatCode="&quot;$&quot;#,##0.0_);[Red]\(&quot;$&quot;#,##0.0\)"/>
    <numFmt numFmtId="171" formatCode="0.0"/>
    <numFmt numFmtId="172" formatCode="#,##0.0"/>
    <numFmt numFmtId="173" formatCode="_(* #,##0.0000_);_(* \(#,##0.0000\);_(* &quot;-&quot;??_);_(@_)"/>
    <numFmt numFmtId="174" formatCode="#,##0.0_);[Red]\(#,##0.0\)"/>
    <numFmt numFmtId="175" formatCode="#,##0.000"/>
    <numFmt numFmtId="176" formatCode="_-[$$-409]* #,##0.0_ ;_-[$$-409]* \-#,##0.0\ ;_-[$$-409]* &quot;-&quot;??_ ;_-@_ "/>
    <numFmt numFmtId="177" formatCode="&quot;$&quot;#,##0"/>
    <numFmt numFmtId="178" formatCode="&quot;$&quot;#,##0.00"/>
    <numFmt numFmtId="179" formatCode="&quot;$&quot;#,##0.0"/>
    <numFmt numFmtId="180" formatCode="_(* #,##0_);_(* \(#,##0\);_(* &quot;-&quot;??_);_(@_)"/>
    <numFmt numFmtId="181" formatCode="_(* #,##0.000_);_(* \(#,##0.000\);_(* &quot;-&quot;??_);_(@_)"/>
    <numFmt numFmtId="183" formatCode="#,##0.000_);\(#,##0.000\)"/>
    <numFmt numFmtId="186" formatCode="#,##0.00000_);\(#,##0.00000\)"/>
    <numFmt numFmtId="197" formatCode="mm/dd/yy\ hh:mm"/>
  </numFmts>
  <fonts count="64">
    <font>
      <sz val="8"/>
      <color indexed="22"/>
      <name val="Arial"/>
      <family val="2"/>
    </font>
    <font>
      <sz val="11"/>
      <color theme="1"/>
      <name val="Calibri"/>
      <family val="2"/>
      <scheme val="minor"/>
    </font>
    <font>
      <sz val="10"/>
      <name val="Arial"/>
      <family val="2"/>
    </font>
    <font>
      <sz val="8"/>
      <color indexed="22"/>
      <name val="Arial"/>
      <family val="2"/>
    </font>
    <font>
      <b/>
      <sz val="10"/>
      <name val="Arial"/>
      <family val="2"/>
    </font>
    <font>
      <sz val="10"/>
      <color indexed="12"/>
      <name val="Arial"/>
      <family val="2"/>
    </font>
    <font>
      <b/>
      <i/>
      <sz val="10"/>
      <color rgb="FFFF0000"/>
      <name val="Arial"/>
      <family val="2"/>
    </font>
    <font>
      <i/>
      <sz val="10"/>
      <name val="Arial"/>
      <family val="2"/>
    </font>
    <font>
      <b/>
      <u/>
      <sz val="10"/>
      <name val="Arial"/>
      <family val="2"/>
    </font>
    <font>
      <b/>
      <u/>
      <sz val="10"/>
      <color rgb="FF00B050"/>
      <name val="Arial"/>
      <family val="2"/>
    </font>
    <font>
      <i/>
      <sz val="10"/>
      <color indexed="53"/>
      <name val="Arial"/>
      <family val="2"/>
    </font>
    <font>
      <sz val="10"/>
      <color indexed="53"/>
      <name val="Arial"/>
      <family val="2"/>
    </font>
    <font>
      <sz val="10"/>
      <color rgb="FF0000FF"/>
      <name val="Arial"/>
      <family val="2"/>
    </font>
    <font>
      <sz val="10"/>
      <color theme="0"/>
      <name val="Arial"/>
      <family val="2"/>
    </font>
    <font>
      <i/>
      <sz val="10"/>
      <color rgb="FFFF0000"/>
      <name val="Arial"/>
      <family val="2"/>
    </font>
    <font>
      <sz val="10"/>
      <color rgb="FFFF0000"/>
      <name val="Arial"/>
      <family val="2"/>
    </font>
    <font>
      <b/>
      <sz val="10"/>
      <color indexed="12"/>
      <name val="Arial"/>
      <family val="2"/>
    </font>
    <font>
      <i/>
      <sz val="10"/>
      <color indexed="10"/>
      <name val="Arial"/>
      <family val="2"/>
    </font>
    <font>
      <sz val="8"/>
      <name val="Arial"/>
      <family val="2"/>
    </font>
    <font>
      <b/>
      <i/>
      <sz val="10"/>
      <name val="Arial"/>
      <family val="2"/>
    </font>
    <font>
      <sz val="9"/>
      <color indexed="81"/>
      <name val="Tahoma"/>
      <family val="2"/>
    </font>
    <font>
      <b/>
      <sz val="9"/>
      <color indexed="81"/>
      <name val="Tahoma"/>
      <family val="2"/>
    </font>
    <font>
      <i/>
      <sz val="10"/>
      <color indexed="12"/>
      <name val="Arial"/>
      <family val="2"/>
    </font>
    <font>
      <b/>
      <sz val="8"/>
      <color indexed="81"/>
      <name val="Tahoma"/>
      <family val="2"/>
    </font>
    <font>
      <sz val="8"/>
      <color indexed="81"/>
      <name val="Tahoma"/>
      <family val="2"/>
    </font>
    <font>
      <sz val="10"/>
      <name val="MS Sans Serif"/>
      <family val="2"/>
    </font>
    <font>
      <b/>
      <sz val="10"/>
      <color indexed="8"/>
      <name val="Times New Roman"/>
      <family val="1"/>
    </font>
    <font>
      <sz val="11"/>
      <color indexed="8"/>
      <name val="Calibri"/>
      <family val="2"/>
    </font>
    <font>
      <sz val="10"/>
      <color indexed="8"/>
      <name val="Arial"/>
      <family val="2"/>
    </font>
    <font>
      <sz val="12"/>
      <color theme="1"/>
      <name val="Calibri"/>
      <family val="2"/>
      <scheme val="minor"/>
    </font>
    <font>
      <sz val="9"/>
      <name val="Times New Roman"/>
      <family val="1"/>
    </font>
    <font>
      <sz val="10"/>
      <color indexed="8"/>
      <name val="Times New Roman"/>
      <family val="1"/>
    </font>
    <font>
      <i/>
      <sz val="8"/>
      <name val="Times New Roman"/>
      <family val="1"/>
    </font>
    <font>
      <b/>
      <sz val="10"/>
      <color theme="0"/>
      <name val="Arial"/>
      <family val="2"/>
    </font>
    <font>
      <sz val="10"/>
      <color theme="6" tint="-0.499984740745262"/>
      <name val="Arial"/>
      <family val="2"/>
    </font>
    <font>
      <sz val="10"/>
      <color indexed="22"/>
      <name val="Arial"/>
      <family val="2"/>
    </font>
    <font>
      <b/>
      <sz val="10"/>
      <color indexed="22"/>
      <name val="Arial"/>
      <family val="2"/>
    </font>
    <font>
      <sz val="10"/>
      <color theme="1"/>
      <name val="Arial"/>
      <family val="2"/>
    </font>
    <font>
      <b/>
      <sz val="10"/>
      <color rgb="FF0000FF"/>
      <name val="Arial"/>
      <family val="2"/>
    </font>
    <font>
      <sz val="8"/>
      <color rgb="FFFF0000"/>
      <name val="Arial"/>
      <family val="2"/>
    </font>
    <font>
      <b/>
      <sz val="10"/>
      <color rgb="FFFF0000"/>
      <name val="Arial"/>
      <family val="2"/>
    </font>
    <font>
      <sz val="10"/>
      <name val="Arial"/>
      <family val="2"/>
    </font>
    <font>
      <b/>
      <sz val="10"/>
      <color indexed="8"/>
      <name val="Arial"/>
      <family val="2"/>
    </font>
    <font>
      <i/>
      <sz val="10"/>
      <color indexed="8"/>
      <name val="Arial"/>
      <family val="2"/>
    </font>
    <font>
      <sz val="11"/>
      <color theme="1"/>
      <name val="Arial"/>
      <family val="2"/>
    </font>
    <font>
      <sz val="10"/>
      <color indexed="23"/>
      <name val="Arial"/>
      <family val="2"/>
    </font>
    <font>
      <sz val="10"/>
      <color indexed="9"/>
      <name val="Arial"/>
      <family val="2"/>
    </font>
    <font>
      <sz val="10"/>
      <name val="Geneva"/>
      <family val="2"/>
    </font>
    <font>
      <sz val="12"/>
      <name val="바탕체"/>
      <family val="3"/>
      <charset val="129"/>
    </font>
    <font>
      <sz val="12"/>
      <name val="바탕체"/>
      <family val="3"/>
    </font>
    <font>
      <sz val="10"/>
      <name val="Helv"/>
    </font>
    <font>
      <b/>
      <i/>
      <sz val="11"/>
      <name val="Calibri"/>
      <family val="2"/>
      <scheme val="minor"/>
    </font>
    <font>
      <sz val="10"/>
      <name val="Arial"/>
      <family val="2"/>
    </font>
    <font>
      <b/>
      <sz val="10"/>
      <color theme="1"/>
      <name val="Arial"/>
      <family val="2"/>
    </font>
    <font>
      <b/>
      <u/>
      <sz val="10"/>
      <color theme="1"/>
      <name val="Arial"/>
      <family val="2"/>
    </font>
    <font>
      <b/>
      <i/>
      <sz val="10"/>
      <color theme="1"/>
      <name val="Arial"/>
      <family val="2"/>
    </font>
    <font>
      <i/>
      <sz val="10"/>
      <color theme="1"/>
      <name val="Arial"/>
      <family val="2"/>
    </font>
    <font>
      <u/>
      <sz val="10"/>
      <color theme="10"/>
      <name val="Arial"/>
      <family val="2"/>
    </font>
    <font>
      <sz val="10"/>
      <name val="Arial"/>
      <family val="2"/>
    </font>
    <font>
      <sz val="8"/>
      <color theme="1"/>
      <name val="Arial"/>
      <family val="2"/>
    </font>
    <font>
      <sz val="10"/>
      <name val="Courier"/>
      <family val="3"/>
    </font>
    <font>
      <sz val="11"/>
      <name val="Arial"/>
      <family val="2"/>
    </font>
    <font>
      <sz val="10"/>
      <color rgb="FF000000"/>
      <name val="Arial"/>
      <family val="2"/>
    </font>
    <font>
      <b/>
      <sz val="12"/>
      <color rgb="FF000080"/>
      <name val="Arial"/>
      <family val="2"/>
    </font>
  </fonts>
  <fills count="20">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
      <patternFill patternType="solid">
        <fgColor indexed="43"/>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0066FF"/>
        <bgColor indexed="64"/>
      </patternFill>
    </fill>
    <fill>
      <patternFill patternType="solid">
        <fgColor rgb="FFFFFF99"/>
        <bgColor indexed="64"/>
      </patternFill>
    </fill>
    <fill>
      <patternFill patternType="solid">
        <fgColor rgb="FFFF0000"/>
        <bgColor indexed="64"/>
      </patternFill>
    </fill>
    <fill>
      <patternFill patternType="solid">
        <fgColor indexed="65"/>
        <bgColor indexed="64"/>
      </patternFill>
    </fill>
    <fill>
      <patternFill patternType="solid">
        <fgColor rgb="FFFFFF00"/>
        <bgColor indexed="64"/>
      </patternFill>
    </fill>
    <fill>
      <patternFill patternType="solid">
        <fgColor rgb="FFF4CBBF"/>
        <bgColor indexed="64"/>
      </patternFill>
    </fill>
    <fill>
      <patternFill patternType="solid">
        <fgColor rgb="FFACD6FF"/>
        <bgColor indexed="64"/>
      </patternFill>
    </fill>
    <fill>
      <patternFill patternType="solid">
        <fgColor rgb="FFF2F2F2"/>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0E73E2"/>
        <bgColor indexed="64"/>
      </patternFill>
    </fill>
  </fills>
  <borders count="44">
    <border>
      <left/>
      <right/>
      <top/>
      <bottom/>
      <diagonal/>
    </border>
    <border>
      <left/>
      <right style="thin">
        <color indexed="64"/>
      </right>
      <top/>
      <bottom style="medium">
        <color indexed="64"/>
      </bottom>
      <diagonal/>
    </border>
    <border>
      <left/>
      <right style="thin">
        <color indexed="64"/>
      </right>
      <top/>
      <bottom style="thin">
        <color indexed="64"/>
      </bottom>
      <diagonal/>
    </border>
    <border>
      <left/>
      <right/>
      <top style="medium">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double">
        <color indexed="64"/>
      </bottom>
      <diagonal/>
    </border>
    <border>
      <left/>
      <right style="thin">
        <color auto="1"/>
      </right>
      <top style="thin">
        <color indexed="64"/>
      </top>
      <bottom style="double">
        <color indexed="64"/>
      </bottom>
      <diagonal/>
    </border>
    <border>
      <left style="thin">
        <color indexed="64"/>
      </left>
      <right/>
      <top/>
      <bottom style="thin">
        <color indexed="64"/>
      </bottom>
      <diagonal/>
    </border>
    <border>
      <left/>
      <right/>
      <top style="medium">
        <color indexed="64"/>
      </top>
      <bottom style="medium">
        <color indexed="64"/>
      </bottom>
      <diagonal/>
    </border>
    <border>
      <left/>
      <right/>
      <top/>
      <bottom style="thin">
        <color indexed="8"/>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auto="1"/>
      </right>
      <top style="thin">
        <color indexed="64"/>
      </top>
      <bottom/>
      <diagonal/>
    </border>
    <border>
      <left style="thin">
        <color indexed="64"/>
      </left>
      <right style="thin">
        <color auto="1"/>
      </right>
      <top/>
      <bottom/>
      <diagonal/>
    </border>
    <border>
      <left style="thin">
        <color indexed="64"/>
      </left>
      <right style="thin">
        <color auto="1"/>
      </right>
      <top/>
      <bottom style="thin">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auto="1"/>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top style="thin">
        <color auto="1"/>
      </top>
      <bottom style="medium">
        <color auto="1"/>
      </bottom>
      <diagonal/>
    </border>
    <border>
      <left/>
      <right style="thin">
        <color indexed="64"/>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56">
    <xf numFmtId="0" fontId="0" fillId="0" borderId="0"/>
    <xf numFmtId="43"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6" fillId="0" borderId="0"/>
    <xf numFmtId="0" fontId="2" fillId="0" borderId="0"/>
    <xf numFmtId="0" fontId="29" fillId="0" borderId="0"/>
    <xf numFmtId="0" fontId="29" fillId="0" borderId="0"/>
    <xf numFmtId="0" fontId="29" fillId="0" borderId="0"/>
    <xf numFmtId="0" fontId="30" fillId="0" borderId="0">
      <alignment vertical="center"/>
    </xf>
    <xf numFmtId="9" fontId="27" fillId="0" borderId="0" applyFont="0" applyFill="0" applyBorder="0" applyAlignment="0" applyProtection="0"/>
    <xf numFmtId="9" fontId="2" fillId="0" borderId="0" applyFont="0" applyFill="0" applyBorder="0" applyAlignment="0" applyProtection="0"/>
    <xf numFmtId="0" fontId="31" fillId="0" borderId="0"/>
    <xf numFmtId="0" fontId="31" fillId="0" borderId="18">
      <alignment horizontal="centerContinuous"/>
    </xf>
    <xf numFmtId="0" fontId="32" fillId="0" borderId="18"/>
    <xf numFmtId="0" fontId="41" fillId="0" borderId="0"/>
    <xf numFmtId="9" fontId="41" fillId="0" borderId="0" applyFont="0" applyFill="0" applyBorder="0" applyAlignment="0" applyProtection="0"/>
    <xf numFmtId="0" fontId="44" fillId="0" borderId="0"/>
    <xf numFmtId="0" fontId="2" fillId="0" borderId="0"/>
    <xf numFmtId="0" fontId="2" fillId="0" borderId="0"/>
    <xf numFmtId="0" fontId="2" fillId="0" borderId="0"/>
    <xf numFmtId="0" fontId="2" fillId="0" borderId="0">
      <alignment vertical="top"/>
    </xf>
    <xf numFmtId="0" fontId="2" fillId="0" borderId="0">
      <alignment vertical="top"/>
    </xf>
    <xf numFmtId="0" fontId="2" fillId="0" borderId="0" applyNumberFormat="0" applyFill="0" applyBorder="0" applyAlignment="0" applyProtection="0"/>
    <xf numFmtId="0" fontId="50" fillId="0" borderId="0"/>
    <xf numFmtId="0" fontId="2" fillId="6" borderId="0" applyNumberFormat="0" applyFont="0" applyBorder="0" applyAlignment="0" applyProtection="0"/>
    <xf numFmtId="0" fontId="25" fillId="0" borderId="0"/>
    <xf numFmtId="16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xf numFmtId="0" fontId="2" fillId="0" borderId="0"/>
    <xf numFmtId="4" fontId="47" fillId="0" borderId="0" applyFont="0" applyFill="0" applyBorder="0" applyAlignment="0" applyProtection="0"/>
    <xf numFmtId="0" fontId="2" fillId="0" borderId="0" applyFont="0" applyFill="0" applyBorder="0" applyAlignment="0" applyProtection="0"/>
    <xf numFmtId="0" fontId="48" fillId="0" borderId="0" applyFont="0" applyFill="0" applyBorder="0" applyAlignment="0" applyProtection="0"/>
    <xf numFmtId="0" fontId="49" fillId="0" borderId="0"/>
    <xf numFmtId="44" fontId="2" fillId="0" borderId="0" applyFont="0" applyFill="0" applyBorder="0" applyAlignment="0" applyProtection="0"/>
    <xf numFmtId="0" fontId="52" fillId="0" borderId="0"/>
    <xf numFmtId="44" fontId="52" fillId="0" borderId="0" applyFont="0" applyFill="0" applyBorder="0" applyAlignment="0" applyProtection="0"/>
    <xf numFmtId="0" fontId="57" fillId="0" borderId="0" applyNumberFormat="0" applyFill="0" applyBorder="0" applyAlignment="0" applyProtection="0">
      <alignment vertical="top"/>
      <protection locked="0"/>
    </xf>
    <xf numFmtId="0" fontId="1" fillId="0" borderId="0"/>
    <xf numFmtId="0" fontId="58" fillId="0" borderId="0"/>
    <xf numFmtId="44" fontId="58" fillId="0" borderId="0" applyFont="0" applyFill="0" applyBorder="0" applyAlignment="0" applyProtection="0"/>
    <xf numFmtId="0" fontId="60" fillId="0" borderId="0"/>
  </cellStyleXfs>
  <cellXfs count="821">
    <xf numFmtId="0" fontId="0" fillId="0" borderId="0" xfId="0"/>
    <xf numFmtId="0" fontId="2" fillId="2" borderId="0" xfId="0" applyFont="1" applyFill="1" applyBorder="1"/>
    <xf numFmtId="0" fontId="0" fillId="2" borderId="0" xfId="0" applyFill="1"/>
    <xf numFmtId="0" fontId="0" fillId="2" borderId="1" xfId="0" applyFill="1" applyBorder="1"/>
    <xf numFmtId="0" fontId="4" fillId="2" borderId="2" xfId="0" applyFont="1" applyFill="1" applyBorder="1" applyAlignment="1">
      <alignment horizontal="left"/>
    </xf>
    <xf numFmtId="165" fontId="4" fillId="2" borderId="3" xfId="0" applyNumberFormat="1" applyFont="1" applyFill="1" applyBorder="1" applyAlignment="1">
      <alignment horizontal="center"/>
    </xf>
    <xf numFmtId="0" fontId="4" fillId="2" borderId="3" xfId="0" applyNumberFormat="1" applyFont="1" applyFill="1" applyBorder="1" applyAlignment="1">
      <alignment horizontal="center"/>
    </xf>
    <xf numFmtId="0" fontId="4" fillId="2" borderId="0" xfId="0" applyFont="1" applyFill="1" applyBorder="1"/>
    <xf numFmtId="166" fontId="4" fillId="3" borderId="0" xfId="1" applyNumberFormat="1" applyFont="1" applyFill="1" applyBorder="1" applyAlignment="1"/>
    <xf numFmtId="166" fontId="5" fillId="3" borderId="0" xfId="1" applyNumberFormat="1" applyFont="1" applyFill="1" applyBorder="1" applyAlignment="1"/>
    <xf numFmtId="166" fontId="5" fillId="3" borderId="0" xfId="1" applyNumberFormat="1" applyFont="1" applyFill="1" applyBorder="1"/>
    <xf numFmtId="166" fontId="4" fillId="2" borderId="0" xfId="1" applyNumberFormat="1" applyFont="1" applyFill="1" applyBorder="1" applyAlignment="1"/>
    <xf numFmtId="166" fontId="2" fillId="2" borderId="0" xfId="1" applyNumberFormat="1" applyFont="1" applyFill="1" applyBorder="1" applyAlignment="1"/>
    <xf numFmtId="0" fontId="4" fillId="2" borderId="4" xfId="0" applyFont="1" applyFill="1" applyBorder="1"/>
    <xf numFmtId="0" fontId="2" fillId="2" borderId="4" xfId="0" applyFont="1" applyFill="1" applyBorder="1"/>
    <xf numFmtId="0" fontId="2" fillId="2" borderId="4" xfId="0" applyFont="1" applyFill="1" applyBorder="1" applyAlignment="1">
      <alignment horizontal="left" indent="1"/>
    </xf>
    <xf numFmtId="0" fontId="0" fillId="2" borderId="5" xfId="0" applyFill="1" applyBorder="1"/>
    <xf numFmtId="165" fontId="4" fillId="2" borderId="6" xfId="0" applyNumberFormat="1" applyFont="1" applyFill="1" applyBorder="1" applyAlignment="1">
      <alignment horizontal="center"/>
    </xf>
    <xf numFmtId="166" fontId="4" fillId="3" borderId="5" xfId="1" applyNumberFormat="1" applyFont="1" applyFill="1" applyBorder="1" applyAlignment="1"/>
    <xf numFmtId="166" fontId="5" fillId="3" borderId="5" xfId="1" applyNumberFormat="1" applyFont="1" applyFill="1" applyBorder="1" applyAlignment="1"/>
    <xf numFmtId="0" fontId="2" fillId="2" borderId="5" xfId="0" applyFont="1" applyFill="1" applyBorder="1"/>
    <xf numFmtId="167" fontId="4" fillId="0" borderId="7" xfId="1" applyNumberFormat="1" applyFont="1" applyFill="1" applyBorder="1"/>
    <xf numFmtId="166" fontId="4" fillId="3" borderId="8" xfId="1" applyNumberFormat="1" applyFont="1" applyFill="1" applyBorder="1" applyAlignment="1"/>
    <xf numFmtId="166" fontId="4" fillId="3" borderId="9" xfId="1" applyNumberFormat="1" applyFont="1" applyFill="1" applyBorder="1" applyAlignment="1"/>
    <xf numFmtId="166" fontId="4" fillId="2" borderId="9" xfId="1" applyNumberFormat="1" applyFont="1" applyFill="1" applyBorder="1" applyAlignment="1"/>
    <xf numFmtId="168" fontId="2" fillId="2" borderId="4" xfId="1" applyNumberFormat="1" applyFont="1" applyFill="1" applyBorder="1" applyAlignment="1">
      <alignment horizontal="left"/>
    </xf>
    <xf numFmtId="0" fontId="7" fillId="2" borderId="4" xfId="0" applyFont="1" applyFill="1" applyBorder="1"/>
    <xf numFmtId="0" fontId="7" fillId="2" borderId="0" xfId="0" applyFont="1" applyFill="1" applyBorder="1"/>
    <xf numFmtId="169" fontId="2" fillId="2" borderId="0" xfId="2" applyNumberFormat="1" applyFont="1" applyFill="1" applyBorder="1" applyAlignment="1"/>
    <xf numFmtId="169" fontId="2" fillId="3" borderId="0" xfId="2" applyNumberFormat="1" applyFont="1" applyFill="1" applyBorder="1" applyAlignment="1"/>
    <xf numFmtId="169" fontId="2" fillId="3" borderId="0" xfId="2" applyNumberFormat="1" applyFont="1" applyFill="1" applyBorder="1"/>
    <xf numFmtId="0" fontId="4" fillId="2" borderId="7" xfId="0" applyFont="1" applyFill="1" applyBorder="1"/>
    <xf numFmtId="0" fontId="4" fillId="2" borderId="10" xfId="0" applyFont="1" applyFill="1" applyBorder="1"/>
    <xf numFmtId="166" fontId="4" fillId="3" borderId="11" xfId="1" applyNumberFormat="1" applyFont="1" applyFill="1" applyBorder="1" applyAlignment="1"/>
    <xf numFmtId="166" fontId="4" fillId="3" borderId="12" xfId="1" applyNumberFormat="1" applyFont="1" applyFill="1" applyBorder="1" applyAlignment="1"/>
    <xf numFmtId="166" fontId="4" fillId="2" borderId="12" xfId="1" applyNumberFormat="1" applyFont="1" applyFill="1" applyBorder="1" applyAlignment="1"/>
    <xf numFmtId="0" fontId="2" fillId="5" borderId="4" xfId="0" applyFont="1" applyFill="1" applyBorder="1"/>
    <xf numFmtId="167" fontId="2" fillId="5" borderId="4" xfId="1" applyNumberFormat="1" applyFont="1" applyFill="1" applyBorder="1"/>
    <xf numFmtId="169" fontId="2" fillId="5" borderId="4" xfId="0" applyNumberFormat="1" applyFont="1" applyFill="1" applyBorder="1"/>
    <xf numFmtId="167" fontId="2" fillId="5" borderId="4" xfId="0" applyNumberFormat="1" applyFont="1" applyFill="1" applyBorder="1"/>
    <xf numFmtId="167" fontId="7" fillId="5" borderId="4" xfId="1" applyNumberFormat="1" applyFont="1" applyFill="1" applyBorder="1"/>
    <xf numFmtId="166" fontId="4" fillId="5" borderId="4" xfId="0" applyNumberFormat="1" applyFont="1" applyFill="1" applyBorder="1" applyAlignment="1">
      <alignment horizontal="left"/>
    </xf>
    <xf numFmtId="166" fontId="2" fillId="5" borderId="4" xfId="0" applyNumberFormat="1" applyFont="1" applyFill="1" applyBorder="1" applyAlignment="1">
      <alignment horizontal="left" indent="1"/>
    </xf>
    <xf numFmtId="167" fontId="2" fillId="5" borderId="4" xfId="0" applyNumberFormat="1" applyFont="1" applyFill="1" applyBorder="1" applyAlignment="1">
      <alignment horizontal="left" indent="1"/>
    </xf>
    <xf numFmtId="165" fontId="4" fillId="5" borderId="4" xfId="0" applyNumberFormat="1" applyFont="1" applyFill="1" applyBorder="1"/>
    <xf numFmtId="0" fontId="8" fillId="5" borderId="4" xfId="0" applyFont="1" applyFill="1" applyBorder="1"/>
    <xf numFmtId="167" fontId="2" fillId="5" borderId="4" xfId="0" applyNumberFormat="1" applyFont="1" applyFill="1" applyBorder="1" applyAlignment="1"/>
    <xf numFmtId="0" fontId="4" fillId="5" borderId="7" xfId="0" applyFont="1" applyFill="1" applyBorder="1"/>
    <xf numFmtId="0" fontId="0" fillId="5" borderId="13" xfId="0" applyFill="1" applyBorder="1"/>
    <xf numFmtId="167" fontId="2" fillId="5" borderId="13" xfId="1" applyNumberFormat="1" applyFont="1" applyFill="1" applyBorder="1"/>
    <xf numFmtId="0" fontId="4" fillId="5" borderId="13" xfId="0" applyFont="1" applyFill="1" applyBorder="1"/>
    <xf numFmtId="0" fontId="0" fillId="5" borderId="0" xfId="0" applyFill="1" applyBorder="1"/>
    <xf numFmtId="0" fontId="4" fillId="5" borderId="0" xfId="0" applyFont="1" applyFill="1" applyBorder="1"/>
    <xf numFmtId="168" fontId="0" fillId="5" borderId="0" xfId="0" applyNumberFormat="1" applyFill="1"/>
    <xf numFmtId="168" fontId="4" fillId="5" borderId="0" xfId="0" applyNumberFormat="1" applyFont="1" applyFill="1" applyBorder="1"/>
    <xf numFmtId="43" fontId="4" fillId="5" borderId="0" xfId="0" applyNumberFormat="1" applyFont="1" applyFill="1" applyBorder="1"/>
    <xf numFmtId="0" fontId="0" fillId="5" borderId="0" xfId="0" applyFill="1"/>
    <xf numFmtId="167" fontId="5" fillId="5" borderId="0" xfId="1" applyNumberFormat="1" applyFont="1" applyFill="1" applyBorder="1"/>
    <xf numFmtId="167" fontId="2" fillId="5" borderId="0" xfId="1" applyNumberFormat="1" applyFont="1" applyFill="1" applyBorder="1"/>
    <xf numFmtId="167" fontId="4" fillId="5" borderId="0" xfId="1" applyNumberFormat="1" applyFont="1" applyFill="1" applyBorder="1"/>
    <xf numFmtId="167" fontId="4" fillId="5" borderId="14" xfId="1" applyNumberFormat="1" applyFont="1" applyFill="1" applyBorder="1"/>
    <xf numFmtId="0" fontId="2" fillId="5" borderId="0" xfId="0" applyFont="1" applyFill="1" applyBorder="1"/>
    <xf numFmtId="167" fontId="0" fillId="5" borderId="0" xfId="0" applyNumberFormat="1" applyFill="1"/>
    <xf numFmtId="167" fontId="4" fillId="5" borderId="9" xfId="1" applyNumberFormat="1" applyFont="1" applyFill="1" applyBorder="1"/>
    <xf numFmtId="0" fontId="2" fillId="5" borderId="0" xfId="0" applyFont="1" applyFill="1"/>
    <xf numFmtId="167" fontId="2" fillId="5" borderId="0" xfId="1" applyNumberFormat="1" applyFont="1" applyFill="1"/>
    <xf numFmtId="0" fontId="4" fillId="5" borderId="0" xfId="0" applyNumberFormat="1" applyFont="1" applyFill="1" applyBorder="1"/>
    <xf numFmtId="166" fontId="2" fillId="5" borderId="0" xfId="0" applyNumberFormat="1" applyFont="1" applyFill="1" applyBorder="1"/>
    <xf numFmtId="171" fontId="2" fillId="5" borderId="0" xfId="0" applyNumberFormat="1" applyFont="1" applyFill="1" applyBorder="1" applyAlignment="1">
      <alignment horizontal="right"/>
    </xf>
    <xf numFmtId="169" fontId="2" fillId="5" borderId="0" xfId="0" applyNumberFormat="1" applyFont="1" applyFill="1" applyBorder="1"/>
    <xf numFmtId="169" fontId="2" fillId="5" borderId="0" xfId="0" applyNumberFormat="1" applyFont="1" applyFill="1" applyBorder="1" applyAlignment="1">
      <alignment horizontal="right"/>
    </xf>
    <xf numFmtId="172" fontId="0" fillId="5" borderId="0" xfId="0" applyNumberFormat="1" applyFill="1"/>
    <xf numFmtId="172" fontId="2" fillId="5" borderId="0" xfId="0" applyNumberFormat="1" applyFont="1" applyFill="1" applyBorder="1" applyAlignment="1">
      <alignment horizontal="right"/>
    </xf>
    <xf numFmtId="169" fontId="12" fillId="5" borderId="0" xfId="0" applyNumberFormat="1" applyFont="1" applyFill="1" applyBorder="1" applyAlignment="1">
      <alignment horizontal="right"/>
    </xf>
    <xf numFmtId="169" fontId="0" fillId="5" borderId="0" xfId="0" applyNumberFormat="1" applyFill="1"/>
    <xf numFmtId="167" fontId="0" fillId="5" borderId="0" xfId="1" applyNumberFormat="1" applyFont="1" applyFill="1"/>
    <xf numFmtId="171" fontId="2" fillId="5" borderId="0" xfId="0" applyNumberFormat="1" applyFont="1" applyFill="1"/>
    <xf numFmtId="171" fontId="0" fillId="5" borderId="0" xfId="0" applyNumberFormat="1" applyFill="1"/>
    <xf numFmtId="0" fontId="0" fillId="5" borderId="2" xfId="0" applyFill="1" applyBorder="1"/>
    <xf numFmtId="0" fontId="4" fillId="5" borderId="4" xfId="0" applyFont="1" applyFill="1" applyBorder="1" applyAlignment="1">
      <alignment horizontal="left"/>
    </xf>
    <xf numFmtId="168" fontId="4" fillId="5" borderId="4" xfId="0" applyNumberFormat="1" applyFont="1" applyFill="1" applyBorder="1"/>
    <xf numFmtId="0" fontId="2" fillId="5" borderId="4" xfId="0" applyFont="1" applyFill="1" applyBorder="1" applyAlignment="1">
      <alignment horizontal="left" indent="1"/>
    </xf>
    <xf numFmtId="0" fontId="2" fillId="5" borderId="10" xfId="0" applyFont="1" applyFill="1" applyBorder="1"/>
    <xf numFmtId="0" fontId="4" fillId="5" borderId="4" xfId="0" applyFont="1" applyFill="1" applyBorder="1"/>
    <xf numFmtId="0" fontId="4" fillId="5" borderId="15" xfId="0" applyFont="1" applyFill="1" applyBorder="1"/>
    <xf numFmtId="165" fontId="4" fillId="5" borderId="7" xfId="0" applyNumberFormat="1" applyFont="1" applyFill="1" applyBorder="1"/>
    <xf numFmtId="0" fontId="4" fillId="5" borderId="15" xfId="0" applyFont="1" applyFill="1" applyBorder="1" applyAlignment="1">
      <alignment horizontal="left"/>
    </xf>
    <xf numFmtId="0" fontId="10" fillId="5" borderId="4" xfId="0" applyFont="1" applyFill="1" applyBorder="1"/>
    <xf numFmtId="0" fontId="0" fillId="5" borderId="4" xfId="0" applyFill="1" applyBorder="1"/>
    <xf numFmtId="0" fontId="4" fillId="5" borderId="4" xfId="0" applyNumberFormat="1" applyFont="1" applyFill="1" applyBorder="1"/>
    <xf numFmtId="166" fontId="2" fillId="5" borderId="4" xfId="0" applyNumberFormat="1" applyFont="1" applyFill="1" applyBorder="1"/>
    <xf numFmtId="168" fontId="0" fillId="5" borderId="0" xfId="0" applyNumberFormat="1" applyFill="1" applyBorder="1"/>
    <xf numFmtId="172" fontId="0" fillId="5" borderId="0" xfId="0" applyNumberFormat="1" applyFill="1" applyBorder="1"/>
    <xf numFmtId="43" fontId="0" fillId="5" borderId="13" xfId="0" applyNumberFormat="1" applyFill="1" applyBorder="1"/>
    <xf numFmtId="167" fontId="16" fillId="5" borderId="0" xfId="1" applyNumberFormat="1" applyFont="1" applyFill="1" applyBorder="1"/>
    <xf numFmtId="167" fontId="5" fillId="5" borderId="13" xfId="1" applyNumberFormat="1" applyFont="1" applyFill="1" applyBorder="1"/>
    <xf numFmtId="173" fontId="5" fillId="5" borderId="0" xfId="1" applyNumberFormat="1" applyFont="1" applyFill="1" applyBorder="1"/>
    <xf numFmtId="0" fontId="4" fillId="5" borderId="0" xfId="4" applyFont="1" applyFill="1" applyBorder="1" applyAlignment="1">
      <alignment horizontal="left"/>
    </xf>
    <xf numFmtId="9" fontId="13" fillId="5" borderId="0" xfId="0" applyNumberFormat="1" applyFont="1" applyFill="1"/>
    <xf numFmtId="166" fontId="2" fillId="5" borderId="0" xfId="1" applyNumberFormat="1" applyFont="1" applyFill="1" applyBorder="1"/>
    <xf numFmtId="167" fontId="5" fillId="5" borderId="0" xfId="0" applyNumberFormat="1" applyFont="1" applyFill="1" applyBorder="1" applyAlignment="1"/>
    <xf numFmtId="166" fontId="2" fillId="5" borderId="0" xfId="4" applyNumberFormat="1" applyFont="1" applyFill="1" applyBorder="1"/>
    <xf numFmtId="174" fontId="5" fillId="5" borderId="0" xfId="0" applyNumberFormat="1" applyFont="1" applyFill="1" applyBorder="1" applyAlignment="1"/>
    <xf numFmtId="167" fontId="5" fillId="5" borderId="0" xfId="1" applyNumberFormat="1" applyFont="1" applyFill="1" applyBorder="1" applyAlignment="1"/>
    <xf numFmtId="167" fontId="5" fillId="5" borderId="0" xfId="1" applyNumberFormat="1" applyFont="1" applyFill="1"/>
    <xf numFmtId="8" fontId="5" fillId="5" borderId="0" xfId="3" applyNumberFormat="1" applyFont="1" applyFill="1" applyBorder="1" applyAlignment="1"/>
    <xf numFmtId="43" fontId="5" fillId="5" borderId="0" xfId="1" applyFont="1" applyFill="1" applyBorder="1" applyAlignment="1"/>
    <xf numFmtId="169" fontId="2" fillId="5" borderId="0" xfId="0" applyNumberFormat="1" applyFont="1" applyFill="1" applyBorder="1" applyAlignment="1"/>
    <xf numFmtId="167" fontId="7" fillId="5" borderId="0" xfId="1" applyNumberFormat="1" applyFont="1" applyFill="1"/>
    <xf numFmtId="0" fontId="11" fillId="5" borderId="0" xfId="0" applyFont="1" applyFill="1"/>
    <xf numFmtId="167" fontId="4" fillId="5" borderId="0" xfId="0" applyNumberFormat="1" applyFont="1" applyFill="1"/>
    <xf numFmtId="167" fontId="17" fillId="5" borderId="0" xfId="0" applyNumberFormat="1" applyFont="1" applyFill="1"/>
    <xf numFmtId="166" fontId="5" fillId="5" borderId="0" xfId="1" applyNumberFormat="1" applyFont="1" applyFill="1" applyBorder="1"/>
    <xf numFmtId="0" fontId="18" fillId="2" borderId="0" xfId="0" applyFont="1" applyFill="1"/>
    <xf numFmtId="166" fontId="2" fillId="3" borderId="0" xfId="1" applyNumberFormat="1" applyFont="1" applyFill="1" applyBorder="1" applyAlignment="1"/>
    <xf numFmtId="166" fontId="2" fillId="3" borderId="0" xfId="1" applyNumberFormat="1" applyFont="1" applyFill="1" applyBorder="1"/>
    <xf numFmtId="166" fontId="2" fillId="3" borderId="5" xfId="1" applyNumberFormat="1" applyFont="1" applyFill="1" applyBorder="1" applyAlignment="1"/>
    <xf numFmtId="171" fontId="2" fillId="2" borderId="0" xfId="0" applyNumberFormat="1" applyFont="1" applyFill="1" applyBorder="1"/>
    <xf numFmtId="7" fontId="4" fillId="2" borderId="9" xfId="1" applyNumberFormat="1" applyFont="1" applyFill="1" applyBorder="1" applyAlignment="1"/>
    <xf numFmtId="0" fontId="2" fillId="2" borderId="4" xfId="0" applyFont="1" applyFill="1" applyBorder="1" applyAlignment="1">
      <alignment horizontal="left" indent="2"/>
    </xf>
    <xf numFmtId="0" fontId="4" fillId="5" borderId="2" xfId="0" applyFont="1" applyFill="1" applyBorder="1"/>
    <xf numFmtId="0" fontId="4" fillId="5" borderId="4" xfId="4" applyFont="1" applyFill="1" applyBorder="1" applyAlignment="1">
      <alignment horizontal="left"/>
    </xf>
    <xf numFmtId="166" fontId="2" fillId="5" borderId="4" xfId="1" applyNumberFormat="1" applyFont="1" applyFill="1" applyBorder="1"/>
    <xf numFmtId="169" fontId="2" fillId="5" borderId="4" xfId="4" applyNumberFormat="1" applyFont="1" applyFill="1" applyBorder="1"/>
    <xf numFmtId="166" fontId="2" fillId="5" borderId="4" xfId="4" applyNumberFormat="1" applyFont="1" applyFill="1" applyBorder="1"/>
    <xf numFmtId="166" fontId="7" fillId="5" borderId="4" xfId="4" applyNumberFormat="1" applyFont="1" applyFill="1" applyBorder="1"/>
    <xf numFmtId="0" fontId="11" fillId="5" borderId="4" xfId="0" applyFont="1" applyFill="1" applyBorder="1"/>
    <xf numFmtId="165" fontId="4" fillId="5" borderId="4" xfId="4" applyNumberFormat="1" applyFont="1" applyFill="1" applyBorder="1"/>
    <xf numFmtId="175" fontId="0" fillId="5" borderId="0" xfId="0" applyNumberFormat="1" applyFill="1"/>
    <xf numFmtId="0" fontId="2" fillId="5" borderId="4" xfId="0" applyFont="1" applyFill="1" applyBorder="1" applyAlignment="1">
      <alignment horizontal="left" indent="2"/>
    </xf>
    <xf numFmtId="173" fontId="2" fillId="5" borderId="0" xfId="0" applyNumberFormat="1" applyFont="1" applyFill="1" applyBorder="1" applyAlignment="1"/>
    <xf numFmtId="169" fontId="2" fillId="5" borderId="0" xfId="2" applyNumberFormat="1" applyFont="1" applyFill="1" applyBorder="1" applyAlignment="1">
      <alignment horizontal="right"/>
    </xf>
    <xf numFmtId="166" fontId="5" fillId="0" borderId="0" xfId="1" applyNumberFormat="1" applyFont="1" applyFill="1" applyBorder="1" applyAlignment="1"/>
    <xf numFmtId="166" fontId="2" fillId="2" borderId="0" xfId="0" applyNumberFormat="1" applyFont="1" applyFill="1" applyBorder="1"/>
    <xf numFmtId="169" fontId="2" fillId="2" borderId="0" xfId="2" applyNumberFormat="1" applyFont="1" applyFill="1" applyBorder="1"/>
    <xf numFmtId="166" fontId="4" fillId="2" borderId="0" xfId="0" applyNumberFormat="1" applyFont="1" applyFill="1" applyBorder="1"/>
    <xf numFmtId="169" fontId="2" fillId="2" borderId="0" xfId="0" applyNumberFormat="1" applyFont="1" applyFill="1" applyBorder="1"/>
    <xf numFmtId="0" fontId="4" fillId="2" borderId="2" xfId="0" applyFont="1" applyFill="1" applyBorder="1"/>
    <xf numFmtId="166" fontId="4" fillId="3" borderId="16" xfId="1" applyNumberFormat="1" applyFont="1" applyFill="1" applyBorder="1" applyAlignment="1"/>
    <xf numFmtId="166" fontId="4" fillId="3" borderId="13" xfId="1" applyNumberFormat="1" applyFont="1" applyFill="1" applyBorder="1" applyAlignment="1"/>
    <xf numFmtId="7" fontId="4" fillId="2" borderId="13" xfId="1" applyNumberFormat="1" applyFont="1" applyFill="1" applyBorder="1" applyAlignment="1"/>
    <xf numFmtId="0" fontId="2" fillId="0" borderId="0" xfId="5"/>
    <xf numFmtId="0" fontId="4" fillId="0" borderId="0" xfId="5" applyFont="1"/>
    <xf numFmtId="0" fontId="2" fillId="0" borderId="0" xfId="5" applyBorder="1"/>
    <xf numFmtId="9" fontId="5" fillId="0" borderId="0" xfId="5" applyNumberFormat="1" applyFont="1" applyBorder="1" applyAlignment="1">
      <alignment horizontal="center"/>
    </xf>
    <xf numFmtId="0" fontId="2" fillId="0" borderId="0" xfId="5" applyFont="1" applyBorder="1"/>
    <xf numFmtId="169" fontId="5" fillId="0" borderId="0" xfId="5" applyNumberFormat="1" applyFont="1" applyBorder="1" applyAlignment="1">
      <alignment horizontal="center"/>
    </xf>
    <xf numFmtId="3" fontId="2" fillId="0" borderId="0" xfId="5" applyNumberFormat="1"/>
    <xf numFmtId="3" fontId="2" fillId="0" borderId="0" xfId="5" applyNumberFormat="1" applyFont="1" applyBorder="1" applyAlignment="1">
      <alignment horizontal="center"/>
    </xf>
    <xf numFmtId="0" fontId="2" fillId="0" borderId="0" xfId="5" applyFont="1"/>
    <xf numFmtId="3" fontId="2" fillId="0" borderId="0" xfId="5" applyNumberFormat="1" applyFont="1" applyAlignment="1">
      <alignment horizontal="center"/>
    </xf>
    <xf numFmtId="177" fontId="2" fillId="0" borderId="0" xfId="5" applyNumberFormat="1" applyFont="1" applyFill="1" applyBorder="1" applyAlignment="1">
      <alignment horizontal="center"/>
    </xf>
    <xf numFmtId="9" fontId="2" fillId="0" borderId="0" xfId="5" applyNumberFormat="1" applyFont="1" applyBorder="1" applyAlignment="1">
      <alignment horizontal="center"/>
    </xf>
    <xf numFmtId="0" fontId="2" fillId="0" borderId="0" xfId="5" applyFont="1" applyFill="1" applyBorder="1"/>
    <xf numFmtId="0" fontId="2" fillId="0" borderId="0" xfId="5" applyFill="1"/>
    <xf numFmtId="0" fontId="2" fillId="0" borderId="0" xfId="5" applyBorder="1" applyAlignment="1">
      <alignment horizontal="center"/>
    </xf>
    <xf numFmtId="0" fontId="2" fillId="0" borderId="0" xfId="5" applyAlignment="1">
      <alignment horizontal="center"/>
    </xf>
    <xf numFmtId="0" fontId="4" fillId="0" borderId="13" xfId="5" applyFont="1" applyFill="1" applyBorder="1" applyAlignment="1">
      <alignment horizontal="center"/>
    </xf>
    <xf numFmtId="3" fontId="2" fillId="0" borderId="0" xfId="5" applyNumberFormat="1" applyBorder="1" applyAlignment="1">
      <alignment horizontal="center"/>
    </xf>
    <xf numFmtId="3" fontId="2" fillId="0" borderId="0" xfId="5" applyNumberFormat="1" applyAlignment="1">
      <alignment horizontal="center"/>
    </xf>
    <xf numFmtId="37" fontId="4" fillId="0" borderId="0" xfId="5" applyNumberFormat="1" applyFont="1" applyAlignment="1">
      <alignment horizontal="center"/>
    </xf>
    <xf numFmtId="37" fontId="33" fillId="9" borderId="19" xfId="5" applyNumberFormat="1" applyFont="1" applyFill="1" applyBorder="1" applyAlignment="1">
      <alignment horizontal="left"/>
    </xf>
    <xf numFmtId="37" fontId="33" fillId="9" borderId="17" xfId="5" applyNumberFormat="1" applyFont="1" applyFill="1" applyBorder="1" applyAlignment="1">
      <alignment horizontal="center"/>
    </xf>
    <xf numFmtId="37" fontId="33" fillId="9" borderId="20" xfId="5" applyNumberFormat="1" applyFont="1" applyFill="1" applyBorder="1" applyAlignment="1">
      <alignment horizontal="right"/>
    </xf>
    <xf numFmtId="9" fontId="7" fillId="0" borderId="0" xfId="6" applyFont="1"/>
    <xf numFmtId="9" fontId="7" fillId="0" borderId="0" xfId="6" applyFont="1" applyAlignment="1">
      <alignment horizontal="center"/>
    </xf>
    <xf numFmtId="9" fontId="2" fillId="0" borderId="0" xfId="6" applyFont="1"/>
    <xf numFmtId="9" fontId="0" fillId="0" borderId="0" xfId="6" applyFont="1"/>
    <xf numFmtId="3" fontId="4" fillId="0" borderId="0" xfId="5" applyNumberFormat="1" applyFont="1" applyAlignment="1">
      <alignment horizontal="center"/>
    </xf>
    <xf numFmtId="37" fontId="2" fillId="0" borderId="0" xfId="5" applyNumberFormat="1" applyAlignment="1">
      <alignment horizontal="center"/>
    </xf>
    <xf numFmtId="0" fontId="2" fillId="0" borderId="0" xfId="5" applyFont="1" applyFill="1"/>
    <xf numFmtId="0" fontId="4" fillId="0" borderId="9" xfId="5" applyFont="1" applyFill="1" applyBorder="1"/>
    <xf numFmtId="3" fontId="4" fillId="0" borderId="9" xfId="5" applyNumberFormat="1" applyFont="1" applyBorder="1" applyAlignment="1">
      <alignment horizontal="center"/>
    </xf>
    <xf numFmtId="0" fontId="2" fillId="10" borderId="21" xfId="0" applyFont="1" applyFill="1" applyBorder="1" applyAlignment="1">
      <alignment horizontal="center"/>
    </xf>
    <xf numFmtId="0" fontId="0" fillId="0" borderId="0" xfId="0" applyAlignment="1">
      <alignment horizontal="center"/>
    </xf>
    <xf numFmtId="0" fontId="4" fillId="0" borderId="12" xfId="0" applyFont="1" applyBorder="1"/>
    <xf numFmtId="177" fontId="2" fillId="0" borderId="12" xfId="0" applyNumberFormat="1" applyFont="1" applyBorder="1" applyAlignment="1">
      <alignment horizontal="center"/>
    </xf>
    <xf numFmtId="5" fontId="4" fillId="0" borderId="12" xfId="0" applyNumberFormat="1" applyFont="1" applyFill="1" applyBorder="1" applyAlignment="1">
      <alignment horizontal="center"/>
    </xf>
    <xf numFmtId="5" fontId="2" fillId="0" borderId="12" xfId="0" applyNumberFormat="1" applyFont="1" applyBorder="1" applyAlignment="1">
      <alignment horizontal="center"/>
    </xf>
    <xf numFmtId="0" fontId="4" fillId="0" borderId="0" xfId="0" applyFont="1" applyBorder="1"/>
    <xf numFmtId="177" fontId="2" fillId="0" borderId="0" xfId="0" applyNumberFormat="1" applyFont="1" applyBorder="1" applyAlignment="1">
      <alignment horizontal="center"/>
    </xf>
    <xf numFmtId="5" fontId="4" fillId="0" borderId="0" xfId="0" applyNumberFormat="1" applyFont="1" applyFill="1" applyBorder="1" applyAlignment="1">
      <alignment horizontal="center"/>
    </xf>
    <xf numFmtId="5" fontId="2" fillId="0" borderId="0" xfId="0" applyNumberFormat="1" applyFont="1" applyBorder="1" applyAlignment="1">
      <alignment horizontal="center"/>
    </xf>
    <xf numFmtId="177" fontId="2" fillId="0" borderId="4" xfId="0" applyNumberFormat="1" applyFont="1" applyBorder="1" applyAlignment="1">
      <alignment horizontal="center"/>
    </xf>
    <xf numFmtId="7" fontId="4" fillId="0" borderId="0" xfId="0" applyNumberFormat="1" applyFont="1" applyFill="1" applyBorder="1" applyAlignment="1">
      <alignment horizontal="center"/>
    </xf>
    <xf numFmtId="9" fontId="5" fillId="0" borderId="0" xfId="0" applyNumberFormat="1" applyFont="1" applyBorder="1" applyAlignment="1">
      <alignment horizontal="center"/>
    </xf>
    <xf numFmtId="9" fontId="15" fillId="0" borderId="0" xfId="0" applyNumberFormat="1" applyFont="1" applyBorder="1" applyAlignment="1">
      <alignment horizontal="center"/>
    </xf>
    <xf numFmtId="9" fontId="15" fillId="0" borderId="4" xfId="0" applyNumberFormat="1" applyFont="1" applyBorder="1" applyAlignment="1">
      <alignment horizontal="center"/>
    </xf>
    <xf numFmtId="9" fontId="2" fillId="0" borderId="0" xfId="0" applyNumberFormat="1" applyFont="1" applyFill="1" applyBorder="1" applyAlignment="1">
      <alignment horizontal="center"/>
    </xf>
    <xf numFmtId="9" fontId="15" fillId="0" borderId="0" xfId="0" applyNumberFormat="1" applyFont="1" applyFill="1" applyBorder="1" applyAlignment="1">
      <alignment horizontal="center"/>
    </xf>
    <xf numFmtId="9" fontId="15" fillId="0" borderId="4" xfId="0" applyNumberFormat="1" applyFont="1" applyFill="1" applyBorder="1" applyAlignment="1">
      <alignment horizontal="center"/>
    </xf>
    <xf numFmtId="5" fontId="2" fillId="0" borderId="0" xfId="0" applyNumberFormat="1" applyFont="1" applyFill="1" applyBorder="1" applyAlignment="1">
      <alignment horizontal="center"/>
    </xf>
    <xf numFmtId="5" fontId="2" fillId="0" borderId="12" xfId="0" applyNumberFormat="1" applyFont="1" applyFill="1" applyBorder="1" applyAlignment="1">
      <alignment horizontal="center"/>
    </xf>
    <xf numFmtId="1" fontId="2" fillId="2" borderId="0" xfId="0" applyNumberFormat="1" applyFont="1" applyFill="1" applyBorder="1"/>
    <xf numFmtId="1" fontId="5" fillId="0" borderId="0" xfId="1" applyNumberFormat="1" applyFont="1" applyFill="1" applyBorder="1" applyAlignment="1"/>
    <xf numFmtId="169" fontId="5" fillId="0" borderId="0" xfId="0" applyNumberFormat="1" applyFont="1" applyBorder="1" applyAlignment="1">
      <alignment horizontal="center"/>
    </xf>
    <xf numFmtId="169" fontId="2" fillId="0" borderId="0" xfId="0" applyNumberFormat="1" applyFont="1" applyBorder="1" applyAlignment="1">
      <alignment horizontal="center"/>
    </xf>
    <xf numFmtId="169" fontId="15" fillId="0" borderId="0" xfId="0" applyNumberFormat="1" applyFont="1" applyBorder="1" applyAlignment="1">
      <alignment horizontal="center"/>
    </xf>
    <xf numFmtId="169" fontId="2" fillId="0" borderId="4" xfId="0" applyNumberFormat="1" applyFont="1" applyBorder="1" applyAlignment="1">
      <alignment horizontal="center"/>
    </xf>
    <xf numFmtId="0" fontId="2" fillId="0" borderId="13" xfId="0" applyFont="1" applyBorder="1"/>
    <xf numFmtId="179" fontId="2" fillId="0" borderId="13" xfId="0" applyNumberFormat="1" applyFont="1" applyBorder="1" applyAlignment="1">
      <alignment horizontal="center"/>
    </xf>
    <xf numFmtId="178" fontId="2" fillId="0" borderId="13" xfId="0" applyNumberFormat="1" applyFont="1" applyBorder="1" applyAlignment="1">
      <alignment horizontal="center"/>
    </xf>
    <xf numFmtId="0" fontId="0" fillId="2" borderId="0" xfId="0" applyFill="1" applyBorder="1"/>
    <xf numFmtId="0" fontId="2" fillId="0" borderId="0" xfId="0" applyFont="1" applyBorder="1" applyAlignment="1">
      <alignment horizontal="center"/>
    </xf>
    <xf numFmtId="0" fontId="0" fillId="0" borderId="0" xfId="0" applyBorder="1" applyAlignment="1">
      <alignment horizontal="center"/>
    </xf>
    <xf numFmtId="5" fontId="34" fillId="0" borderId="0" xfId="0" applyNumberFormat="1" applyFont="1" applyBorder="1" applyAlignment="1">
      <alignment horizontal="center"/>
    </xf>
    <xf numFmtId="5" fontId="34" fillId="0" borderId="4" xfId="0" applyNumberFormat="1" applyFont="1" applyBorder="1" applyAlignment="1">
      <alignment horizontal="center"/>
    </xf>
    <xf numFmtId="179" fontId="2" fillId="0" borderId="0" xfId="0" applyNumberFormat="1" applyFont="1" applyBorder="1" applyAlignment="1">
      <alignment horizontal="center"/>
    </xf>
    <xf numFmtId="179" fontId="2" fillId="0" borderId="2" xfId="0" applyNumberFormat="1" applyFont="1" applyBorder="1" applyAlignment="1">
      <alignment horizontal="center"/>
    </xf>
    <xf numFmtId="5" fontId="2" fillId="0" borderId="10" xfId="0" applyNumberFormat="1" applyFont="1" applyBorder="1" applyAlignment="1">
      <alignment horizontal="center"/>
    </xf>
    <xf numFmtId="5" fontId="2" fillId="0" borderId="4" xfId="0" applyNumberFormat="1" applyFont="1" applyFill="1" applyBorder="1" applyAlignment="1">
      <alignment horizontal="center"/>
    </xf>
    <xf numFmtId="0" fontId="4" fillId="0" borderId="2" xfId="0" applyFont="1" applyBorder="1"/>
    <xf numFmtId="0" fontId="2" fillId="0" borderId="22" xfId="0" applyFont="1" applyBorder="1"/>
    <xf numFmtId="0" fontId="2" fillId="0" borderId="23" xfId="0" applyFont="1" applyBorder="1"/>
    <xf numFmtId="0" fontId="2" fillId="0" borderId="24" xfId="0" applyFont="1" applyBorder="1"/>
    <xf numFmtId="0" fontId="4" fillId="0" borderId="4" xfId="0" applyFont="1" applyBorder="1"/>
    <xf numFmtId="0" fontId="4" fillId="0" borderId="0" xfId="0" applyFont="1"/>
    <xf numFmtId="0" fontId="2" fillId="0" borderId="11" xfId="0" applyFont="1" applyBorder="1"/>
    <xf numFmtId="0" fontId="35" fillId="0" borderId="22" xfId="0" applyFont="1" applyBorder="1"/>
    <xf numFmtId="0" fontId="35" fillId="0" borderId="23" xfId="0" applyFont="1" applyBorder="1"/>
    <xf numFmtId="0" fontId="35" fillId="0" borderId="5" xfId="0" applyFont="1" applyBorder="1"/>
    <xf numFmtId="0" fontId="2" fillId="2" borderId="12" xfId="0" applyFont="1" applyFill="1" applyBorder="1"/>
    <xf numFmtId="0" fontId="2" fillId="2" borderId="10" xfId="0" applyFont="1" applyFill="1" applyBorder="1"/>
    <xf numFmtId="0" fontId="2" fillId="2" borderId="16" xfId="0" applyFont="1" applyFill="1" applyBorder="1"/>
    <xf numFmtId="0" fontId="2" fillId="2" borderId="13" xfId="0" applyFont="1" applyFill="1" applyBorder="1"/>
    <xf numFmtId="0" fontId="2" fillId="2" borderId="0" xfId="0" applyFont="1" applyFill="1" applyBorder="1" applyAlignment="1">
      <alignment horizontal="center"/>
    </xf>
    <xf numFmtId="0" fontId="2" fillId="2" borderId="4" xfId="0" applyFont="1" applyFill="1" applyBorder="1" applyAlignment="1">
      <alignment horizontal="center"/>
    </xf>
    <xf numFmtId="5" fontId="12" fillId="0" borderId="0" xfId="0" applyNumberFormat="1" applyFont="1" applyFill="1" applyBorder="1" applyAlignment="1">
      <alignment horizontal="center"/>
    </xf>
    <xf numFmtId="0" fontId="35" fillId="0" borderId="16" xfId="0" applyFont="1" applyBorder="1"/>
    <xf numFmtId="5" fontId="2" fillId="0" borderId="13" xfId="0" applyNumberFormat="1" applyFont="1" applyFill="1" applyBorder="1" applyAlignment="1">
      <alignment horizontal="center"/>
    </xf>
    <xf numFmtId="0" fontId="4" fillId="0" borderId="11" xfId="0" applyFont="1" applyBorder="1"/>
    <xf numFmtId="0" fontId="4" fillId="0" borderId="5" xfId="0" applyFont="1" applyBorder="1"/>
    <xf numFmtId="0" fontId="2" fillId="0" borderId="5" xfId="0" applyFont="1" applyBorder="1"/>
    <xf numFmtId="0" fontId="2" fillId="0" borderId="16" xfId="0" applyFont="1" applyBorder="1"/>
    <xf numFmtId="0" fontId="2" fillId="2" borderId="11" xfId="0" applyFont="1" applyFill="1" applyBorder="1"/>
    <xf numFmtId="0" fontId="2" fillId="2" borderId="8" xfId="0" applyFont="1" applyFill="1" applyBorder="1"/>
    <xf numFmtId="0" fontId="2" fillId="2" borderId="9" xfId="0" applyFont="1" applyFill="1" applyBorder="1"/>
    <xf numFmtId="0" fontId="36" fillId="0" borderId="8" xfId="0" applyFont="1" applyBorder="1"/>
    <xf numFmtId="5" fontId="2" fillId="0" borderId="9" xfId="0" applyNumberFormat="1" applyFont="1" applyFill="1" applyBorder="1" applyAlignment="1">
      <alignment horizontal="center"/>
    </xf>
    <xf numFmtId="5" fontId="2" fillId="0" borderId="7" xfId="0" applyNumberFormat="1" applyFont="1" applyFill="1" applyBorder="1" applyAlignment="1">
      <alignment horizontal="center"/>
    </xf>
    <xf numFmtId="169" fontId="12" fillId="2" borderId="0" xfId="2" applyNumberFormat="1" applyFont="1" applyFill="1" applyBorder="1" applyAlignment="1">
      <alignment horizontal="center"/>
    </xf>
    <xf numFmtId="169" fontId="12" fillId="2" borderId="4" xfId="2" applyNumberFormat="1" applyFont="1" applyFill="1" applyBorder="1" applyAlignment="1">
      <alignment horizontal="center"/>
    </xf>
    <xf numFmtId="5" fontId="37" fillId="0" borderId="0" xfId="0" applyNumberFormat="1" applyFont="1" applyFill="1" applyBorder="1" applyAlignment="1">
      <alignment horizontal="center"/>
    </xf>
    <xf numFmtId="5" fontId="12" fillId="0" borderId="4" xfId="0" applyNumberFormat="1" applyFont="1" applyFill="1" applyBorder="1" applyAlignment="1">
      <alignment horizontal="center"/>
    </xf>
    <xf numFmtId="166" fontId="2" fillId="2" borderId="4" xfId="0" applyNumberFormat="1" applyFont="1" applyFill="1" applyBorder="1"/>
    <xf numFmtId="37" fontId="2" fillId="2" borderId="0" xfId="0" applyNumberFormat="1" applyFont="1" applyFill="1" applyBorder="1"/>
    <xf numFmtId="37" fontId="2" fillId="2" borderId="0" xfId="1" applyNumberFormat="1" applyFont="1" applyFill="1" applyBorder="1" applyAlignment="1"/>
    <xf numFmtId="37" fontId="5" fillId="5" borderId="0" xfId="1" applyNumberFormat="1" applyFont="1" applyFill="1" applyBorder="1" applyAlignment="1"/>
    <xf numFmtId="37" fontId="4" fillId="2" borderId="9" xfId="1" applyNumberFormat="1" applyFont="1" applyFill="1" applyBorder="1" applyAlignment="1"/>
    <xf numFmtId="37" fontId="4" fillId="2" borderId="0" xfId="1" applyNumberFormat="1" applyFont="1" applyFill="1" applyBorder="1" applyAlignment="1"/>
    <xf numFmtId="37" fontId="6" fillId="4" borderId="0" xfId="1" applyNumberFormat="1" applyFont="1" applyFill="1" applyBorder="1" applyAlignment="1"/>
    <xf numFmtId="37" fontId="19" fillId="4" borderId="0" xfId="1" applyNumberFormat="1" applyFont="1" applyFill="1" applyBorder="1" applyAlignment="1"/>
    <xf numFmtId="180" fontId="2" fillId="5" borderId="0" xfId="3" applyNumberFormat="1" applyFont="1" applyFill="1" applyBorder="1"/>
    <xf numFmtId="180" fontId="2" fillId="5" borderId="0" xfId="1" applyNumberFormat="1" applyFont="1" applyFill="1" applyBorder="1"/>
    <xf numFmtId="180" fontId="2" fillId="5" borderId="0" xfId="0" applyNumberFormat="1" applyFont="1" applyFill="1" applyBorder="1"/>
    <xf numFmtId="0" fontId="4" fillId="5" borderId="22" xfId="0" applyFont="1" applyFill="1" applyBorder="1"/>
    <xf numFmtId="0" fontId="0" fillId="5" borderId="12" xfId="0" applyFill="1" applyBorder="1"/>
    <xf numFmtId="0" fontId="0" fillId="5" borderId="10" xfId="0" applyFill="1" applyBorder="1"/>
    <xf numFmtId="166" fontId="2" fillId="5" borderId="23" xfId="0" applyNumberFormat="1" applyFont="1" applyFill="1" applyBorder="1"/>
    <xf numFmtId="171" fontId="2" fillId="5" borderId="0" xfId="0" applyNumberFormat="1" applyFont="1" applyFill="1" applyBorder="1"/>
    <xf numFmtId="171" fontId="2" fillId="5" borderId="4" xfId="0" applyNumberFormat="1" applyFont="1" applyFill="1" applyBorder="1"/>
    <xf numFmtId="166" fontId="4" fillId="5" borderId="24" xfId="0" applyNumberFormat="1" applyFont="1" applyFill="1" applyBorder="1"/>
    <xf numFmtId="170" fontId="4" fillId="5" borderId="12" xfId="3" applyNumberFormat="1" applyFont="1" applyFill="1" applyBorder="1"/>
    <xf numFmtId="170" fontId="4" fillId="5" borderId="10" xfId="3" applyNumberFormat="1" applyFont="1" applyFill="1" applyBorder="1"/>
    <xf numFmtId="169" fontId="2" fillId="5" borderId="23" xfId="0" applyNumberFormat="1" applyFont="1" applyFill="1" applyBorder="1"/>
    <xf numFmtId="169" fontId="12" fillId="5" borderId="4" xfId="0" applyNumberFormat="1" applyFont="1" applyFill="1" applyBorder="1" applyAlignment="1">
      <alignment horizontal="right"/>
    </xf>
    <xf numFmtId="167" fontId="12" fillId="5" borderId="0" xfId="0" applyNumberFormat="1" applyFont="1" applyFill="1" applyBorder="1"/>
    <xf numFmtId="167" fontId="12" fillId="5" borderId="4" xfId="0" applyNumberFormat="1" applyFont="1" applyFill="1" applyBorder="1"/>
    <xf numFmtId="165" fontId="4" fillId="5" borderId="24" xfId="0" applyNumberFormat="1" applyFont="1" applyFill="1" applyBorder="1"/>
    <xf numFmtId="170" fontId="4" fillId="5" borderId="13" xfId="3" applyNumberFormat="1" applyFont="1" applyFill="1" applyBorder="1"/>
    <xf numFmtId="0" fontId="39" fillId="5" borderId="0" xfId="0" applyFont="1" applyFill="1"/>
    <xf numFmtId="0" fontId="14" fillId="10" borderId="4" xfId="0" applyFont="1" applyFill="1" applyBorder="1"/>
    <xf numFmtId="167" fontId="40" fillId="10" borderId="0" xfId="0" applyNumberFormat="1" applyFont="1" applyFill="1"/>
    <xf numFmtId="167" fontId="14" fillId="10" borderId="0" xfId="0" applyNumberFormat="1" applyFont="1" applyFill="1"/>
    <xf numFmtId="0" fontId="39" fillId="10" borderId="0" xfId="0" applyFont="1" applyFill="1"/>
    <xf numFmtId="0" fontId="15" fillId="5" borderId="0" xfId="0" applyFont="1" applyFill="1"/>
    <xf numFmtId="167" fontId="15" fillId="10" borderId="0" xfId="0" applyNumberFormat="1" applyFont="1" applyFill="1"/>
    <xf numFmtId="180" fontId="5" fillId="5" borderId="0" xfId="1" applyNumberFormat="1" applyFont="1" applyFill="1" applyBorder="1"/>
    <xf numFmtId="180" fontId="37" fillId="5" borderId="0" xfId="1" applyNumberFormat="1" applyFont="1" applyFill="1" applyBorder="1"/>
    <xf numFmtId="180" fontId="2" fillId="5" borderId="12" xfId="1" applyNumberFormat="1" applyFont="1" applyFill="1" applyBorder="1"/>
    <xf numFmtId="180" fontId="4" fillId="5" borderId="0" xfId="1" applyNumberFormat="1" applyFont="1" applyFill="1" applyBorder="1"/>
    <xf numFmtId="180" fontId="0" fillId="5" borderId="0" xfId="0" applyNumberFormat="1" applyFill="1"/>
    <xf numFmtId="180" fontId="4" fillId="5" borderId="14" xfId="1" applyNumberFormat="1" applyFont="1" applyFill="1" applyBorder="1"/>
    <xf numFmtId="180" fontId="12" fillId="5" borderId="0" xfId="1" applyNumberFormat="1" applyFont="1" applyFill="1" applyBorder="1"/>
    <xf numFmtId="180" fontId="2" fillId="5" borderId="0" xfId="0" applyNumberFormat="1" applyFont="1" applyFill="1"/>
    <xf numFmtId="180" fontId="4" fillId="5" borderId="9" xfId="1" applyNumberFormat="1" applyFont="1" applyFill="1" applyBorder="1"/>
    <xf numFmtId="180" fontId="2" fillId="5" borderId="0" xfId="1" applyNumberFormat="1" applyFont="1" applyFill="1"/>
    <xf numFmtId="180" fontId="16" fillId="5" borderId="0" xfId="1" applyNumberFormat="1" applyFont="1" applyFill="1" applyBorder="1"/>
    <xf numFmtId="180" fontId="2" fillId="5" borderId="13" xfId="1" applyNumberFormat="1" applyFont="1" applyFill="1" applyBorder="1"/>
    <xf numFmtId="181" fontId="2" fillId="5" borderId="0" xfId="1" applyNumberFormat="1" applyFont="1" applyFill="1" applyBorder="1"/>
    <xf numFmtId="180" fontId="12" fillId="5" borderId="12" xfId="1" applyNumberFormat="1" applyFont="1" applyFill="1" applyBorder="1"/>
    <xf numFmtId="165" fontId="2" fillId="0" borderId="0" xfId="0" applyNumberFormat="1" applyFont="1" applyFill="1" applyBorder="1" applyAlignment="1">
      <alignment horizontal="center"/>
    </xf>
    <xf numFmtId="165" fontId="2" fillId="0" borderId="4" xfId="0" applyNumberFormat="1" applyFont="1" applyFill="1" applyBorder="1" applyAlignment="1">
      <alignment horizontal="center"/>
    </xf>
    <xf numFmtId="180" fontId="4" fillId="5" borderId="0" xfId="0" applyNumberFormat="1" applyFont="1" applyFill="1" applyBorder="1"/>
    <xf numFmtId="0" fontId="41" fillId="12" borderId="0" xfId="25" applyFill="1"/>
    <xf numFmtId="0" fontId="4" fillId="0" borderId="0" xfId="25" applyFont="1"/>
    <xf numFmtId="0" fontId="4" fillId="0" borderId="0" xfId="25" applyFont="1" applyFill="1" applyBorder="1"/>
    <xf numFmtId="0" fontId="41" fillId="0" borderId="0" xfId="25"/>
    <xf numFmtId="0" fontId="41" fillId="0" borderId="0" xfId="25" applyAlignment="1">
      <alignment horizontal="center"/>
    </xf>
    <xf numFmtId="0" fontId="41" fillId="0" borderId="13" xfId="25" applyBorder="1" applyAlignment="1">
      <alignment horizontal="center"/>
    </xf>
    <xf numFmtId="0" fontId="41" fillId="0" borderId="11" xfId="25" applyBorder="1"/>
    <xf numFmtId="0" fontId="41" fillId="0" borderId="12" xfId="25" applyBorder="1"/>
    <xf numFmtId="0" fontId="41" fillId="0" borderId="12" xfId="25" applyBorder="1" applyAlignment="1">
      <alignment horizontal="center"/>
    </xf>
    <xf numFmtId="0" fontId="41" fillId="0" borderId="12" xfId="25" applyBorder="1" applyAlignment="1"/>
    <xf numFmtId="0" fontId="41" fillId="0" borderId="0" xfId="25" applyBorder="1" applyAlignment="1">
      <alignment horizontal="center"/>
    </xf>
    <xf numFmtId="0" fontId="41" fillId="0" borderId="5" xfId="25" applyBorder="1"/>
    <xf numFmtId="0" fontId="41" fillId="0" borderId="0" xfId="25" applyBorder="1"/>
    <xf numFmtId="0" fontId="41" fillId="0" borderId="0" xfId="25" applyBorder="1" applyAlignment="1"/>
    <xf numFmtId="0" fontId="41" fillId="0" borderId="16" xfId="25" applyBorder="1"/>
    <xf numFmtId="0" fontId="41" fillId="0" borderId="13" xfId="25" applyBorder="1"/>
    <xf numFmtId="0" fontId="41" fillId="0" borderId="13" xfId="25" applyBorder="1" applyAlignment="1"/>
    <xf numFmtId="177" fontId="41" fillId="0" borderId="12" xfId="25" applyNumberFormat="1" applyBorder="1" applyAlignment="1">
      <alignment horizontal="center"/>
    </xf>
    <xf numFmtId="178" fontId="41" fillId="0" borderId="12" xfId="25" applyNumberFormat="1" applyFill="1" applyBorder="1" applyAlignment="1">
      <alignment horizontal="center"/>
    </xf>
    <xf numFmtId="177" fontId="41" fillId="0" borderId="12" xfId="25" applyNumberFormat="1" applyFill="1" applyBorder="1" applyAlignment="1">
      <alignment horizontal="center"/>
    </xf>
    <xf numFmtId="177" fontId="41" fillId="0" borderId="0" xfId="25" applyNumberFormat="1" applyFill="1" applyBorder="1" applyAlignment="1">
      <alignment horizontal="center"/>
    </xf>
    <xf numFmtId="177" fontId="41" fillId="0" borderId="0" xfId="25" applyNumberFormat="1" applyBorder="1" applyAlignment="1">
      <alignment horizontal="center"/>
    </xf>
    <xf numFmtId="0" fontId="41" fillId="0" borderId="0" xfId="25" applyFill="1" applyBorder="1" applyAlignment="1">
      <alignment horizontal="center"/>
    </xf>
    <xf numFmtId="177" fontId="41" fillId="0" borderId="13" xfId="25" applyNumberFormat="1" applyBorder="1" applyAlignment="1">
      <alignment horizontal="center"/>
    </xf>
    <xf numFmtId="178" fontId="41" fillId="0" borderId="0" xfId="25" applyNumberFormat="1" applyBorder="1" applyAlignment="1">
      <alignment horizontal="center"/>
    </xf>
    <xf numFmtId="179" fontId="41" fillId="0" borderId="0" xfId="25" applyNumberFormat="1" applyBorder="1" applyAlignment="1">
      <alignment horizontal="center"/>
    </xf>
    <xf numFmtId="177" fontId="41" fillId="0" borderId="0" xfId="25" applyNumberFormat="1" applyBorder="1" applyAlignment="1"/>
    <xf numFmtId="178" fontId="41" fillId="0" borderId="13" xfId="25" applyNumberFormat="1" applyBorder="1" applyAlignment="1">
      <alignment horizontal="center"/>
    </xf>
    <xf numFmtId="0" fontId="41" fillId="0" borderId="5" xfId="25" applyFill="1" applyBorder="1"/>
    <xf numFmtId="178" fontId="41" fillId="0" borderId="0" xfId="25" applyNumberFormat="1" applyAlignment="1">
      <alignment horizontal="center"/>
    </xf>
    <xf numFmtId="177" fontId="41" fillId="0" borderId="0" xfId="25" applyNumberFormat="1" applyAlignment="1">
      <alignment horizontal="center"/>
    </xf>
    <xf numFmtId="0" fontId="4" fillId="0" borderId="16" xfId="25" applyFont="1" applyFill="1" applyBorder="1"/>
    <xf numFmtId="0" fontId="4" fillId="0" borderId="13" xfId="25" applyFont="1" applyBorder="1"/>
    <xf numFmtId="178" fontId="4" fillId="0" borderId="13" xfId="25" applyNumberFormat="1" applyFont="1" applyBorder="1" applyAlignment="1">
      <alignment horizontal="center"/>
    </xf>
    <xf numFmtId="178" fontId="41" fillId="0" borderId="0" xfId="25" applyNumberFormat="1"/>
    <xf numFmtId="17" fontId="41" fillId="0" borderId="0" xfId="25" applyNumberFormat="1" applyAlignment="1">
      <alignment horizontal="left"/>
    </xf>
    <xf numFmtId="0" fontId="41" fillId="0" borderId="0" xfId="25" quotePrefix="1"/>
    <xf numFmtId="177" fontId="41" fillId="0" borderId="12" xfId="25" applyNumberFormat="1" applyBorder="1" applyAlignment="1"/>
    <xf numFmtId="178" fontId="41" fillId="0" borderId="0" xfId="25" applyNumberFormat="1" applyFill="1" applyBorder="1" applyAlignment="1">
      <alignment horizontal="center"/>
    </xf>
    <xf numFmtId="177" fontId="41" fillId="0" borderId="13" xfId="25" applyNumberFormat="1" applyBorder="1" applyAlignment="1"/>
    <xf numFmtId="178" fontId="41" fillId="0" borderId="0" xfId="25" applyNumberFormat="1" applyBorder="1" applyAlignment="1"/>
    <xf numFmtId="2" fontId="41" fillId="0" borderId="0" xfId="25" applyNumberFormat="1" applyBorder="1" applyAlignment="1">
      <alignment horizontal="center"/>
    </xf>
    <xf numFmtId="2" fontId="41" fillId="0" borderId="13" xfId="25" applyNumberFormat="1" applyBorder="1" applyAlignment="1">
      <alignment horizontal="center"/>
    </xf>
    <xf numFmtId="178" fontId="41" fillId="0" borderId="13" xfId="25" applyNumberFormat="1" applyBorder="1" applyAlignment="1"/>
    <xf numFmtId="171" fontId="4" fillId="0" borderId="13" xfId="25" applyNumberFormat="1" applyFont="1" applyBorder="1" applyAlignment="1">
      <alignment horizontal="center"/>
    </xf>
    <xf numFmtId="178" fontId="4" fillId="0" borderId="13" xfId="25" applyNumberFormat="1" applyFont="1" applyBorder="1" applyAlignment="1"/>
    <xf numFmtId="177" fontId="4" fillId="0" borderId="13" xfId="25" applyNumberFormat="1" applyFont="1" applyBorder="1" applyAlignment="1">
      <alignment horizontal="center"/>
    </xf>
    <xf numFmtId="0" fontId="4" fillId="0" borderId="0" xfId="25" applyFont="1" applyBorder="1"/>
    <xf numFmtId="0" fontId="4" fillId="0" borderId="0" xfId="25" applyFont="1" applyBorder="1" applyAlignment="1">
      <alignment horizontal="center"/>
    </xf>
    <xf numFmtId="178" fontId="4" fillId="0" borderId="0" xfId="25" applyNumberFormat="1" applyFont="1" applyBorder="1" applyAlignment="1">
      <alignment horizontal="center"/>
    </xf>
    <xf numFmtId="178" fontId="4" fillId="0" borderId="0" xfId="25" applyNumberFormat="1" applyFont="1" applyBorder="1" applyAlignment="1"/>
    <xf numFmtId="177" fontId="4" fillId="0" borderId="0" xfId="25" applyNumberFormat="1" applyFont="1" applyBorder="1" applyAlignment="1">
      <alignment horizontal="center"/>
    </xf>
    <xf numFmtId="171" fontId="41" fillId="0" borderId="0" xfId="25" applyNumberFormat="1" applyBorder="1" applyAlignment="1">
      <alignment horizontal="center"/>
    </xf>
    <xf numFmtId="179" fontId="41" fillId="0" borderId="0" xfId="25" applyNumberFormat="1" applyBorder="1" applyAlignment="1"/>
    <xf numFmtId="179" fontId="41" fillId="0" borderId="13" xfId="25" applyNumberFormat="1" applyBorder="1" applyAlignment="1">
      <alignment horizontal="center"/>
    </xf>
    <xf numFmtId="0" fontId="4" fillId="0" borderId="0" xfId="25" applyFont="1" applyFill="1"/>
    <xf numFmtId="0" fontId="41" fillId="0" borderId="0" xfId="25" applyFont="1" applyFill="1"/>
    <xf numFmtId="0" fontId="41" fillId="0" borderId="0" xfId="25" applyFont="1" applyFill="1" applyAlignment="1">
      <alignment horizontal="center"/>
    </xf>
    <xf numFmtId="0" fontId="41" fillId="0" borderId="0" xfId="25" applyFill="1" applyBorder="1"/>
    <xf numFmtId="7" fontId="41" fillId="0" borderId="0" xfId="25" applyNumberFormat="1" applyBorder="1" applyAlignment="1">
      <alignment horizontal="center"/>
    </xf>
    <xf numFmtId="7" fontId="41" fillId="0" borderId="13" xfId="25" applyNumberFormat="1" applyBorder="1" applyAlignment="1">
      <alignment horizontal="center"/>
    </xf>
    <xf numFmtId="0" fontId="2" fillId="0" borderId="9" xfId="25" applyFont="1" applyBorder="1"/>
    <xf numFmtId="0" fontId="41" fillId="0" borderId="9" xfId="25" applyBorder="1"/>
    <xf numFmtId="7" fontId="41" fillId="0" borderId="9" xfId="25" applyNumberFormat="1" applyBorder="1" applyAlignment="1">
      <alignment horizontal="center"/>
    </xf>
    <xf numFmtId="7" fontId="40" fillId="0" borderId="9" xfId="25" applyNumberFormat="1" applyFont="1" applyFill="1" applyBorder="1" applyAlignment="1">
      <alignment horizontal="center"/>
    </xf>
    <xf numFmtId="0" fontId="41" fillId="0" borderId="0" xfId="25" applyFill="1"/>
    <xf numFmtId="7" fontId="41" fillId="0" borderId="0" xfId="25" applyNumberFormat="1"/>
    <xf numFmtId="0" fontId="41" fillId="7" borderId="0" xfId="25" applyFont="1" applyFill="1"/>
    <xf numFmtId="0" fontId="41" fillId="7" borderId="0" xfId="25" applyFont="1" applyFill="1" applyAlignment="1">
      <alignment horizontal="center"/>
    </xf>
    <xf numFmtId="0" fontId="4" fillId="3" borderId="9" xfId="25" applyFont="1" applyFill="1" applyBorder="1"/>
    <xf numFmtId="7" fontId="4" fillId="3" borderId="9" xfId="25" applyNumberFormat="1" applyFont="1" applyFill="1" applyBorder="1" applyAlignment="1">
      <alignment horizontal="center"/>
    </xf>
    <xf numFmtId="7" fontId="4" fillId="3" borderId="9" xfId="25" applyNumberFormat="1" applyFont="1" applyFill="1" applyBorder="1"/>
    <xf numFmtId="0" fontId="40" fillId="0" borderId="9" xfId="25" applyFont="1" applyFill="1" applyBorder="1"/>
    <xf numFmtId="7" fontId="40" fillId="0" borderId="9" xfId="25" applyNumberFormat="1" applyFont="1" applyFill="1" applyBorder="1"/>
    <xf numFmtId="15" fontId="4" fillId="0" borderId="13" xfId="5" applyNumberFormat="1" applyFont="1" applyBorder="1" applyAlignment="1">
      <alignment horizontal="left"/>
    </xf>
    <xf numFmtId="0" fontId="4" fillId="0" borderId="13" xfId="5" applyFont="1" applyBorder="1" applyAlignment="1">
      <alignment horizontal="center"/>
    </xf>
    <xf numFmtId="17" fontId="2" fillId="0" borderId="0" xfId="5" applyNumberFormat="1" applyAlignment="1">
      <alignment horizontal="left"/>
    </xf>
    <xf numFmtId="8" fontId="2" fillId="0" borderId="0" xfId="5" applyNumberFormat="1" applyAlignment="1">
      <alignment horizontal="center"/>
    </xf>
    <xf numFmtId="6" fontId="2" fillId="0" borderId="0" xfId="5" applyNumberFormat="1" applyAlignment="1">
      <alignment horizontal="center"/>
    </xf>
    <xf numFmtId="0" fontId="2" fillId="0" borderId="0" xfId="5" applyAlignment="1">
      <alignment horizontal="left"/>
    </xf>
    <xf numFmtId="0" fontId="2" fillId="0" borderId="0" xfId="5" quotePrefix="1" applyAlignment="1">
      <alignment horizontal="left"/>
    </xf>
    <xf numFmtId="0" fontId="2" fillId="0" borderId="0" xfId="5" quotePrefix="1"/>
    <xf numFmtId="0" fontId="45" fillId="12" borderId="0" xfId="27" applyFont="1" applyFill="1"/>
    <xf numFmtId="0" fontId="28" fillId="12" borderId="0" xfId="27" applyFont="1" applyFill="1"/>
    <xf numFmtId="0" fontId="28" fillId="12" borderId="0" xfId="27" applyFont="1" applyFill="1" applyAlignment="1">
      <alignment horizontal="left"/>
    </xf>
    <xf numFmtId="172" fontId="41" fillId="12" borderId="0" xfId="25" applyNumberFormat="1" applyFill="1"/>
    <xf numFmtId="0" fontId="43" fillId="12" borderId="0" xfId="27" applyFont="1" applyFill="1" applyAlignment="1">
      <alignment horizontal="left" indent="1"/>
    </xf>
    <xf numFmtId="9" fontId="7" fillId="12" borderId="0" xfId="20" applyFont="1" applyFill="1" applyAlignment="1">
      <alignment horizontal="right"/>
    </xf>
    <xf numFmtId="0" fontId="42" fillId="12" borderId="0" xfId="27" applyFont="1" applyFill="1"/>
    <xf numFmtId="177" fontId="42" fillId="12" borderId="0" xfId="27" applyNumberFormat="1" applyFont="1" applyFill="1"/>
    <xf numFmtId="9" fontId="41" fillId="12" borderId="0" xfId="25" applyNumberFormat="1" applyFill="1"/>
    <xf numFmtId="0" fontId="46" fillId="12" borderId="0" xfId="27" applyFont="1" applyFill="1"/>
    <xf numFmtId="3" fontId="41" fillId="12" borderId="0" xfId="25" applyNumberFormat="1" applyFill="1"/>
    <xf numFmtId="3" fontId="2" fillId="12" borderId="0" xfId="27" applyNumberFormat="1" applyFont="1" applyFill="1"/>
    <xf numFmtId="167" fontId="2" fillId="5" borderId="0" xfId="1" applyNumberFormat="1" applyFont="1" applyFill="1" applyBorder="1" applyAlignment="1">
      <alignment horizontal="right"/>
    </xf>
    <xf numFmtId="7" fontId="2" fillId="5" borderId="0" xfId="1" applyNumberFormat="1" applyFont="1" applyFill="1" applyBorder="1" applyAlignment="1"/>
    <xf numFmtId="0" fontId="35" fillId="0" borderId="12" xfId="0" applyFont="1" applyBorder="1"/>
    <xf numFmtId="5" fontId="35" fillId="0" borderId="12" xfId="0" applyNumberFormat="1" applyFont="1" applyBorder="1" applyAlignment="1">
      <alignment horizontal="center"/>
    </xf>
    <xf numFmtId="7" fontId="35" fillId="0" borderId="12" xfId="0" applyNumberFormat="1" applyFont="1" applyBorder="1"/>
    <xf numFmtId="7" fontId="35" fillId="0" borderId="12" xfId="0" applyNumberFormat="1" applyFont="1" applyBorder="1" applyAlignment="1">
      <alignment horizontal="center"/>
    </xf>
    <xf numFmtId="0" fontId="35" fillId="0" borderId="0" xfId="0" applyFont="1" applyBorder="1"/>
    <xf numFmtId="169" fontId="35" fillId="0" borderId="0" xfId="0" applyNumberFormat="1" applyFont="1" applyBorder="1" applyAlignment="1">
      <alignment horizontal="center"/>
    </xf>
    <xf numFmtId="169" fontId="22" fillId="0" borderId="0" xfId="0" applyNumberFormat="1" applyFont="1" applyBorder="1" applyAlignment="1">
      <alignment horizontal="center"/>
    </xf>
    <xf numFmtId="37" fontId="2" fillId="5" borderId="0" xfId="0" applyNumberFormat="1" applyFont="1" applyFill="1" applyBorder="1"/>
    <xf numFmtId="167" fontId="12" fillId="5" borderId="0" xfId="1" applyNumberFormat="1" applyFont="1" applyFill="1" applyBorder="1" applyAlignment="1">
      <alignment horizontal="right"/>
    </xf>
    <xf numFmtId="37" fontId="12" fillId="2" borderId="0" xfId="1" applyNumberFormat="1" applyFont="1" applyFill="1" applyBorder="1" applyAlignment="1"/>
    <xf numFmtId="37" fontId="2" fillId="5" borderId="0" xfId="1" applyNumberFormat="1" applyFont="1" applyFill="1" applyBorder="1" applyAlignment="1"/>
    <xf numFmtId="166" fontId="4" fillId="5" borderId="0" xfId="0" applyNumberFormat="1" applyFont="1" applyFill="1" applyBorder="1"/>
    <xf numFmtId="9" fontId="12" fillId="2" borderId="12" xfId="2" applyFont="1" applyFill="1" applyBorder="1" applyAlignment="1">
      <alignment horizontal="center"/>
    </xf>
    <xf numFmtId="9" fontId="12" fillId="2" borderId="10" xfId="2" applyFont="1" applyFill="1" applyBorder="1" applyAlignment="1">
      <alignment horizontal="center"/>
    </xf>
    <xf numFmtId="43" fontId="0" fillId="5" borderId="0" xfId="0" applyNumberFormat="1" applyFill="1"/>
    <xf numFmtId="183" fontId="4" fillId="2" borderId="0" xfId="1" applyNumberFormat="1" applyFont="1" applyFill="1" applyBorder="1" applyAlignment="1"/>
    <xf numFmtId="183" fontId="2" fillId="2" borderId="0" xfId="1" applyNumberFormat="1" applyFont="1" applyFill="1" applyBorder="1" applyAlignment="1"/>
    <xf numFmtId="183" fontId="4" fillId="2" borderId="9" xfId="1" applyNumberFormat="1" applyFont="1" applyFill="1" applyBorder="1" applyAlignment="1"/>
    <xf numFmtId="37" fontId="2" fillId="2" borderId="0" xfId="2" applyNumberFormat="1" applyFont="1" applyFill="1" applyBorder="1" applyAlignment="1"/>
    <xf numFmtId="0" fontId="2" fillId="5" borderId="5" xfId="0" applyFont="1" applyFill="1" applyBorder="1"/>
    <xf numFmtId="180" fontId="15" fillId="10" borderId="0" xfId="1" applyNumberFormat="1" applyFont="1" applyFill="1"/>
    <xf numFmtId="173" fontId="15" fillId="10" borderId="0" xfId="1" applyNumberFormat="1" applyFont="1" applyFill="1"/>
    <xf numFmtId="167" fontId="2" fillId="5" borderId="4" xfId="0" applyNumberFormat="1" applyFont="1" applyFill="1" applyBorder="1" applyAlignment="1">
      <alignment horizontal="left" indent="2"/>
    </xf>
    <xf numFmtId="167" fontId="4" fillId="5" borderId="4" xfId="1" applyNumberFormat="1" applyFont="1" applyFill="1" applyBorder="1"/>
    <xf numFmtId="0" fontId="2" fillId="2" borderId="4" xfId="0" applyFont="1" applyFill="1" applyBorder="1" applyAlignment="1">
      <alignment horizontal="left" indent="3"/>
    </xf>
    <xf numFmtId="166" fontId="2" fillId="11" borderId="0" xfId="0" applyNumberFormat="1" applyFont="1" applyFill="1" applyBorder="1"/>
    <xf numFmtId="166" fontId="5" fillId="11" borderId="0" xfId="1" applyNumberFormat="1" applyFont="1" applyFill="1" applyBorder="1" applyAlignment="1"/>
    <xf numFmtId="169" fontId="2" fillId="11" borderId="0" xfId="0" applyNumberFormat="1" applyFont="1" applyFill="1" applyBorder="1"/>
    <xf numFmtId="169" fontId="5" fillId="11" borderId="0" xfId="2" applyNumberFormat="1" applyFont="1" applyFill="1" applyBorder="1" applyAlignment="1"/>
    <xf numFmtId="3" fontId="2" fillId="3" borderId="0" xfId="27" applyNumberFormat="1" applyFont="1" applyFill="1"/>
    <xf numFmtId="0" fontId="41" fillId="3" borderId="0" xfId="25" applyFill="1"/>
    <xf numFmtId="0" fontId="28" fillId="12" borderId="14" xfId="27" applyFont="1" applyFill="1" applyBorder="1"/>
    <xf numFmtId="0" fontId="41" fillId="12" borderId="14" xfId="25" applyFill="1" applyBorder="1"/>
    <xf numFmtId="177" fontId="28" fillId="12" borderId="14" xfId="27" applyNumberFormat="1" applyFont="1" applyFill="1" applyBorder="1"/>
    <xf numFmtId="9" fontId="2" fillId="2" borderId="0" xfId="2" applyFont="1" applyFill="1" applyBorder="1"/>
    <xf numFmtId="167" fontId="2" fillId="2" borderId="0" xfId="1" applyNumberFormat="1" applyFont="1" applyFill="1" applyBorder="1"/>
    <xf numFmtId="49" fontId="0" fillId="0" borderId="0" xfId="0" applyNumberFormat="1"/>
    <xf numFmtId="37" fontId="33" fillId="9" borderId="19" xfId="1" applyNumberFormat="1" applyFont="1" applyFill="1" applyBorder="1" applyAlignment="1">
      <alignment horizontal="left"/>
    </xf>
    <xf numFmtId="37" fontId="33" fillId="9" borderId="17" xfId="1" applyNumberFormat="1" applyFont="1" applyFill="1" applyBorder="1" applyAlignment="1">
      <alignment horizontal="left"/>
    </xf>
    <xf numFmtId="165" fontId="4" fillId="2" borderId="3" xfId="0" applyNumberFormat="1" applyFont="1" applyFill="1" applyBorder="1" applyAlignment="1">
      <alignment horizontal="right"/>
    </xf>
    <xf numFmtId="4" fontId="6" fillId="4" borderId="0" xfId="0" applyNumberFormat="1" applyFont="1" applyFill="1" applyAlignment="1">
      <alignment horizontal="right"/>
    </xf>
    <xf numFmtId="166" fontId="2" fillId="3" borderId="11" xfId="1" applyNumberFormat="1" applyFont="1" applyFill="1" applyBorder="1" applyAlignment="1"/>
    <xf numFmtId="166" fontId="2" fillId="3" borderId="12" xfId="1" applyNumberFormat="1" applyFont="1" applyFill="1" applyBorder="1" applyAlignment="1"/>
    <xf numFmtId="166" fontId="2" fillId="3" borderId="12" xfId="1" applyNumberFormat="1" applyFont="1" applyFill="1" applyBorder="1"/>
    <xf numFmtId="166" fontId="2" fillId="2" borderId="12" xfId="1" applyNumberFormat="1" applyFont="1" applyFill="1" applyBorder="1" applyAlignment="1"/>
    <xf numFmtId="37" fontId="2" fillId="2" borderId="12" xfId="1" applyNumberFormat="1" applyFont="1" applyFill="1" applyBorder="1" applyAlignment="1"/>
    <xf numFmtId="0" fontId="4" fillId="2" borderId="3" xfId="0" applyNumberFormat="1" applyFont="1" applyFill="1" applyBorder="1" applyAlignment="1">
      <alignment horizontal="right"/>
    </xf>
    <xf numFmtId="0" fontId="4" fillId="2" borderId="35" xfId="0" applyFont="1" applyFill="1" applyBorder="1" applyAlignment="1">
      <alignment horizontal="left"/>
    </xf>
    <xf numFmtId="0" fontId="43" fillId="12" borderId="0" xfId="27" applyFont="1" applyFill="1"/>
    <xf numFmtId="0" fontId="7" fillId="12" borderId="0" xfId="25" applyFont="1" applyFill="1"/>
    <xf numFmtId="9" fontId="7" fillId="12" borderId="0" xfId="2" applyFont="1" applyFill="1"/>
    <xf numFmtId="9" fontId="7" fillId="3" borderId="0" xfId="2" applyFont="1" applyFill="1"/>
    <xf numFmtId="37" fontId="41" fillId="12" borderId="0" xfId="25" applyNumberFormat="1" applyFill="1"/>
    <xf numFmtId="37" fontId="41" fillId="3" borderId="0" xfId="25" applyNumberFormat="1" applyFill="1"/>
    <xf numFmtId="5" fontId="28" fillId="12" borderId="14" xfId="27" applyNumberFormat="1" applyFont="1" applyFill="1" applyBorder="1"/>
    <xf numFmtId="0" fontId="0" fillId="5" borderId="33" xfId="0" applyFill="1" applyBorder="1"/>
    <xf numFmtId="166" fontId="4" fillId="5" borderId="22" xfId="0" applyNumberFormat="1" applyFont="1" applyFill="1" applyBorder="1"/>
    <xf numFmtId="171" fontId="38" fillId="5" borderId="33" xfId="0" applyNumberFormat="1" applyFont="1" applyFill="1" applyBorder="1"/>
    <xf numFmtId="171" fontId="4" fillId="5" borderId="33" xfId="0" applyNumberFormat="1" applyFont="1" applyFill="1" applyBorder="1"/>
    <xf numFmtId="165" fontId="2" fillId="5" borderId="22" xfId="0" applyNumberFormat="1" applyFont="1" applyFill="1" applyBorder="1"/>
    <xf numFmtId="180" fontId="2" fillId="5" borderId="12" xfId="3" applyNumberFormat="1" applyFont="1" applyFill="1" applyBorder="1"/>
    <xf numFmtId="180" fontId="2" fillId="5" borderId="10" xfId="3" applyNumberFormat="1" applyFont="1" applyFill="1" applyBorder="1"/>
    <xf numFmtId="165" fontId="2" fillId="5" borderId="23" xfId="0" applyNumberFormat="1" applyFont="1" applyFill="1" applyBorder="1"/>
    <xf numFmtId="180" fontId="2" fillId="5" borderId="4" xfId="3" applyNumberFormat="1" applyFont="1" applyFill="1" applyBorder="1"/>
    <xf numFmtId="180" fontId="2" fillId="5" borderId="4" xfId="1" applyNumberFormat="1" applyFont="1" applyFill="1" applyBorder="1"/>
    <xf numFmtId="180" fontId="2" fillId="5" borderId="4" xfId="0" applyNumberFormat="1" applyFont="1" applyFill="1" applyBorder="1"/>
    <xf numFmtId="166" fontId="2" fillId="5" borderId="24" xfId="0" applyNumberFormat="1" applyFont="1" applyFill="1" applyBorder="1"/>
    <xf numFmtId="180" fontId="2" fillId="5" borderId="33" xfId="0" applyNumberFormat="1" applyFont="1" applyFill="1" applyBorder="1"/>
    <xf numFmtId="166" fontId="2" fillId="5" borderId="22" xfId="0" applyNumberFormat="1" applyFont="1" applyFill="1" applyBorder="1"/>
    <xf numFmtId="171" fontId="2" fillId="5" borderId="12" xfId="0" applyNumberFormat="1" applyFont="1" applyFill="1" applyBorder="1" applyAlignment="1">
      <alignment horizontal="right"/>
    </xf>
    <xf numFmtId="171" fontId="2" fillId="5" borderId="10" xfId="0" applyNumberFormat="1" applyFont="1" applyFill="1" applyBorder="1" applyAlignment="1">
      <alignment horizontal="right"/>
    </xf>
    <xf numFmtId="171" fontId="2" fillId="5" borderId="4" xfId="0" applyNumberFormat="1" applyFont="1" applyFill="1" applyBorder="1" applyAlignment="1">
      <alignment horizontal="right"/>
    </xf>
    <xf numFmtId="37" fontId="2" fillId="5" borderId="23" xfId="0" applyNumberFormat="1" applyFont="1" applyFill="1" applyBorder="1" applyAlignment="1"/>
    <xf numFmtId="0" fontId="2" fillId="5" borderId="23" xfId="0" applyFont="1" applyFill="1" applyBorder="1" applyAlignment="1">
      <alignment horizontal="left"/>
    </xf>
    <xf numFmtId="172" fontId="2" fillId="5" borderId="23" xfId="0" applyNumberFormat="1" applyFont="1" applyFill="1" applyBorder="1"/>
    <xf numFmtId="172" fontId="2" fillId="5" borderId="4" xfId="0" applyNumberFormat="1" applyFont="1" applyFill="1" applyBorder="1" applyAlignment="1">
      <alignment horizontal="right"/>
    </xf>
    <xf numFmtId="169" fontId="2" fillId="5" borderId="24" xfId="0" applyNumberFormat="1" applyFont="1" applyFill="1" applyBorder="1"/>
    <xf numFmtId="169" fontId="2" fillId="5" borderId="33" xfId="0" applyNumberFormat="1" applyFont="1" applyFill="1" applyBorder="1" applyAlignment="1">
      <alignment horizontal="right"/>
    </xf>
    <xf numFmtId="169" fontId="12" fillId="5" borderId="33" xfId="0" applyNumberFormat="1" applyFont="1" applyFill="1" applyBorder="1" applyAlignment="1">
      <alignment horizontal="right"/>
    </xf>
    <xf numFmtId="7" fontId="4" fillId="5" borderId="22" xfId="4" applyNumberFormat="1" applyFont="1" applyFill="1" applyBorder="1"/>
    <xf numFmtId="7" fontId="4" fillId="5" borderId="12" xfId="4" applyNumberFormat="1" applyFont="1" applyFill="1" applyBorder="1"/>
    <xf numFmtId="176" fontId="5" fillId="5" borderId="12" xfId="0" applyNumberFormat="1" applyFont="1" applyFill="1" applyBorder="1"/>
    <xf numFmtId="176" fontId="2" fillId="5" borderId="12" xfId="0" applyNumberFormat="1" applyFont="1" applyFill="1" applyBorder="1"/>
    <xf numFmtId="176" fontId="2" fillId="5" borderId="10" xfId="0" applyNumberFormat="1" applyFont="1" applyFill="1" applyBorder="1"/>
    <xf numFmtId="166" fontId="2" fillId="5" borderId="23" xfId="1" applyNumberFormat="1" applyFont="1" applyFill="1" applyBorder="1"/>
    <xf numFmtId="167" fontId="5" fillId="5" borderId="0" xfId="0" applyNumberFormat="1" applyFont="1" applyFill="1" applyBorder="1"/>
    <xf numFmtId="167" fontId="2" fillId="5" borderId="0" xfId="0" applyNumberFormat="1" applyFont="1" applyFill="1" applyBorder="1"/>
    <xf numFmtId="169" fontId="2" fillId="5" borderId="23" xfId="4" applyNumberFormat="1" applyFont="1" applyFill="1" applyBorder="1"/>
    <xf numFmtId="7" fontId="2" fillId="5" borderId="23" xfId="4" applyNumberFormat="1" applyFont="1" applyFill="1" applyBorder="1"/>
    <xf numFmtId="43" fontId="5" fillId="5" borderId="0" xfId="1" applyFont="1" applyFill="1" applyBorder="1"/>
    <xf numFmtId="8" fontId="5" fillId="5" borderId="0" xfId="3" applyNumberFormat="1" applyFont="1" applyFill="1" applyBorder="1"/>
    <xf numFmtId="7" fontId="5" fillId="5" borderId="0" xfId="3" applyNumberFormat="1" applyFont="1" applyFill="1" applyBorder="1"/>
    <xf numFmtId="7" fontId="2" fillId="5" borderId="0" xfId="3" applyNumberFormat="1" applyFont="1" applyFill="1" applyBorder="1"/>
    <xf numFmtId="166" fontId="2" fillId="5" borderId="23" xfId="4" applyNumberFormat="1" applyFont="1" applyFill="1" applyBorder="1"/>
    <xf numFmtId="174" fontId="5" fillId="5" borderId="0" xfId="0" applyNumberFormat="1" applyFont="1" applyFill="1" applyBorder="1"/>
    <xf numFmtId="174" fontId="2" fillId="5" borderId="0" xfId="0" applyNumberFormat="1" applyFont="1" applyFill="1" applyBorder="1"/>
    <xf numFmtId="174" fontId="2" fillId="5" borderId="4" xfId="0" applyNumberFormat="1" applyFont="1" applyFill="1" applyBorder="1"/>
    <xf numFmtId="169" fontId="12" fillId="5" borderId="0" xfId="0" applyNumberFormat="1" applyFont="1" applyFill="1" applyBorder="1"/>
    <xf numFmtId="169" fontId="12" fillId="5" borderId="4" xfId="0" applyNumberFormat="1" applyFont="1" applyFill="1" applyBorder="1"/>
    <xf numFmtId="167" fontId="0" fillId="5" borderId="0" xfId="0" applyNumberFormat="1" applyFill="1" applyBorder="1"/>
    <xf numFmtId="169" fontId="2" fillId="5" borderId="24" xfId="4" applyNumberFormat="1" applyFont="1" applyFill="1" applyBorder="1"/>
    <xf numFmtId="169" fontId="2" fillId="5" borderId="33" xfId="0" applyNumberFormat="1" applyFont="1" applyFill="1" applyBorder="1" applyAlignment="1"/>
    <xf numFmtId="169" fontId="12" fillId="5" borderId="33" xfId="0" applyNumberFormat="1" applyFont="1" applyFill="1" applyBorder="1" applyAlignment="1"/>
    <xf numFmtId="169" fontId="12" fillId="5" borderId="2" xfId="0" applyNumberFormat="1" applyFont="1" applyFill="1" applyBorder="1" applyAlignment="1"/>
    <xf numFmtId="166" fontId="2" fillId="5" borderId="22" xfId="4" applyNumberFormat="1" applyFont="1" applyFill="1" applyBorder="1"/>
    <xf numFmtId="167" fontId="5" fillId="5" borderId="12" xfId="1" applyNumberFormat="1" applyFont="1" applyFill="1" applyBorder="1"/>
    <xf numFmtId="167" fontId="12" fillId="5" borderId="12" xfId="1" applyNumberFormat="1" applyFont="1" applyFill="1" applyBorder="1"/>
    <xf numFmtId="167" fontId="12" fillId="5" borderId="12" xfId="0" applyNumberFormat="1" applyFont="1" applyFill="1" applyBorder="1"/>
    <xf numFmtId="167" fontId="12" fillId="5" borderId="10" xfId="0" applyNumberFormat="1" applyFont="1" applyFill="1" applyBorder="1"/>
    <xf numFmtId="167" fontId="12" fillId="5" borderId="0" xfId="1" applyNumberFormat="1" applyFont="1" applyFill="1" applyBorder="1"/>
    <xf numFmtId="165" fontId="4" fillId="5" borderId="24" xfId="4" applyNumberFormat="1" applyFont="1" applyFill="1" applyBorder="1"/>
    <xf numFmtId="167" fontId="4" fillId="5" borderId="33" xfId="0" applyNumberFormat="1" applyFont="1" applyFill="1" applyBorder="1"/>
    <xf numFmtId="167" fontId="37" fillId="5" borderId="0" xfId="1" applyNumberFormat="1" applyFont="1" applyFill="1" applyBorder="1" applyAlignment="1">
      <alignment horizontal="right"/>
    </xf>
    <xf numFmtId="4" fontId="6" fillId="4" borderId="0" xfId="0" applyNumberFormat="1" applyFont="1" applyFill="1" applyAlignment="1">
      <alignment horizontal="left"/>
    </xf>
    <xf numFmtId="37" fontId="40" fillId="0" borderId="0" xfId="1" applyNumberFormat="1" applyFont="1" applyFill="1" applyBorder="1" applyAlignment="1"/>
    <xf numFmtId="0" fontId="2" fillId="14" borderId="25" xfId="28" applyFill="1" applyBorder="1" applyAlignment="1">
      <alignment horizontal="center"/>
    </xf>
    <xf numFmtId="0" fontId="2" fillId="15" borderId="0" xfId="27" applyFont="1" applyFill="1"/>
    <xf numFmtId="0" fontId="2" fillId="15" borderId="0" xfId="27" applyFont="1" applyFill="1" applyAlignment="1">
      <alignment horizontal="center"/>
    </xf>
    <xf numFmtId="0" fontId="4" fillId="15" borderId="0" xfId="27" applyFont="1" applyFill="1" applyAlignment="1">
      <alignment horizontal="center"/>
    </xf>
    <xf numFmtId="0" fontId="2" fillId="15" borderId="13" xfId="27" applyFont="1" applyFill="1" applyBorder="1"/>
    <xf numFmtId="0" fontId="4" fillId="15" borderId="13" xfId="27" applyFont="1" applyFill="1" applyBorder="1" applyAlignment="1">
      <alignment horizontal="center"/>
    </xf>
    <xf numFmtId="0" fontId="42" fillId="12" borderId="0" xfId="27" applyFont="1" applyFill="1" applyBorder="1"/>
    <xf numFmtId="177" fontId="42" fillId="12" borderId="0" xfId="27" applyNumberFormat="1" applyFont="1" applyFill="1" applyBorder="1"/>
    <xf numFmtId="0" fontId="42" fillId="16" borderId="27" xfId="27" applyFont="1" applyFill="1" applyBorder="1"/>
    <xf numFmtId="0" fontId="28" fillId="16" borderId="29" xfId="27" applyFont="1" applyFill="1" applyBorder="1"/>
    <xf numFmtId="0" fontId="28" fillId="16" borderId="0" xfId="27" applyFont="1" applyFill="1" applyBorder="1"/>
    <xf numFmtId="0" fontId="28" fillId="16" borderId="31" xfId="27" applyFont="1" applyFill="1" applyBorder="1"/>
    <xf numFmtId="0" fontId="28" fillId="16" borderId="26" xfId="27" applyFont="1" applyFill="1" applyBorder="1"/>
    <xf numFmtId="37" fontId="37" fillId="15" borderId="0" xfId="1" applyNumberFormat="1" applyFont="1" applyFill="1" applyBorder="1" applyAlignment="1"/>
    <xf numFmtId="37" fontId="2" fillId="15" borderId="0" xfId="1" applyNumberFormat="1" applyFont="1" applyFill="1" applyBorder="1" applyAlignment="1"/>
    <xf numFmtId="0" fontId="2" fillId="15" borderId="0" xfId="0" applyFont="1" applyFill="1" applyBorder="1"/>
    <xf numFmtId="37" fontId="2" fillId="15" borderId="12" xfId="1" applyNumberFormat="1" applyFont="1" applyFill="1" applyBorder="1" applyAlignment="1"/>
    <xf numFmtId="37" fontId="5" fillId="15" borderId="0" xfId="1" applyNumberFormat="1" applyFont="1" applyFill="1" applyBorder="1" applyAlignment="1"/>
    <xf numFmtId="37" fontId="4" fillId="15" borderId="9" xfId="1" applyNumberFormat="1" applyFont="1" applyFill="1" applyBorder="1" applyAlignment="1"/>
    <xf numFmtId="37" fontId="40" fillId="15" borderId="0" xfId="1" applyNumberFormat="1" applyFont="1" applyFill="1" applyBorder="1" applyAlignment="1"/>
    <xf numFmtId="37" fontId="4" fillId="15" borderId="0" xfId="1" applyNumberFormat="1" applyFont="1" applyFill="1" applyBorder="1" applyAlignment="1"/>
    <xf numFmtId="169" fontId="2" fillId="15" borderId="0" xfId="2" applyNumberFormat="1" applyFont="1" applyFill="1" applyBorder="1" applyAlignment="1"/>
    <xf numFmtId="7" fontId="4" fillId="15" borderId="9" xfId="1" applyNumberFormat="1" applyFont="1" applyFill="1" applyBorder="1" applyAlignment="1"/>
    <xf numFmtId="7" fontId="4" fillId="15" borderId="13" xfId="1" applyNumberFormat="1" applyFont="1" applyFill="1" applyBorder="1" applyAlignment="1"/>
    <xf numFmtId="171" fontId="2" fillId="15" borderId="0" xfId="0" applyNumberFormat="1" applyFont="1" applyFill="1" applyBorder="1"/>
    <xf numFmtId="166" fontId="5" fillId="15" borderId="0" xfId="1" applyNumberFormat="1" applyFont="1" applyFill="1" applyBorder="1" applyAlignment="1"/>
    <xf numFmtId="166" fontId="2" fillId="15" borderId="0" xfId="1" applyNumberFormat="1" applyFont="1" applyFill="1" applyBorder="1" applyAlignment="1"/>
    <xf numFmtId="166" fontId="4" fillId="15" borderId="12" xfId="1" applyNumberFormat="1" applyFont="1" applyFill="1" applyBorder="1" applyAlignment="1"/>
    <xf numFmtId="37" fontId="2" fillId="15" borderId="0" xfId="0" applyNumberFormat="1" applyFont="1" applyFill="1" applyBorder="1"/>
    <xf numFmtId="169" fontId="2" fillId="15" borderId="0" xfId="2" applyNumberFormat="1" applyFont="1" applyFill="1" applyBorder="1"/>
    <xf numFmtId="167" fontId="2" fillId="15" borderId="0" xfId="1" applyNumberFormat="1" applyFont="1" applyFill="1" applyBorder="1" applyAlignment="1">
      <alignment horizontal="right"/>
    </xf>
    <xf numFmtId="167" fontId="12" fillId="15" borderId="0" xfId="1" applyNumberFormat="1" applyFont="1" applyFill="1" applyBorder="1" applyAlignment="1">
      <alignment horizontal="right"/>
    </xf>
    <xf numFmtId="7" fontId="2" fillId="15" borderId="0" xfId="1" applyNumberFormat="1" applyFont="1" applyFill="1" applyBorder="1" applyAlignment="1"/>
    <xf numFmtId="1" fontId="2" fillId="15" borderId="0" xfId="1" applyNumberFormat="1" applyFont="1" applyFill="1" applyBorder="1" applyAlignment="1"/>
    <xf numFmtId="1" fontId="2" fillId="15" borderId="0" xfId="0" applyNumberFormat="1" applyFont="1" applyFill="1" applyBorder="1"/>
    <xf numFmtId="1" fontId="5" fillId="15" borderId="0" xfId="1" applyNumberFormat="1" applyFont="1" applyFill="1" applyBorder="1" applyAlignment="1"/>
    <xf numFmtId="166" fontId="12" fillId="15" borderId="0" xfId="0" applyNumberFormat="1" applyFont="1" applyFill="1" applyBorder="1"/>
    <xf numFmtId="166" fontId="2" fillId="15" borderId="0" xfId="0" applyNumberFormat="1" applyFont="1" applyFill="1" applyBorder="1"/>
    <xf numFmtId="166" fontId="4" fillId="15" borderId="0" xfId="0" applyNumberFormat="1" applyFont="1" applyFill="1" applyBorder="1"/>
    <xf numFmtId="5" fontId="2" fillId="15" borderId="12" xfId="0" applyNumberFormat="1" applyFont="1" applyFill="1" applyBorder="1" applyAlignment="1">
      <alignment horizontal="center"/>
    </xf>
    <xf numFmtId="177" fontId="2" fillId="15" borderId="12" xfId="1" applyNumberFormat="1" applyFont="1" applyFill="1" applyBorder="1" applyAlignment="1">
      <alignment horizontal="center"/>
    </xf>
    <xf numFmtId="177" fontId="5" fillId="15" borderId="12" xfId="1" applyNumberFormat="1" applyFont="1" applyFill="1" applyBorder="1" applyAlignment="1">
      <alignment horizontal="center"/>
    </xf>
    <xf numFmtId="5" fontId="2" fillId="15" borderId="0" xfId="0" applyNumberFormat="1" applyFont="1" applyFill="1" applyBorder="1" applyAlignment="1">
      <alignment horizontal="center"/>
    </xf>
    <xf numFmtId="177" fontId="2" fillId="15" borderId="0" xfId="1" applyNumberFormat="1" applyFont="1" applyFill="1" applyBorder="1" applyAlignment="1">
      <alignment horizontal="center"/>
    </xf>
    <xf numFmtId="177" fontId="5" fillId="15" borderId="0" xfId="1" applyNumberFormat="1" applyFont="1" applyFill="1" applyBorder="1" applyAlignment="1">
      <alignment horizontal="center"/>
    </xf>
    <xf numFmtId="9" fontId="5" fillId="15" borderId="0" xfId="0" applyNumberFormat="1" applyFont="1" applyFill="1" applyBorder="1" applyAlignment="1">
      <alignment horizontal="center"/>
    </xf>
    <xf numFmtId="5" fontId="35" fillId="15" borderId="12" xfId="0" applyNumberFormat="1" applyFont="1" applyFill="1" applyBorder="1" applyAlignment="1">
      <alignment horizontal="center"/>
    </xf>
    <xf numFmtId="169" fontId="5" fillId="15" borderId="0" xfId="0" applyNumberFormat="1" applyFont="1" applyFill="1" applyBorder="1" applyAlignment="1">
      <alignment horizontal="center"/>
    </xf>
    <xf numFmtId="179" fontId="2" fillId="15" borderId="13" xfId="0" applyNumberFormat="1" applyFont="1" applyFill="1" applyBorder="1" applyAlignment="1">
      <alignment horizontal="center"/>
    </xf>
    <xf numFmtId="0" fontId="2" fillId="15" borderId="0" xfId="0" applyFont="1" applyFill="1" applyBorder="1" applyAlignment="1">
      <alignment horizontal="center"/>
    </xf>
    <xf numFmtId="5" fontId="2" fillId="15" borderId="13" xfId="0" applyNumberFormat="1" applyFont="1" applyFill="1" applyBorder="1" applyAlignment="1">
      <alignment horizontal="center"/>
    </xf>
    <xf numFmtId="177" fontId="5" fillId="15" borderId="13" xfId="1" applyNumberFormat="1" applyFont="1" applyFill="1" applyBorder="1" applyAlignment="1">
      <alignment horizontal="center"/>
    </xf>
    <xf numFmtId="5" fontId="2" fillId="15" borderId="9" xfId="0" applyNumberFormat="1" applyFont="1" applyFill="1" applyBorder="1" applyAlignment="1">
      <alignment horizontal="center"/>
    </xf>
    <xf numFmtId="177" fontId="5" fillId="15" borderId="9" xfId="1" applyNumberFormat="1" applyFont="1" applyFill="1" applyBorder="1" applyAlignment="1">
      <alignment horizontal="center"/>
    </xf>
    <xf numFmtId="0" fontId="2" fillId="15" borderId="12" xfId="0" applyFont="1" applyFill="1" applyBorder="1"/>
    <xf numFmtId="0" fontId="2" fillId="15" borderId="13" xfId="0" applyFont="1" applyFill="1" applyBorder="1"/>
    <xf numFmtId="7" fontId="2" fillId="15" borderId="0" xfId="0" applyNumberFormat="1" applyFont="1" applyFill="1" applyBorder="1"/>
    <xf numFmtId="5" fontId="12" fillId="15" borderId="0" xfId="0" applyNumberFormat="1" applyFont="1" applyFill="1" applyBorder="1" applyAlignment="1">
      <alignment horizontal="center"/>
    </xf>
    <xf numFmtId="169" fontId="12" fillId="15" borderId="0" xfId="2" applyNumberFormat="1" applyFont="1" applyFill="1" applyBorder="1" applyAlignment="1">
      <alignment horizontal="center"/>
    </xf>
    <xf numFmtId="0" fontId="4" fillId="15" borderId="4" xfId="0" applyFont="1" applyFill="1" applyBorder="1"/>
    <xf numFmtId="0" fontId="2" fillId="15" borderId="5" xfId="0" applyFont="1" applyFill="1" applyBorder="1"/>
    <xf numFmtId="0" fontId="2" fillId="15" borderId="4" xfId="0" applyFont="1" applyFill="1" applyBorder="1"/>
    <xf numFmtId="172" fontId="2" fillId="15" borderId="0" xfId="0" applyNumberFormat="1" applyFont="1" applyFill="1" applyBorder="1"/>
    <xf numFmtId="172" fontId="2" fillId="15" borderId="0" xfId="0" applyNumberFormat="1" applyFont="1" applyFill="1" applyBorder="1" applyAlignment="1">
      <alignment horizontal="right"/>
    </xf>
    <xf numFmtId="4" fontId="2" fillId="15" borderId="0" xfId="0" applyNumberFormat="1" applyFont="1" applyFill="1" applyBorder="1"/>
    <xf numFmtId="37" fontId="12" fillId="15" borderId="0" xfId="1" applyNumberFormat="1" applyFont="1" applyFill="1" applyBorder="1" applyAlignment="1"/>
    <xf numFmtId="167" fontId="37" fillId="15" borderId="0" xfId="1" applyNumberFormat="1" applyFont="1" applyFill="1" applyBorder="1" applyAlignment="1">
      <alignment horizontal="right"/>
    </xf>
    <xf numFmtId="9" fontId="15" fillId="15" borderId="0" xfId="0" applyNumberFormat="1" applyFont="1" applyFill="1" applyBorder="1" applyAlignment="1">
      <alignment horizontal="center"/>
    </xf>
    <xf numFmtId="165" fontId="2" fillId="15" borderId="0" xfId="0" applyNumberFormat="1" applyFont="1" applyFill="1" applyBorder="1" applyAlignment="1">
      <alignment horizontal="center"/>
    </xf>
    <xf numFmtId="0" fontId="2" fillId="0" borderId="0" xfId="0" applyFont="1" applyFill="1" applyBorder="1"/>
    <xf numFmtId="37" fontId="2" fillId="15" borderId="0" xfId="1" applyNumberFormat="1" applyFont="1" applyFill="1" applyBorder="1"/>
    <xf numFmtId="37" fontId="5" fillId="15" borderId="0" xfId="1" applyNumberFormat="1" applyFont="1" applyFill="1" applyBorder="1"/>
    <xf numFmtId="183" fontId="5" fillId="15" borderId="0" xfId="1" applyNumberFormat="1" applyFont="1" applyFill="1" applyBorder="1"/>
    <xf numFmtId="37" fontId="2" fillId="15" borderId="0" xfId="2" applyNumberFormat="1" applyFont="1" applyFill="1" applyBorder="1" applyAlignment="1"/>
    <xf numFmtId="37" fontId="2" fillId="15" borderId="0" xfId="2" applyNumberFormat="1" applyFont="1" applyFill="1" applyBorder="1"/>
    <xf numFmtId="183" fontId="4" fillId="15" borderId="0" xfId="1" applyNumberFormat="1" applyFont="1" applyFill="1" applyBorder="1" applyAlignment="1"/>
    <xf numFmtId="183" fontId="4" fillId="15" borderId="9" xfId="1" applyNumberFormat="1" applyFont="1" applyFill="1" applyBorder="1" applyAlignment="1"/>
    <xf numFmtId="39" fontId="4" fillId="15" borderId="9" xfId="1" applyNumberFormat="1" applyFont="1" applyFill="1" applyBorder="1" applyAlignment="1"/>
    <xf numFmtId="177" fontId="2" fillId="15" borderId="12" xfId="0" applyNumberFormat="1" applyFont="1" applyFill="1" applyBorder="1" applyAlignment="1">
      <alignment horizontal="center"/>
    </xf>
    <xf numFmtId="177" fontId="2" fillId="15" borderId="0" xfId="0" applyNumberFormat="1" applyFont="1" applyFill="1" applyBorder="1" applyAlignment="1">
      <alignment horizontal="center"/>
    </xf>
    <xf numFmtId="0" fontId="2" fillId="15" borderId="9" xfId="0" applyFont="1" applyFill="1" applyBorder="1"/>
    <xf numFmtId="0" fontId="4" fillId="15" borderId="13" xfId="5" applyFont="1" applyFill="1" applyBorder="1" applyAlignment="1">
      <alignment horizontal="center"/>
    </xf>
    <xf numFmtId="172" fontId="12" fillId="15" borderId="0" xfId="5" applyNumberFormat="1" applyFont="1" applyFill="1" applyBorder="1" applyAlignment="1">
      <alignment horizontal="center"/>
    </xf>
    <xf numFmtId="3" fontId="12" fillId="15" borderId="0" xfId="5" applyNumberFormat="1" applyFont="1" applyFill="1" applyBorder="1" applyAlignment="1">
      <alignment horizontal="center"/>
    </xf>
    <xf numFmtId="3" fontId="2" fillId="15" borderId="0" xfId="5" applyNumberFormat="1" applyFont="1" applyFill="1" applyBorder="1" applyAlignment="1">
      <alignment horizontal="center"/>
    </xf>
    <xf numFmtId="37" fontId="4" fillId="15" borderId="0" xfId="5" applyNumberFormat="1" applyFont="1" applyFill="1" applyAlignment="1">
      <alignment horizontal="center"/>
    </xf>
    <xf numFmtId="9" fontId="7" fillId="15" borderId="0" xfId="6" applyFont="1" applyFill="1" applyAlignment="1">
      <alignment horizontal="center"/>
    </xf>
    <xf numFmtId="0" fontId="2" fillId="15" borderId="0" xfId="5" applyFill="1" applyAlignment="1">
      <alignment horizontal="center"/>
    </xf>
    <xf numFmtId="3" fontId="4" fillId="15" borderId="0" xfId="5" applyNumberFormat="1" applyFont="1" applyFill="1" applyAlignment="1">
      <alignment horizontal="center"/>
    </xf>
    <xf numFmtId="37" fontId="2" fillId="15" borderId="0" xfId="5" applyNumberFormat="1" applyFill="1" applyAlignment="1">
      <alignment horizontal="center"/>
    </xf>
    <xf numFmtId="3" fontId="12" fillId="15" borderId="0" xfId="5" applyNumberFormat="1" applyFont="1" applyFill="1" applyAlignment="1">
      <alignment horizontal="center"/>
    </xf>
    <xf numFmtId="172" fontId="4" fillId="15" borderId="9" xfId="5" applyNumberFormat="1" applyFont="1" applyFill="1" applyBorder="1" applyAlignment="1">
      <alignment horizontal="center"/>
    </xf>
    <xf numFmtId="3" fontId="4" fillId="15" borderId="9" xfId="5" applyNumberFormat="1" applyFont="1" applyFill="1" applyBorder="1" applyAlignment="1">
      <alignment horizontal="center"/>
    </xf>
    <xf numFmtId="3" fontId="2" fillId="15" borderId="0" xfId="5" applyNumberFormat="1" applyFont="1" applyFill="1" applyAlignment="1">
      <alignment horizontal="center"/>
    </xf>
    <xf numFmtId="3" fontId="2" fillId="15" borderId="0" xfId="5" applyNumberFormat="1" applyFill="1" applyAlignment="1">
      <alignment horizontal="center"/>
    </xf>
    <xf numFmtId="3" fontId="5" fillId="15" borderId="0" xfId="5" applyNumberFormat="1" applyFont="1" applyFill="1" applyBorder="1" applyAlignment="1">
      <alignment horizontal="center"/>
    </xf>
    <xf numFmtId="175" fontId="2" fillId="15" borderId="0" xfId="5" applyNumberFormat="1" applyFill="1" applyAlignment="1">
      <alignment horizontal="center"/>
    </xf>
    <xf numFmtId="37" fontId="4" fillId="0" borderId="9" xfId="1" applyNumberFormat="1" applyFont="1" applyFill="1" applyBorder="1" applyAlignment="1"/>
    <xf numFmtId="3" fontId="12" fillId="0" borderId="0" xfId="5" applyNumberFormat="1" applyFont="1" applyBorder="1" applyAlignment="1">
      <alignment horizontal="center"/>
    </xf>
    <xf numFmtId="186" fontId="2" fillId="2" borderId="0" xfId="1" applyNumberFormat="1" applyFont="1" applyFill="1" applyBorder="1" applyAlignment="1"/>
    <xf numFmtId="178" fontId="2" fillId="0" borderId="0" xfId="5" applyNumberFormat="1"/>
    <xf numFmtId="166" fontId="4" fillId="15" borderId="0" xfId="1" applyNumberFormat="1" applyFont="1" applyFill="1" applyBorder="1" applyAlignment="1"/>
    <xf numFmtId="39" fontId="4" fillId="2" borderId="0" xfId="1" applyNumberFormat="1" applyFont="1" applyFill="1" applyBorder="1" applyAlignment="1"/>
    <xf numFmtId="39" fontId="4" fillId="15" borderId="0" xfId="1" applyNumberFormat="1" applyFont="1" applyFill="1" applyBorder="1" applyAlignment="1"/>
    <xf numFmtId="183" fontId="2" fillId="15" borderId="0" xfId="1" applyNumberFormat="1" applyFont="1" applyFill="1" applyBorder="1" applyAlignment="1"/>
    <xf numFmtId="183" fontId="5" fillId="15" borderId="0" xfId="1" applyNumberFormat="1" applyFont="1" applyFill="1" applyBorder="1" applyAlignment="1"/>
    <xf numFmtId="183" fontId="2" fillId="15" borderId="0" xfId="0" applyNumberFormat="1" applyFont="1" applyFill="1" applyBorder="1"/>
    <xf numFmtId="183" fontId="37" fillId="15" borderId="0" xfId="1" applyNumberFormat="1" applyFont="1" applyFill="1" applyBorder="1" applyAlignment="1"/>
    <xf numFmtId="183" fontId="6" fillId="4" borderId="0" xfId="1" applyNumberFormat="1" applyFont="1" applyFill="1" applyBorder="1" applyAlignment="1"/>
    <xf numFmtId="183" fontId="2" fillId="15" borderId="0" xfId="1" applyNumberFormat="1" applyFont="1" applyFill="1" applyBorder="1"/>
    <xf numFmtId="183" fontId="2" fillId="15" borderId="0" xfId="2" applyNumberFormat="1" applyFont="1" applyFill="1" applyBorder="1"/>
    <xf numFmtId="183" fontId="2" fillId="15" borderId="12" xfId="1" applyNumberFormat="1" applyFont="1" applyFill="1" applyBorder="1"/>
    <xf numFmtId="183" fontId="2" fillId="2" borderId="0" xfId="0" applyNumberFormat="1" applyFont="1" applyFill="1" applyBorder="1"/>
    <xf numFmtId="183" fontId="2" fillId="2" borderId="0" xfId="2" applyNumberFormat="1" applyFont="1" applyFill="1" applyBorder="1" applyAlignment="1"/>
    <xf numFmtId="166" fontId="2" fillId="2" borderId="0" xfId="2" applyNumberFormat="1" applyFont="1" applyFill="1" applyBorder="1" applyAlignment="1"/>
    <xf numFmtId="166" fontId="6" fillId="4" borderId="0" xfId="1" applyNumberFormat="1" applyFont="1" applyFill="1" applyBorder="1" applyAlignment="1"/>
    <xf numFmtId="183" fontId="2" fillId="2" borderId="12" xfId="1" applyNumberFormat="1" applyFont="1" applyFill="1" applyBorder="1" applyAlignment="1"/>
    <xf numFmtId="5" fontId="2" fillId="2" borderId="0" xfId="0" applyNumberFormat="1" applyFont="1" applyFill="1" applyBorder="1"/>
    <xf numFmtId="166" fontId="12" fillId="15" borderId="0" xfId="1" applyNumberFormat="1" applyFont="1" applyFill="1" applyBorder="1" applyAlignment="1"/>
    <xf numFmtId="181" fontId="15" fillId="10" borderId="0" xfId="1" applyNumberFormat="1" applyFont="1" applyFill="1"/>
    <xf numFmtId="0" fontId="4" fillId="0" borderId="33" xfId="5" applyFont="1" applyFill="1" applyBorder="1" applyAlignment="1">
      <alignment horizontal="center"/>
    </xf>
    <xf numFmtId="166" fontId="4" fillId="15" borderId="9" xfId="1" applyNumberFormat="1" applyFont="1" applyFill="1" applyBorder="1" applyAlignment="1"/>
    <xf numFmtId="37" fontId="5" fillId="15" borderId="0" xfId="1" applyNumberFormat="1" applyFont="1" applyFill="1" applyBorder="1" applyAlignment="1">
      <alignment horizontal="center"/>
    </xf>
    <xf numFmtId="37" fontId="12" fillId="15" borderId="0" xfId="1" applyNumberFormat="1" applyFont="1" applyFill="1" applyBorder="1" applyAlignment="1">
      <alignment horizontal="center"/>
    </xf>
    <xf numFmtId="37" fontId="33" fillId="9" borderId="34" xfId="1" applyNumberFormat="1" applyFont="1" applyFill="1" applyBorder="1" applyAlignment="1">
      <alignment horizontal="right"/>
    </xf>
    <xf numFmtId="37" fontId="38" fillId="15" borderId="0" xfId="1" applyNumberFormat="1" applyFont="1" applyFill="1" applyBorder="1" applyAlignment="1"/>
    <xf numFmtId="37" fontId="2" fillId="15" borderId="0" xfId="1" applyNumberFormat="1" applyFont="1" applyFill="1" applyBorder="1" applyAlignment="1">
      <alignment horizontal="right"/>
    </xf>
    <xf numFmtId="9" fontId="12" fillId="15" borderId="0" xfId="2" applyFont="1" applyFill="1" applyBorder="1"/>
    <xf numFmtId="39" fontId="2" fillId="15" borderId="0" xfId="1" applyNumberFormat="1" applyFont="1" applyFill="1" applyBorder="1" applyAlignment="1"/>
    <xf numFmtId="37" fontId="2" fillId="15" borderId="0" xfId="0" applyNumberFormat="1" applyFont="1" applyFill="1" applyBorder="1" applyAlignment="1">
      <alignment horizontal="center"/>
    </xf>
    <xf numFmtId="0" fontId="0" fillId="0" borderId="33" xfId="0" applyBorder="1" applyAlignment="1">
      <alignment horizontal="center"/>
    </xf>
    <xf numFmtId="9" fontId="2" fillId="12" borderId="0" xfId="25" applyNumberFormat="1" applyFont="1" applyFill="1"/>
    <xf numFmtId="37" fontId="2" fillId="2" borderId="11" xfId="1" applyNumberFormat="1" applyFont="1" applyFill="1" applyBorder="1" applyAlignment="1"/>
    <xf numFmtId="37" fontId="2" fillId="2" borderId="5" xfId="1" applyNumberFormat="1" applyFont="1" applyFill="1" applyBorder="1" applyAlignment="1"/>
    <xf numFmtId="37" fontId="2" fillId="2" borderId="16" xfId="1" applyNumberFormat="1" applyFont="1" applyFill="1" applyBorder="1" applyAlignment="1"/>
    <xf numFmtId="1" fontId="12" fillId="15" borderId="0" xfId="1" applyNumberFormat="1" applyFont="1" applyFill="1" applyBorder="1" applyAlignment="1"/>
    <xf numFmtId="0" fontId="7" fillId="2" borderId="5" xfId="0" applyFont="1" applyFill="1" applyBorder="1"/>
    <xf numFmtId="37" fontId="7" fillId="15" borderId="0" xfId="0" applyNumberFormat="1" applyFont="1" applyFill="1" applyBorder="1"/>
    <xf numFmtId="37" fontId="7" fillId="2" borderId="0" xfId="0" applyNumberFormat="1" applyFont="1" applyFill="1" applyBorder="1"/>
    <xf numFmtId="0" fontId="7" fillId="15" borderId="0" xfId="0" applyFont="1" applyFill="1" applyBorder="1"/>
    <xf numFmtId="9" fontId="7" fillId="5" borderId="0" xfId="2" applyFont="1" applyFill="1" applyBorder="1"/>
    <xf numFmtId="9" fontId="7" fillId="15" borderId="0" xfId="2" applyFont="1" applyFill="1" applyBorder="1"/>
    <xf numFmtId="171" fontId="12" fillId="15" borderId="0" xfId="0" applyNumberFormat="1" applyFont="1" applyFill="1" applyBorder="1"/>
    <xf numFmtId="180" fontId="38" fillId="5" borderId="0" xfId="1" applyNumberFormat="1" applyFont="1" applyFill="1" applyBorder="1"/>
    <xf numFmtId="0" fontId="37" fillId="0" borderId="0" xfId="0" applyFont="1"/>
    <xf numFmtId="0" fontId="37" fillId="0" borderId="0" xfId="0" applyFont="1" applyAlignment="1">
      <alignment horizontal="center"/>
    </xf>
    <xf numFmtId="0" fontId="53" fillId="0" borderId="0" xfId="0" applyFont="1"/>
    <xf numFmtId="0" fontId="53" fillId="8" borderId="36" xfId="0" applyFont="1" applyFill="1" applyBorder="1"/>
    <xf numFmtId="0" fontId="53" fillId="8" borderId="36" xfId="0" applyFont="1" applyFill="1" applyBorder="1" applyAlignment="1">
      <alignment horizontal="center"/>
    </xf>
    <xf numFmtId="0" fontId="53" fillId="0" borderId="0" xfId="0" applyFont="1" applyBorder="1"/>
    <xf numFmtId="0" fontId="53" fillId="0" borderId="0" xfId="0" applyFont="1" applyBorder="1" applyAlignment="1">
      <alignment horizontal="center"/>
    </xf>
    <xf numFmtId="0" fontId="53" fillId="17" borderId="36" xfId="0" applyFont="1" applyFill="1" applyBorder="1"/>
    <xf numFmtId="0" fontId="53" fillId="17" borderId="36" xfId="0" applyFont="1" applyFill="1" applyBorder="1" applyAlignment="1">
      <alignment horizontal="center"/>
    </xf>
    <xf numFmtId="0" fontId="53" fillId="0" borderId="33" xfId="0" applyFont="1" applyBorder="1"/>
    <xf numFmtId="0" fontId="53" fillId="0" borderId="33" xfId="0" applyFont="1" applyBorder="1" applyAlignment="1">
      <alignment horizontal="center"/>
    </xf>
    <xf numFmtId="0" fontId="37" fillId="0" borderId="0" xfId="0" applyFont="1" applyBorder="1"/>
    <xf numFmtId="0" fontId="37" fillId="0" borderId="0" xfId="0" applyFont="1" applyBorder="1" applyAlignment="1">
      <alignment horizontal="center"/>
    </xf>
    <xf numFmtId="9" fontId="37" fillId="0" borderId="0" xfId="0" applyNumberFormat="1" applyFont="1" applyBorder="1"/>
    <xf numFmtId="9" fontId="53" fillId="0" borderId="33" xfId="0" applyNumberFormat="1" applyFont="1" applyBorder="1"/>
    <xf numFmtId="0" fontId="54" fillId="0" borderId="0" xfId="0" applyFont="1" applyAlignment="1">
      <alignment horizontal="center"/>
    </xf>
    <xf numFmtId="14" fontId="37" fillId="0" borderId="0" xfId="0" applyNumberFormat="1" applyFont="1" applyAlignment="1">
      <alignment horizontal="center"/>
    </xf>
    <xf numFmtId="14" fontId="37" fillId="0" borderId="0" xfId="0" quotePrefix="1" applyNumberFormat="1" applyFont="1" applyAlignment="1">
      <alignment horizontal="center"/>
    </xf>
    <xf numFmtId="0" fontId="37" fillId="0" borderId="0" xfId="0" quotePrefix="1" applyFont="1" applyAlignment="1">
      <alignment horizontal="center"/>
    </xf>
    <xf numFmtId="0" fontId="55" fillId="0" borderId="9" xfId="0" applyFont="1" applyBorder="1"/>
    <xf numFmtId="0" fontId="55" fillId="0" borderId="9" xfId="0" applyFont="1" applyBorder="1" applyAlignment="1">
      <alignment horizontal="center"/>
    </xf>
    <xf numFmtId="3" fontId="55" fillId="0" borderId="9" xfId="0" applyNumberFormat="1" applyFont="1" applyBorder="1"/>
    <xf numFmtId="0" fontId="56" fillId="0" borderId="0" xfId="0" applyFont="1"/>
    <xf numFmtId="0" fontId="37" fillId="13" borderId="0" xfId="0" applyFont="1" applyFill="1" applyAlignment="1">
      <alignment horizontal="center"/>
    </xf>
    <xf numFmtId="0" fontId="55" fillId="0" borderId="12" xfId="0" applyFont="1" applyBorder="1"/>
    <xf numFmtId="0" fontId="55" fillId="0" borderId="12" xfId="0" applyFont="1" applyBorder="1" applyAlignment="1">
      <alignment horizontal="center"/>
    </xf>
    <xf numFmtId="3" fontId="55" fillId="0" borderId="12" xfId="0" applyNumberFormat="1" applyFont="1" applyBorder="1"/>
    <xf numFmtId="0" fontId="56" fillId="0" borderId="0" xfId="0" applyFont="1" applyBorder="1" applyAlignment="1">
      <alignment horizontal="left" indent="1"/>
    </xf>
    <xf numFmtId="0" fontId="55" fillId="0" borderId="0" xfId="0" applyFont="1" applyBorder="1" applyAlignment="1">
      <alignment horizontal="center"/>
    </xf>
    <xf numFmtId="0" fontId="55" fillId="0" borderId="0" xfId="0" applyFont="1" applyBorder="1"/>
    <xf numFmtId="9" fontId="55" fillId="0" borderId="0" xfId="0" applyNumberFormat="1" applyFont="1" applyBorder="1"/>
    <xf numFmtId="9" fontId="56" fillId="0" borderId="0" xfId="0" applyNumberFormat="1" applyFont="1" applyBorder="1"/>
    <xf numFmtId="0" fontId="55" fillId="0" borderId="33" xfId="0" applyFont="1" applyBorder="1"/>
    <xf numFmtId="0" fontId="55" fillId="0" borderId="33" xfId="0" applyFont="1" applyBorder="1" applyAlignment="1">
      <alignment horizontal="center"/>
    </xf>
    <xf numFmtId="3" fontId="55" fillId="0" borderId="33" xfId="0" applyNumberFormat="1" applyFont="1" applyBorder="1"/>
    <xf numFmtId="3" fontId="37" fillId="0" borderId="0" xfId="0" applyNumberFormat="1" applyFont="1"/>
    <xf numFmtId="14" fontId="37" fillId="13" borderId="0" xfId="0" applyNumberFormat="1" applyFont="1" applyFill="1" applyAlignment="1">
      <alignment horizontal="center"/>
    </xf>
    <xf numFmtId="1" fontId="37" fillId="0" borderId="0" xfId="0" applyNumberFormat="1" applyFont="1"/>
    <xf numFmtId="0" fontId="53" fillId="18" borderId="36" xfId="0" applyFont="1" applyFill="1" applyBorder="1"/>
    <xf numFmtId="0" fontId="53" fillId="18" borderId="36" xfId="0" applyFont="1" applyFill="1" applyBorder="1" applyAlignment="1">
      <alignment horizontal="center"/>
    </xf>
    <xf numFmtId="0" fontId="37" fillId="0" borderId="0" xfId="0" applyFont="1" applyAlignment="1">
      <alignment horizontal="left"/>
    </xf>
    <xf numFmtId="177" fontId="37" fillId="0" borderId="0" xfId="0" applyNumberFormat="1" applyFont="1"/>
    <xf numFmtId="0" fontId="37" fillId="0" borderId="0" xfId="0" applyFont="1" applyAlignment="1">
      <alignment horizontal="left" indent="1"/>
    </xf>
    <xf numFmtId="177" fontId="55" fillId="0" borderId="9" xfId="0" applyNumberFormat="1" applyFont="1" applyBorder="1"/>
    <xf numFmtId="0" fontId="37" fillId="0" borderId="33" xfId="0" applyFont="1" applyBorder="1"/>
    <xf numFmtId="177" fontId="55" fillId="0" borderId="9" xfId="0" applyNumberFormat="1" applyFont="1" applyBorder="1" applyAlignment="1">
      <alignment horizontal="center"/>
    </xf>
    <xf numFmtId="0" fontId="53" fillId="0" borderId="0" xfId="0" applyFont="1" applyAlignment="1">
      <alignment horizontal="center"/>
    </xf>
    <xf numFmtId="177" fontId="53" fillId="0" borderId="0" xfId="0" applyNumberFormat="1" applyFont="1"/>
    <xf numFmtId="9" fontId="53" fillId="0" borderId="33" xfId="0" applyNumberFormat="1" applyFont="1" applyBorder="1" applyAlignment="1">
      <alignment horizontal="center"/>
    </xf>
    <xf numFmtId="9" fontId="37" fillId="0" borderId="0" xfId="0" applyNumberFormat="1" applyFont="1" applyBorder="1" applyAlignment="1">
      <alignment horizontal="center"/>
    </xf>
    <xf numFmtId="3" fontId="55" fillId="0" borderId="9" xfId="0" applyNumberFormat="1" applyFont="1" applyBorder="1" applyAlignment="1">
      <alignment horizontal="center"/>
    </xf>
    <xf numFmtId="3" fontId="55" fillId="0" borderId="12" xfId="0" applyNumberFormat="1" applyFont="1" applyBorder="1" applyAlignment="1">
      <alignment horizontal="center"/>
    </xf>
    <xf numFmtId="14" fontId="37" fillId="13" borderId="0" xfId="0" quotePrefix="1" applyNumberFormat="1" applyFont="1" applyFill="1" applyAlignment="1">
      <alignment horizontal="center"/>
    </xf>
    <xf numFmtId="1" fontId="55" fillId="0" borderId="9" xfId="0" applyNumberFormat="1" applyFont="1" applyBorder="1" applyAlignment="1">
      <alignment horizontal="center"/>
    </xf>
    <xf numFmtId="0" fontId="53" fillId="0" borderId="36" xfId="0" applyFont="1" applyBorder="1"/>
    <xf numFmtId="0" fontId="53" fillId="0" borderId="36" xfId="0" applyFont="1" applyBorder="1" applyAlignment="1">
      <alignment horizontal="center"/>
    </xf>
    <xf numFmtId="177" fontId="53" fillId="0" borderId="36" xfId="0" applyNumberFormat="1" applyFont="1" applyBorder="1"/>
    <xf numFmtId="3" fontId="2" fillId="0" borderId="0" xfId="6" applyNumberFormat="1" applyFont="1" applyAlignment="1">
      <alignment horizontal="center"/>
    </xf>
    <xf numFmtId="179" fontId="2" fillId="0" borderId="33" xfId="0" applyNumberFormat="1" applyFont="1" applyBorder="1" applyAlignment="1">
      <alignment horizontal="center"/>
    </xf>
    <xf numFmtId="179" fontId="2" fillId="15" borderId="33" xfId="0" applyNumberFormat="1" applyFont="1" applyFill="1" applyBorder="1" applyAlignment="1">
      <alignment horizontal="center"/>
    </xf>
    <xf numFmtId="0" fontId="4" fillId="5" borderId="33" xfId="0" applyFont="1" applyFill="1" applyBorder="1"/>
    <xf numFmtId="170" fontId="4" fillId="5" borderId="33" xfId="3" applyNumberFormat="1" applyFont="1" applyFill="1" applyBorder="1"/>
    <xf numFmtId="9" fontId="15" fillId="0" borderId="33" xfId="0" applyNumberFormat="1" applyFont="1" applyFill="1" applyBorder="1" applyAlignment="1">
      <alignment horizontal="center"/>
    </xf>
    <xf numFmtId="9" fontId="15" fillId="15" borderId="33" xfId="0" applyNumberFormat="1" applyFont="1" applyFill="1" applyBorder="1" applyAlignment="1">
      <alignment horizontal="center"/>
    </xf>
    <xf numFmtId="5" fontId="2" fillId="0" borderId="33" xfId="0" applyNumberFormat="1" applyFont="1" applyFill="1" applyBorder="1" applyAlignment="1">
      <alignment horizontal="center"/>
    </xf>
    <xf numFmtId="5" fontId="2" fillId="15" borderId="33" xfId="0" applyNumberFormat="1" applyFont="1" applyFill="1" applyBorder="1" applyAlignment="1">
      <alignment horizontal="center"/>
    </xf>
    <xf numFmtId="5" fontId="2" fillId="0" borderId="37" xfId="0" applyNumberFormat="1" applyFont="1" applyFill="1" applyBorder="1" applyAlignment="1">
      <alignment horizontal="center"/>
    </xf>
    <xf numFmtId="0" fontId="2" fillId="2" borderId="33" xfId="0" applyFont="1" applyFill="1" applyBorder="1"/>
    <xf numFmtId="0" fontId="2" fillId="15" borderId="33" xfId="0" applyFont="1" applyFill="1" applyBorder="1"/>
    <xf numFmtId="0" fontId="2" fillId="2" borderId="37" xfId="0" applyFont="1" applyFill="1" applyBorder="1"/>
    <xf numFmtId="180" fontId="2" fillId="5" borderId="37" xfId="0" applyNumberFormat="1" applyFont="1" applyFill="1" applyBorder="1"/>
    <xf numFmtId="170" fontId="4" fillId="5" borderId="37" xfId="3" applyNumberFormat="1" applyFont="1" applyFill="1" applyBorder="1"/>
    <xf numFmtId="171" fontId="4" fillId="5" borderId="37" xfId="0" applyNumberFormat="1" applyFont="1" applyFill="1" applyBorder="1"/>
    <xf numFmtId="167" fontId="4" fillId="5" borderId="37" xfId="0" applyNumberFormat="1" applyFont="1" applyFill="1" applyBorder="1"/>
    <xf numFmtId="0" fontId="53" fillId="13" borderId="19" xfId="0" applyFont="1" applyFill="1" applyBorder="1" applyAlignment="1">
      <alignment horizontal="center"/>
    </xf>
    <xf numFmtId="0" fontId="53" fillId="13" borderId="20" xfId="0" applyFont="1" applyFill="1" applyBorder="1" applyAlignment="1">
      <alignment horizontal="center"/>
    </xf>
    <xf numFmtId="0" fontId="37" fillId="0" borderId="0" xfId="0" applyFont="1" applyBorder="1" applyAlignment="1">
      <alignment horizontal="left"/>
    </xf>
    <xf numFmtId="0" fontId="53" fillId="0" borderId="33" xfId="0" applyFont="1" applyBorder="1" applyAlignment="1">
      <alignment horizontal="left"/>
    </xf>
    <xf numFmtId="171" fontId="37" fillId="0" borderId="0" xfId="0" applyNumberFormat="1" applyFont="1"/>
    <xf numFmtId="3" fontId="37" fillId="0" borderId="0" xfId="0" applyNumberFormat="1" applyFont="1" applyAlignment="1">
      <alignment horizontal="center"/>
    </xf>
    <xf numFmtId="171" fontId="37" fillId="0" borderId="0" xfId="0" applyNumberFormat="1" applyFont="1" applyAlignment="1">
      <alignment horizontal="center"/>
    </xf>
    <xf numFmtId="177" fontId="12" fillId="0" borderId="0" xfId="5" applyNumberFormat="1" applyFont="1" applyFill="1" applyBorder="1" applyAlignment="1">
      <alignment horizontal="center"/>
    </xf>
    <xf numFmtId="172" fontId="37" fillId="0" borderId="0" xfId="0" applyNumberFormat="1" applyFont="1"/>
    <xf numFmtId="9" fontId="12" fillId="0" borderId="0" xfId="0" applyNumberFormat="1" applyFont="1" applyBorder="1"/>
    <xf numFmtId="0" fontId="37" fillId="0" borderId="33" xfId="0" applyFont="1" applyBorder="1" applyAlignment="1">
      <alignment horizontal="left"/>
    </xf>
    <xf numFmtId="0" fontId="37" fillId="0" borderId="33" xfId="0" applyFont="1" applyBorder="1" applyAlignment="1">
      <alignment horizontal="center"/>
    </xf>
    <xf numFmtId="9" fontId="37" fillId="0" borderId="33" xfId="0" applyNumberFormat="1" applyFont="1" applyBorder="1"/>
    <xf numFmtId="9" fontId="37" fillId="0" borderId="0" xfId="0" applyNumberFormat="1" applyFont="1"/>
    <xf numFmtId="169" fontId="2" fillId="0" borderId="0" xfId="5" applyNumberFormat="1" applyFont="1" applyBorder="1" applyAlignment="1">
      <alignment horizontal="center"/>
    </xf>
    <xf numFmtId="3" fontId="35" fillId="0" borderId="12" xfId="0" applyNumberFormat="1" applyFont="1" applyBorder="1" applyAlignment="1">
      <alignment horizontal="center"/>
    </xf>
    <xf numFmtId="3" fontId="35" fillId="15" borderId="12" xfId="0" applyNumberFormat="1" applyFont="1" applyFill="1" applyBorder="1" applyAlignment="1">
      <alignment horizontal="center"/>
    </xf>
    <xf numFmtId="3" fontId="35" fillId="0" borderId="10" xfId="0" applyNumberFormat="1" applyFont="1" applyBorder="1" applyAlignment="1">
      <alignment horizontal="center"/>
    </xf>
    <xf numFmtId="177" fontId="55" fillId="0" borderId="0" xfId="0" applyNumberFormat="1" applyFont="1" applyBorder="1"/>
    <xf numFmtId="3" fontId="37" fillId="0" borderId="0" xfId="0" applyNumberFormat="1" applyFont="1" applyBorder="1"/>
    <xf numFmtId="172" fontId="37" fillId="0" borderId="0" xfId="0" applyNumberFormat="1" applyFont="1" applyBorder="1"/>
    <xf numFmtId="177" fontId="37" fillId="0" borderId="0" xfId="0" applyNumberFormat="1" applyFont="1" applyBorder="1"/>
    <xf numFmtId="1" fontId="37" fillId="13" borderId="0" xfId="0" applyNumberFormat="1" applyFont="1" applyFill="1" applyAlignment="1">
      <alignment horizontal="center"/>
    </xf>
    <xf numFmtId="3" fontId="2" fillId="15" borderId="0" xfId="6" applyNumberFormat="1" applyFont="1" applyFill="1" applyAlignment="1">
      <alignment horizontal="center"/>
    </xf>
    <xf numFmtId="3" fontId="7" fillId="15" borderId="0" xfId="6" applyNumberFormat="1" applyFont="1" applyFill="1" applyAlignment="1">
      <alignment horizontal="center"/>
    </xf>
    <xf numFmtId="0" fontId="37" fillId="0" borderId="9" xfId="0" applyFont="1" applyBorder="1"/>
    <xf numFmtId="0" fontId="37" fillId="0" borderId="9" xfId="0" applyFont="1" applyBorder="1" applyAlignment="1">
      <alignment horizontal="center"/>
    </xf>
    <xf numFmtId="9" fontId="37" fillId="0" borderId="9" xfId="0" applyNumberFormat="1" applyFont="1" applyBorder="1"/>
    <xf numFmtId="177" fontId="55" fillId="0" borderId="33" xfId="0" applyNumberFormat="1" applyFont="1" applyBorder="1"/>
    <xf numFmtId="37" fontId="2" fillId="15" borderId="12" xfId="0" applyNumberFormat="1" applyFont="1" applyFill="1" applyBorder="1" applyAlignment="1">
      <alignment horizontal="center"/>
    </xf>
    <xf numFmtId="0" fontId="4" fillId="0" borderId="33" xfId="0" applyFont="1" applyBorder="1"/>
    <xf numFmtId="9" fontId="5" fillId="0" borderId="33" xfId="0" applyNumberFormat="1" applyFont="1" applyBorder="1" applyAlignment="1">
      <alignment horizontal="center"/>
    </xf>
    <xf numFmtId="7" fontId="4" fillId="0" borderId="33" xfId="0" applyNumberFormat="1" applyFont="1" applyFill="1" applyBorder="1" applyAlignment="1">
      <alignment horizontal="center"/>
    </xf>
    <xf numFmtId="9" fontId="5" fillId="15" borderId="33" xfId="0" applyNumberFormat="1" applyFont="1" applyFill="1" applyBorder="1" applyAlignment="1">
      <alignment horizontal="center"/>
    </xf>
    <xf numFmtId="9" fontId="2" fillId="0" borderId="33" xfId="0" applyNumberFormat="1" applyFont="1" applyFill="1" applyBorder="1" applyAlignment="1">
      <alignment horizontal="center"/>
    </xf>
    <xf numFmtId="9" fontId="15" fillId="0" borderId="37" xfId="0" applyNumberFormat="1" applyFont="1" applyFill="1" applyBorder="1" applyAlignment="1">
      <alignment horizontal="center"/>
    </xf>
    <xf numFmtId="37" fontId="4" fillId="5" borderId="0" xfId="1" applyNumberFormat="1" applyFont="1" applyFill="1" applyBorder="1" applyAlignment="1"/>
    <xf numFmtId="37" fontId="6" fillId="4" borderId="0" xfId="1" quotePrefix="1" applyNumberFormat="1" applyFont="1" applyFill="1" applyBorder="1" applyAlignment="1"/>
    <xf numFmtId="1" fontId="2" fillId="15" borderId="0" xfId="6" applyNumberFormat="1" applyFont="1" applyFill="1" applyAlignment="1">
      <alignment horizontal="center"/>
    </xf>
    <xf numFmtId="1" fontId="4" fillId="15" borderId="0" xfId="6" applyNumberFormat="1" applyFont="1" applyFill="1" applyAlignment="1">
      <alignment horizontal="center"/>
    </xf>
    <xf numFmtId="2" fontId="2" fillId="15" borderId="0" xfId="0" applyNumberFormat="1" applyFont="1" applyFill="1" applyBorder="1"/>
    <xf numFmtId="4" fontId="19" fillId="4" borderId="0" xfId="0" applyNumberFormat="1" applyFont="1" applyFill="1" applyAlignment="1">
      <alignment horizontal="right"/>
    </xf>
    <xf numFmtId="4" fontId="19" fillId="4" borderId="0" xfId="0" quotePrefix="1" applyNumberFormat="1" applyFont="1" applyFill="1" applyAlignment="1">
      <alignment horizontal="right"/>
    </xf>
    <xf numFmtId="9" fontId="2" fillId="0" borderId="11" xfId="2" applyFont="1" applyBorder="1"/>
    <xf numFmtId="9" fontId="2" fillId="2" borderId="12" xfId="2" applyFont="1" applyFill="1" applyBorder="1"/>
    <xf numFmtId="9" fontId="2" fillId="15" borderId="12" xfId="2" applyFont="1" applyFill="1" applyBorder="1"/>
    <xf numFmtId="9" fontId="12" fillId="15" borderId="12" xfId="2" applyFont="1" applyFill="1" applyBorder="1" applyAlignment="1">
      <alignment horizontal="center"/>
    </xf>
    <xf numFmtId="10" fontId="4" fillId="15" borderId="0" xfId="2" applyNumberFormat="1" applyFont="1" applyFill="1" applyBorder="1" applyAlignment="1"/>
    <xf numFmtId="169" fontId="12" fillId="5" borderId="2" xfId="0" applyNumberFormat="1" applyFont="1" applyFill="1" applyBorder="1" applyAlignment="1">
      <alignment horizontal="right"/>
    </xf>
    <xf numFmtId="37" fontId="33" fillId="19" borderId="19" xfId="1" applyNumberFormat="1" applyFont="1" applyFill="1" applyBorder="1" applyAlignment="1">
      <alignment horizontal="left"/>
    </xf>
    <xf numFmtId="37" fontId="33" fillId="19" borderId="17" xfId="1" applyNumberFormat="1" applyFont="1" applyFill="1" applyBorder="1" applyAlignment="1">
      <alignment horizontal="left"/>
    </xf>
    <xf numFmtId="37" fontId="33" fillId="19" borderId="20" xfId="1" applyNumberFormat="1" applyFont="1" applyFill="1" applyBorder="1" applyAlignment="1">
      <alignment horizontal="right"/>
    </xf>
    <xf numFmtId="167" fontId="15" fillId="10" borderId="0" xfId="1" applyNumberFormat="1" applyFont="1" applyFill="1"/>
    <xf numFmtId="0" fontId="53" fillId="5" borderId="13" xfId="0" applyFont="1" applyFill="1" applyBorder="1"/>
    <xf numFmtId="0" fontId="59" fillId="5" borderId="0" xfId="0" applyFont="1" applyFill="1"/>
    <xf numFmtId="180" fontId="53" fillId="5" borderId="0" xfId="1" applyNumberFormat="1" applyFont="1" applyFill="1" applyBorder="1"/>
    <xf numFmtId="180" fontId="37" fillId="5" borderId="0" xfId="0" applyNumberFormat="1" applyFont="1" applyFill="1"/>
    <xf numFmtId="180" fontId="59" fillId="5" borderId="0" xfId="0" applyNumberFormat="1" applyFont="1" applyFill="1"/>
    <xf numFmtId="180" fontId="53" fillId="5" borderId="9" xfId="1" applyNumberFormat="1" applyFont="1" applyFill="1" applyBorder="1"/>
    <xf numFmtId="180" fontId="37" fillId="5" borderId="13" xfId="1" applyNumberFormat="1" applyFont="1" applyFill="1" applyBorder="1"/>
    <xf numFmtId="180" fontId="53" fillId="5" borderId="14" xfId="1" applyNumberFormat="1" applyFont="1" applyFill="1" applyBorder="1"/>
    <xf numFmtId="169" fontId="2" fillId="5" borderId="16" xfId="0" applyNumberFormat="1" applyFont="1" applyFill="1" applyBorder="1" applyAlignment="1">
      <alignment horizontal="right"/>
    </xf>
    <xf numFmtId="180" fontId="37" fillId="5" borderId="12" xfId="1" applyNumberFormat="1" applyFont="1" applyFill="1" applyBorder="1"/>
    <xf numFmtId="0" fontId="2" fillId="16" borderId="25" xfId="28" applyFill="1" applyBorder="1" applyAlignment="1">
      <alignment horizontal="center"/>
    </xf>
    <xf numFmtId="0" fontId="2" fillId="16" borderId="28" xfId="28" applyFill="1" applyBorder="1" applyAlignment="1">
      <alignment horizontal="center"/>
    </xf>
    <xf numFmtId="0" fontId="28" fillId="16" borderId="0" xfId="27" applyFont="1" applyFill="1" applyBorder="1" applyAlignment="1">
      <alignment horizontal="center"/>
    </xf>
    <xf numFmtId="0" fontId="28" fillId="16" borderId="30" xfId="27" applyFont="1" applyFill="1" applyBorder="1" applyAlignment="1">
      <alignment horizontal="center"/>
    </xf>
    <xf numFmtId="0" fontId="28" fillId="16" borderId="26" xfId="27" applyFont="1" applyFill="1" applyBorder="1" applyAlignment="1">
      <alignment horizontal="center"/>
    </xf>
    <xf numFmtId="0" fontId="28" fillId="16" borderId="32" xfId="27" applyFont="1" applyFill="1" applyBorder="1" applyAlignment="1">
      <alignment horizontal="center"/>
    </xf>
    <xf numFmtId="0" fontId="4" fillId="15" borderId="0" xfId="27" applyFont="1" applyFill="1" applyBorder="1" applyAlignment="1">
      <alignment horizontal="center" vertical="center"/>
    </xf>
    <xf numFmtId="0" fontId="4" fillId="15" borderId="33" xfId="27" applyFont="1" applyFill="1" applyBorder="1" applyAlignment="1">
      <alignment horizontal="center" vertical="center"/>
    </xf>
    <xf numFmtId="0" fontId="51" fillId="15" borderId="0" xfId="0" applyFont="1" applyFill="1" applyBorder="1" applyAlignment="1">
      <alignment horizontal="left" vertical="center"/>
    </xf>
    <xf numFmtId="0" fontId="51" fillId="15" borderId="33" xfId="0" applyFont="1" applyFill="1" applyBorder="1" applyAlignment="1">
      <alignment horizontal="left" vertical="center"/>
    </xf>
    <xf numFmtId="0" fontId="2" fillId="12" borderId="0" xfId="55" applyFont="1" applyFill="1" applyAlignment="1">
      <alignment vertical="top"/>
    </xf>
    <xf numFmtId="0" fontId="2" fillId="12" borderId="0" xfId="5" applyFill="1" applyAlignment="1">
      <alignment vertical="top"/>
    </xf>
    <xf numFmtId="0" fontId="2" fillId="12" borderId="0" xfId="5" applyFill="1"/>
    <xf numFmtId="0" fontId="61" fillId="12" borderId="0" xfId="55" applyFont="1" applyFill="1" applyAlignment="1">
      <alignment horizontal="left" vertical="top"/>
    </xf>
    <xf numFmtId="0" fontId="2" fillId="12" borderId="0" xfId="5" applyFont="1" applyFill="1" applyAlignment="1">
      <alignment vertical="top"/>
    </xf>
    <xf numFmtId="0" fontId="7" fillId="12" borderId="0" xfId="55" applyFont="1" applyFill="1" applyAlignment="1">
      <alignment vertical="top"/>
    </xf>
    <xf numFmtId="0" fontId="0" fillId="12" borderId="0" xfId="0" applyFill="1" applyAlignment="1">
      <alignment vertical="top"/>
    </xf>
    <xf numFmtId="0" fontId="62" fillId="12" borderId="0" xfId="0" applyFont="1" applyFill="1" applyAlignment="1">
      <alignment vertical="top"/>
    </xf>
    <xf numFmtId="0" fontId="63" fillId="12" borderId="0" xfId="0" applyFont="1" applyFill="1" applyAlignment="1">
      <alignment vertical="top"/>
    </xf>
    <xf numFmtId="0" fontId="63" fillId="12" borderId="0" xfId="0" applyFont="1" applyFill="1" applyAlignment="1">
      <alignment vertical="top"/>
    </xf>
    <xf numFmtId="0" fontId="62" fillId="12" borderId="0" xfId="0" applyFont="1" applyFill="1" applyAlignment="1">
      <alignment vertical="top"/>
    </xf>
    <xf numFmtId="0" fontId="0" fillId="12" borderId="0" xfId="0" applyFill="1" applyAlignment="1">
      <alignment vertical="top"/>
    </xf>
    <xf numFmtId="0" fontId="0" fillId="12" borderId="42" xfId="0" applyFill="1" applyBorder="1" applyAlignment="1">
      <alignment vertical="top"/>
    </xf>
    <xf numFmtId="0" fontId="62" fillId="12" borderId="38" xfId="0" applyFont="1" applyFill="1" applyBorder="1" applyAlignment="1">
      <alignment vertical="top"/>
    </xf>
    <xf numFmtId="0" fontId="62" fillId="12" borderId="39" xfId="0" applyFont="1" applyFill="1" applyBorder="1" applyAlignment="1">
      <alignment vertical="top"/>
    </xf>
    <xf numFmtId="0" fontId="62" fillId="12" borderId="40" xfId="0" applyFont="1" applyFill="1" applyBorder="1" applyAlignment="1">
      <alignment vertical="top"/>
    </xf>
    <xf numFmtId="0" fontId="62" fillId="12" borderId="41" xfId="0" applyFont="1" applyFill="1" applyBorder="1" applyAlignment="1">
      <alignment vertical="top"/>
    </xf>
    <xf numFmtId="9" fontId="62" fillId="12" borderId="38" xfId="0" applyNumberFormat="1" applyFont="1" applyFill="1" applyBorder="1" applyAlignment="1">
      <alignment vertical="top"/>
    </xf>
    <xf numFmtId="3" fontId="62" fillId="12" borderId="38" xfId="0" applyNumberFormat="1" applyFont="1" applyFill="1" applyBorder="1" applyAlignment="1">
      <alignment vertical="top"/>
    </xf>
    <xf numFmtId="0" fontId="0" fillId="12" borderId="43" xfId="0" applyFill="1" applyBorder="1" applyAlignment="1">
      <alignment vertical="top"/>
    </xf>
    <xf numFmtId="2" fontId="2" fillId="0" borderId="0" xfId="5" applyNumberFormat="1" applyAlignment="1">
      <alignment horizontal="left"/>
    </xf>
    <xf numFmtId="0" fontId="2" fillId="0" borderId="0" xfId="5" applyNumberFormat="1" applyAlignment="1">
      <alignment horizontal="left"/>
    </xf>
    <xf numFmtId="1" fontId="2" fillId="0" borderId="0" xfId="5" applyNumberFormat="1" applyAlignment="1">
      <alignment horizontal="left"/>
    </xf>
    <xf numFmtId="197" fontId="2" fillId="0" borderId="0" xfId="5" applyNumberFormat="1" applyAlignment="1">
      <alignment horizontal="left"/>
    </xf>
    <xf numFmtId="49" fontId="2" fillId="0" borderId="0" xfId="5" applyNumberFormat="1"/>
  </cellXfs>
  <cellStyles count="56">
    <cellStyle name=" 1" xfId="29"/>
    <cellStyle name=" 1 2" xfId="30"/>
    <cellStyle name=" 2" xfId="31"/>
    <cellStyle name=" 2 2" xfId="32"/>
    <cellStyle name="_BS " xfId="33"/>
    <cellStyle name="_DCF " xfId="34"/>
    <cellStyle name="_SUMMARY " xfId="7"/>
    <cellStyle name="0_Annual-VRTX " xfId="8"/>
    <cellStyle name="0_Capex &amp; Depreciation " xfId="9"/>
    <cellStyle name="0_OMV EP 2000-2015 Consolidated " xfId="36"/>
    <cellStyle name="0_P&amp;L-adj " xfId="10"/>
    <cellStyle name="0_Quarterly " xfId="11"/>
    <cellStyle name="0_Quarterly-ITMN " xfId="12"/>
    <cellStyle name="0_Valuing BP " xfId="13"/>
    <cellStyle name="ÅëÈ­ [0]_cover " xfId="38"/>
    <cellStyle name="ÅëÈ­_cover " xfId="39"/>
    <cellStyle name="ÄÞ¸¶ [0]_cover " xfId="40"/>
    <cellStyle name="ÄÞ¸¶_cover " xfId="41"/>
    <cellStyle name="c_HardInc " xfId="14"/>
    <cellStyle name="C￥AØ_¿μ¾÷CoE² " xfId="42"/>
    <cellStyle name="Ç¥ÁØ_cover " xfId="43"/>
    <cellStyle name="Comma" xfId="1" builtinId="3"/>
    <cellStyle name="Comma 4" xfId="44"/>
    <cellStyle name="Currency" xfId="3" builtinId="4"/>
    <cellStyle name="Currency 2" xfId="37"/>
    <cellStyle name="Currency 3" xfId="48"/>
    <cellStyle name="Currency 4" xfId="50"/>
    <cellStyle name="Currency 5" xfId="54"/>
    <cellStyle name="Hyperlink 2" xfId="51"/>
    <cellStyle name="Normal" xfId="0" builtinId="0"/>
    <cellStyle name="Normal 2" xfId="5"/>
    <cellStyle name="Normal 2 2" xfId="15"/>
    <cellStyle name="Normal 3" xfId="49"/>
    <cellStyle name="Normal 3 2" xfId="28"/>
    <cellStyle name="Normal 3 2 2" xfId="52"/>
    <cellStyle name="Normal 3 3" xfId="27"/>
    <cellStyle name="Normal 4" xfId="16"/>
    <cellStyle name="Normal 5" xfId="17"/>
    <cellStyle name="Normal 6" xfId="25"/>
    <cellStyle name="Normal 7" xfId="53"/>
    <cellStyle name="Normal 9" xfId="18"/>
    <cellStyle name="Normal_AMGN" xfId="4"/>
    <cellStyle name="Normal_DisclaimerSheet Samples" xfId="55"/>
    <cellStyle name="p " xfId="19"/>
    <cellStyle name="Percent" xfId="2" builtinId="5"/>
    <cellStyle name="Percent 2" xfId="6"/>
    <cellStyle name="Percent 2 2" xfId="20"/>
    <cellStyle name="Percent 3" xfId="21"/>
    <cellStyle name="Percent 4" xfId="26"/>
    <cellStyle name="RRSInstruction" xfId="35"/>
    <cellStyle name="s_HardInc " xfId="22"/>
    <cellStyle name="s_Valuation " xfId="23"/>
    <cellStyle name="ssp " xfId="24"/>
    <cellStyle name="콤마 [0]_ 2팀층별 " xfId="45"/>
    <cellStyle name="콤마_ 2팀층별 " xfId="46"/>
    <cellStyle name="표준_0N-HANDLING " xfId="4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2"/>
      <rgbColor rgb="00FFFFFF"/>
      <rgbColor rgb="00D1F7B7"/>
      <rgbColor rgb="0000FF00"/>
      <rgbColor rgb="000000FA"/>
      <rgbColor rgb="00FFFF00"/>
      <rgbColor rgb="00C4D6EC"/>
      <rgbColor rgb="0000FFFF"/>
      <rgbColor rgb="00FBD5C9"/>
      <rgbColor rgb="00007B00"/>
      <rgbColor rgb="00000080"/>
      <rgbColor rgb="00808000"/>
      <rgbColor rgb="00000002"/>
      <rgbColor rgb="00FFFFFF"/>
      <rgbColor rgb="00000005"/>
      <rgbColor rgb="00969696"/>
      <rgbColor rgb="00F4B720"/>
      <rgbColor rgb="0027915F"/>
      <rgbColor rgb="0080D4E8"/>
      <rgbColor rgb="00F2673C"/>
      <rgbColor rgb="0072E873"/>
      <rgbColor rgb="000083C3"/>
      <rgbColor rgb="00FF81B1"/>
      <rgbColor rgb="00A4374A"/>
      <rgbColor rgb="00969696"/>
      <rgbColor rgb="0099BADD"/>
      <rgbColor rgb="00E0F878"/>
      <rgbColor rgb="00A97F3B"/>
      <rgbColor rgb="001600F5"/>
      <rgbColor rgb="00FFF9D7"/>
      <rgbColor rgb="00CBEDF5"/>
      <rgbColor rgb="00D4ECD7"/>
      <rgbColor rgb="0000F6F6"/>
      <rgbColor rgb="00FF93FF"/>
      <rgbColor rgb="0000FF00"/>
      <rgbColor rgb="00FFBA75"/>
      <rgbColor rgb="008F21FF"/>
      <rgbColor rgb="007F7F7F"/>
      <rgbColor rgb="00FF0000"/>
      <rgbColor rgb="00000000"/>
      <rgbColor rgb="00FAE34C"/>
      <rgbColor rgb="00ACEAC1"/>
      <rgbColor rgb="00CBEDF5"/>
      <rgbColor rgb="00FBD5C9"/>
      <rgbColor rgb="00D1F7B7"/>
      <rgbColor rgb="008FDAFF"/>
      <rgbColor rgb="00FFC8C1"/>
      <rgbColor rgb="00E193B1"/>
      <rgbColor rgb="00D9D9D9"/>
      <rgbColor rgb="00C4D7EC"/>
      <rgbColor rgb="00EFFBBB"/>
      <rgbColor rgb="00CCA76A"/>
      <rgbColor rgb="00993300"/>
      <rgbColor rgb="00993366"/>
      <rgbColor rgb="00333399"/>
      <rgbColor rgb="00333333"/>
    </indexedColors>
    <mruColors>
      <color rgb="FF0E73E2"/>
      <color rgb="FF0000FF"/>
      <color rgb="FFACD6FF"/>
      <color rgb="FFF79646"/>
      <color rgb="FFFFFF99"/>
      <color rgb="FFF4CBBF"/>
      <color rgb="FFF2F2F2"/>
      <color rgb="FF00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externalLinks/externalLink1.xml" Type="http://schemas.openxmlformats.org/officeDocument/2006/relationships/externalLink"/>
<Relationship Id="rId14" Target="externalLinks/externalLink2.xml" Type="http://schemas.openxmlformats.org/officeDocument/2006/relationships/externalLink"/>
<Relationship Id="rId15" Target="externalLinks/externalLink3.xml" Type="http://schemas.openxmlformats.org/officeDocument/2006/relationships/externalLink"/>
<Relationship Id="rId16" Target="externalLinks/externalLink4.xml" Type="http://schemas.openxmlformats.org/officeDocument/2006/relationships/externalLink"/>
<Relationship Id="rId17" Target="externalLinks/externalLink5.xml" Type="http://schemas.openxmlformats.org/officeDocument/2006/relationships/externalLink"/>
<Relationship Id="rId18" Target="externalLinks/externalLink6.xml" Type="http://schemas.openxmlformats.org/officeDocument/2006/relationships/externalLink"/>
<Relationship Id="rId19" Target="externalLinks/externalLink7.xml" Type="http://schemas.openxmlformats.org/officeDocument/2006/relationships/externalLink"/>
<Relationship Id="rId2" Target="worksheets/sheet2.xml" Type="http://schemas.openxmlformats.org/officeDocument/2006/relationships/worksheet"/>
<Relationship Id="rId20" Target="externalLinks/externalLink8.xml" Type="http://schemas.openxmlformats.org/officeDocument/2006/relationships/externalLink"/>
<Relationship Id="rId21" Target="externalLinks/externalLink9.xml" Type="http://schemas.openxmlformats.org/officeDocument/2006/relationships/externalLink"/>
<Relationship Id="rId22" Target="externalLinks/externalLink10.xml" Type="http://schemas.openxmlformats.org/officeDocument/2006/relationships/externalLink"/>
<Relationship Id="rId23" Target="externalLinks/externalLink11.xml" Type="http://schemas.openxmlformats.org/officeDocument/2006/relationships/externalLink"/>
<Relationship Id="rId24" Target="externalLinks/externalLink12.xml" Type="http://schemas.openxmlformats.org/officeDocument/2006/relationships/externalLink"/>
<Relationship Id="rId25" Target="externalLinks/externalLink13.xml" Type="http://schemas.openxmlformats.org/officeDocument/2006/relationships/externalLink"/>
<Relationship Id="rId26" Target="externalLinks/externalLink14.xml" Type="http://schemas.openxmlformats.org/officeDocument/2006/relationships/externalLink"/>
<Relationship Id="rId27" Target="externalLinks/externalLink15.xml" Type="http://schemas.openxmlformats.org/officeDocument/2006/relationships/externalLink"/>
<Relationship Id="rId28" Target="externalLinks/externalLink16.xml" Type="http://schemas.openxmlformats.org/officeDocument/2006/relationships/externalLink"/>
<Relationship Id="rId29" Target="theme/theme1.xml" Type="http://schemas.openxmlformats.org/officeDocument/2006/relationships/theme"/>
<Relationship Id="rId3" Target="worksheets/sheet3.xml" Type="http://schemas.openxmlformats.org/officeDocument/2006/relationships/worksheet"/>
<Relationship Id="rId30" Target="styles.xml" Type="http://schemas.openxmlformats.org/officeDocument/2006/relationships/styles"/>
<Relationship Id="rId31" Target="sharedStrings.xml" Type="http://schemas.openxmlformats.org/officeDocument/2006/relationships/sharedStrings"/>
<Relationship Id="rId32" Target="calcChain.xml" Type="http://schemas.openxmlformats.org/officeDocument/2006/relationships/calcChain"/>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drawings/_rels/drawing1.xml.rels><?xml version="1.0" encoding="UTF-8" standalone="yes"?>
<Relationships xmlns="http://schemas.openxmlformats.org/package/2006/relationships">
<Relationship Id="rId1" Target="../media/image1.png" Type="http://schemas.openxmlformats.org/officeDocument/2006/relationships/image"/>
<Relationship Id="rId2" Target="../media/image2.jpeg" Type="http://schemas.openxmlformats.org/officeDocument/2006/relationships/image"/>
<Relationship Id="rId3" Target="../media/image3.gif"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1</xdr:col>
      <xdr:colOff>104775</xdr:colOff>
      <xdr:row>0</xdr:row>
      <xdr:rowOff>323850</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15621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95250</xdr:rowOff>
    </xdr:from>
    <xdr:to>
      <xdr:col>2</xdr:col>
      <xdr:colOff>228600</xdr:colOff>
      <xdr:row>0</xdr:row>
      <xdr:rowOff>314325</xdr:rowOff>
    </xdr:to>
    <xdr:pic>
      <xdr:nvPicPr>
        <xdr:cNvPr id="3" name="Picture 6" descr="MSMS_logo_3" hidden="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 y="95250"/>
          <a:ext cx="221932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174</xdr:row>
      <xdr:rowOff>0</xdr:rowOff>
    </xdr:from>
    <xdr:to>
      <xdr:col>9</xdr:col>
      <xdr:colOff>114300</xdr:colOff>
      <xdr:row>197</xdr:row>
      <xdr:rowOff>104775</xdr:rowOff>
    </xdr:to>
    <xdr:pic>
      <xdr:nvPicPr>
        <xdr:cNvPr id="238593" name="Picture 1" descr="C:\Users\purohvik\AppData\Local\Temp\MercuryPriceRatingHistoryChart\VRTX.O_2018_04_15_18_44_13.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7127200"/>
          <a:ext cx="6400800"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
<Relationship Id="rId1" Target="file://///msad/root/na/ny/users/johndasc/Docs/ID/Charts/Chart_Gallery/From%20Vlad/B11_BarSingle_AverageLine.xls" TargetMode="External" Type="http://schemas.openxmlformats.org/officeDocument/2006/relationships/externalLinkPath"/>
</Relationships>

</file>

<file path=xl/externalLinks/_rels/externalLink2.xml.rels><?xml version="1.0" encoding="UTF-8" standalone="yes"?>
<Relationships xmlns="http://schemas.openxmlformats.org/package/2006/relationships">
<Relationship Id="rId1" Target="HEALTH/Pharma/Risinger/models/LLY/LLYwk.xls" TargetMode="External" Type="http://schemas.microsoft.com/office/2006/relationships/xlExternalLinkPath/xlStartup"/>
</Relationships>

</file>

<file path=xl/externalLinks/_rels/externalLink3.xml.rels><?xml version="1.0" encoding="UTF-8" standalone="yes"?>
<Relationships xmlns="http://schemas.openxmlformats.org/package/2006/relationships">
<Relationship Id="rId1" Target="HEALTH/HarrS/Companies/GENZ/Models/DNA_041206.XLS" TargetMode="External" Type="http://schemas.microsoft.com/office/2006/relationships/xlExternalLinkPath/xlStartup"/>
</Relationships>

</file>

<file path=xl/externalLinks/_rels/externalLink4.xml.rels><?xml version="1.0" encoding="UTF-8" standalone="yes"?>
<Relationships xmlns="http://schemas.openxmlformats.org/package/2006/relationships">
<Relationship Id="rId1" Target="HEALTH/HarrS/Companies/AMGN/Models/AMGN_051506.xls" TargetMode="External" Type="http://schemas.microsoft.com/office/2006/relationships/xlExternalLinkPath/xlStartup"/>
</Relationships>

</file>

<file path=xl/externalLinks/_rels/externalLink5.xml.rels><?xml version="1.0" encoding="UTF-8" standalone="yes"?>
<Relationships xmlns="http://schemas.openxmlformats.org/package/2006/relationships">
<Relationship Id="rId1" Target="file:///A:/ACE/Editing/Excel%20-%20NonFinance%20Verifier/Av2.xls" TargetMode="External" Type="http://schemas.openxmlformats.org/officeDocument/2006/relationships/externalLinkPath"/>
</Relationships>

</file>

<file path=xl/externalLinks/_rels/externalLink6.xml.rels><?xml version="1.0" encoding="UTF-8" standalone="yes"?>
<Relationships xmlns="http://schemas.openxmlformats.org/package/2006/relationships">
<Relationship Id="rId1" Target="Emerging%20Markets%20Research/RtN/Practice/DIResearch/commonSys3/Pharma%20Services/Excel%20Stuff/COMPS/Master%20Comps_9-6-02.xls" TargetMode="External" Type="http://schemas.microsoft.com/office/2006/relationships/xlExternalLinkPath/xlAlternateStartup"/>
</Relationships>

</file>

<file path=xl/externalLinks/_rels/externalLink7.xml.rels><?xml version="1.0" encoding="UTF-8" standalone="yes"?>
<Relationships xmlns="http://schemas.openxmlformats.org/package/2006/relationships">
<Relationship Id="rId1" Target="c1" TargetMode="External" Type="http://schemas.microsoft.com/office/2006/relationships/xlExternalLinkPath/xlPathMissing"/>
</Relationships>

</file>

<file path=xl/externalLinks/_rels/externalLink8.xml.rels><?xml version="1.0" encoding="UTF-8" standalone="yes"?>
<Relationships xmlns="http://schemas.openxmlformats.org/package/2006/relationships">
<Relationship Id="rId1" Target="Pulp&amp;p~1/ADMIN/Rtn/commonSys3/Pharma%20Services/Excel%20Stuff/COMPS/Master%20Comps_9-6-02.xls" TargetMode="External" Type="http://schemas.microsoft.com/office/2006/relationships/xlExternalLinkPath/xlAlternateStartup"/>
</Relationships>

</file>

<file path=xl/externalLinks/_rels/externalLink9.xml.rels><?xml version="1.0" encoding="UTF-8" standalone="yes"?>
<Relationships xmlns="http://schemas.openxmlformats.org/package/2006/relationships">
<Relationship Id="rId1" Target="file://///server/DB/US%20infra%20SW/akshay/WEBM/Documents%20and%20Settings/akshayn/Local%20Settings/Temporary%20Internet%20Files/OLKC5/traker1/Industry%20Comps/Security_Comparable_Large.xls" TargetMode="External" Type="http://schemas.openxmlformats.org/officeDocument/2006/relationships/externalLinkPath"/>
</Relationships>

</file>

<file path=xl/externalLinks/_rels/externalLink10.xml.rels><?xml version="1.0" encoding="UTF-8" standalone="yes"?>
<Relationships xmlns="http://schemas.openxmlformats.org/package/2006/relationships">
<Relationship Id="rId1" Target="health/RubinJ/Company/WLA/WLAwork1.XLS" TargetMode="External" Type="http://schemas.microsoft.com/office/2006/relationships/xlExternalLinkPath/xlStartup"/>
</Relationships>

</file>

<file path=xl/externalLinks/_rels/externalLink11.xml.rels><?xml version="1.0" encoding="UTF-8" standalone="yes"?>
<Relationships xmlns="http://schemas.openxmlformats.org/package/2006/relationships">
<Relationship Id="rId1" Target="http://research.ms.com/eqr/rlink/webapp/Research?action=streamFile&amp;docId=226639&amp;docFileType=8&amp;linksrc=rl-res-site&amp;lastParam=/PFE.N.XLS" TargetMode="External" Type="http://schemas.openxmlformats.org/officeDocument/2006/relationships/externalLinkPath"/>
</Relationships>

</file>

<file path=xl/externalLinks/_rels/externalLink12.xml.rels><?xml version="1.0" encoding="UTF-8" standalone="yes"?>
<Relationships xmlns="http://schemas.openxmlformats.org/package/2006/relationships">
<Relationship Id="rId1" Target="http://www.expectationsinvesting.com/spreadsheets/msft_VDF98.xls" TargetMode="External" Type="http://schemas.openxmlformats.org/officeDocument/2006/relationships/externalLinkPath"/>
</Relationships>

</file>

<file path=xl/externalLinks/_rels/externalLink13.xml.rels><?xml version="1.0" encoding="UTF-8" standalone="yes"?>
<Relationships xmlns="http://schemas.openxmlformats.org/package/2006/relationships">
<Relationship Id="rId1" Target="file:///F:/Home/Kdunne/COMPNEW/SLR/Home/Kdunne/COMPNEW/SANM/QUARSANM.XLS" TargetMode="External" Type="http://schemas.openxmlformats.org/officeDocument/2006/relationships/externalLinkPath"/>
</Relationships>

</file>

<file path=xl/externalLinks/_rels/externalLink14.xml.rels><?xml version="1.0" encoding="UTF-8" standalone="yes"?>
<Relationships xmlns="http://schemas.openxmlformats.org/package/2006/relationships">
<Relationship Id="rId1" Target="file:///S:/Companies%20Under%20Coverage/BGEN/MODELS/BGEN062501.xls" TargetMode="External" Type="http://schemas.openxmlformats.org/officeDocument/2006/relationships/externalLinkPath"/>
</Relationships>

</file>

<file path=xl/externalLinks/_rels/externalLink15.xml.rels><?xml version="1.0" encoding="UTF-8" standalone="yes"?>
<Relationships xmlns="http://schemas.openxmlformats.org/package/2006/relationships">
<Relationship Id="rId1" Target="file:///M:/Chemical/EXCEL/LESDAT/MTC.XLS" TargetMode="External" Type="http://schemas.openxmlformats.org/officeDocument/2006/relationships/externalLinkPath"/>
</Relationships>

</file>

<file path=xl/externalLinks/_rels/externalLink16.xml.rels><?xml version="1.0" encoding="UTF-8" standalone="yes"?>
<Relationships xmlns="http://schemas.openxmlformats.org/package/2006/relationships">
<Relationship Id="rId1" Target="file:///S:/Companies%20Under%20Coverage/BGEN/MODELS/BGEN071701.xls"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ash"/>
      <sheetName val="Exhibit 3"/>
      <sheetName val="Cash_published"/>
      <sheetName val="NVF_published"/>
      <sheetName val="Exhibit 5"/>
      <sheetName val="IFRS"/>
      <sheetName val="Exhibit 4"/>
      <sheetName val="IFRS Life"/>
      <sheetName val="Exhibit 1"/>
      <sheetName val="Exhibit 2"/>
      <sheetName val="MCEV Roll-up"/>
      <sheetName val="Weekahead"/>
      <sheetName val="MCEV_Capital"/>
      <sheetName val="Assets(new)"/>
      <sheetName val="MCEV P&amp;L"/>
      <sheetName val="Cash Flow"/>
      <sheetName val="upside_downside"/>
      <sheetName val="Income Statement"/>
      <sheetName val="Balance Sheet"/>
      <sheetName val="RI"/>
      <sheetName val="BULLBEAR"/>
      <sheetName val="Sheet2"/>
      <sheetName val="DCF"/>
      <sheetName val="MWA RR"/>
      <sheetName val="REVENUE BY GEOGRAPHY"/>
      <sheetName val="NonQtr"/>
      <sheetName val="Data 20d"/>
      <sheetName val="Data"/>
      <sheetName val="Risk-Reward_View_Chart"/>
      <sheetName val="Valsum"/>
      <sheetName val="Inputs"/>
      <sheetName val="FX"/>
      <sheetName val="Interims"/>
      <sheetName val="Financial Statements"/>
      <sheetName val="Good 12-00 (2)"/>
      <sheetName val="Good 11-36"/>
      <sheetName val="Good 11-50"/>
      <sheetName val="Sheet3 (5)"/>
      <sheetName val="Summary"/>
      <sheetName val="Floater Demand"/>
      <sheetName val="CPB"/>
      <sheetName val="Total_Food_Promo"/>
      <sheetName val="CPB_2yr"/>
      <sheetName val="Quero_Sales"/>
      <sheetName val="L2005"/>
      <sheetName val="C2000"/>
      <sheetName val="B11_BarSingle_AverageLine"/>
      <sheetName val="Cell Reference"/>
      <sheetName val="Shading Period-Level"/>
      <sheetName val="Sources of Change"/>
      <sheetName val="Basic (gridlines)"/>
      <sheetName val="Average (reference) Line"/>
      <sheetName val="Double (overlapping)"/>
      <sheetName val="Reference Step Line"/>
      <sheetName val="Double (gridlines)"/>
      <sheetName val="Growth Line"/>
      <sheetName val="Reference Marks"/>
      <sheetName val="Single-point highlighting"/>
      <sheetName val="CPNO"/>
      <sheetName val="MMP"/>
      <sheetName val="PAA"/>
      <sheetName val="EEP"/>
      <sheetName val="KMP"/>
      <sheetName val="ETP"/>
      <sheetName val="BPL"/>
      <sheetName val="NS"/>
      <sheetName val="BWP"/>
      <sheetName val="EPD"/>
      <sheetName val="RGNC"/>
      <sheetName val="画像1"/>
      <sheetName val="業績推移"/>
      <sheetName val="バリュエーション比較"/>
      <sheetName val="自動車設備投資"/>
      <sheetName val="ロボット機械統計年"/>
      <sheetName val="ロボット機械統計"/>
      <sheetName val="株価と関連指標"/>
      <sheetName val="画像3"/>
      <sheetName val="利益率比較"/>
      <sheetName val="ロボット試算"/>
      <sheetName val="画像2"/>
      <sheetName val="内訳"/>
      <sheetName val="株価(過去1年) "/>
      <sheetName val="WWロボット出荷台数"/>
      <sheetName val="長期営業利益"/>
      <sheetName val="中国NC化率"/>
      <sheetName val="画像4"/>
      <sheetName val="成長率比較"/>
      <sheetName val="バリュエーション"/>
      <sheetName val="四半期"/>
      <sheetName val="画像5"/>
      <sheetName val="RRBox"/>
      <sheetName val="シェアと競合"/>
      <sheetName val="WP Detail "/>
      <sheetName val="Model"/>
      <sheetName val="Sheet4"/>
      <sheetName val="ForeignStake"/>
      <sheetName val="rev change analysis"/>
      <sheetName val="rev contribution analysis"/>
      <sheetName val="WPZ"/>
      <sheetName val="TPP"/>
      <sheetName val="EPE"/>
      <sheetName val="WMZ"/>
      <sheetName val="HEP"/>
      <sheetName val="MGG"/>
      <sheetName val="ETE"/>
      <sheetName val="BGH"/>
      <sheetName val="SEP"/>
      <sheetName val="TCLP"/>
      <sheetName val="SXL"/>
      <sheetName val="WES"/>
      <sheetName val="HTC"/>
      <sheetName val="MS Tele Rep"/>
      <sheetName val="China Handset"/>
      <sheetName val="Smartphone"/>
      <sheetName val="IDC"/>
      <sheetName val="CW"/>
      <sheetName val="R2000"/>
      <sheetName val="__FDS_DOWNL_SCRATCH_SHEET__"/>
      <sheetName val="FIH"/>
      <sheetName val="MIC"/>
      <sheetName val="Valuation"/>
      <sheetName val="Sales by App"/>
      <sheetName val="Net Income &amp; EPS"/>
      <sheetName val="IDC_2"/>
      <sheetName val="Sales by Region Comp"/>
      <sheetName val="What's Changed"/>
      <sheetName val="Outsourcing"/>
      <sheetName val="Nokia vs HTC"/>
      <sheetName val="2012 Outlook"/>
      <sheetName val=" Capital"/>
      <sheetName val="New Business"/>
      <sheetName val="Basket_June09_2010"/>
      <sheetName val="C1070"/>
      <sheetName val="Basket_Jan09"/>
      <sheetName val="Basket_2010"/>
      <sheetName val="Inflation v Price 6mth lag"/>
      <sheetName val="Basket_2011"/>
      <sheetName val="Basket_June09"/>
      <sheetName val="Basket_June09_Futures"/>
      <sheetName val="Commodities Exposure"/>
      <sheetName val="Charts"/>
      <sheetName val="Pension"/>
      <sheetName val="Walk"/>
      <sheetName val="Chart 6"/>
    </sheetNames>
    <sheetDataSet>
      <sheetData sheetId="0" refreshError="1">
        <row r="5">
          <cell r="F5" t="str">
            <v>Display horizontal line for the average?</v>
          </cell>
        </row>
        <row r="10">
          <cell r="Y10" t="str">
            <v>invisible1</v>
          </cell>
        </row>
        <row r="11">
          <cell r="D11" t="str">
            <v>Jupiter</v>
          </cell>
          <cell r="E11">
            <v>78</v>
          </cell>
          <cell r="X11" t="str">
            <v xml:space="preserve">  </v>
          </cell>
          <cell r="Y11">
            <v>44.5</v>
          </cell>
        </row>
        <row r="12">
          <cell r="D12" t="str">
            <v>Juno</v>
          </cell>
          <cell r="E12">
            <v>58</v>
          </cell>
        </row>
        <row r="13">
          <cell r="D13" t="str">
            <v>Neptune</v>
          </cell>
          <cell r="E13">
            <v>45</v>
          </cell>
          <cell r="X13" t="str">
            <v>width</v>
          </cell>
          <cell r="Y13">
            <v>0.624</v>
          </cell>
        </row>
        <row r="14">
          <cell r="D14" t="str">
            <v>Pluto</v>
          </cell>
          <cell r="E14">
            <v>37</v>
          </cell>
        </row>
        <row r="15">
          <cell r="D15" t="str">
            <v>Minerva</v>
          </cell>
          <cell r="E15">
            <v>26</v>
          </cell>
          <cell r="X15" t="str">
            <v>scaling</v>
          </cell>
          <cell r="Y15">
            <v>8.0000000000000002E-3</v>
          </cell>
        </row>
        <row r="16">
          <cell r="D16" t="str">
            <v>Hermes</v>
          </cell>
          <cell r="E16">
            <v>23</v>
          </cell>
        </row>
        <row r="17">
          <cell r="X17" t="str">
            <v>label</v>
          </cell>
          <cell r="Y17" t="str">
            <v>average: 44.5</v>
          </cell>
        </row>
        <row r="28">
          <cell r="R28" t="b">
            <v>1</v>
          </cell>
        </row>
        <row r="34">
          <cell r="R34" t="str">
            <v>Notes:</v>
          </cell>
        </row>
        <row r="35">
          <cell r="R35" t="str">
            <v>-doesn't work for negative average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rtantDisclosures"/>
      <sheetName val="summary"/>
      <sheetName val="consensus"/>
      <sheetName val="Gaap Adj"/>
      <sheetName val="COVER SHEET"/>
      <sheetName val="MW-Cache"/>
      <sheetName val="__FDSCACHE__"/>
      <sheetName val="IS-ANNUAL"/>
      <sheetName val="IS-QTRLY"/>
      <sheetName val="REV-ANNUAL"/>
      <sheetName val="REV-QTRLY"/>
      <sheetName val="SEL_FRANCHISES"/>
      <sheetName val="CFBS"/>
      <sheetName val="FOOTNOTES"/>
      <sheetName val="AGREEMENTS"/>
      <sheetName val="MGMT PROJECTIONS"/>
      <sheetName val="PIPELINE"/>
      <sheetName val="PIPELINE_UNADJ"/>
      <sheetName val="DCF"/>
      <sheetName val="DEBT"/>
      <sheetName val="patent expirations"/>
      <sheetName val="Var-YOY"/>
      <sheetName val="Var-Seq"/>
      <sheetName val="revenue snapshot"/>
      <sheetName val="rev contribution analysis"/>
      <sheetName val="rev change analysis"/>
      <sheetName val="2015 rev change"/>
      <sheetName val="MWA RR"/>
      <sheetName val="mwareDates"/>
      <sheetName val="MW Valuation"/>
      <sheetName val="mwareSettings"/>
      <sheetName val="ANOMALIES"/>
      <sheetName val="ASSUMPTIONS"/>
      <sheetName val="2008 pro forma EPS (wIMCL)"/>
      <sheetName val="prasugrel sales potential"/>
      <sheetName val="prasugrel npv"/>
      <sheetName val="Cialis JV"/>
      <sheetName val="tabs"/>
      <sheetName val="pipeline_summary"/>
      <sheetName val="C38001"/>
      <sheetName val="C3800"/>
      <sheetName val="Product Mix"/>
      <sheetName val="calendar"/>
      <sheetName val="patents"/>
      <sheetName val="launches"/>
      <sheetName val="pipeline handout"/>
      <sheetName val="FCF vs Guidance"/>
      <sheetName val="#REF"/>
      <sheetName val="Annual"/>
      <sheetName val="diabetes_multiple"/>
      <sheetName val="TR Convert"/>
      <sheetName val="Becker"/>
      <sheetName val="HGSI"/>
      <sheetName val="Partnerships"/>
    </sheetNames>
    <sheetDataSet>
      <sheetData sheetId="0" refreshError="1"/>
      <sheetData sheetId="1">
        <row r="1">
          <cell r="B1" t="str">
            <v>Eli Lilly &amp; Co.</v>
          </cell>
        </row>
      </sheetData>
      <sheetData sheetId="2"/>
      <sheetData sheetId="3"/>
      <sheetData sheetId="4"/>
      <sheetData sheetId="5"/>
      <sheetData sheetId="6"/>
      <sheetData sheetId="7" refreshError="1"/>
      <sheetData sheetId="8"/>
      <sheetData sheetId="9" refreshError="1"/>
      <sheetData sheetId="10"/>
      <sheetData sheetId="11"/>
      <sheetData sheetId="12"/>
      <sheetData sheetId="13" refreshError="1"/>
      <sheetData sheetId="14" refreshError="1"/>
      <sheetData sheetId="15"/>
      <sheetData sheetId="16"/>
      <sheetData sheetId="17"/>
      <sheetData sheetId="18" refreshError="1"/>
      <sheetData sheetId="19"/>
      <sheetData sheetId="20"/>
      <sheetData sheetId="21"/>
      <sheetData sheetId="22"/>
      <sheetData sheetId="23"/>
      <sheetData sheetId="24" refreshError="1">
        <row r="1">
          <cell r="U1" t="str">
            <v>SmartCharts</v>
          </cell>
          <cell r="BD1" t="str">
            <v>.</v>
          </cell>
        </row>
        <row r="2">
          <cell r="BD2" t="str">
            <v>.</v>
          </cell>
        </row>
        <row r="3">
          <cell r="BD3" t="str">
            <v>.</v>
          </cell>
        </row>
        <row r="4">
          <cell r="BD4" t="str">
            <v>.</v>
          </cell>
        </row>
        <row r="5">
          <cell r="C5" t="str">
            <v>Define value axis here:</v>
          </cell>
        </row>
        <row r="6">
          <cell r="C6" t="str">
            <v>Eli Lilly revenue contributions 2010E-2015E</v>
          </cell>
        </row>
        <row r="10">
          <cell r="C10" t="str">
            <v>Input your data here:</v>
          </cell>
          <cell r="BD10" t="str">
            <v>.</v>
          </cell>
        </row>
        <row r="11">
          <cell r="C11" t="str">
            <v>Sales ($M)</v>
          </cell>
          <cell r="D11" t="str">
            <v>2010E</v>
          </cell>
          <cell r="E11" t="str">
            <v>2011E</v>
          </cell>
          <cell r="F11" t="str">
            <v>2012E</v>
          </cell>
          <cell r="G11" t="str">
            <v>2013E</v>
          </cell>
          <cell r="H11" t="str">
            <v>2014E</v>
          </cell>
          <cell r="I11" t="str">
            <v>2015E</v>
          </cell>
          <cell r="BD11" t="str">
            <v>.</v>
          </cell>
        </row>
        <row r="12">
          <cell r="C12" t="str">
            <v>In-line products</v>
          </cell>
          <cell r="D12">
            <v>8741.7301775000014</v>
          </cell>
          <cell r="E12">
            <v>9422.206420550001</v>
          </cell>
          <cell r="F12">
            <v>9908.4720542889991</v>
          </cell>
          <cell r="G12">
            <v>10300.675416810274</v>
          </cell>
          <cell r="H12">
            <v>10709.128179281421</v>
          </cell>
          <cell r="I12">
            <v>10990.829805762725</v>
          </cell>
          <cell r="BD12" t="str">
            <v>.</v>
          </cell>
        </row>
        <row r="13">
          <cell r="C13" t="str">
            <v>Pipeline products launching 2010–2015</v>
          </cell>
          <cell r="D13">
            <v>141.25</v>
          </cell>
          <cell r="E13">
            <v>332.1875</v>
          </cell>
          <cell r="F13">
            <v>643.02499999999986</v>
          </cell>
          <cell r="G13">
            <v>1188.9100000000001</v>
          </cell>
          <cell r="H13">
            <v>2060.8072999999999</v>
          </cell>
          <cell r="I13">
            <v>3252.5061575</v>
          </cell>
          <cell r="BD13" t="str">
            <v>.</v>
          </cell>
        </row>
        <row r="14">
          <cell r="C14" t="str">
            <v>Products expiring 2010–2015</v>
          </cell>
          <cell r="D14">
            <v>13516.758760000001</v>
          </cell>
          <cell r="E14">
            <v>13145.262609800002</v>
          </cell>
          <cell r="F14">
            <v>10919.249930854003</v>
          </cell>
          <cell r="G14">
            <v>10206.164042898221</v>
          </cell>
          <cell r="H14">
            <v>7639.4611699592915</v>
          </cell>
          <cell r="I14">
            <v>5257.1242554678174</v>
          </cell>
          <cell r="BD14" t="str">
            <v>.</v>
          </cell>
        </row>
        <row r="15">
          <cell r="C15" t="str">
            <v>Δ in expiring products off 2010 base</v>
          </cell>
          <cell r="D15">
            <v>0</v>
          </cell>
          <cell r="E15">
            <v>-371.49615019999874</v>
          </cell>
          <cell r="F15">
            <v>-2597.5088291459979</v>
          </cell>
          <cell r="G15">
            <v>-3310.5947171017797</v>
          </cell>
          <cell r="H15">
            <v>-5877.2975900407091</v>
          </cell>
          <cell r="I15">
            <v>-8259.6345045321832</v>
          </cell>
          <cell r="BD15" t="str">
            <v>.</v>
          </cell>
        </row>
        <row r="16">
          <cell r="C16" t="str">
            <v>Net product sales</v>
          </cell>
          <cell r="D16">
            <v>22399.738937500002</v>
          </cell>
          <cell r="E16">
            <v>22899.656530350003</v>
          </cell>
          <cell r="F16">
            <v>21470.746985143003</v>
          </cell>
          <cell r="G16">
            <v>21695.749459708495</v>
          </cell>
          <cell r="H16">
            <v>20409.396649240713</v>
          </cell>
          <cell r="I16">
            <v>19500.460218730543</v>
          </cell>
          <cell r="BD16" t="str">
            <v>.</v>
          </cell>
        </row>
        <row r="17">
          <cell r="BD17" t="str">
            <v>.</v>
          </cell>
        </row>
        <row r="18">
          <cell r="BD18" t="str">
            <v>.</v>
          </cell>
        </row>
        <row r="20">
          <cell r="BD20" t="str">
            <v>.</v>
          </cell>
        </row>
        <row r="21">
          <cell r="BD21" t="str">
            <v>.</v>
          </cell>
        </row>
        <row r="22">
          <cell r="BD22" t="str">
            <v>.</v>
          </cell>
        </row>
        <row r="23">
          <cell r="BD23" t="str">
            <v>.</v>
          </cell>
        </row>
        <row r="24">
          <cell r="BD24" t="str">
            <v>.</v>
          </cell>
        </row>
        <row r="25">
          <cell r="BD25" t="str">
            <v>.</v>
          </cell>
        </row>
        <row r="26">
          <cell r="BD26" t="str">
            <v>.</v>
          </cell>
        </row>
        <row r="27">
          <cell r="BD27" t="str">
            <v>.</v>
          </cell>
        </row>
        <row r="28">
          <cell r="BD28" t="str">
            <v>.</v>
          </cell>
        </row>
        <row r="29">
          <cell r="BD29" t="str">
            <v>.</v>
          </cell>
        </row>
        <row r="30">
          <cell r="BD30" t="str">
            <v>.</v>
          </cell>
        </row>
        <row r="31">
          <cell r="BD31" t="str">
            <v>.</v>
          </cell>
        </row>
        <row r="32">
          <cell r="BD32" t="str">
            <v>.</v>
          </cell>
        </row>
        <row r="33">
          <cell r="BD33" t="str">
            <v>.</v>
          </cell>
        </row>
        <row r="34">
          <cell r="BD34" t="str">
            <v>.</v>
          </cell>
        </row>
        <row r="35">
          <cell r="BD35" t="str">
            <v>.</v>
          </cell>
        </row>
        <row r="36">
          <cell r="BD36" t="str">
            <v>.</v>
          </cell>
        </row>
        <row r="37">
          <cell r="M37" t="str">
            <v>Do not change the width of the exhibit or font sizes (they are optimized for export to Word).</v>
          </cell>
          <cell r="BD37" t="str">
            <v>.</v>
          </cell>
        </row>
        <row r="38">
          <cell r="BD38" t="str">
            <v>.</v>
          </cell>
        </row>
        <row r="39">
          <cell r="M39" t="str">
            <v>Do not delete any rows or columns (some gray cells are used for calculations).</v>
          </cell>
          <cell r="BD39" t="str">
            <v>.</v>
          </cell>
        </row>
        <row r="40">
          <cell r="BD40" t="str">
            <v>.</v>
          </cell>
        </row>
        <row r="41">
          <cell r="BD41" t="str">
            <v>.</v>
          </cell>
        </row>
        <row r="42">
          <cell r="BD42" t="str">
            <v>.</v>
          </cell>
        </row>
        <row r="43">
          <cell r="BD43" t="str">
            <v>.</v>
          </cell>
        </row>
        <row r="44">
          <cell r="BD44" t="str">
            <v>.</v>
          </cell>
        </row>
        <row r="45">
          <cell r="BD45" t="str">
            <v>.</v>
          </cell>
        </row>
        <row r="46">
          <cell r="BD46" t="str">
            <v>.</v>
          </cell>
        </row>
        <row r="47">
          <cell r="BD47" t="str">
            <v>.</v>
          </cell>
        </row>
        <row r="48">
          <cell r="BD48" t="str">
            <v>.</v>
          </cell>
        </row>
        <row r="49">
          <cell r="BD49" t="str">
            <v>.</v>
          </cell>
        </row>
        <row r="50">
          <cell r="BD50" t="str">
            <v>.</v>
          </cell>
        </row>
        <row r="51">
          <cell r="BD51" t="str">
            <v>.</v>
          </cell>
        </row>
        <row r="52">
          <cell r="BD52" t="str">
            <v>.</v>
          </cell>
        </row>
        <row r="53">
          <cell r="BD53" t="str">
            <v>.</v>
          </cell>
        </row>
        <row r="54">
          <cell r="BD54" t="str">
            <v>.</v>
          </cell>
        </row>
        <row r="55">
          <cell r="BD55" t="str">
            <v>.</v>
          </cell>
        </row>
        <row r="56">
          <cell r="BD56" t="str">
            <v>.</v>
          </cell>
        </row>
        <row r="57">
          <cell r="BD57" t="str">
            <v>.</v>
          </cell>
        </row>
        <row r="58">
          <cell r="BD58" t="str">
            <v>.</v>
          </cell>
        </row>
        <row r="59">
          <cell r="BD59" t="str">
            <v>.</v>
          </cell>
        </row>
        <row r="60">
          <cell r="BD60" t="str">
            <v>.</v>
          </cell>
        </row>
        <row r="61">
          <cell r="BD61" t="str">
            <v>.</v>
          </cell>
        </row>
        <row r="62">
          <cell r="BD62" t="str">
            <v>.</v>
          </cell>
        </row>
        <row r="63">
          <cell r="BD63" t="str">
            <v>.</v>
          </cell>
        </row>
        <row r="64">
          <cell r="BD64" t="str">
            <v>.</v>
          </cell>
        </row>
        <row r="65">
          <cell r="BD65" t="str">
            <v>.</v>
          </cell>
        </row>
        <row r="66">
          <cell r="BD66" t="str">
            <v>.</v>
          </cell>
        </row>
        <row r="67">
          <cell r="BD67" t="str">
            <v>.</v>
          </cell>
        </row>
        <row r="68">
          <cell r="BD68" t="str">
            <v>.</v>
          </cell>
        </row>
        <row r="69">
          <cell r="BD69" t="str">
            <v>.</v>
          </cell>
        </row>
        <row r="70">
          <cell r="BD70" t="str">
            <v>.</v>
          </cell>
        </row>
        <row r="71">
          <cell r="BD71" t="str">
            <v>.</v>
          </cell>
        </row>
        <row r="72">
          <cell r="BD72" t="str">
            <v>.</v>
          </cell>
        </row>
        <row r="73">
          <cell r="BD73" t="str">
            <v>.</v>
          </cell>
        </row>
        <row r="74">
          <cell r="BD74" t="str">
            <v>.</v>
          </cell>
        </row>
        <row r="75">
          <cell r="BD75" t="str">
            <v>.</v>
          </cell>
        </row>
        <row r="76">
          <cell r="BD76" t="str">
            <v>.</v>
          </cell>
        </row>
        <row r="77">
          <cell r="BD77" t="str">
            <v>.</v>
          </cell>
        </row>
        <row r="78">
          <cell r="BD78" t="str">
            <v>.</v>
          </cell>
        </row>
        <row r="79">
          <cell r="BD79" t="str">
            <v>.</v>
          </cell>
        </row>
        <row r="80">
          <cell r="BD80" t="str">
            <v>.</v>
          </cell>
        </row>
        <row r="81">
          <cell r="BD81" t="str">
            <v>.</v>
          </cell>
        </row>
        <row r="82">
          <cell r="BD82" t="str">
            <v>.</v>
          </cell>
        </row>
        <row r="83">
          <cell r="BD83" t="str">
            <v>.</v>
          </cell>
        </row>
        <row r="84">
          <cell r="BD84" t="str">
            <v>.</v>
          </cell>
        </row>
        <row r="85">
          <cell r="BD85" t="str">
            <v>.</v>
          </cell>
        </row>
        <row r="86">
          <cell r="BD86" t="str">
            <v>.</v>
          </cell>
        </row>
        <row r="87">
          <cell r="BD87" t="str">
            <v>.</v>
          </cell>
        </row>
        <row r="88">
          <cell r="BD88" t="str">
            <v>.</v>
          </cell>
        </row>
        <row r="89">
          <cell r="BD89" t="str">
            <v>.</v>
          </cell>
        </row>
        <row r="90">
          <cell r="BD90" t="str">
            <v>.</v>
          </cell>
        </row>
        <row r="91">
          <cell r="BD91" t="str">
            <v>.</v>
          </cell>
        </row>
        <row r="92">
          <cell r="BD92" t="str">
            <v>.</v>
          </cell>
        </row>
        <row r="93">
          <cell r="BD93" t="str">
            <v>.</v>
          </cell>
        </row>
        <row r="94">
          <cell r="BD94" t="str">
            <v>.</v>
          </cell>
        </row>
        <row r="95">
          <cell r="BD95" t="str">
            <v>.</v>
          </cell>
        </row>
        <row r="96">
          <cell r="BD96" t="str">
            <v>.</v>
          </cell>
        </row>
        <row r="97">
          <cell r="BD97" t="str">
            <v>.</v>
          </cell>
        </row>
        <row r="98">
          <cell r="BD98" t="str">
            <v>.</v>
          </cell>
        </row>
        <row r="99">
          <cell r="BD99" t="str">
            <v>.</v>
          </cell>
        </row>
        <row r="100">
          <cell r="BD100" t="str">
            <v>.</v>
          </cell>
        </row>
        <row r="101">
          <cell r="BD101" t="str">
            <v>.</v>
          </cell>
        </row>
        <row r="102">
          <cell r="BD102" t="str">
            <v>.</v>
          </cell>
        </row>
        <row r="103">
          <cell r="BD103" t="str">
            <v>.</v>
          </cell>
        </row>
        <row r="104">
          <cell r="BD104" t="str">
            <v>.</v>
          </cell>
        </row>
        <row r="105">
          <cell r="BD105" t="str">
            <v>.</v>
          </cell>
        </row>
        <row r="106">
          <cell r="BD106" t="str">
            <v>.</v>
          </cell>
        </row>
        <row r="107">
          <cell r="BD107" t="str">
            <v>.</v>
          </cell>
        </row>
        <row r="108">
          <cell r="BD108" t="str">
            <v>.</v>
          </cell>
        </row>
        <row r="109">
          <cell r="BD109" t="str">
            <v>.</v>
          </cell>
        </row>
        <row r="110">
          <cell r="BD110" t="str">
            <v>.</v>
          </cell>
        </row>
        <row r="111">
          <cell r="BD111" t="str">
            <v>.</v>
          </cell>
        </row>
        <row r="112">
          <cell r="BD112" t="str">
            <v>.</v>
          </cell>
        </row>
        <row r="113">
          <cell r="BD113" t="str">
            <v>.</v>
          </cell>
        </row>
        <row r="114">
          <cell r="BD114" t="str">
            <v>.</v>
          </cell>
        </row>
        <row r="115">
          <cell r="BD115" t="str">
            <v>.</v>
          </cell>
        </row>
        <row r="116">
          <cell r="BD116" t="str">
            <v>.</v>
          </cell>
        </row>
        <row r="117">
          <cell r="BD117" t="str">
            <v>.</v>
          </cell>
        </row>
        <row r="118">
          <cell r="BD118" t="str">
            <v>.</v>
          </cell>
        </row>
        <row r="119">
          <cell r="BD119" t="str">
            <v>.</v>
          </cell>
        </row>
        <row r="120">
          <cell r="BD120" t="str">
            <v>.</v>
          </cell>
        </row>
        <row r="121">
          <cell r="BD121" t="str">
            <v>.</v>
          </cell>
        </row>
        <row r="122">
          <cell r="BD122" t="str">
            <v>.</v>
          </cell>
        </row>
        <row r="123">
          <cell r="BD123" t="str">
            <v>.</v>
          </cell>
        </row>
        <row r="124">
          <cell r="BD124" t="str">
            <v>.</v>
          </cell>
        </row>
        <row r="125">
          <cell r="BD125" t="str">
            <v>.</v>
          </cell>
        </row>
        <row r="126">
          <cell r="BD126" t="str">
            <v>.</v>
          </cell>
        </row>
        <row r="127">
          <cell r="BD127" t="str">
            <v>.</v>
          </cell>
        </row>
        <row r="128">
          <cell r="BD128" t="str">
            <v>.</v>
          </cell>
        </row>
        <row r="129">
          <cell r="BD129" t="str">
            <v>.</v>
          </cell>
        </row>
        <row r="130">
          <cell r="BD130" t="str">
            <v>.</v>
          </cell>
        </row>
        <row r="131">
          <cell r="BD131" t="str">
            <v>.</v>
          </cell>
        </row>
        <row r="132">
          <cell r="BD132" t="str">
            <v>.</v>
          </cell>
        </row>
        <row r="133">
          <cell r="BD133" t="str">
            <v>.</v>
          </cell>
        </row>
        <row r="134">
          <cell r="BD134" t="str">
            <v>.</v>
          </cell>
        </row>
        <row r="135">
          <cell r="BD135" t="str">
            <v>.</v>
          </cell>
        </row>
        <row r="136">
          <cell r="BD136" t="str">
            <v>.</v>
          </cell>
        </row>
        <row r="137">
          <cell r="BD137" t="str">
            <v>.</v>
          </cell>
        </row>
        <row r="138">
          <cell r="BD138" t="str">
            <v>.</v>
          </cell>
        </row>
        <row r="139">
          <cell r="BD139" t="str">
            <v>.</v>
          </cell>
        </row>
        <row r="140">
          <cell r="BD140" t="str">
            <v>.</v>
          </cell>
        </row>
        <row r="141">
          <cell r="BD141" t="str">
            <v>.</v>
          </cell>
        </row>
        <row r="142">
          <cell r="BD142" t="str">
            <v>.</v>
          </cell>
        </row>
        <row r="143">
          <cell r="BD143" t="str">
            <v>.</v>
          </cell>
        </row>
        <row r="144">
          <cell r="BD144" t="str">
            <v>.</v>
          </cell>
        </row>
        <row r="145">
          <cell r="BD145" t="str">
            <v>.</v>
          </cell>
        </row>
        <row r="146">
          <cell r="BD146" t="str">
            <v>.</v>
          </cell>
        </row>
        <row r="147">
          <cell r="BD147" t="str">
            <v>.</v>
          </cell>
        </row>
        <row r="148">
          <cell r="BD148" t="str">
            <v>.</v>
          </cell>
        </row>
        <row r="149">
          <cell r="BD149" t="str">
            <v>.</v>
          </cell>
        </row>
        <row r="150">
          <cell r="BD150" t="str">
            <v>.</v>
          </cell>
        </row>
        <row r="151">
          <cell r="BD151" t="str">
            <v>.</v>
          </cell>
        </row>
        <row r="152">
          <cell r="BD152" t="str">
            <v>.</v>
          </cell>
        </row>
        <row r="153">
          <cell r="BD153" t="str">
            <v>.</v>
          </cell>
        </row>
        <row r="154">
          <cell r="BD154" t="str">
            <v>.</v>
          </cell>
        </row>
        <row r="155">
          <cell r="BD155" t="str">
            <v>.</v>
          </cell>
        </row>
        <row r="156">
          <cell r="BD156" t="str">
            <v>.</v>
          </cell>
        </row>
        <row r="157">
          <cell r="BD157" t="str">
            <v>.</v>
          </cell>
        </row>
        <row r="158">
          <cell r="BD158" t="str">
            <v>.</v>
          </cell>
        </row>
        <row r="159">
          <cell r="BD159" t="str">
            <v>.</v>
          </cell>
        </row>
        <row r="160">
          <cell r="BD160" t="str">
            <v>.</v>
          </cell>
        </row>
        <row r="161">
          <cell r="BD161" t="str">
            <v>.</v>
          </cell>
        </row>
        <row r="162">
          <cell r="BD162" t="str">
            <v>.</v>
          </cell>
        </row>
        <row r="163">
          <cell r="BD163" t="str">
            <v>.</v>
          </cell>
        </row>
        <row r="164">
          <cell r="BD164" t="str">
            <v>.</v>
          </cell>
        </row>
        <row r="165">
          <cell r="BD165" t="str">
            <v>.</v>
          </cell>
        </row>
        <row r="166">
          <cell r="BD166" t="str">
            <v>.</v>
          </cell>
        </row>
        <row r="167">
          <cell r="BD167" t="str">
            <v>.</v>
          </cell>
        </row>
        <row r="168">
          <cell r="BD168" t="str">
            <v>.</v>
          </cell>
        </row>
        <row r="169">
          <cell r="BD169" t="str">
            <v>.</v>
          </cell>
        </row>
        <row r="170">
          <cell r="BD170" t="str">
            <v>.</v>
          </cell>
        </row>
        <row r="171">
          <cell r="BD171" t="str">
            <v>.</v>
          </cell>
        </row>
        <row r="172">
          <cell r="BD172" t="str">
            <v>.</v>
          </cell>
        </row>
        <row r="173">
          <cell r="BD173" t="str">
            <v>.</v>
          </cell>
        </row>
        <row r="174">
          <cell r="BD174" t="str">
            <v>.</v>
          </cell>
        </row>
        <row r="175">
          <cell r="BD175" t="str">
            <v>.</v>
          </cell>
        </row>
        <row r="176">
          <cell r="BD176" t="str">
            <v>.</v>
          </cell>
        </row>
        <row r="177">
          <cell r="BD177" t="str">
            <v>.</v>
          </cell>
        </row>
        <row r="178">
          <cell r="BD178" t="str">
            <v>.</v>
          </cell>
        </row>
        <row r="179">
          <cell r="BD179" t="str">
            <v>.</v>
          </cell>
        </row>
        <row r="180">
          <cell r="BD180" t="str">
            <v>.</v>
          </cell>
        </row>
        <row r="181">
          <cell r="BD181" t="str">
            <v>.</v>
          </cell>
        </row>
        <row r="182">
          <cell r="BD182" t="str">
            <v>.</v>
          </cell>
        </row>
        <row r="183">
          <cell r="BD183" t="str">
            <v>.</v>
          </cell>
        </row>
        <row r="184">
          <cell r="BD184" t="str">
            <v>.</v>
          </cell>
        </row>
        <row r="185">
          <cell r="BD185" t="str">
            <v>.</v>
          </cell>
        </row>
        <row r="186">
          <cell r="BD186" t="str">
            <v>.</v>
          </cell>
        </row>
        <row r="187">
          <cell r="BD187" t="str">
            <v>.</v>
          </cell>
        </row>
        <row r="188">
          <cell r="BD188" t="str">
            <v>.</v>
          </cell>
        </row>
        <row r="189">
          <cell r="BD189" t="str">
            <v>.</v>
          </cell>
        </row>
        <row r="190">
          <cell r="BD190" t="str">
            <v>.</v>
          </cell>
        </row>
        <row r="191">
          <cell r="BD191" t="str">
            <v>.</v>
          </cell>
        </row>
        <row r="192">
          <cell r="BD192" t="str">
            <v>.</v>
          </cell>
        </row>
        <row r="193">
          <cell r="BD193" t="str">
            <v>.</v>
          </cell>
        </row>
        <row r="194">
          <cell r="BD194" t="str">
            <v>.</v>
          </cell>
        </row>
        <row r="195">
          <cell r="BD195" t="str">
            <v>.</v>
          </cell>
        </row>
        <row r="196">
          <cell r="BD196" t="str">
            <v>.</v>
          </cell>
        </row>
        <row r="197">
          <cell r="BD197" t="str">
            <v>.</v>
          </cell>
        </row>
        <row r="198">
          <cell r="BD198" t="str">
            <v>.</v>
          </cell>
        </row>
        <row r="199">
          <cell r="BD199" t="str">
            <v>.</v>
          </cell>
        </row>
        <row r="200">
          <cell r="BD200" t="str">
            <v>.</v>
          </cell>
        </row>
        <row r="201">
          <cell r="BD201" t="str">
            <v>.</v>
          </cell>
        </row>
        <row r="202">
          <cell r="BD202" t="str">
            <v>.</v>
          </cell>
        </row>
        <row r="203">
          <cell r="BD203" t="str">
            <v>.</v>
          </cell>
        </row>
        <row r="204">
          <cell r="BD204" t="str">
            <v>.</v>
          </cell>
        </row>
        <row r="205">
          <cell r="BD205" t="str">
            <v>.</v>
          </cell>
        </row>
        <row r="206">
          <cell r="BD206" t="str">
            <v>.</v>
          </cell>
        </row>
        <row r="207">
          <cell r="BD207" t="str">
            <v>.</v>
          </cell>
        </row>
        <row r="208">
          <cell r="BD208" t="str">
            <v>.</v>
          </cell>
        </row>
        <row r="209">
          <cell r="BD209" t="str">
            <v>.</v>
          </cell>
        </row>
        <row r="210">
          <cell r="BD210" t="str">
            <v>.</v>
          </cell>
        </row>
        <row r="211">
          <cell r="BD211" t="str">
            <v>.</v>
          </cell>
        </row>
        <row r="212">
          <cell r="BD212" t="str">
            <v>.</v>
          </cell>
        </row>
        <row r="213">
          <cell r="BD213" t="str">
            <v>.</v>
          </cell>
        </row>
        <row r="214">
          <cell r="BD214" t="str">
            <v>.</v>
          </cell>
        </row>
        <row r="215">
          <cell r="BD215" t="str">
            <v>.</v>
          </cell>
        </row>
        <row r="216">
          <cell r="BD216" t="str">
            <v>.</v>
          </cell>
        </row>
        <row r="217">
          <cell r="BD217" t="str">
            <v>.</v>
          </cell>
        </row>
        <row r="218">
          <cell r="BD218" t="str">
            <v>.</v>
          </cell>
        </row>
        <row r="219">
          <cell r="BD219" t="str">
            <v>.</v>
          </cell>
        </row>
        <row r="220">
          <cell r="BD220" t="str">
            <v>.</v>
          </cell>
        </row>
        <row r="221">
          <cell r="BD221" t="str">
            <v>.</v>
          </cell>
        </row>
        <row r="222">
          <cell r="BD222" t="str">
            <v>.</v>
          </cell>
        </row>
        <row r="223">
          <cell r="BD223" t="str">
            <v>.</v>
          </cell>
        </row>
        <row r="224">
          <cell r="BD224" t="str">
            <v>.</v>
          </cell>
        </row>
        <row r="225">
          <cell r="BD225" t="str">
            <v>.</v>
          </cell>
        </row>
        <row r="226">
          <cell r="BD226" t="str">
            <v>.</v>
          </cell>
        </row>
        <row r="227">
          <cell r="BD227" t="str">
            <v>.</v>
          </cell>
        </row>
        <row r="228">
          <cell r="BD228" t="str">
            <v>.</v>
          </cell>
        </row>
        <row r="229">
          <cell r="BD229" t="str">
            <v>.</v>
          </cell>
        </row>
        <row r="230">
          <cell r="BD230" t="str">
            <v>.</v>
          </cell>
        </row>
        <row r="231">
          <cell r="BD231" t="str">
            <v>.</v>
          </cell>
        </row>
        <row r="232">
          <cell r="BD232" t="str">
            <v>.</v>
          </cell>
        </row>
        <row r="233">
          <cell r="BD233" t="str">
            <v>.</v>
          </cell>
        </row>
        <row r="234">
          <cell r="BD234" t="str">
            <v>.</v>
          </cell>
        </row>
        <row r="235">
          <cell r="BD235" t="str">
            <v>.</v>
          </cell>
        </row>
        <row r="236">
          <cell r="BD236" t="str">
            <v>.</v>
          </cell>
        </row>
        <row r="237">
          <cell r="BD237" t="str">
            <v>.</v>
          </cell>
        </row>
        <row r="238">
          <cell r="BD238" t="str">
            <v>.</v>
          </cell>
        </row>
        <row r="239">
          <cell r="BD239" t="str">
            <v>.</v>
          </cell>
        </row>
        <row r="240">
          <cell r="BD240" t="str">
            <v>.</v>
          </cell>
        </row>
        <row r="241">
          <cell r="BD241" t="str">
            <v>.</v>
          </cell>
        </row>
        <row r="242">
          <cell r="BD242" t="str">
            <v>.</v>
          </cell>
        </row>
        <row r="243">
          <cell r="BD243" t="str">
            <v>.</v>
          </cell>
        </row>
        <row r="244">
          <cell r="BD244" t="str">
            <v>.</v>
          </cell>
        </row>
        <row r="245">
          <cell r="BD245" t="str">
            <v>.</v>
          </cell>
        </row>
        <row r="246">
          <cell r="BD246" t="str">
            <v>.</v>
          </cell>
        </row>
        <row r="247">
          <cell r="BD247" t="str">
            <v>.</v>
          </cell>
        </row>
        <row r="248">
          <cell r="BD248" t="str">
            <v>.</v>
          </cell>
        </row>
        <row r="249">
          <cell r="BD249" t="str">
            <v>.</v>
          </cell>
        </row>
        <row r="250">
          <cell r="BD250" t="str">
            <v>.</v>
          </cell>
        </row>
        <row r="251">
          <cell r="BD251" t="str">
            <v>.</v>
          </cell>
        </row>
        <row r="252">
          <cell r="BD252" t="str">
            <v>.</v>
          </cell>
        </row>
        <row r="253">
          <cell r="BD253" t="str">
            <v>.</v>
          </cell>
        </row>
        <row r="254">
          <cell r="BD254" t="str">
            <v>.</v>
          </cell>
        </row>
        <row r="255">
          <cell r="BD255" t="str">
            <v>.</v>
          </cell>
        </row>
        <row r="256">
          <cell r="BD256" t="str">
            <v>.</v>
          </cell>
        </row>
        <row r="257">
          <cell r="BD257" t="str">
            <v>.</v>
          </cell>
        </row>
        <row r="258">
          <cell r="BD258" t="str">
            <v>.</v>
          </cell>
        </row>
        <row r="259">
          <cell r="BD259" t="str">
            <v>.</v>
          </cell>
        </row>
        <row r="260">
          <cell r="BD260" t="str">
            <v>.</v>
          </cell>
        </row>
        <row r="261">
          <cell r="BD261" t="str">
            <v>.</v>
          </cell>
        </row>
        <row r="262">
          <cell r="BD262" t="str">
            <v>.</v>
          </cell>
        </row>
        <row r="263">
          <cell r="BD263" t="str">
            <v>.</v>
          </cell>
        </row>
        <row r="264">
          <cell r="BD264" t="str">
            <v>.</v>
          </cell>
        </row>
        <row r="265">
          <cell r="BD265" t="str">
            <v>.</v>
          </cell>
        </row>
        <row r="266">
          <cell r="BD266" t="str">
            <v>.</v>
          </cell>
        </row>
        <row r="267">
          <cell r="BD267" t="str">
            <v>.</v>
          </cell>
        </row>
        <row r="268">
          <cell r="BD268" t="str">
            <v>.</v>
          </cell>
        </row>
        <row r="269">
          <cell r="BD269" t="str">
            <v>.</v>
          </cell>
        </row>
        <row r="270">
          <cell r="BD270" t="str">
            <v>.</v>
          </cell>
        </row>
        <row r="271">
          <cell r="BD271" t="str">
            <v>.</v>
          </cell>
        </row>
        <row r="272">
          <cell r="BD272" t="str">
            <v>.</v>
          </cell>
        </row>
        <row r="273">
          <cell r="BD273" t="str">
            <v>.</v>
          </cell>
        </row>
        <row r="274">
          <cell r="BD274" t="str">
            <v>.</v>
          </cell>
        </row>
        <row r="275">
          <cell r="BD275" t="str">
            <v>.</v>
          </cell>
        </row>
        <row r="276">
          <cell r="BD276" t="str">
            <v>.</v>
          </cell>
        </row>
        <row r="277">
          <cell r="BD277" t="str">
            <v>.</v>
          </cell>
        </row>
        <row r="278">
          <cell r="BD278" t="str">
            <v>.</v>
          </cell>
        </row>
        <row r="279">
          <cell r="BD279" t="str">
            <v>.</v>
          </cell>
        </row>
        <row r="280">
          <cell r="BD280" t="str">
            <v>.</v>
          </cell>
        </row>
        <row r="281">
          <cell r="BD281" t="str">
            <v>.</v>
          </cell>
        </row>
        <row r="282">
          <cell r="BD282" t="str">
            <v>.</v>
          </cell>
        </row>
        <row r="283">
          <cell r="BD283" t="str">
            <v>.</v>
          </cell>
        </row>
        <row r="284">
          <cell r="BD284" t="str">
            <v>.</v>
          </cell>
        </row>
        <row r="285">
          <cell r="BD285" t="str">
            <v>.</v>
          </cell>
        </row>
        <row r="286">
          <cell r="BD286" t="str">
            <v>.</v>
          </cell>
        </row>
        <row r="287">
          <cell r="BD287" t="str">
            <v>.</v>
          </cell>
        </row>
        <row r="288">
          <cell r="BD288" t="str">
            <v>.</v>
          </cell>
        </row>
        <row r="289">
          <cell r="BD289" t="str">
            <v>.</v>
          </cell>
        </row>
        <row r="290">
          <cell r="BD290" t="str">
            <v>.</v>
          </cell>
        </row>
        <row r="291">
          <cell r="BD291" t="str">
            <v>.</v>
          </cell>
        </row>
        <row r="292">
          <cell r="BD292" t="str">
            <v>.</v>
          </cell>
        </row>
        <row r="293">
          <cell r="BD293" t="str">
            <v>.</v>
          </cell>
        </row>
        <row r="294">
          <cell r="BD294" t="str">
            <v>.</v>
          </cell>
        </row>
        <row r="295">
          <cell r="BD295" t="str">
            <v>.</v>
          </cell>
        </row>
        <row r="296">
          <cell r="BD296" t="str">
            <v>.</v>
          </cell>
        </row>
        <row r="297">
          <cell r="BD297" t="str">
            <v>.</v>
          </cell>
        </row>
        <row r="298">
          <cell r="BD298" t="str">
            <v>.</v>
          </cell>
        </row>
        <row r="299">
          <cell r="BD299" t="str">
            <v>.</v>
          </cell>
        </row>
        <row r="300">
          <cell r="BD300" t="str">
            <v>.</v>
          </cell>
        </row>
        <row r="301">
          <cell r="BD301" t="str">
            <v>.</v>
          </cell>
        </row>
        <row r="302">
          <cell r="BD302" t="str">
            <v>.</v>
          </cell>
        </row>
        <row r="303">
          <cell r="BD303" t="str">
            <v>.</v>
          </cell>
        </row>
        <row r="304">
          <cell r="BD304" t="str">
            <v>.</v>
          </cell>
        </row>
        <row r="305">
          <cell r="BD305" t="str">
            <v>.</v>
          </cell>
        </row>
        <row r="306">
          <cell r="BD306" t="str">
            <v>.</v>
          </cell>
        </row>
        <row r="307">
          <cell r="BD307" t="str">
            <v>.</v>
          </cell>
        </row>
        <row r="308">
          <cell r="BD308" t="str">
            <v>.</v>
          </cell>
        </row>
        <row r="309">
          <cell r="BD309" t="str">
            <v>.</v>
          </cell>
        </row>
        <row r="310">
          <cell r="BD310" t="str">
            <v>.</v>
          </cell>
        </row>
        <row r="311">
          <cell r="BD311" t="str">
            <v>.</v>
          </cell>
        </row>
        <row r="312">
          <cell r="BD312" t="str">
            <v>.</v>
          </cell>
        </row>
        <row r="313">
          <cell r="BD313" t="str">
            <v>.</v>
          </cell>
        </row>
        <row r="314">
          <cell r="BD314" t="str">
            <v>.</v>
          </cell>
        </row>
        <row r="315">
          <cell r="BD315" t="str">
            <v>.</v>
          </cell>
        </row>
        <row r="316">
          <cell r="BD316" t="str">
            <v>.</v>
          </cell>
        </row>
        <row r="317">
          <cell r="BD317" t="str">
            <v>.</v>
          </cell>
        </row>
        <row r="318">
          <cell r="BD318" t="str">
            <v>.</v>
          </cell>
        </row>
        <row r="319">
          <cell r="BD319" t="str">
            <v>.</v>
          </cell>
        </row>
        <row r="320">
          <cell r="BD320" t="str">
            <v>.</v>
          </cell>
        </row>
        <row r="321">
          <cell r="BD321" t="str">
            <v>.</v>
          </cell>
        </row>
        <row r="322">
          <cell r="BD322" t="str">
            <v>.</v>
          </cell>
        </row>
        <row r="323">
          <cell r="BD323" t="str">
            <v>.</v>
          </cell>
        </row>
        <row r="324">
          <cell r="BD324" t="str">
            <v>.</v>
          </cell>
        </row>
        <row r="325">
          <cell r="BD325" t="str">
            <v>.</v>
          </cell>
        </row>
        <row r="326">
          <cell r="BD326" t="str">
            <v>.</v>
          </cell>
        </row>
        <row r="327">
          <cell r="BD327" t="str">
            <v>.</v>
          </cell>
        </row>
        <row r="328">
          <cell r="BD328" t="str">
            <v>.</v>
          </cell>
        </row>
        <row r="329">
          <cell r="BD329" t="str">
            <v>.</v>
          </cell>
        </row>
        <row r="330">
          <cell r="BD330" t="str">
            <v>.</v>
          </cell>
        </row>
        <row r="331">
          <cell r="BD331" t="str">
            <v>.</v>
          </cell>
        </row>
        <row r="332">
          <cell r="BD332" t="str">
            <v>.</v>
          </cell>
        </row>
        <row r="333">
          <cell r="BD333" t="str">
            <v>.</v>
          </cell>
        </row>
        <row r="334">
          <cell r="BD334" t="str">
            <v>.</v>
          </cell>
        </row>
        <row r="335">
          <cell r="BD335" t="str">
            <v>.</v>
          </cell>
        </row>
        <row r="336">
          <cell r="BD336" t="str">
            <v>.</v>
          </cell>
        </row>
        <row r="337">
          <cell r="BD337" t="str">
            <v>.</v>
          </cell>
        </row>
        <row r="338">
          <cell r="BD338" t="str">
            <v>.</v>
          </cell>
        </row>
        <row r="339">
          <cell r="BD339" t="str">
            <v>.</v>
          </cell>
        </row>
        <row r="340">
          <cell r="BD340" t="str">
            <v>.</v>
          </cell>
        </row>
        <row r="341">
          <cell r="BD341" t="str">
            <v>.</v>
          </cell>
        </row>
        <row r="342">
          <cell r="BD342" t="str">
            <v>.</v>
          </cell>
        </row>
        <row r="343">
          <cell r="BD343" t="str">
            <v>.</v>
          </cell>
        </row>
        <row r="344">
          <cell r="BD344" t="str">
            <v>.</v>
          </cell>
        </row>
        <row r="345">
          <cell r="BD345" t="str">
            <v>.</v>
          </cell>
        </row>
        <row r="346">
          <cell r="BD346" t="str">
            <v>.</v>
          </cell>
        </row>
        <row r="347">
          <cell r="BD347" t="str">
            <v>.</v>
          </cell>
        </row>
        <row r="348">
          <cell r="BD348" t="str">
            <v>.</v>
          </cell>
        </row>
        <row r="349">
          <cell r="BD349" t="str">
            <v>.</v>
          </cell>
        </row>
        <row r="350">
          <cell r="BD350" t="str">
            <v>.</v>
          </cell>
        </row>
        <row r="351">
          <cell r="BD351" t="str">
            <v>.</v>
          </cell>
        </row>
        <row r="352">
          <cell r="BD352" t="str">
            <v>.</v>
          </cell>
        </row>
        <row r="353">
          <cell r="BD353" t="str">
            <v>.</v>
          </cell>
        </row>
        <row r="354">
          <cell r="BD354" t="str">
            <v>.</v>
          </cell>
        </row>
        <row r="355">
          <cell r="BD355" t="str">
            <v>.</v>
          </cell>
        </row>
        <row r="356">
          <cell r="BD356" t="str">
            <v>.</v>
          </cell>
        </row>
        <row r="357">
          <cell r="BD357" t="str">
            <v>.</v>
          </cell>
        </row>
        <row r="358">
          <cell r="BD358" t="str">
            <v>.</v>
          </cell>
        </row>
        <row r="359">
          <cell r="BD359" t="str">
            <v>.</v>
          </cell>
        </row>
        <row r="360">
          <cell r="BD360" t="str">
            <v>.</v>
          </cell>
        </row>
        <row r="361">
          <cell r="BD361" t="str">
            <v>.</v>
          </cell>
        </row>
        <row r="362">
          <cell r="BD362" t="str">
            <v>.</v>
          </cell>
        </row>
        <row r="363">
          <cell r="BD363" t="str">
            <v>.</v>
          </cell>
        </row>
        <row r="364">
          <cell r="BD364" t="str">
            <v>.</v>
          </cell>
        </row>
        <row r="365">
          <cell r="BD365" t="str">
            <v>.</v>
          </cell>
        </row>
        <row r="366">
          <cell r="BD366" t="str">
            <v>.</v>
          </cell>
        </row>
        <row r="367">
          <cell r="BD367" t="str">
            <v>.</v>
          </cell>
        </row>
        <row r="368">
          <cell r="BD368" t="str">
            <v>.</v>
          </cell>
        </row>
        <row r="369">
          <cell r="BD369" t="str">
            <v>.</v>
          </cell>
        </row>
        <row r="370">
          <cell r="BD370" t="str">
            <v>.</v>
          </cell>
        </row>
        <row r="371">
          <cell r="BD371" t="str">
            <v>.</v>
          </cell>
        </row>
        <row r="372">
          <cell r="BD372" t="str">
            <v>.</v>
          </cell>
        </row>
        <row r="373">
          <cell r="BD373" t="str">
            <v>.</v>
          </cell>
        </row>
        <row r="374">
          <cell r="BD374" t="str">
            <v>.</v>
          </cell>
        </row>
        <row r="375">
          <cell r="BD375" t="str">
            <v>.</v>
          </cell>
        </row>
        <row r="376">
          <cell r="BD376" t="str">
            <v>.</v>
          </cell>
        </row>
        <row r="377">
          <cell r="BD377" t="str">
            <v>.</v>
          </cell>
        </row>
        <row r="378">
          <cell r="BD378" t="str">
            <v>.</v>
          </cell>
        </row>
        <row r="379">
          <cell r="BD379" t="str">
            <v>.</v>
          </cell>
        </row>
        <row r="380">
          <cell r="BD380" t="str">
            <v>.</v>
          </cell>
        </row>
        <row r="381">
          <cell r="BD381" t="str">
            <v>.</v>
          </cell>
        </row>
        <row r="382">
          <cell r="BD382" t="str">
            <v>.</v>
          </cell>
        </row>
        <row r="383">
          <cell r="BD383" t="str">
            <v>.</v>
          </cell>
        </row>
        <row r="384">
          <cell r="BD384" t="str">
            <v>.</v>
          </cell>
        </row>
        <row r="385">
          <cell r="BD385" t="str">
            <v>.</v>
          </cell>
        </row>
        <row r="386">
          <cell r="BD386" t="str">
            <v>.</v>
          </cell>
        </row>
        <row r="387">
          <cell r="BD387" t="str">
            <v>.</v>
          </cell>
        </row>
        <row r="388">
          <cell r="BD388" t="str">
            <v>.</v>
          </cell>
        </row>
        <row r="389">
          <cell r="BD389" t="str">
            <v>.</v>
          </cell>
        </row>
        <row r="390">
          <cell r="BD390" t="str">
            <v>.</v>
          </cell>
        </row>
        <row r="391">
          <cell r="BD391" t="str">
            <v>.</v>
          </cell>
        </row>
        <row r="392">
          <cell r="BD392" t="str">
            <v>.</v>
          </cell>
        </row>
        <row r="393">
          <cell r="BD393" t="str">
            <v>.</v>
          </cell>
        </row>
        <row r="394">
          <cell r="BD394" t="str">
            <v>.</v>
          </cell>
        </row>
        <row r="395">
          <cell r="BD395" t="str">
            <v>.</v>
          </cell>
        </row>
        <row r="396">
          <cell r="BD396" t="str">
            <v>.</v>
          </cell>
        </row>
        <row r="397">
          <cell r="BD397" t="str">
            <v>.</v>
          </cell>
        </row>
        <row r="398">
          <cell r="BD398" t="str">
            <v>.</v>
          </cell>
        </row>
        <row r="399">
          <cell r="BD399" t="str">
            <v>.</v>
          </cell>
        </row>
        <row r="400">
          <cell r="BD400" t="str">
            <v>.</v>
          </cell>
        </row>
        <row r="401">
          <cell r="BD401" t="str">
            <v>.</v>
          </cell>
        </row>
        <row r="402">
          <cell r="BD402" t="str">
            <v>.</v>
          </cell>
        </row>
        <row r="403">
          <cell r="BD403" t="str">
            <v>.</v>
          </cell>
        </row>
        <row r="404">
          <cell r="BD404" t="str">
            <v>.</v>
          </cell>
        </row>
        <row r="405">
          <cell r="BD405" t="str">
            <v>.</v>
          </cell>
        </row>
        <row r="406">
          <cell r="BD406" t="str">
            <v>.</v>
          </cell>
        </row>
        <row r="407">
          <cell r="BD407" t="str">
            <v>.</v>
          </cell>
        </row>
        <row r="408">
          <cell r="BD408" t="str">
            <v>.</v>
          </cell>
        </row>
        <row r="409">
          <cell r="BD409" t="str">
            <v>.</v>
          </cell>
        </row>
        <row r="410">
          <cell r="BD410" t="str">
            <v>.</v>
          </cell>
        </row>
        <row r="411">
          <cell r="BD411" t="str">
            <v>.</v>
          </cell>
        </row>
        <row r="412">
          <cell r="BD412" t="str">
            <v>.</v>
          </cell>
        </row>
        <row r="413">
          <cell r="BD413" t="str">
            <v>.</v>
          </cell>
        </row>
        <row r="414">
          <cell r="BD414" t="str">
            <v>.</v>
          </cell>
        </row>
        <row r="415">
          <cell r="BD415" t="str">
            <v>.</v>
          </cell>
        </row>
        <row r="416">
          <cell r="BD416" t="str">
            <v>.</v>
          </cell>
        </row>
        <row r="417">
          <cell r="BD417" t="str">
            <v>.</v>
          </cell>
        </row>
        <row r="418">
          <cell r="BD418" t="str">
            <v>.</v>
          </cell>
        </row>
        <row r="419">
          <cell r="BD419" t="str">
            <v>.</v>
          </cell>
        </row>
        <row r="420">
          <cell r="BD420" t="str">
            <v>.</v>
          </cell>
        </row>
        <row r="421">
          <cell r="BD421" t="str">
            <v>.</v>
          </cell>
        </row>
        <row r="422">
          <cell r="BD422" t="str">
            <v>.</v>
          </cell>
        </row>
        <row r="423">
          <cell r="BD423" t="str">
            <v>.</v>
          </cell>
        </row>
        <row r="424">
          <cell r="BD424" t="str">
            <v>.</v>
          </cell>
        </row>
        <row r="425">
          <cell r="BD425" t="str">
            <v>.</v>
          </cell>
        </row>
        <row r="426">
          <cell r="BD426" t="str">
            <v>.</v>
          </cell>
        </row>
        <row r="427">
          <cell r="BD427" t="str">
            <v>.</v>
          </cell>
        </row>
        <row r="428">
          <cell r="BD428" t="str">
            <v>.</v>
          </cell>
        </row>
        <row r="429">
          <cell r="BD429" t="str">
            <v>.</v>
          </cell>
        </row>
        <row r="430">
          <cell r="BD430" t="str">
            <v>.</v>
          </cell>
        </row>
        <row r="431">
          <cell r="BD431" t="str">
            <v>.</v>
          </cell>
        </row>
        <row r="432">
          <cell r="BD432" t="str">
            <v>.</v>
          </cell>
        </row>
        <row r="433">
          <cell r="BD433" t="str">
            <v>.</v>
          </cell>
        </row>
        <row r="434">
          <cell r="BD434" t="str">
            <v>.</v>
          </cell>
        </row>
        <row r="435">
          <cell r="BD435" t="str">
            <v>.</v>
          </cell>
        </row>
        <row r="436">
          <cell r="BD436" t="str">
            <v>.</v>
          </cell>
        </row>
        <row r="437">
          <cell r="BD437" t="str">
            <v>.</v>
          </cell>
        </row>
        <row r="438">
          <cell r="BD438" t="str">
            <v>.</v>
          </cell>
        </row>
        <row r="439">
          <cell r="BD439" t="str">
            <v>.</v>
          </cell>
        </row>
        <row r="440">
          <cell r="BD440" t="str">
            <v>.</v>
          </cell>
        </row>
        <row r="441">
          <cell r="BD441" t="str">
            <v>.</v>
          </cell>
        </row>
        <row r="442">
          <cell r="BD442" t="str">
            <v>.</v>
          </cell>
        </row>
        <row r="443">
          <cell r="BD443" t="str">
            <v>.</v>
          </cell>
        </row>
        <row r="444">
          <cell r="BD444" t="str">
            <v>.</v>
          </cell>
        </row>
        <row r="445">
          <cell r="BD445" t="str">
            <v>.</v>
          </cell>
        </row>
        <row r="446">
          <cell r="BD446" t="str">
            <v>.</v>
          </cell>
        </row>
        <row r="447">
          <cell r="BD447" t="str">
            <v>.</v>
          </cell>
        </row>
        <row r="448">
          <cell r="BD448" t="str">
            <v>.</v>
          </cell>
        </row>
        <row r="449">
          <cell r="BD449" t="str">
            <v>.</v>
          </cell>
        </row>
        <row r="450">
          <cell r="BD450" t="str">
            <v>.</v>
          </cell>
        </row>
        <row r="451">
          <cell r="BD451" t="str">
            <v>.</v>
          </cell>
        </row>
        <row r="452">
          <cell r="BD452" t="str">
            <v>.</v>
          </cell>
        </row>
        <row r="453">
          <cell r="BD453" t="str">
            <v>.</v>
          </cell>
        </row>
        <row r="454">
          <cell r="BD454" t="str">
            <v>.</v>
          </cell>
        </row>
        <row r="455">
          <cell r="BD455" t="str">
            <v>.</v>
          </cell>
        </row>
        <row r="456">
          <cell r="BD456" t="str">
            <v>.</v>
          </cell>
        </row>
        <row r="457">
          <cell r="BD457" t="str">
            <v>.</v>
          </cell>
        </row>
        <row r="458">
          <cell r="BD458" t="str">
            <v>.</v>
          </cell>
        </row>
        <row r="459">
          <cell r="BD459" t="str">
            <v>.</v>
          </cell>
        </row>
        <row r="460">
          <cell r="BD460" t="str">
            <v>.</v>
          </cell>
        </row>
        <row r="461">
          <cell r="BD461" t="str">
            <v>.</v>
          </cell>
        </row>
        <row r="462">
          <cell r="BD462" t="str">
            <v>.</v>
          </cell>
        </row>
        <row r="463">
          <cell r="BD463" t="str">
            <v>.</v>
          </cell>
        </row>
        <row r="464">
          <cell r="BD464" t="str">
            <v>.</v>
          </cell>
        </row>
        <row r="465">
          <cell r="BD465" t="str">
            <v>.</v>
          </cell>
        </row>
        <row r="466">
          <cell r="BD466" t="str">
            <v>.</v>
          </cell>
        </row>
        <row r="467">
          <cell r="BD467" t="str">
            <v>.</v>
          </cell>
        </row>
        <row r="468">
          <cell r="BD468" t="str">
            <v>.</v>
          </cell>
        </row>
        <row r="469">
          <cell r="BD469" t="str">
            <v>.</v>
          </cell>
        </row>
        <row r="470">
          <cell r="BD470" t="str">
            <v>.</v>
          </cell>
        </row>
        <row r="471">
          <cell r="BD471" t="str">
            <v>.</v>
          </cell>
        </row>
        <row r="472">
          <cell r="BD472" t="str">
            <v>.</v>
          </cell>
        </row>
        <row r="473">
          <cell r="BD473" t="str">
            <v>.</v>
          </cell>
        </row>
        <row r="474">
          <cell r="BD474" t="str">
            <v>.</v>
          </cell>
        </row>
        <row r="475">
          <cell r="BD475" t="str">
            <v>.</v>
          </cell>
        </row>
        <row r="476">
          <cell r="BD476" t="str">
            <v>.</v>
          </cell>
        </row>
        <row r="477">
          <cell r="BD477" t="str">
            <v>.</v>
          </cell>
        </row>
        <row r="478">
          <cell r="BD478" t="str">
            <v>.</v>
          </cell>
        </row>
        <row r="479">
          <cell r="BD479" t="str">
            <v>.</v>
          </cell>
        </row>
        <row r="480">
          <cell r="BD480" t="str">
            <v>.</v>
          </cell>
        </row>
        <row r="481">
          <cell r="BD481" t="str">
            <v>.</v>
          </cell>
        </row>
        <row r="482">
          <cell r="BD482" t="str">
            <v>.</v>
          </cell>
        </row>
        <row r="483">
          <cell r="BD483" t="str">
            <v>.</v>
          </cell>
        </row>
        <row r="484">
          <cell r="BD484" t="str">
            <v>.</v>
          </cell>
        </row>
        <row r="485">
          <cell r="BD485" t="str">
            <v>.</v>
          </cell>
        </row>
        <row r="486">
          <cell r="BD486" t="str">
            <v>.</v>
          </cell>
        </row>
        <row r="487">
          <cell r="BD487" t="str">
            <v>.</v>
          </cell>
        </row>
        <row r="488">
          <cell r="BD488" t="str">
            <v>.</v>
          </cell>
        </row>
        <row r="489">
          <cell r="BD489" t="str">
            <v>.</v>
          </cell>
        </row>
        <row r="490">
          <cell r="BD490" t="str">
            <v>.</v>
          </cell>
        </row>
        <row r="491">
          <cell r="BD491" t="str">
            <v>.</v>
          </cell>
        </row>
        <row r="492">
          <cell r="BD492" t="str">
            <v>.</v>
          </cell>
        </row>
        <row r="493">
          <cell r="BD493" t="str">
            <v>.</v>
          </cell>
        </row>
        <row r="494">
          <cell r="BD494" t="str">
            <v>.</v>
          </cell>
        </row>
        <row r="495">
          <cell r="BD495" t="str">
            <v>.</v>
          </cell>
        </row>
        <row r="496">
          <cell r="BD496" t="str">
            <v>.</v>
          </cell>
        </row>
        <row r="497">
          <cell r="BD497" t="str">
            <v>.</v>
          </cell>
        </row>
        <row r="498">
          <cell r="BD498" t="str">
            <v>.</v>
          </cell>
        </row>
        <row r="499">
          <cell r="BD499" t="str">
            <v>.</v>
          </cell>
        </row>
        <row r="500">
          <cell r="BD500" t="str">
            <v>.</v>
          </cell>
        </row>
        <row r="501">
          <cell r="BD501" t="str">
            <v>.</v>
          </cell>
        </row>
        <row r="502">
          <cell r="BD502" t="str">
            <v>.</v>
          </cell>
        </row>
        <row r="503">
          <cell r="BD503" t="str">
            <v>.</v>
          </cell>
        </row>
        <row r="504">
          <cell r="BD504" t="str">
            <v>.</v>
          </cell>
        </row>
        <row r="505">
          <cell r="BD505" t="str">
            <v>.</v>
          </cell>
        </row>
        <row r="506">
          <cell r="BD506" t="str">
            <v>.</v>
          </cell>
        </row>
        <row r="507">
          <cell r="BD507" t="str">
            <v>.</v>
          </cell>
        </row>
        <row r="508">
          <cell r="BD508" t="str">
            <v>.</v>
          </cell>
        </row>
        <row r="509">
          <cell r="BD509" t="str">
            <v>.</v>
          </cell>
        </row>
        <row r="510">
          <cell r="BD510" t="str">
            <v>.</v>
          </cell>
        </row>
        <row r="511">
          <cell r="BD511" t="str">
            <v>.</v>
          </cell>
        </row>
        <row r="512">
          <cell r="BD512" t="str">
            <v>.</v>
          </cell>
        </row>
        <row r="513">
          <cell r="BD513" t="str">
            <v>.</v>
          </cell>
        </row>
        <row r="514">
          <cell r="BD514" t="str">
            <v>.</v>
          </cell>
        </row>
        <row r="515">
          <cell r="BD515" t="str">
            <v>.</v>
          </cell>
        </row>
        <row r="516">
          <cell r="BD516" t="str">
            <v>.</v>
          </cell>
        </row>
        <row r="517">
          <cell r="BD517" t="str">
            <v>.</v>
          </cell>
        </row>
        <row r="518">
          <cell r="BD518" t="str">
            <v>.</v>
          </cell>
        </row>
        <row r="519">
          <cell r="BD519" t="str">
            <v>.</v>
          </cell>
        </row>
        <row r="520">
          <cell r="BD520" t="str">
            <v>.</v>
          </cell>
        </row>
        <row r="521">
          <cell r="BD521" t="str">
            <v>.</v>
          </cell>
        </row>
        <row r="522">
          <cell r="BD522" t="str">
            <v>.</v>
          </cell>
        </row>
        <row r="523">
          <cell r="BD523" t="str">
            <v>.</v>
          </cell>
        </row>
        <row r="524">
          <cell r="BD524" t="str">
            <v>.</v>
          </cell>
        </row>
        <row r="525">
          <cell r="BD525" t="str">
            <v>.</v>
          </cell>
        </row>
        <row r="526">
          <cell r="BD526" t="str">
            <v>.</v>
          </cell>
        </row>
        <row r="527">
          <cell r="BD527" t="str">
            <v>.</v>
          </cell>
        </row>
        <row r="528">
          <cell r="BD528" t="str">
            <v>.</v>
          </cell>
        </row>
        <row r="529">
          <cell r="BD529" t="str">
            <v>.</v>
          </cell>
        </row>
        <row r="530">
          <cell r="BD530" t="str">
            <v>.</v>
          </cell>
        </row>
        <row r="531">
          <cell r="BD531" t="str">
            <v>.</v>
          </cell>
        </row>
        <row r="532">
          <cell r="BD532" t="str">
            <v>.</v>
          </cell>
        </row>
        <row r="533">
          <cell r="BD533" t="str">
            <v>.</v>
          </cell>
        </row>
        <row r="534">
          <cell r="BD534" t="str">
            <v>.</v>
          </cell>
        </row>
        <row r="535">
          <cell r="BD535" t="str">
            <v>.</v>
          </cell>
        </row>
        <row r="536">
          <cell r="BD536" t="str">
            <v>.</v>
          </cell>
        </row>
        <row r="537">
          <cell r="BD537" t="str">
            <v>.</v>
          </cell>
        </row>
        <row r="538">
          <cell r="BD538" t="str">
            <v>.</v>
          </cell>
        </row>
        <row r="539">
          <cell r="BD539" t="str">
            <v>.</v>
          </cell>
        </row>
        <row r="540">
          <cell r="BD540" t="str">
            <v>.</v>
          </cell>
        </row>
        <row r="541">
          <cell r="BD541" t="str">
            <v>.</v>
          </cell>
        </row>
        <row r="542">
          <cell r="BD542" t="str">
            <v>.</v>
          </cell>
        </row>
        <row r="543">
          <cell r="BD543" t="str">
            <v>.</v>
          </cell>
        </row>
        <row r="544">
          <cell r="BD544" t="str">
            <v>.</v>
          </cell>
        </row>
        <row r="545">
          <cell r="BD545" t="str">
            <v>.</v>
          </cell>
        </row>
        <row r="546">
          <cell r="BD546" t="str">
            <v>.</v>
          </cell>
        </row>
        <row r="547">
          <cell r="BD547" t="str">
            <v>.</v>
          </cell>
        </row>
        <row r="548">
          <cell r="BD548" t="str">
            <v>.</v>
          </cell>
        </row>
        <row r="549">
          <cell r="BD549" t="str">
            <v>.</v>
          </cell>
        </row>
        <row r="550">
          <cell r="BD550" t="str">
            <v>.</v>
          </cell>
        </row>
        <row r="551">
          <cell r="BD551" t="str">
            <v>.</v>
          </cell>
        </row>
        <row r="552">
          <cell r="BD552" t="str">
            <v>.</v>
          </cell>
        </row>
        <row r="553">
          <cell r="BD553" t="str">
            <v>.</v>
          </cell>
        </row>
        <row r="554">
          <cell r="BD554" t="str">
            <v>.</v>
          </cell>
        </row>
        <row r="555">
          <cell r="BD555" t="str">
            <v>.</v>
          </cell>
        </row>
        <row r="556">
          <cell r="BD556" t="str">
            <v>.</v>
          </cell>
        </row>
        <row r="557">
          <cell r="BD557" t="str">
            <v>.</v>
          </cell>
        </row>
        <row r="558">
          <cell r="BD558" t="str">
            <v>.</v>
          </cell>
        </row>
        <row r="559">
          <cell r="BD559" t="str">
            <v>.</v>
          </cell>
        </row>
        <row r="560">
          <cell r="BD560" t="str">
            <v>.</v>
          </cell>
        </row>
        <row r="561">
          <cell r="BD561" t="str">
            <v>.</v>
          </cell>
        </row>
        <row r="562">
          <cell r="BD562" t="str">
            <v>.</v>
          </cell>
        </row>
        <row r="563">
          <cell r="BD563" t="str">
            <v>.</v>
          </cell>
        </row>
        <row r="564">
          <cell r="BD564" t="str">
            <v>.</v>
          </cell>
        </row>
        <row r="565">
          <cell r="BD565" t="str">
            <v>.</v>
          </cell>
        </row>
        <row r="566">
          <cell r="BD566" t="str">
            <v>.</v>
          </cell>
        </row>
        <row r="567">
          <cell r="BD567" t="str">
            <v>.</v>
          </cell>
        </row>
        <row r="568">
          <cell r="BD568" t="str">
            <v>.</v>
          </cell>
        </row>
        <row r="569">
          <cell r="BD569" t="str">
            <v>.</v>
          </cell>
        </row>
        <row r="570">
          <cell r="BD570" t="str">
            <v>.</v>
          </cell>
        </row>
        <row r="571">
          <cell r="BD571" t="str">
            <v>.</v>
          </cell>
        </row>
        <row r="572">
          <cell r="BD572" t="str">
            <v>.</v>
          </cell>
        </row>
        <row r="573">
          <cell r="BD573" t="str">
            <v>.</v>
          </cell>
        </row>
        <row r="574">
          <cell r="BD574" t="str">
            <v>.</v>
          </cell>
        </row>
        <row r="575">
          <cell r="BD575" t="str">
            <v>.</v>
          </cell>
        </row>
        <row r="576">
          <cell r="BD576" t="str">
            <v>.</v>
          </cell>
        </row>
        <row r="577">
          <cell r="BD577" t="str">
            <v>.</v>
          </cell>
        </row>
        <row r="578">
          <cell r="BD578" t="str">
            <v>.</v>
          </cell>
        </row>
        <row r="579">
          <cell r="BD579" t="str">
            <v>.</v>
          </cell>
        </row>
        <row r="580">
          <cell r="BD580" t="str">
            <v>.</v>
          </cell>
        </row>
        <row r="581">
          <cell r="BD581" t="str">
            <v>.</v>
          </cell>
        </row>
        <row r="582">
          <cell r="BD582" t="str">
            <v>.</v>
          </cell>
        </row>
        <row r="583">
          <cell r="BD583" t="str">
            <v>.</v>
          </cell>
        </row>
        <row r="584">
          <cell r="BD584" t="str">
            <v>.</v>
          </cell>
        </row>
        <row r="585">
          <cell r="BD585" t="str">
            <v>.</v>
          </cell>
        </row>
        <row r="586">
          <cell r="BD586" t="str">
            <v>.</v>
          </cell>
        </row>
        <row r="587">
          <cell r="BD587" t="str">
            <v>.</v>
          </cell>
        </row>
        <row r="588">
          <cell r="BD588" t="str">
            <v>.</v>
          </cell>
        </row>
        <row r="589">
          <cell r="BD589" t="str">
            <v>.</v>
          </cell>
        </row>
        <row r="590">
          <cell r="BD590" t="str">
            <v>.</v>
          </cell>
        </row>
        <row r="591">
          <cell r="BD591" t="str">
            <v>.</v>
          </cell>
        </row>
        <row r="592">
          <cell r="BD592" t="str">
            <v>.</v>
          </cell>
        </row>
        <row r="593">
          <cell r="BD593" t="str">
            <v>.</v>
          </cell>
        </row>
        <row r="594">
          <cell r="BD594" t="str">
            <v>.</v>
          </cell>
        </row>
        <row r="595">
          <cell r="BD595" t="str">
            <v>.</v>
          </cell>
        </row>
        <row r="596">
          <cell r="BD596" t="str">
            <v>.</v>
          </cell>
        </row>
        <row r="597">
          <cell r="BD597" t="str">
            <v>.</v>
          </cell>
        </row>
        <row r="598">
          <cell r="BD598" t="str">
            <v>.</v>
          </cell>
        </row>
        <row r="599">
          <cell r="BD599" t="str">
            <v>.</v>
          </cell>
        </row>
        <row r="600">
          <cell r="BD600" t="str">
            <v>.</v>
          </cell>
        </row>
        <row r="601">
          <cell r="BD601" t="str">
            <v>.</v>
          </cell>
        </row>
        <row r="602">
          <cell r="BD602" t="str">
            <v>.</v>
          </cell>
        </row>
        <row r="603">
          <cell r="BD603" t="str">
            <v>.</v>
          </cell>
        </row>
        <row r="604">
          <cell r="BD604" t="str">
            <v>.</v>
          </cell>
        </row>
        <row r="605">
          <cell r="BD605" t="str">
            <v>.</v>
          </cell>
        </row>
        <row r="606">
          <cell r="BD606" t="str">
            <v>.</v>
          </cell>
        </row>
        <row r="607">
          <cell r="BD607" t="str">
            <v>.</v>
          </cell>
        </row>
        <row r="608">
          <cell r="BD608" t="str">
            <v>.</v>
          </cell>
        </row>
        <row r="609">
          <cell r="BD609" t="str">
            <v>.</v>
          </cell>
        </row>
        <row r="610">
          <cell r="BD610" t="str">
            <v>.</v>
          </cell>
        </row>
        <row r="611">
          <cell r="BD611" t="str">
            <v>.</v>
          </cell>
        </row>
        <row r="612">
          <cell r="BD612" t="str">
            <v>.</v>
          </cell>
        </row>
        <row r="613">
          <cell r="BD613" t="str">
            <v>.</v>
          </cell>
        </row>
        <row r="614">
          <cell r="BD614" t="str">
            <v>.</v>
          </cell>
        </row>
        <row r="615">
          <cell r="BD615" t="str">
            <v>.</v>
          </cell>
        </row>
        <row r="616">
          <cell r="BD616" t="str">
            <v>.</v>
          </cell>
        </row>
        <row r="617">
          <cell r="BD617" t="str">
            <v>.</v>
          </cell>
        </row>
        <row r="618">
          <cell r="BD618" t="str">
            <v>.</v>
          </cell>
        </row>
        <row r="619">
          <cell r="BD619" t="str">
            <v>.</v>
          </cell>
        </row>
        <row r="620">
          <cell r="BD620" t="str">
            <v>.</v>
          </cell>
        </row>
        <row r="621">
          <cell r="BD621" t="str">
            <v>.</v>
          </cell>
        </row>
        <row r="622">
          <cell r="BD622" t="str">
            <v>.</v>
          </cell>
        </row>
        <row r="623">
          <cell r="BD623" t="str">
            <v>.</v>
          </cell>
        </row>
        <row r="624">
          <cell r="BD624" t="str">
            <v>.</v>
          </cell>
        </row>
        <row r="625">
          <cell r="BD625" t="str">
            <v>.</v>
          </cell>
        </row>
        <row r="626">
          <cell r="BD626" t="str">
            <v>.</v>
          </cell>
        </row>
        <row r="627">
          <cell r="BD627" t="str">
            <v>.</v>
          </cell>
        </row>
        <row r="628">
          <cell r="BD628" t="str">
            <v>.</v>
          </cell>
        </row>
        <row r="629">
          <cell r="BD629" t="str">
            <v>.</v>
          </cell>
        </row>
        <row r="630">
          <cell r="BD630" t="str">
            <v>.</v>
          </cell>
        </row>
        <row r="631">
          <cell r="BD631" t="str">
            <v>.</v>
          </cell>
        </row>
        <row r="632">
          <cell r="BD632" t="str">
            <v>.</v>
          </cell>
        </row>
        <row r="633">
          <cell r="BD633" t="str">
            <v>.</v>
          </cell>
        </row>
        <row r="634">
          <cell r="BD634" t="str">
            <v>.</v>
          </cell>
        </row>
        <row r="635">
          <cell r="BD635" t="str">
            <v>.</v>
          </cell>
        </row>
        <row r="636">
          <cell r="BD636" t="str">
            <v>.</v>
          </cell>
        </row>
        <row r="637">
          <cell r="BD637" t="str">
            <v>.</v>
          </cell>
        </row>
        <row r="638">
          <cell r="BD638" t="str">
            <v>.</v>
          </cell>
        </row>
        <row r="639">
          <cell r="BD639" t="str">
            <v>.</v>
          </cell>
        </row>
        <row r="640">
          <cell r="BD640" t="str">
            <v>.</v>
          </cell>
        </row>
        <row r="641">
          <cell r="BD641" t="str">
            <v>.</v>
          </cell>
        </row>
        <row r="642">
          <cell r="BD642" t="str">
            <v>.</v>
          </cell>
        </row>
        <row r="643">
          <cell r="BD643" t="str">
            <v>.</v>
          </cell>
        </row>
        <row r="644">
          <cell r="BD644" t="str">
            <v>.</v>
          </cell>
        </row>
        <row r="645">
          <cell r="BD645" t="str">
            <v>.</v>
          </cell>
        </row>
        <row r="646">
          <cell r="BD646" t="str">
            <v>.</v>
          </cell>
        </row>
        <row r="647">
          <cell r="BD647" t="str">
            <v>.</v>
          </cell>
        </row>
        <row r="648">
          <cell r="BD648" t="str">
            <v>.</v>
          </cell>
        </row>
        <row r="649">
          <cell r="BD649" t="str">
            <v>.</v>
          </cell>
        </row>
        <row r="650">
          <cell r="BD650" t="str">
            <v>.</v>
          </cell>
        </row>
        <row r="651">
          <cell r="BD651" t="str">
            <v>.</v>
          </cell>
        </row>
        <row r="652">
          <cell r="BD652" t="str">
            <v>.</v>
          </cell>
        </row>
        <row r="653">
          <cell r="BD653" t="str">
            <v>.</v>
          </cell>
        </row>
        <row r="654">
          <cell r="BD654" t="str">
            <v>.</v>
          </cell>
        </row>
        <row r="655">
          <cell r="BD655" t="str">
            <v>.</v>
          </cell>
        </row>
        <row r="656">
          <cell r="BD656" t="str">
            <v>.</v>
          </cell>
        </row>
        <row r="657">
          <cell r="BD657" t="str">
            <v>.</v>
          </cell>
        </row>
        <row r="658">
          <cell r="BD658" t="str">
            <v>.</v>
          </cell>
        </row>
        <row r="659">
          <cell r="BD659" t="str">
            <v>.</v>
          </cell>
        </row>
        <row r="660">
          <cell r="BD660" t="str">
            <v>.</v>
          </cell>
        </row>
        <row r="661">
          <cell r="BD661" t="str">
            <v>.</v>
          </cell>
        </row>
        <row r="662">
          <cell r="BD662" t="str">
            <v>.</v>
          </cell>
        </row>
        <row r="663">
          <cell r="BD663" t="str">
            <v>.</v>
          </cell>
        </row>
        <row r="664">
          <cell r="BD664" t="str">
            <v>.</v>
          </cell>
        </row>
        <row r="665">
          <cell r="BD665" t="str">
            <v>.</v>
          </cell>
        </row>
        <row r="666">
          <cell r="BD666" t="str">
            <v>.</v>
          </cell>
        </row>
        <row r="667">
          <cell r="BD667" t="str">
            <v>.</v>
          </cell>
        </row>
        <row r="668">
          <cell r="BD668" t="str">
            <v>.</v>
          </cell>
        </row>
        <row r="669">
          <cell r="BD669" t="str">
            <v>.</v>
          </cell>
        </row>
        <row r="670">
          <cell r="BD670" t="str">
            <v>.</v>
          </cell>
        </row>
        <row r="671">
          <cell r="BD671" t="str">
            <v>.</v>
          </cell>
        </row>
        <row r="672">
          <cell r="BD672" t="str">
            <v>.</v>
          </cell>
        </row>
        <row r="673">
          <cell r="BD673" t="str">
            <v>.</v>
          </cell>
        </row>
        <row r="674">
          <cell r="BD674" t="str">
            <v>.</v>
          </cell>
        </row>
        <row r="675">
          <cell r="BD675" t="str">
            <v>.</v>
          </cell>
        </row>
        <row r="676">
          <cell r="BD676" t="str">
            <v>.</v>
          </cell>
        </row>
        <row r="677">
          <cell r="BD677" t="str">
            <v>.</v>
          </cell>
        </row>
        <row r="678">
          <cell r="BD678" t="str">
            <v>.</v>
          </cell>
        </row>
        <row r="679">
          <cell r="BD679" t="str">
            <v>.</v>
          </cell>
        </row>
        <row r="680">
          <cell r="BD680" t="str">
            <v>.</v>
          </cell>
        </row>
        <row r="681">
          <cell r="BD681" t="str">
            <v>.</v>
          </cell>
        </row>
        <row r="682">
          <cell r="BD682" t="str">
            <v>.</v>
          </cell>
        </row>
        <row r="683">
          <cell r="BD683" t="str">
            <v>.</v>
          </cell>
        </row>
        <row r="684">
          <cell r="BD684" t="str">
            <v>.</v>
          </cell>
        </row>
        <row r="685">
          <cell r="BD685" t="str">
            <v>.</v>
          </cell>
        </row>
        <row r="686">
          <cell r="BD686" t="str">
            <v>.</v>
          </cell>
        </row>
        <row r="687">
          <cell r="BD687" t="str">
            <v>.</v>
          </cell>
        </row>
        <row r="688">
          <cell r="BD688" t="str">
            <v>.</v>
          </cell>
        </row>
        <row r="689">
          <cell r="BD689" t="str">
            <v>.</v>
          </cell>
        </row>
        <row r="690">
          <cell r="BD690" t="str">
            <v>.</v>
          </cell>
        </row>
        <row r="691">
          <cell r="BD691" t="str">
            <v>.</v>
          </cell>
        </row>
        <row r="692">
          <cell r="BD692" t="str">
            <v>.</v>
          </cell>
        </row>
        <row r="693">
          <cell r="BD693" t="str">
            <v>.</v>
          </cell>
        </row>
        <row r="694">
          <cell r="BD694" t="str">
            <v>.</v>
          </cell>
        </row>
        <row r="695">
          <cell r="BD695" t="str">
            <v>.</v>
          </cell>
        </row>
        <row r="696">
          <cell r="BD696" t="str">
            <v>.</v>
          </cell>
        </row>
        <row r="697">
          <cell r="BD697" t="str">
            <v>.</v>
          </cell>
        </row>
        <row r="698">
          <cell r="BD698" t="str">
            <v>.</v>
          </cell>
        </row>
        <row r="699">
          <cell r="BD699" t="str">
            <v>.</v>
          </cell>
        </row>
        <row r="700">
          <cell r="BD700" t="str">
            <v>.</v>
          </cell>
        </row>
        <row r="701">
          <cell r="BD701" t="str">
            <v>.</v>
          </cell>
        </row>
        <row r="702">
          <cell r="BD702" t="str">
            <v>.</v>
          </cell>
        </row>
        <row r="703">
          <cell r="BD703" t="str">
            <v>.</v>
          </cell>
        </row>
        <row r="704">
          <cell r="BD704" t="str">
            <v>.</v>
          </cell>
        </row>
        <row r="705">
          <cell r="BD705" t="str">
            <v>.</v>
          </cell>
        </row>
        <row r="706">
          <cell r="BD706" t="str">
            <v>.</v>
          </cell>
        </row>
        <row r="707">
          <cell r="BD707" t="str">
            <v>.</v>
          </cell>
        </row>
        <row r="708">
          <cell r="BD708" t="str">
            <v>.</v>
          </cell>
        </row>
        <row r="709">
          <cell r="BD709" t="str">
            <v>.</v>
          </cell>
        </row>
        <row r="710">
          <cell r="BD710" t="str">
            <v>.</v>
          </cell>
        </row>
        <row r="711">
          <cell r="BD711" t="str">
            <v>.</v>
          </cell>
        </row>
        <row r="712">
          <cell r="BD712" t="str">
            <v>.</v>
          </cell>
        </row>
        <row r="713">
          <cell r="BD713" t="str">
            <v>.</v>
          </cell>
        </row>
        <row r="714">
          <cell r="BD714" t="str">
            <v>.</v>
          </cell>
        </row>
        <row r="715">
          <cell r="BD715" t="str">
            <v>.</v>
          </cell>
        </row>
        <row r="716">
          <cell r="BD716" t="str">
            <v>.</v>
          </cell>
        </row>
        <row r="717">
          <cell r="BD717" t="str">
            <v>.</v>
          </cell>
        </row>
        <row r="718">
          <cell r="BD718" t="str">
            <v>.</v>
          </cell>
        </row>
        <row r="719">
          <cell r="BD719" t="str">
            <v>.</v>
          </cell>
        </row>
        <row r="720">
          <cell r="BD720" t="str">
            <v>.</v>
          </cell>
        </row>
        <row r="721">
          <cell r="BD721" t="str">
            <v>.</v>
          </cell>
        </row>
        <row r="722">
          <cell r="BD722" t="str">
            <v>.</v>
          </cell>
        </row>
        <row r="723">
          <cell r="BD723" t="str">
            <v>.</v>
          </cell>
        </row>
        <row r="724">
          <cell r="BD724" t="str">
            <v>.</v>
          </cell>
        </row>
        <row r="725">
          <cell r="BD725" t="str">
            <v>.</v>
          </cell>
        </row>
        <row r="726">
          <cell r="BD726" t="str">
            <v>.</v>
          </cell>
        </row>
        <row r="727">
          <cell r="BD727" t="str">
            <v>.</v>
          </cell>
        </row>
        <row r="728">
          <cell r="BD728" t="str">
            <v>.</v>
          </cell>
        </row>
        <row r="729">
          <cell r="BD729" t="str">
            <v>.</v>
          </cell>
        </row>
        <row r="730">
          <cell r="BD730" t="str">
            <v>.</v>
          </cell>
        </row>
        <row r="731">
          <cell r="BD731" t="str">
            <v>.</v>
          </cell>
        </row>
        <row r="732">
          <cell r="BD732" t="str">
            <v>.</v>
          </cell>
        </row>
        <row r="733">
          <cell r="BD733" t="str">
            <v>.</v>
          </cell>
        </row>
        <row r="734">
          <cell r="BD734" t="str">
            <v>.</v>
          </cell>
        </row>
        <row r="735">
          <cell r="BD735" t="str">
            <v>.</v>
          </cell>
        </row>
        <row r="736">
          <cell r="BD736" t="str">
            <v>.</v>
          </cell>
        </row>
        <row r="737">
          <cell r="BD737" t="str">
            <v>.</v>
          </cell>
        </row>
        <row r="738">
          <cell r="BD738" t="str">
            <v>.</v>
          </cell>
        </row>
        <row r="739">
          <cell r="BD739" t="str">
            <v>.</v>
          </cell>
        </row>
        <row r="740">
          <cell r="BD740" t="str">
            <v>.</v>
          </cell>
        </row>
        <row r="741">
          <cell r="BD741" t="str">
            <v>.</v>
          </cell>
        </row>
        <row r="742">
          <cell r="BD742" t="str">
            <v>.</v>
          </cell>
        </row>
        <row r="743">
          <cell r="BD743" t="str">
            <v>.</v>
          </cell>
        </row>
        <row r="744">
          <cell r="BD744" t="str">
            <v>.</v>
          </cell>
        </row>
        <row r="745">
          <cell r="BD745" t="str">
            <v>.</v>
          </cell>
        </row>
        <row r="746">
          <cell r="BD746" t="str">
            <v>.</v>
          </cell>
        </row>
        <row r="747">
          <cell r="BD747" t="str">
            <v>.</v>
          </cell>
        </row>
        <row r="748">
          <cell r="BD748" t="str">
            <v>.</v>
          </cell>
        </row>
        <row r="749">
          <cell r="BD749" t="str">
            <v>.</v>
          </cell>
        </row>
        <row r="750">
          <cell r="BD750" t="str">
            <v>.</v>
          </cell>
        </row>
        <row r="751">
          <cell r="BD751" t="str">
            <v>.</v>
          </cell>
        </row>
        <row r="752">
          <cell r="BD752" t="str">
            <v>.</v>
          </cell>
        </row>
        <row r="753">
          <cell r="BD753" t="str">
            <v>.</v>
          </cell>
        </row>
        <row r="754">
          <cell r="BD754" t="str">
            <v>.</v>
          </cell>
        </row>
        <row r="755">
          <cell r="BD755" t="str">
            <v>.</v>
          </cell>
        </row>
        <row r="756">
          <cell r="BD756" t="str">
            <v>.</v>
          </cell>
        </row>
        <row r="757">
          <cell r="BD757" t="str">
            <v>.</v>
          </cell>
        </row>
        <row r="758">
          <cell r="BD758" t="str">
            <v>.</v>
          </cell>
        </row>
        <row r="759">
          <cell r="BD759" t="str">
            <v>.</v>
          </cell>
        </row>
        <row r="760">
          <cell r="BD760" t="str">
            <v>.</v>
          </cell>
        </row>
        <row r="761">
          <cell r="BD761" t="str">
            <v>.</v>
          </cell>
        </row>
        <row r="762">
          <cell r="BD762" t="str">
            <v>.</v>
          </cell>
        </row>
        <row r="763">
          <cell r="BD763" t="str">
            <v>.</v>
          </cell>
        </row>
        <row r="764">
          <cell r="BD764" t="str">
            <v>.</v>
          </cell>
        </row>
        <row r="765">
          <cell r="BD765" t="str">
            <v>.</v>
          </cell>
        </row>
        <row r="766">
          <cell r="BD766" t="str">
            <v>.</v>
          </cell>
        </row>
        <row r="767">
          <cell r="BD767" t="str">
            <v>.</v>
          </cell>
        </row>
        <row r="768">
          <cell r="BD768" t="str">
            <v>.</v>
          </cell>
        </row>
        <row r="769">
          <cell r="BD769" t="str">
            <v>.</v>
          </cell>
        </row>
        <row r="770">
          <cell r="BD770" t="str">
            <v>.</v>
          </cell>
        </row>
        <row r="771">
          <cell r="BD771" t="str">
            <v>.</v>
          </cell>
        </row>
        <row r="772">
          <cell r="BD772" t="str">
            <v>.</v>
          </cell>
        </row>
        <row r="773">
          <cell r="BD773" t="str">
            <v>.</v>
          </cell>
        </row>
        <row r="774">
          <cell r="BD774" t="str">
            <v>.</v>
          </cell>
        </row>
        <row r="775">
          <cell r="BD775" t="str">
            <v>.</v>
          </cell>
        </row>
        <row r="776">
          <cell r="BD776" t="str">
            <v>.</v>
          </cell>
        </row>
        <row r="777">
          <cell r="BD777" t="str">
            <v>.</v>
          </cell>
        </row>
        <row r="778">
          <cell r="BD778" t="str">
            <v>.</v>
          </cell>
        </row>
        <row r="779">
          <cell r="BD779" t="str">
            <v>.</v>
          </cell>
        </row>
        <row r="780">
          <cell r="BD780" t="str">
            <v>.</v>
          </cell>
        </row>
        <row r="781">
          <cell r="BD781" t="str">
            <v>.</v>
          </cell>
        </row>
        <row r="782">
          <cell r="BD782" t="str">
            <v>.</v>
          </cell>
        </row>
        <row r="783">
          <cell r="BD783" t="str">
            <v>.</v>
          </cell>
        </row>
        <row r="784">
          <cell r="BD784" t="str">
            <v>.</v>
          </cell>
        </row>
        <row r="785">
          <cell r="BD785" t="str">
            <v>.</v>
          </cell>
        </row>
        <row r="786">
          <cell r="BD786" t="str">
            <v>.</v>
          </cell>
        </row>
        <row r="787">
          <cell r="BD787" t="str">
            <v>.</v>
          </cell>
        </row>
        <row r="788">
          <cell r="BD788" t="str">
            <v>.</v>
          </cell>
        </row>
        <row r="789">
          <cell r="BD789" t="str">
            <v>.</v>
          </cell>
        </row>
        <row r="790">
          <cell r="BD790" t="str">
            <v>.</v>
          </cell>
        </row>
        <row r="791">
          <cell r="BD791" t="str">
            <v>.</v>
          </cell>
        </row>
        <row r="792">
          <cell r="BD792" t="str">
            <v>.</v>
          </cell>
        </row>
        <row r="793">
          <cell r="BD793" t="str">
            <v>.</v>
          </cell>
        </row>
        <row r="794">
          <cell r="BD794" t="str">
            <v>.</v>
          </cell>
        </row>
        <row r="795">
          <cell r="BD795" t="str">
            <v>.</v>
          </cell>
        </row>
        <row r="796">
          <cell r="BD796" t="str">
            <v>.</v>
          </cell>
        </row>
        <row r="797">
          <cell r="BD797" t="str">
            <v>.</v>
          </cell>
        </row>
        <row r="798">
          <cell r="BD798" t="str">
            <v>.</v>
          </cell>
        </row>
        <row r="799">
          <cell r="BD799" t="str">
            <v>.</v>
          </cell>
        </row>
        <row r="800">
          <cell r="BD800" t="str">
            <v>.</v>
          </cell>
        </row>
        <row r="801">
          <cell r="BD801" t="str">
            <v>.</v>
          </cell>
        </row>
        <row r="802">
          <cell r="BD802" t="str">
            <v>.</v>
          </cell>
        </row>
        <row r="803">
          <cell r="BD803" t="str">
            <v>.</v>
          </cell>
        </row>
        <row r="804">
          <cell r="BD804" t="str">
            <v>.</v>
          </cell>
        </row>
        <row r="805">
          <cell r="BD805" t="str">
            <v>.</v>
          </cell>
        </row>
        <row r="806">
          <cell r="BD806" t="str">
            <v>.</v>
          </cell>
        </row>
        <row r="807">
          <cell r="BD807" t="str">
            <v>.</v>
          </cell>
        </row>
        <row r="808">
          <cell r="BD808" t="str">
            <v>.</v>
          </cell>
        </row>
        <row r="809">
          <cell r="BD809" t="str">
            <v>.</v>
          </cell>
        </row>
        <row r="810">
          <cell r="BD810" t="str">
            <v>.</v>
          </cell>
        </row>
        <row r="811">
          <cell r="BD811" t="str">
            <v>.</v>
          </cell>
        </row>
        <row r="812">
          <cell r="BD812" t="str">
            <v>.</v>
          </cell>
        </row>
        <row r="813">
          <cell r="BD813" t="str">
            <v>.</v>
          </cell>
        </row>
        <row r="814">
          <cell r="BD814" t="str">
            <v>.</v>
          </cell>
        </row>
        <row r="815">
          <cell r="BD815" t="str">
            <v>.</v>
          </cell>
        </row>
        <row r="816">
          <cell r="BD816" t="str">
            <v>.</v>
          </cell>
        </row>
        <row r="817">
          <cell r="BD817" t="str">
            <v>.</v>
          </cell>
        </row>
        <row r="818">
          <cell r="BD818" t="str">
            <v>.</v>
          </cell>
        </row>
        <row r="819">
          <cell r="BD819" t="str">
            <v>.</v>
          </cell>
        </row>
        <row r="820">
          <cell r="BD820" t="str">
            <v>.</v>
          </cell>
        </row>
        <row r="821">
          <cell r="BD821" t="str">
            <v>.</v>
          </cell>
        </row>
        <row r="822">
          <cell r="BD822" t="str">
            <v>.</v>
          </cell>
        </row>
        <row r="823">
          <cell r="BD823" t="str">
            <v>.</v>
          </cell>
        </row>
        <row r="824">
          <cell r="BD824" t="str">
            <v>.</v>
          </cell>
        </row>
        <row r="825">
          <cell r="BD825" t="str">
            <v>.</v>
          </cell>
        </row>
        <row r="826">
          <cell r="BD826" t="str">
            <v>.</v>
          </cell>
        </row>
        <row r="827">
          <cell r="BD827" t="str">
            <v>.</v>
          </cell>
        </row>
        <row r="828">
          <cell r="BD828" t="str">
            <v>.</v>
          </cell>
        </row>
        <row r="829">
          <cell r="BD829" t="str">
            <v>.</v>
          </cell>
        </row>
        <row r="830">
          <cell r="BD830" t="str">
            <v>.</v>
          </cell>
        </row>
        <row r="831">
          <cell r="BD831" t="str">
            <v>.</v>
          </cell>
        </row>
        <row r="832">
          <cell r="BD832" t="str">
            <v>.</v>
          </cell>
        </row>
        <row r="833">
          <cell r="BD833" t="str">
            <v>.</v>
          </cell>
        </row>
        <row r="834">
          <cell r="BD834" t="str">
            <v>.</v>
          </cell>
        </row>
        <row r="835">
          <cell r="BD835" t="str">
            <v>.</v>
          </cell>
        </row>
        <row r="836">
          <cell r="BD836" t="str">
            <v>.</v>
          </cell>
        </row>
        <row r="837">
          <cell r="BD837" t="str">
            <v>.</v>
          </cell>
        </row>
        <row r="838">
          <cell r="BD838" t="str">
            <v>.</v>
          </cell>
        </row>
        <row r="839">
          <cell r="BD839" t="str">
            <v>.</v>
          </cell>
        </row>
        <row r="840">
          <cell r="BD840" t="str">
            <v>.</v>
          </cell>
        </row>
        <row r="841">
          <cell r="BD841" t="str">
            <v>.</v>
          </cell>
        </row>
        <row r="842">
          <cell r="BD842" t="str">
            <v>.</v>
          </cell>
        </row>
        <row r="843">
          <cell r="BD843" t="str">
            <v>.</v>
          </cell>
        </row>
        <row r="844">
          <cell r="BD844" t="str">
            <v>.</v>
          </cell>
        </row>
        <row r="845">
          <cell r="BD845" t="str">
            <v>.</v>
          </cell>
        </row>
        <row r="846">
          <cell r="BD846" t="str">
            <v>.</v>
          </cell>
        </row>
        <row r="847">
          <cell r="BD847" t="str">
            <v>.</v>
          </cell>
        </row>
        <row r="848">
          <cell r="BD848" t="str">
            <v>.</v>
          </cell>
        </row>
        <row r="849">
          <cell r="BD849" t="str">
            <v>.</v>
          </cell>
        </row>
        <row r="850">
          <cell r="BD850" t="str">
            <v>.</v>
          </cell>
        </row>
        <row r="851">
          <cell r="BD851" t="str">
            <v>.</v>
          </cell>
        </row>
        <row r="852">
          <cell r="BD852" t="str">
            <v>.</v>
          </cell>
        </row>
        <row r="853">
          <cell r="BD853" t="str">
            <v>.</v>
          </cell>
        </row>
        <row r="854">
          <cell r="BD854" t="str">
            <v>.</v>
          </cell>
        </row>
        <row r="855">
          <cell r="BD855" t="str">
            <v>.</v>
          </cell>
        </row>
        <row r="856">
          <cell r="BD856" t="str">
            <v>.</v>
          </cell>
        </row>
        <row r="857">
          <cell r="BD857" t="str">
            <v>.</v>
          </cell>
        </row>
        <row r="858">
          <cell r="BD858" t="str">
            <v>.</v>
          </cell>
        </row>
        <row r="859">
          <cell r="BD859" t="str">
            <v>.</v>
          </cell>
        </row>
        <row r="860">
          <cell r="BD860" t="str">
            <v>.</v>
          </cell>
        </row>
        <row r="861">
          <cell r="BD861" t="str">
            <v>.</v>
          </cell>
        </row>
        <row r="862">
          <cell r="BD862" t="str">
            <v>.</v>
          </cell>
        </row>
        <row r="863">
          <cell r="BD863" t="str">
            <v>.</v>
          </cell>
        </row>
        <row r="864">
          <cell r="BD864" t="str">
            <v>.</v>
          </cell>
        </row>
        <row r="865">
          <cell r="BD865" t="str">
            <v>.</v>
          </cell>
        </row>
        <row r="866">
          <cell r="BD866" t="str">
            <v>.</v>
          </cell>
        </row>
        <row r="867">
          <cell r="BD867" t="str">
            <v>.</v>
          </cell>
        </row>
        <row r="868">
          <cell r="BD868" t="str">
            <v>.</v>
          </cell>
        </row>
        <row r="869">
          <cell r="BD869" t="str">
            <v>.</v>
          </cell>
        </row>
        <row r="870">
          <cell r="BD870" t="str">
            <v>.</v>
          </cell>
        </row>
        <row r="871">
          <cell r="BD871" t="str">
            <v>.</v>
          </cell>
        </row>
        <row r="872">
          <cell r="BD872" t="str">
            <v>.</v>
          </cell>
        </row>
        <row r="873">
          <cell r="BD873" t="str">
            <v>.</v>
          </cell>
        </row>
        <row r="874">
          <cell r="BD874" t="str">
            <v>.</v>
          </cell>
        </row>
        <row r="875">
          <cell r="BD875" t="str">
            <v>.</v>
          </cell>
        </row>
        <row r="876">
          <cell r="BD876" t="str">
            <v>.</v>
          </cell>
        </row>
        <row r="877">
          <cell r="BD877" t="str">
            <v>.</v>
          </cell>
        </row>
        <row r="878">
          <cell r="BD878" t="str">
            <v>.</v>
          </cell>
        </row>
        <row r="879">
          <cell r="BD879" t="str">
            <v>.</v>
          </cell>
        </row>
        <row r="880">
          <cell r="BD880" t="str">
            <v>.</v>
          </cell>
        </row>
        <row r="881">
          <cell r="BD881" t="str">
            <v>.</v>
          </cell>
        </row>
        <row r="882">
          <cell r="BD882" t="str">
            <v>.</v>
          </cell>
        </row>
        <row r="883">
          <cell r="BD883" t="str">
            <v>.</v>
          </cell>
        </row>
        <row r="884">
          <cell r="BD884" t="str">
            <v>.</v>
          </cell>
        </row>
        <row r="885">
          <cell r="BD885" t="str">
            <v>.</v>
          </cell>
        </row>
        <row r="886">
          <cell r="BD886" t="str">
            <v>.</v>
          </cell>
        </row>
        <row r="887">
          <cell r="BD887" t="str">
            <v>.</v>
          </cell>
        </row>
        <row r="888">
          <cell r="BD888" t="str">
            <v>.</v>
          </cell>
        </row>
        <row r="889">
          <cell r="BD889" t="str">
            <v>.</v>
          </cell>
        </row>
        <row r="890">
          <cell r="BD890" t="str">
            <v>.</v>
          </cell>
        </row>
        <row r="891">
          <cell r="BD891" t="str">
            <v>.</v>
          </cell>
        </row>
        <row r="892">
          <cell r="BD892" t="str">
            <v>.</v>
          </cell>
        </row>
        <row r="893">
          <cell r="BD893" t="str">
            <v>.</v>
          </cell>
        </row>
        <row r="894">
          <cell r="BD894" t="str">
            <v>.</v>
          </cell>
        </row>
        <row r="895">
          <cell r="BD895" t="str">
            <v>.</v>
          </cell>
        </row>
        <row r="896">
          <cell r="BD896" t="str">
            <v>.</v>
          </cell>
        </row>
        <row r="897">
          <cell r="BD897" t="str">
            <v>.</v>
          </cell>
        </row>
        <row r="898">
          <cell r="BD898" t="str">
            <v>.</v>
          </cell>
        </row>
        <row r="899">
          <cell r="BD899" t="str">
            <v>.</v>
          </cell>
        </row>
        <row r="900">
          <cell r="BD900" t="str">
            <v>.</v>
          </cell>
        </row>
        <row r="901">
          <cell r="BD901" t="str">
            <v>.</v>
          </cell>
        </row>
        <row r="902">
          <cell r="BD902" t="str">
            <v>.</v>
          </cell>
        </row>
        <row r="903">
          <cell r="BD903" t="str">
            <v>.</v>
          </cell>
        </row>
        <row r="904">
          <cell r="BD904" t="str">
            <v>.</v>
          </cell>
        </row>
        <row r="905">
          <cell r="BD905" t="str">
            <v>.</v>
          </cell>
        </row>
        <row r="906">
          <cell r="BD906" t="str">
            <v>.</v>
          </cell>
        </row>
        <row r="907">
          <cell r="BD907" t="str">
            <v>.</v>
          </cell>
        </row>
        <row r="908">
          <cell r="BD908" t="str">
            <v>.</v>
          </cell>
        </row>
        <row r="909">
          <cell r="BD909" t="str">
            <v>.</v>
          </cell>
        </row>
        <row r="910">
          <cell r="BD910" t="str">
            <v>.</v>
          </cell>
        </row>
        <row r="911">
          <cell r="BD911" t="str">
            <v>.</v>
          </cell>
        </row>
        <row r="912">
          <cell r="BD912" t="str">
            <v>.</v>
          </cell>
        </row>
        <row r="913">
          <cell r="BD913" t="str">
            <v>.</v>
          </cell>
        </row>
        <row r="914">
          <cell r="BD914" t="str">
            <v>.</v>
          </cell>
        </row>
        <row r="915">
          <cell r="BD915" t="str">
            <v>.</v>
          </cell>
        </row>
        <row r="916">
          <cell r="BD916" t="str">
            <v>.</v>
          </cell>
        </row>
        <row r="917">
          <cell r="BD917" t="str">
            <v>.</v>
          </cell>
        </row>
        <row r="918">
          <cell r="BD918" t="str">
            <v>.</v>
          </cell>
        </row>
        <row r="919">
          <cell r="BD919" t="str">
            <v>.</v>
          </cell>
        </row>
        <row r="920">
          <cell r="BD920" t="str">
            <v>.</v>
          </cell>
        </row>
        <row r="921">
          <cell r="BD921" t="str">
            <v>.</v>
          </cell>
        </row>
        <row r="922">
          <cell r="BD922" t="str">
            <v>.</v>
          </cell>
        </row>
        <row r="923">
          <cell r="BD923" t="str">
            <v>.</v>
          </cell>
        </row>
        <row r="924">
          <cell r="BD924" t="str">
            <v>.</v>
          </cell>
        </row>
        <row r="925">
          <cell r="BD925" t="str">
            <v>.</v>
          </cell>
        </row>
        <row r="926">
          <cell r="BD926" t="str">
            <v>.</v>
          </cell>
        </row>
        <row r="927">
          <cell r="BD927" t="str">
            <v>.</v>
          </cell>
        </row>
        <row r="928">
          <cell r="BD928" t="str">
            <v>.</v>
          </cell>
        </row>
        <row r="929">
          <cell r="BD929" t="str">
            <v>.</v>
          </cell>
        </row>
        <row r="930">
          <cell r="BD930" t="str">
            <v>.</v>
          </cell>
        </row>
        <row r="931">
          <cell r="BD931" t="str">
            <v>.</v>
          </cell>
        </row>
        <row r="932">
          <cell r="BD932" t="str">
            <v>.</v>
          </cell>
        </row>
        <row r="933">
          <cell r="BD933" t="str">
            <v>.</v>
          </cell>
        </row>
        <row r="934">
          <cell r="BD934" t="str">
            <v>.</v>
          </cell>
        </row>
        <row r="935">
          <cell r="BD935" t="str">
            <v>.</v>
          </cell>
        </row>
        <row r="936">
          <cell r="BD936" t="str">
            <v>.</v>
          </cell>
        </row>
        <row r="937">
          <cell r="BD937" t="str">
            <v>.</v>
          </cell>
        </row>
        <row r="938">
          <cell r="BD938" t="str">
            <v>.</v>
          </cell>
        </row>
        <row r="939">
          <cell r="BD939" t="str">
            <v>.</v>
          </cell>
        </row>
        <row r="940">
          <cell r="BD940" t="str">
            <v>.</v>
          </cell>
        </row>
        <row r="941">
          <cell r="BD941" t="str">
            <v>.</v>
          </cell>
        </row>
        <row r="942">
          <cell r="BD942" t="str">
            <v>.</v>
          </cell>
        </row>
        <row r="943">
          <cell r="BD943" t="str">
            <v>.</v>
          </cell>
        </row>
        <row r="944">
          <cell r="BD944" t="str">
            <v>.</v>
          </cell>
        </row>
        <row r="945">
          <cell r="BD945" t="str">
            <v>.</v>
          </cell>
        </row>
        <row r="946">
          <cell r="BD946" t="str">
            <v>.</v>
          </cell>
        </row>
        <row r="947">
          <cell r="BD947" t="str">
            <v>.</v>
          </cell>
        </row>
        <row r="948">
          <cell r="BD948" t="str">
            <v>.</v>
          </cell>
        </row>
        <row r="949">
          <cell r="BD949" t="str">
            <v>.</v>
          </cell>
        </row>
        <row r="950">
          <cell r="BD950" t="str">
            <v>.</v>
          </cell>
        </row>
        <row r="951">
          <cell r="BD951" t="str">
            <v>.</v>
          </cell>
        </row>
        <row r="952">
          <cell r="BD952" t="str">
            <v>.</v>
          </cell>
        </row>
        <row r="953">
          <cell r="BD953" t="str">
            <v>.</v>
          </cell>
        </row>
        <row r="954">
          <cell r="BD954" t="str">
            <v>.</v>
          </cell>
        </row>
        <row r="955">
          <cell r="BD955" t="str">
            <v>.</v>
          </cell>
        </row>
        <row r="956">
          <cell r="BD956" t="str">
            <v>.</v>
          </cell>
        </row>
        <row r="957">
          <cell r="BD957" t="str">
            <v>.</v>
          </cell>
        </row>
        <row r="958">
          <cell r="BD958" t="str">
            <v>.</v>
          </cell>
        </row>
        <row r="959">
          <cell r="BD959" t="str">
            <v>.</v>
          </cell>
        </row>
        <row r="960">
          <cell r="BD960" t="str">
            <v>.</v>
          </cell>
        </row>
        <row r="961">
          <cell r="BD961" t="str">
            <v>.</v>
          </cell>
        </row>
        <row r="962">
          <cell r="BD962" t="str">
            <v>.</v>
          </cell>
        </row>
        <row r="963">
          <cell r="BD963" t="str">
            <v>.</v>
          </cell>
        </row>
        <row r="964">
          <cell r="BD964" t="str">
            <v>.</v>
          </cell>
        </row>
        <row r="965">
          <cell r="BD965" t="str">
            <v>.</v>
          </cell>
        </row>
        <row r="966">
          <cell r="BD966" t="str">
            <v>.</v>
          </cell>
        </row>
        <row r="967">
          <cell r="BD967" t="str">
            <v>.</v>
          </cell>
        </row>
        <row r="968">
          <cell r="BD968" t="str">
            <v>.</v>
          </cell>
        </row>
        <row r="969">
          <cell r="BD969" t="str">
            <v>.</v>
          </cell>
        </row>
        <row r="970">
          <cell r="BD970" t="str">
            <v>.</v>
          </cell>
        </row>
        <row r="971">
          <cell r="BD971" t="str">
            <v>.</v>
          </cell>
        </row>
        <row r="972">
          <cell r="BD972" t="str">
            <v>.</v>
          </cell>
        </row>
        <row r="973">
          <cell r="BD973" t="str">
            <v>.</v>
          </cell>
        </row>
        <row r="974">
          <cell r="BD974" t="str">
            <v>.</v>
          </cell>
        </row>
        <row r="975">
          <cell r="BD975" t="str">
            <v>.</v>
          </cell>
        </row>
        <row r="976">
          <cell r="BD976" t="str">
            <v>.</v>
          </cell>
        </row>
        <row r="977">
          <cell r="BD977" t="str">
            <v>.</v>
          </cell>
        </row>
        <row r="978">
          <cell r="BD978" t="str">
            <v>.</v>
          </cell>
        </row>
        <row r="979">
          <cell r="BD979" t="str">
            <v>.</v>
          </cell>
        </row>
        <row r="980">
          <cell r="BD980" t="str">
            <v>.</v>
          </cell>
        </row>
        <row r="981">
          <cell r="BD981" t="str">
            <v>.</v>
          </cell>
        </row>
        <row r="982">
          <cell r="BD982" t="str">
            <v>.</v>
          </cell>
        </row>
        <row r="983">
          <cell r="BD983" t="str">
            <v>.</v>
          </cell>
        </row>
        <row r="984">
          <cell r="BD984" t="str">
            <v>.</v>
          </cell>
        </row>
        <row r="985">
          <cell r="BD985" t="str">
            <v>.</v>
          </cell>
        </row>
        <row r="986">
          <cell r="BD986" t="str">
            <v>.</v>
          </cell>
        </row>
        <row r="987">
          <cell r="BD987" t="str">
            <v>.</v>
          </cell>
        </row>
        <row r="988">
          <cell r="BD988" t="str">
            <v>.</v>
          </cell>
        </row>
        <row r="989">
          <cell r="BD989" t="str">
            <v>.</v>
          </cell>
        </row>
        <row r="990">
          <cell r="BD990" t="str">
            <v>.</v>
          </cell>
        </row>
        <row r="991">
          <cell r="BD991" t="str">
            <v>.</v>
          </cell>
        </row>
        <row r="992">
          <cell r="BD992" t="str">
            <v>.</v>
          </cell>
        </row>
        <row r="993">
          <cell r="BD993" t="str">
            <v>.</v>
          </cell>
        </row>
        <row r="994">
          <cell r="BD994" t="str">
            <v>.</v>
          </cell>
        </row>
        <row r="995">
          <cell r="BD995" t="str">
            <v>.</v>
          </cell>
        </row>
        <row r="996">
          <cell r="BD996" t="str">
            <v>.</v>
          </cell>
        </row>
        <row r="997">
          <cell r="A997" t="str">
            <v>.</v>
          </cell>
          <cell r="B997" t="str">
            <v>.</v>
          </cell>
          <cell r="C997" t="str">
            <v>.</v>
          </cell>
          <cell r="D997" t="str">
            <v>.</v>
          </cell>
          <cell r="E997" t="str">
            <v>.</v>
          </cell>
          <cell r="F997" t="str">
            <v>.</v>
          </cell>
          <cell r="G997" t="str">
            <v>.</v>
          </cell>
          <cell r="H997" t="str">
            <v>.</v>
          </cell>
          <cell r="V997" t="str">
            <v>.</v>
          </cell>
          <cell r="W997" t="str">
            <v>.</v>
          </cell>
          <cell r="X997" t="str">
            <v>.</v>
          </cell>
          <cell r="Y997" t="str">
            <v>.</v>
          </cell>
          <cell r="Z997" t="str">
            <v>.</v>
          </cell>
          <cell r="AA997" t="str">
            <v>.</v>
          </cell>
          <cell r="AB997" t="str">
            <v>.</v>
          </cell>
          <cell r="AC997" t="str">
            <v>.</v>
          </cell>
          <cell r="AD997" t="str">
            <v>.</v>
          </cell>
          <cell r="AE997" t="str">
            <v>.</v>
          </cell>
          <cell r="AF997" t="str">
            <v>.</v>
          </cell>
          <cell r="AG997" t="str">
            <v>.</v>
          </cell>
          <cell r="AH997" t="str">
            <v>.</v>
          </cell>
          <cell r="AI997" t="str">
            <v>.</v>
          </cell>
          <cell r="AJ997" t="str">
            <v>.</v>
          </cell>
          <cell r="AK997" t="str">
            <v>.</v>
          </cell>
          <cell r="AL997" t="str">
            <v>.</v>
          </cell>
          <cell r="AM997" t="str">
            <v>.</v>
          </cell>
          <cell r="AN997" t="str">
            <v>.</v>
          </cell>
          <cell r="AO997" t="str">
            <v>.</v>
          </cell>
          <cell r="AP997" t="str">
            <v>.</v>
          </cell>
          <cell r="AQ997" t="str">
            <v>.</v>
          </cell>
          <cell r="AR997" t="str">
            <v>.</v>
          </cell>
          <cell r="AS997" t="str">
            <v>.</v>
          </cell>
          <cell r="AT997" t="str">
            <v>.</v>
          </cell>
          <cell r="AU997" t="str">
            <v>.</v>
          </cell>
          <cell r="AV997" t="str">
            <v>.</v>
          </cell>
          <cell r="AW997" t="str">
            <v>.</v>
          </cell>
          <cell r="AX997" t="str">
            <v>.</v>
          </cell>
          <cell r="AY997" t="str">
            <v>.</v>
          </cell>
          <cell r="AZ997" t="str">
            <v>.</v>
          </cell>
          <cell r="BA997" t="str">
            <v>.</v>
          </cell>
          <cell r="BB997" t="str">
            <v>.</v>
          </cell>
          <cell r="BC997" t="str">
            <v>.</v>
          </cell>
          <cell r="BD997" t="str">
            <v>.</v>
          </cell>
        </row>
      </sheetData>
      <sheetData sheetId="25" refreshError="1">
        <row r="1">
          <cell r="U1" t="str">
            <v>SmartCharts</v>
          </cell>
          <cell r="BD1" t="str">
            <v>.</v>
          </cell>
        </row>
        <row r="2">
          <cell r="BD2" t="str">
            <v>.</v>
          </cell>
        </row>
        <row r="3">
          <cell r="BD3" t="str">
            <v>.</v>
          </cell>
        </row>
        <row r="4">
          <cell r="BD4" t="str">
            <v>.</v>
          </cell>
        </row>
        <row r="5">
          <cell r="C5" t="str">
            <v>Define value axis here:</v>
          </cell>
        </row>
        <row r="6">
          <cell r="C6" t="str">
            <v>Eli Lilly YOY revenue change 2010E-2015E</v>
          </cell>
        </row>
        <row r="10">
          <cell r="C10" t="str">
            <v>Input your data here:</v>
          </cell>
          <cell r="BD10" t="str">
            <v>.</v>
          </cell>
        </row>
        <row r="11">
          <cell r="C11" t="str">
            <v>Sales ($M)</v>
          </cell>
          <cell r="D11" t="str">
            <v>2011E</v>
          </cell>
          <cell r="E11" t="str">
            <v>2012E</v>
          </cell>
          <cell r="F11" t="str">
            <v>2013E</v>
          </cell>
          <cell r="G11" t="str">
            <v>2014E</v>
          </cell>
          <cell r="H11" t="str">
            <v>2015E</v>
          </cell>
          <cell r="BC11" t="str">
            <v>.</v>
          </cell>
        </row>
        <row r="12">
          <cell r="C12" t="str">
            <v>In-line products</v>
          </cell>
          <cell r="D12">
            <v>680.47624304999954</v>
          </cell>
          <cell r="E12">
            <v>486.26563373899808</v>
          </cell>
          <cell r="F12">
            <v>392.20336252127527</v>
          </cell>
          <cell r="G12">
            <v>408.45276247114634</v>
          </cell>
          <cell r="H12">
            <v>281.70162648130463</v>
          </cell>
          <cell r="BC12" t="str">
            <v>.</v>
          </cell>
        </row>
        <row r="13">
          <cell r="A13" t="str">
            <v>.</v>
          </cell>
          <cell r="C13" t="str">
            <v>Pipeline products launching 2010–2015</v>
          </cell>
          <cell r="D13">
            <v>190.9375</v>
          </cell>
          <cell r="E13">
            <v>310.83749999999986</v>
          </cell>
          <cell r="F13">
            <v>545.88500000000022</v>
          </cell>
          <cell r="G13">
            <v>871.89729999999986</v>
          </cell>
          <cell r="H13">
            <v>1191.6988575</v>
          </cell>
          <cell r="BC13" t="str">
            <v>.</v>
          </cell>
        </row>
        <row r="14">
          <cell r="C14" t="str">
            <v>Products expiring 2010–2015</v>
          </cell>
          <cell r="D14">
            <v>-371.49615019999874</v>
          </cell>
          <cell r="E14">
            <v>-2226.0126789459991</v>
          </cell>
          <cell r="F14">
            <v>-713.0858879557818</v>
          </cell>
          <cell r="G14">
            <v>-2566.7028729389294</v>
          </cell>
          <cell r="H14">
            <v>-2382.3369144914741</v>
          </cell>
          <cell r="BC14" t="str">
            <v>.</v>
          </cell>
        </row>
        <row r="15">
          <cell r="C15" t="str">
            <v>Net YOY change</v>
          </cell>
          <cell r="D15">
            <v>499.9175928500008</v>
          </cell>
          <cell r="E15">
            <v>-1428.9095452069996</v>
          </cell>
          <cell r="F15">
            <v>225.00247456549187</v>
          </cell>
          <cell r="G15">
            <v>-1286.3528104677825</v>
          </cell>
          <cell r="H15">
            <v>-908.93643051016988</v>
          </cell>
          <cell r="BC15" t="str">
            <v>.</v>
          </cell>
        </row>
        <row r="16">
          <cell r="BC16" t="str">
            <v>.</v>
          </cell>
        </row>
        <row r="17">
          <cell r="BD17" t="str">
            <v>.</v>
          </cell>
        </row>
        <row r="18">
          <cell r="BD18" t="str">
            <v>.</v>
          </cell>
        </row>
        <row r="20">
          <cell r="BD20" t="str">
            <v>.</v>
          </cell>
        </row>
        <row r="21">
          <cell r="BD21" t="str">
            <v>.</v>
          </cell>
        </row>
        <row r="22">
          <cell r="BD22" t="str">
            <v>.</v>
          </cell>
        </row>
        <row r="23">
          <cell r="BD23" t="str">
            <v>.</v>
          </cell>
        </row>
        <row r="24">
          <cell r="BD24" t="str">
            <v>.</v>
          </cell>
        </row>
        <row r="25">
          <cell r="BD25" t="str">
            <v>.</v>
          </cell>
        </row>
        <row r="26">
          <cell r="BD26" t="str">
            <v>.</v>
          </cell>
        </row>
        <row r="27">
          <cell r="BD27" t="str">
            <v>.</v>
          </cell>
        </row>
        <row r="28">
          <cell r="BD28" t="str">
            <v>.</v>
          </cell>
        </row>
        <row r="29">
          <cell r="BD29" t="str">
            <v>.</v>
          </cell>
        </row>
        <row r="30">
          <cell r="BD30" t="str">
            <v>.</v>
          </cell>
        </row>
        <row r="31">
          <cell r="BD31" t="str">
            <v>.</v>
          </cell>
        </row>
        <row r="32">
          <cell r="BD32" t="str">
            <v>.</v>
          </cell>
        </row>
        <row r="33">
          <cell r="BD33" t="str">
            <v>.</v>
          </cell>
        </row>
        <row r="34">
          <cell r="BD34" t="str">
            <v>.</v>
          </cell>
        </row>
        <row r="35">
          <cell r="BD35" t="str">
            <v>.</v>
          </cell>
        </row>
        <row r="36">
          <cell r="BD36" t="str">
            <v>.</v>
          </cell>
        </row>
        <row r="37">
          <cell r="M37" t="str">
            <v>Do not change the width of the exhibit or font sizes (they are optimized for export to Word).</v>
          </cell>
          <cell r="BD37" t="str">
            <v>.</v>
          </cell>
        </row>
        <row r="38">
          <cell r="BD38" t="str">
            <v>.</v>
          </cell>
        </row>
        <row r="39">
          <cell r="M39" t="str">
            <v>Do not delete any rows or columns (some gray cells are used for calculations).</v>
          </cell>
          <cell r="BD39" t="str">
            <v>.</v>
          </cell>
        </row>
        <row r="40">
          <cell r="BD40" t="str">
            <v>.</v>
          </cell>
        </row>
        <row r="41">
          <cell r="BD41" t="str">
            <v>.</v>
          </cell>
        </row>
        <row r="42">
          <cell r="BD42" t="str">
            <v>.</v>
          </cell>
        </row>
        <row r="43">
          <cell r="BD43" t="str">
            <v>.</v>
          </cell>
        </row>
        <row r="44">
          <cell r="BD44" t="str">
            <v>.</v>
          </cell>
        </row>
        <row r="45">
          <cell r="BD45" t="str">
            <v>.</v>
          </cell>
        </row>
        <row r="46">
          <cell r="BD46" t="str">
            <v>.</v>
          </cell>
        </row>
        <row r="47">
          <cell r="BD47" t="str">
            <v>.</v>
          </cell>
        </row>
        <row r="48">
          <cell r="BD48" t="str">
            <v>.</v>
          </cell>
        </row>
        <row r="49">
          <cell r="BD49" t="str">
            <v>.</v>
          </cell>
        </row>
        <row r="50">
          <cell r="BD50" t="str">
            <v>.</v>
          </cell>
        </row>
        <row r="51">
          <cell r="BD51" t="str">
            <v>.</v>
          </cell>
        </row>
        <row r="52">
          <cell r="BD52" t="str">
            <v>.</v>
          </cell>
        </row>
        <row r="53">
          <cell r="BD53" t="str">
            <v>.</v>
          </cell>
        </row>
        <row r="54">
          <cell r="BD54" t="str">
            <v>.</v>
          </cell>
        </row>
        <row r="55">
          <cell r="BD55" t="str">
            <v>.</v>
          </cell>
        </row>
        <row r="56">
          <cell r="BD56" t="str">
            <v>.</v>
          </cell>
        </row>
        <row r="57">
          <cell r="BD57" t="str">
            <v>.</v>
          </cell>
        </row>
        <row r="58">
          <cell r="BD58" t="str">
            <v>.</v>
          </cell>
        </row>
        <row r="59">
          <cell r="BD59" t="str">
            <v>.</v>
          </cell>
        </row>
        <row r="60">
          <cell r="BD60" t="str">
            <v>.</v>
          </cell>
        </row>
        <row r="61">
          <cell r="BD61" t="str">
            <v>.</v>
          </cell>
        </row>
        <row r="62">
          <cell r="BD62" t="str">
            <v>.</v>
          </cell>
        </row>
        <row r="63">
          <cell r="BD63" t="str">
            <v>.</v>
          </cell>
        </row>
        <row r="64">
          <cell r="BD64" t="str">
            <v>.</v>
          </cell>
        </row>
        <row r="65">
          <cell r="BD65" t="str">
            <v>.</v>
          </cell>
        </row>
        <row r="66">
          <cell r="BD66" t="str">
            <v>.</v>
          </cell>
        </row>
        <row r="67">
          <cell r="BD67" t="str">
            <v>.</v>
          </cell>
        </row>
        <row r="68">
          <cell r="BD68" t="str">
            <v>.</v>
          </cell>
        </row>
        <row r="69">
          <cell r="BD69" t="str">
            <v>.</v>
          </cell>
        </row>
        <row r="70">
          <cell r="BD70" t="str">
            <v>.</v>
          </cell>
        </row>
        <row r="71">
          <cell r="BD71" t="str">
            <v>.</v>
          </cell>
        </row>
        <row r="72">
          <cell r="BD72" t="str">
            <v>.</v>
          </cell>
        </row>
        <row r="73">
          <cell r="BD73" t="str">
            <v>.</v>
          </cell>
        </row>
        <row r="74">
          <cell r="BD74" t="str">
            <v>.</v>
          </cell>
        </row>
        <row r="75">
          <cell r="BD75" t="str">
            <v>.</v>
          </cell>
        </row>
        <row r="76">
          <cell r="BD76" t="str">
            <v>.</v>
          </cell>
        </row>
        <row r="77">
          <cell r="BD77" t="str">
            <v>.</v>
          </cell>
        </row>
        <row r="78">
          <cell r="BD78" t="str">
            <v>.</v>
          </cell>
        </row>
        <row r="79">
          <cell r="BD79" t="str">
            <v>.</v>
          </cell>
        </row>
        <row r="80">
          <cell r="BD80" t="str">
            <v>.</v>
          </cell>
        </row>
        <row r="81">
          <cell r="BD81" t="str">
            <v>.</v>
          </cell>
        </row>
        <row r="82">
          <cell r="BD82" t="str">
            <v>.</v>
          </cell>
        </row>
        <row r="83">
          <cell r="BD83" t="str">
            <v>.</v>
          </cell>
        </row>
        <row r="84">
          <cell r="BD84" t="str">
            <v>.</v>
          </cell>
        </row>
        <row r="85">
          <cell r="BD85" t="str">
            <v>.</v>
          </cell>
        </row>
        <row r="86">
          <cell r="BD86" t="str">
            <v>.</v>
          </cell>
        </row>
        <row r="87">
          <cell r="BD87" t="str">
            <v>.</v>
          </cell>
        </row>
        <row r="88">
          <cell r="BD88" t="str">
            <v>.</v>
          </cell>
        </row>
        <row r="89">
          <cell r="BD89" t="str">
            <v>.</v>
          </cell>
        </row>
        <row r="90">
          <cell r="BD90" t="str">
            <v>.</v>
          </cell>
        </row>
        <row r="91">
          <cell r="BD91" t="str">
            <v>.</v>
          </cell>
        </row>
        <row r="92">
          <cell r="BD92" t="str">
            <v>.</v>
          </cell>
        </row>
        <row r="93">
          <cell r="BD93" t="str">
            <v>.</v>
          </cell>
        </row>
        <row r="94">
          <cell r="BD94" t="str">
            <v>.</v>
          </cell>
        </row>
        <row r="95">
          <cell r="BD95" t="str">
            <v>.</v>
          </cell>
        </row>
        <row r="96">
          <cell r="BD96" t="str">
            <v>.</v>
          </cell>
        </row>
        <row r="97">
          <cell r="BD97" t="str">
            <v>.</v>
          </cell>
        </row>
        <row r="98">
          <cell r="BD98" t="str">
            <v>.</v>
          </cell>
        </row>
        <row r="99">
          <cell r="BD99" t="str">
            <v>.</v>
          </cell>
        </row>
        <row r="100">
          <cell r="BD100" t="str">
            <v>.</v>
          </cell>
        </row>
        <row r="101">
          <cell r="BD101" t="str">
            <v>.</v>
          </cell>
        </row>
        <row r="102">
          <cell r="BD102" t="str">
            <v>.</v>
          </cell>
        </row>
        <row r="103">
          <cell r="BD103" t="str">
            <v>.</v>
          </cell>
        </row>
        <row r="104">
          <cell r="BD104" t="str">
            <v>.</v>
          </cell>
        </row>
        <row r="105">
          <cell r="BD105" t="str">
            <v>.</v>
          </cell>
        </row>
        <row r="106">
          <cell r="BD106" t="str">
            <v>.</v>
          </cell>
        </row>
        <row r="107">
          <cell r="BD107" t="str">
            <v>.</v>
          </cell>
        </row>
        <row r="108">
          <cell r="BD108" t="str">
            <v>.</v>
          </cell>
        </row>
        <row r="109">
          <cell r="BD109" t="str">
            <v>.</v>
          </cell>
        </row>
        <row r="110">
          <cell r="BD110" t="str">
            <v>.</v>
          </cell>
        </row>
        <row r="111">
          <cell r="BD111" t="str">
            <v>.</v>
          </cell>
        </row>
        <row r="112">
          <cell r="BD112" t="str">
            <v>.</v>
          </cell>
        </row>
        <row r="113">
          <cell r="BD113" t="str">
            <v>.</v>
          </cell>
        </row>
        <row r="114">
          <cell r="BD114" t="str">
            <v>.</v>
          </cell>
        </row>
        <row r="115">
          <cell r="BD115" t="str">
            <v>.</v>
          </cell>
        </row>
        <row r="116">
          <cell r="BD116" t="str">
            <v>.</v>
          </cell>
        </row>
        <row r="117">
          <cell r="BD117" t="str">
            <v>.</v>
          </cell>
        </row>
        <row r="118">
          <cell r="BD118" t="str">
            <v>.</v>
          </cell>
        </row>
        <row r="119">
          <cell r="BD119" t="str">
            <v>.</v>
          </cell>
        </row>
        <row r="120">
          <cell r="BD120" t="str">
            <v>.</v>
          </cell>
        </row>
        <row r="121">
          <cell r="BD121" t="str">
            <v>.</v>
          </cell>
        </row>
        <row r="122">
          <cell r="BD122" t="str">
            <v>.</v>
          </cell>
        </row>
        <row r="123">
          <cell r="BD123" t="str">
            <v>.</v>
          </cell>
        </row>
        <row r="124">
          <cell r="BD124" t="str">
            <v>.</v>
          </cell>
        </row>
        <row r="125">
          <cell r="BD125" t="str">
            <v>.</v>
          </cell>
        </row>
        <row r="126">
          <cell r="BD126" t="str">
            <v>.</v>
          </cell>
        </row>
        <row r="127">
          <cell r="BD127" t="str">
            <v>.</v>
          </cell>
        </row>
        <row r="128">
          <cell r="BD128" t="str">
            <v>.</v>
          </cell>
        </row>
        <row r="129">
          <cell r="BD129" t="str">
            <v>.</v>
          </cell>
        </row>
        <row r="130">
          <cell r="BD130" t="str">
            <v>.</v>
          </cell>
        </row>
        <row r="131">
          <cell r="BD131" t="str">
            <v>.</v>
          </cell>
        </row>
        <row r="132">
          <cell r="BD132" t="str">
            <v>.</v>
          </cell>
        </row>
        <row r="133">
          <cell r="BD133" t="str">
            <v>.</v>
          </cell>
        </row>
        <row r="134">
          <cell r="BD134" t="str">
            <v>.</v>
          </cell>
        </row>
        <row r="135">
          <cell r="BD135" t="str">
            <v>.</v>
          </cell>
        </row>
        <row r="136">
          <cell r="BD136" t="str">
            <v>.</v>
          </cell>
        </row>
        <row r="137">
          <cell r="BD137" t="str">
            <v>.</v>
          </cell>
        </row>
        <row r="138">
          <cell r="BD138" t="str">
            <v>.</v>
          </cell>
        </row>
        <row r="139">
          <cell r="BD139" t="str">
            <v>.</v>
          </cell>
        </row>
        <row r="140">
          <cell r="BD140" t="str">
            <v>.</v>
          </cell>
        </row>
        <row r="141">
          <cell r="BD141" t="str">
            <v>.</v>
          </cell>
        </row>
        <row r="142">
          <cell r="BD142" t="str">
            <v>.</v>
          </cell>
        </row>
        <row r="143">
          <cell r="BD143" t="str">
            <v>.</v>
          </cell>
        </row>
        <row r="144">
          <cell r="BD144" t="str">
            <v>.</v>
          </cell>
        </row>
        <row r="145">
          <cell r="BD145" t="str">
            <v>.</v>
          </cell>
        </row>
        <row r="146">
          <cell r="BD146" t="str">
            <v>.</v>
          </cell>
        </row>
        <row r="147">
          <cell r="BD147" t="str">
            <v>.</v>
          </cell>
        </row>
        <row r="148">
          <cell r="BD148" t="str">
            <v>.</v>
          </cell>
        </row>
        <row r="149">
          <cell r="BD149" t="str">
            <v>.</v>
          </cell>
        </row>
        <row r="150">
          <cell r="BD150" t="str">
            <v>.</v>
          </cell>
        </row>
        <row r="151">
          <cell r="BD151" t="str">
            <v>.</v>
          </cell>
        </row>
        <row r="152">
          <cell r="BD152" t="str">
            <v>.</v>
          </cell>
        </row>
        <row r="153">
          <cell r="BD153" t="str">
            <v>.</v>
          </cell>
        </row>
        <row r="154">
          <cell r="BD154" t="str">
            <v>.</v>
          </cell>
        </row>
        <row r="155">
          <cell r="BD155" t="str">
            <v>.</v>
          </cell>
        </row>
        <row r="156">
          <cell r="BD156" t="str">
            <v>.</v>
          </cell>
        </row>
        <row r="157">
          <cell r="BD157" t="str">
            <v>.</v>
          </cell>
        </row>
        <row r="158">
          <cell r="BD158" t="str">
            <v>.</v>
          </cell>
        </row>
        <row r="159">
          <cell r="BD159" t="str">
            <v>.</v>
          </cell>
        </row>
        <row r="160">
          <cell r="BD160" t="str">
            <v>.</v>
          </cell>
        </row>
        <row r="161">
          <cell r="BD161" t="str">
            <v>.</v>
          </cell>
        </row>
        <row r="162">
          <cell r="BD162" t="str">
            <v>.</v>
          </cell>
        </row>
        <row r="163">
          <cell r="BD163" t="str">
            <v>.</v>
          </cell>
        </row>
        <row r="164">
          <cell r="BD164" t="str">
            <v>.</v>
          </cell>
        </row>
        <row r="165">
          <cell r="BD165" t="str">
            <v>.</v>
          </cell>
        </row>
        <row r="166">
          <cell r="BD166" t="str">
            <v>.</v>
          </cell>
        </row>
        <row r="167">
          <cell r="BD167" t="str">
            <v>.</v>
          </cell>
        </row>
        <row r="168">
          <cell r="BD168" t="str">
            <v>.</v>
          </cell>
        </row>
        <row r="169">
          <cell r="BD169" t="str">
            <v>.</v>
          </cell>
        </row>
        <row r="170">
          <cell r="BD170" t="str">
            <v>.</v>
          </cell>
        </row>
        <row r="171">
          <cell r="BD171" t="str">
            <v>.</v>
          </cell>
        </row>
        <row r="172">
          <cell r="BD172" t="str">
            <v>.</v>
          </cell>
        </row>
        <row r="173">
          <cell r="BD173" t="str">
            <v>.</v>
          </cell>
        </row>
        <row r="174">
          <cell r="BD174" t="str">
            <v>.</v>
          </cell>
        </row>
        <row r="175">
          <cell r="BD175" t="str">
            <v>.</v>
          </cell>
        </row>
        <row r="176">
          <cell r="BD176" t="str">
            <v>.</v>
          </cell>
        </row>
        <row r="177">
          <cell r="BD177" t="str">
            <v>.</v>
          </cell>
        </row>
        <row r="178">
          <cell r="BD178" t="str">
            <v>.</v>
          </cell>
        </row>
        <row r="179">
          <cell r="BD179" t="str">
            <v>.</v>
          </cell>
        </row>
        <row r="180">
          <cell r="BD180" t="str">
            <v>.</v>
          </cell>
        </row>
        <row r="181">
          <cell r="BD181" t="str">
            <v>.</v>
          </cell>
        </row>
        <row r="182">
          <cell r="BD182" t="str">
            <v>.</v>
          </cell>
        </row>
        <row r="183">
          <cell r="BD183" t="str">
            <v>.</v>
          </cell>
        </row>
        <row r="184">
          <cell r="BD184" t="str">
            <v>.</v>
          </cell>
        </row>
        <row r="185">
          <cell r="BD185" t="str">
            <v>.</v>
          </cell>
        </row>
        <row r="186">
          <cell r="BD186" t="str">
            <v>.</v>
          </cell>
        </row>
        <row r="187">
          <cell r="BD187" t="str">
            <v>.</v>
          </cell>
        </row>
        <row r="188">
          <cell r="BD188" t="str">
            <v>.</v>
          </cell>
        </row>
        <row r="189">
          <cell r="BD189" t="str">
            <v>.</v>
          </cell>
        </row>
        <row r="190">
          <cell r="BD190" t="str">
            <v>.</v>
          </cell>
        </row>
        <row r="191">
          <cell r="BD191" t="str">
            <v>.</v>
          </cell>
        </row>
        <row r="192">
          <cell r="BD192" t="str">
            <v>.</v>
          </cell>
        </row>
        <row r="193">
          <cell r="BD193" t="str">
            <v>.</v>
          </cell>
        </row>
        <row r="194">
          <cell r="BD194" t="str">
            <v>.</v>
          </cell>
        </row>
        <row r="195">
          <cell r="BD195" t="str">
            <v>.</v>
          </cell>
        </row>
        <row r="196">
          <cell r="BD196" t="str">
            <v>.</v>
          </cell>
        </row>
        <row r="197">
          <cell r="BD197" t="str">
            <v>.</v>
          </cell>
        </row>
        <row r="198">
          <cell r="BD198" t="str">
            <v>.</v>
          </cell>
        </row>
        <row r="199">
          <cell r="BD199" t="str">
            <v>.</v>
          </cell>
        </row>
        <row r="200">
          <cell r="BD200" t="str">
            <v>.</v>
          </cell>
        </row>
        <row r="201">
          <cell r="BD201" t="str">
            <v>.</v>
          </cell>
        </row>
        <row r="202">
          <cell r="BD202" t="str">
            <v>.</v>
          </cell>
        </row>
        <row r="203">
          <cell r="BD203" t="str">
            <v>.</v>
          </cell>
        </row>
        <row r="204">
          <cell r="BD204" t="str">
            <v>.</v>
          </cell>
        </row>
        <row r="205">
          <cell r="BD205" t="str">
            <v>.</v>
          </cell>
        </row>
        <row r="206">
          <cell r="BD206" t="str">
            <v>.</v>
          </cell>
        </row>
        <row r="207">
          <cell r="BD207" t="str">
            <v>.</v>
          </cell>
        </row>
        <row r="208">
          <cell r="BD208" t="str">
            <v>.</v>
          </cell>
        </row>
        <row r="209">
          <cell r="BD209" t="str">
            <v>.</v>
          </cell>
        </row>
        <row r="210">
          <cell r="BD210" t="str">
            <v>.</v>
          </cell>
        </row>
        <row r="211">
          <cell r="BD211" t="str">
            <v>.</v>
          </cell>
        </row>
        <row r="212">
          <cell r="BD212" t="str">
            <v>.</v>
          </cell>
        </row>
        <row r="213">
          <cell r="BD213" t="str">
            <v>.</v>
          </cell>
        </row>
        <row r="214">
          <cell r="BD214" t="str">
            <v>.</v>
          </cell>
        </row>
        <row r="215">
          <cell r="BD215" t="str">
            <v>.</v>
          </cell>
        </row>
        <row r="216">
          <cell r="BD216" t="str">
            <v>.</v>
          </cell>
        </row>
        <row r="217">
          <cell r="BD217" t="str">
            <v>.</v>
          </cell>
        </row>
        <row r="218">
          <cell r="BD218" t="str">
            <v>.</v>
          </cell>
        </row>
        <row r="219">
          <cell r="BD219" t="str">
            <v>.</v>
          </cell>
        </row>
        <row r="220">
          <cell r="BD220" t="str">
            <v>.</v>
          </cell>
        </row>
        <row r="221">
          <cell r="BD221" t="str">
            <v>.</v>
          </cell>
        </row>
        <row r="222">
          <cell r="BD222" t="str">
            <v>.</v>
          </cell>
        </row>
        <row r="223">
          <cell r="BD223" t="str">
            <v>.</v>
          </cell>
        </row>
        <row r="224">
          <cell r="BD224" t="str">
            <v>.</v>
          </cell>
        </row>
        <row r="225">
          <cell r="BD225" t="str">
            <v>.</v>
          </cell>
        </row>
        <row r="226">
          <cell r="BD226" t="str">
            <v>.</v>
          </cell>
        </row>
        <row r="227">
          <cell r="BD227" t="str">
            <v>.</v>
          </cell>
        </row>
        <row r="228">
          <cell r="BD228" t="str">
            <v>.</v>
          </cell>
        </row>
        <row r="229">
          <cell r="BD229" t="str">
            <v>.</v>
          </cell>
        </row>
        <row r="230">
          <cell r="BD230" t="str">
            <v>.</v>
          </cell>
        </row>
        <row r="231">
          <cell r="BD231" t="str">
            <v>.</v>
          </cell>
        </row>
        <row r="232">
          <cell r="BD232" t="str">
            <v>.</v>
          </cell>
        </row>
        <row r="233">
          <cell r="BD233" t="str">
            <v>.</v>
          </cell>
        </row>
        <row r="234">
          <cell r="BD234" t="str">
            <v>.</v>
          </cell>
        </row>
        <row r="235">
          <cell r="BD235" t="str">
            <v>.</v>
          </cell>
        </row>
        <row r="236">
          <cell r="BD236" t="str">
            <v>.</v>
          </cell>
        </row>
        <row r="237">
          <cell r="BD237" t="str">
            <v>.</v>
          </cell>
        </row>
        <row r="238">
          <cell r="BD238" t="str">
            <v>.</v>
          </cell>
        </row>
        <row r="239">
          <cell r="BD239" t="str">
            <v>.</v>
          </cell>
        </row>
        <row r="240">
          <cell r="BD240" t="str">
            <v>.</v>
          </cell>
        </row>
        <row r="241">
          <cell r="BD241" t="str">
            <v>.</v>
          </cell>
        </row>
        <row r="242">
          <cell r="BD242" t="str">
            <v>.</v>
          </cell>
        </row>
        <row r="243">
          <cell r="BD243" t="str">
            <v>.</v>
          </cell>
        </row>
        <row r="244">
          <cell r="BD244" t="str">
            <v>.</v>
          </cell>
        </row>
        <row r="245">
          <cell r="BD245" t="str">
            <v>.</v>
          </cell>
        </row>
        <row r="246">
          <cell r="BD246" t="str">
            <v>.</v>
          </cell>
        </row>
        <row r="247">
          <cell r="BD247" t="str">
            <v>.</v>
          </cell>
        </row>
        <row r="248">
          <cell r="BD248" t="str">
            <v>.</v>
          </cell>
        </row>
        <row r="249">
          <cell r="BD249" t="str">
            <v>.</v>
          </cell>
        </row>
        <row r="250">
          <cell r="BD250" t="str">
            <v>.</v>
          </cell>
        </row>
        <row r="251">
          <cell r="BD251" t="str">
            <v>.</v>
          </cell>
        </row>
        <row r="252">
          <cell r="BD252" t="str">
            <v>.</v>
          </cell>
        </row>
        <row r="253">
          <cell r="BD253" t="str">
            <v>.</v>
          </cell>
        </row>
        <row r="254">
          <cell r="BD254" t="str">
            <v>.</v>
          </cell>
        </row>
        <row r="255">
          <cell r="BD255" t="str">
            <v>.</v>
          </cell>
        </row>
        <row r="256">
          <cell r="BD256" t="str">
            <v>.</v>
          </cell>
        </row>
        <row r="257">
          <cell r="BD257" t="str">
            <v>.</v>
          </cell>
        </row>
        <row r="258">
          <cell r="BD258" t="str">
            <v>.</v>
          </cell>
        </row>
        <row r="259">
          <cell r="BD259" t="str">
            <v>.</v>
          </cell>
        </row>
        <row r="260">
          <cell r="BD260" t="str">
            <v>.</v>
          </cell>
        </row>
        <row r="261">
          <cell r="BD261" t="str">
            <v>.</v>
          </cell>
        </row>
        <row r="262">
          <cell r="BD262" t="str">
            <v>.</v>
          </cell>
        </row>
        <row r="263">
          <cell r="BD263" t="str">
            <v>.</v>
          </cell>
        </row>
        <row r="264">
          <cell r="BD264" t="str">
            <v>.</v>
          </cell>
        </row>
        <row r="265">
          <cell r="BD265" t="str">
            <v>.</v>
          </cell>
        </row>
        <row r="266">
          <cell r="BD266" t="str">
            <v>.</v>
          </cell>
        </row>
        <row r="267">
          <cell r="BD267" t="str">
            <v>.</v>
          </cell>
        </row>
        <row r="268">
          <cell r="BD268" t="str">
            <v>.</v>
          </cell>
        </row>
        <row r="269">
          <cell r="BD269" t="str">
            <v>.</v>
          </cell>
        </row>
        <row r="270">
          <cell r="BD270" t="str">
            <v>.</v>
          </cell>
        </row>
        <row r="271">
          <cell r="BD271" t="str">
            <v>.</v>
          </cell>
        </row>
        <row r="272">
          <cell r="BD272" t="str">
            <v>.</v>
          </cell>
        </row>
        <row r="273">
          <cell r="BD273" t="str">
            <v>.</v>
          </cell>
        </row>
        <row r="274">
          <cell r="BD274" t="str">
            <v>.</v>
          </cell>
        </row>
        <row r="275">
          <cell r="BD275" t="str">
            <v>.</v>
          </cell>
        </row>
        <row r="276">
          <cell r="BD276" t="str">
            <v>.</v>
          </cell>
        </row>
        <row r="277">
          <cell r="BD277" t="str">
            <v>.</v>
          </cell>
        </row>
        <row r="278">
          <cell r="BD278" t="str">
            <v>.</v>
          </cell>
        </row>
        <row r="279">
          <cell r="BD279" t="str">
            <v>.</v>
          </cell>
        </row>
        <row r="280">
          <cell r="BD280" t="str">
            <v>.</v>
          </cell>
        </row>
        <row r="281">
          <cell r="BD281" t="str">
            <v>.</v>
          </cell>
        </row>
        <row r="282">
          <cell r="BD282" t="str">
            <v>.</v>
          </cell>
        </row>
        <row r="283">
          <cell r="BD283" t="str">
            <v>.</v>
          </cell>
        </row>
        <row r="284">
          <cell r="BD284" t="str">
            <v>.</v>
          </cell>
        </row>
        <row r="285">
          <cell r="BD285" t="str">
            <v>.</v>
          </cell>
        </row>
        <row r="286">
          <cell r="BD286" t="str">
            <v>.</v>
          </cell>
        </row>
        <row r="287">
          <cell r="BD287" t="str">
            <v>.</v>
          </cell>
        </row>
        <row r="288">
          <cell r="BD288" t="str">
            <v>.</v>
          </cell>
        </row>
        <row r="289">
          <cell r="BD289" t="str">
            <v>.</v>
          </cell>
        </row>
        <row r="290">
          <cell r="BD290" t="str">
            <v>.</v>
          </cell>
        </row>
        <row r="291">
          <cell r="BD291" t="str">
            <v>.</v>
          </cell>
        </row>
        <row r="292">
          <cell r="BD292" t="str">
            <v>.</v>
          </cell>
        </row>
        <row r="293">
          <cell r="BD293" t="str">
            <v>.</v>
          </cell>
        </row>
        <row r="294">
          <cell r="BD294" t="str">
            <v>.</v>
          </cell>
        </row>
        <row r="295">
          <cell r="BD295" t="str">
            <v>.</v>
          </cell>
        </row>
        <row r="296">
          <cell r="BD296" t="str">
            <v>.</v>
          </cell>
        </row>
        <row r="297">
          <cell r="BD297" t="str">
            <v>.</v>
          </cell>
        </row>
        <row r="298">
          <cell r="BD298" t="str">
            <v>.</v>
          </cell>
        </row>
        <row r="299">
          <cell r="BD299" t="str">
            <v>.</v>
          </cell>
        </row>
        <row r="300">
          <cell r="BD300" t="str">
            <v>.</v>
          </cell>
        </row>
        <row r="301">
          <cell r="BD301" t="str">
            <v>.</v>
          </cell>
        </row>
        <row r="302">
          <cell r="BD302" t="str">
            <v>.</v>
          </cell>
        </row>
        <row r="303">
          <cell r="BD303" t="str">
            <v>.</v>
          </cell>
        </row>
        <row r="304">
          <cell r="BD304" t="str">
            <v>.</v>
          </cell>
        </row>
        <row r="305">
          <cell r="BD305" t="str">
            <v>.</v>
          </cell>
        </row>
        <row r="306">
          <cell r="BD306" t="str">
            <v>.</v>
          </cell>
        </row>
        <row r="307">
          <cell r="BD307" t="str">
            <v>.</v>
          </cell>
        </row>
        <row r="308">
          <cell r="BD308" t="str">
            <v>.</v>
          </cell>
        </row>
        <row r="309">
          <cell r="BD309" t="str">
            <v>.</v>
          </cell>
        </row>
        <row r="310">
          <cell r="BD310" t="str">
            <v>.</v>
          </cell>
        </row>
        <row r="311">
          <cell r="BD311" t="str">
            <v>.</v>
          </cell>
        </row>
        <row r="312">
          <cell r="BD312" t="str">
            <v>.</v>
          </cell>
        </row>
        <row r="313">
          <cell r="BD313" t="str">
            <v>.</v>
          </cell>
        </row>
        <row r="314">
          <cell r="BD314" t="str">
            <v>.</v>
          </cell>
        </row>
        <row r="315">
          <cell r="BD315" t="str">
            <v>.</v>
          </cell>
        </row>
        <row r="316">
          <cell r="BD316" t="str">
            <v>.</v>
          </cell>
        </row>
        <row r="317">
          <cell r="BD317" t="str">
            <v>.</v>
          </cell>
        </row>
        <row r="318">
          <cell r="BD318" t="str">
            <v>.</v>
          </cell>
        </row>
        <row r="319">
          <cell r="BD319" t="str">
            <v>.</v>
          </cell>
        </row>
        <row r="320">
          <cell r="BD320" t="str">
            <v>.</v>
          </cell>
        </row>
        <row r="321">
          <cell r="BD321" t="str">
            <v>.</v>
          </cell>
        </row>
        <row r="322">
          <cell r="BD322" t="str">
            <v>.</v>
          </cell>
        </row>
        <row r="323">
          <cell r="BD323" t="str">
            <v>.</v>
          </cell>
        </row>
        <row r="324">
          <cell r="BD324" t="str">
            <v>.</v>
          </cell>
        </row>
        <row r="325">
          <cell r="BD325" t="str">
            <v>.</v>
          </cell>
        </row>
        <row r="326">
          <cell r="BD326" t="str">
            <v>.</v>
          </cell>
        </row>
        <row r="327">
          <cell r="BD327" t="str">
            <v>.</v>
          </cell>
        </row>
        <row r="328">
          <cell r="BD328" t="str">
            <v>.</v>
          </cell>
        </row>
        <row r="329">
          <cell r="BD329" t="str">
            <v>.</v>
          </cell>
        </row>
        <row r="330">
          <cell r="BD330" t="str">
            <v>.</v>
          </cell>
        </row>
        <row r="331">
          <cell r="BD331" t="str">
            <v>.</v>
          </cell>
        </row>
        <row r="332">
          <cell r="BD332" t="str">
            <v>.</v>
          </cell>
        </row>
        <row r="333">
          <cell r="BD333" t="str">
            <v>.</v>
          </cell>
        </row>
        <row r="334">
          <cell r="BD334" t="str">
            <v>.</v>
          </cell>
        </row>
        <row r="335">
          <cell r="BD335" t="str">
            <v>.</v>
          </cell>
        </row>
        <row r="336">
          <cell r="BD336" t="str">
            <v>.</v>
          </cell>
        </row>
        <row r="337">
          <cell r="BD337" t="str">
            <v>.</v>
          </cell>
        </row>
        <row r="338">
          <cell r="BD338" t="str">
            <v>.</v>
          </cell>
        </row>
        <row r="339">
          <cell r="BD339" t="str">
            <v>.</v>
          </cell>
        </row>
        <row r="340">
          <cell r="BD340" t="str">
            <v>.</v>
          </cell>
        </row>
        <row r="341">
          <cell r="BD341" t="str">
            <v>.</v>
          </cell>
        </row>
        <row r="342">
          <cell r="BD342" t="str">
            <v>.</v>
          </cell>
        </row>
        <row r="343">
          <cell r="BD343" t="str">
            <v>.</v>
          </cell>
        </row>
        <row r="344">
          <cell r="BD344" t="str">
            <v>.</v>
          </cell>
        </row>
        <row r="345">
          <cell r="BD345" t="str">
            <v>.</v>
          </cell>
        </row>
        <row r="346">
          <cell r="BD346" t="str">
            <v>.</v>
          </cell>
        </row>
        <row r="347">
          <cell r="BD347" t="str">
            <v>.</v>
          </cell>
        </row>
        <row r="348">
          <cell r="BD348" t="str">
            <v>.</v>
          </cell>
        </row>
        <row r="349">
          <cell r="BD349" t="str">
            <v>.</v>
          </cell>
        </row>
        <row r="350">
          <cell r="BD350" t="str">
            <v>.</v>
          </cell>
        </row>
        <row r="351">
          <cell r="BD351" t="str">
            <v>.</v>
          </cell>
        </row>
        <row r="352">
          <cell r="BD352" t="str">
            <v>.</v>
          </cell>
        </row>
        <row r="353">
          <cell r="BD353" t="str">
            <v>.</v>
          </cell>
        </row>
        <row r="354">
          <cell r="BD354" t="str">
            <v>.</v>
          </cell>
        </row>
        <row r="355">
          <cell r="BD355" t="str">
            <v>.</v>
          </cell>
        </row>
        <row r="356">
          <cell r="BD356" t="str">
            <v>.</v>
          </cell>
        </row>
        <row r="357">
          <cell r="BD357" t="str">
            <v>.</v>
          </cell>
        </row>
        <row r="358">
          <cell r="BD358" t="str">
            <v>.</v>
          </cell>
        </row>
        <row r="359">
          <cell r="BD359" t="str">
            <v>.</v>
          </cell>
        </row>
        <row r="360">
          <cell r="BD360" t="str">
            <v>.</v>
          </cell>
        </row>
        <row r="361">
          <cell r="BD361" t="str">
            <v>.</v>
          </cell>
        </row>
        <row r="362">
          <cell r="BD362" t="str">
            <v>.</v>
          </cell>
        </row>
        <row r="363">
          <cell r="BD363" t="str">
            <v>.</v>
          </cell>
        </row>
        <row r="364">
          <cell r="BD364" t="str">
            <v>.</v>
          </cell>
        </row>
        <row r="365">
          <cell r="BD365" t="str">
            <v>.</v>
          </cell>
        </row>
        <row r="366">
          <cell r="BD366" t="str">
            <v>.</v>
          </cell>
        </row>
        <row r="367">
          <cell r="BD367" t="str">
            <v>.</v>
          </cell>
        </row>
        <row r="368">
          <cell r="BD368" t="str">
            <v>.</v>
          </cell>
        </row>
        <row r="369">
          <cell r="BD369" t="str">
            <v>.</v>
          </cell>
        </row>
        <row r="370">
          <cell r="BD370" t="str">
            <v>.</v>
          </cell>
        </row>
        <row r="371">
          <cell r="BD371" t="str">
            <v>.</v>
          </cell>
        </row>
        <row r="372">
          <cell r="BD372" t="str">
            <v>.</v>
          </cell>
        </row>
        <row r="373">
          <cell r="BD373" t="str">
            <v>.</v>
          </cell>
        </row>
        <row r="374">
          <cell r="BD374" t="str">
            <v>.</v>
          </cell>
        </row>
        <row r="375">
          <cell r="BD375" t="str">
            <v>.</v>
          </cell>
        </row>
        <row r="376">
          <cell r="BD376" t="str">
            <v>.</v>
          </cell>
        </row>
        <row r="377">
          <cell r="BD377" t="str">
            <v>.</v>
          </cell>
        </row>
        <row r="378">
          <cell r="BD378" t="str">
            <v>.</v>
          </cell>
        </row>
        <row r="379">
          <cell r="BD379" t="str">
            <v>.</v>
          </cell>
        </row>
        <row r="380">
          <cell r="BD380" t="str">
            <v>.</v>
          </cell>
        </row>
        <row r="381">
          <cell r="BD381" t="str">
            <v>.</v>
          </cell>
        </row>
        <row r="382">
          <cell r="BD382" t="str">
            <v>.</v>
          </cell>
        </row>
        <row r="383">
          <cell r="BD383" t="str">
            <v>.</v>
          </cell>
        </row>
        <row r="384">
          <cell r="BD384" t="str">
            <v>.</v>
          </cell>
        </row>
        <row r="385">
          <cell r="BD385" t="str">
            <v>.</v>
          </cell>
        </row>
        <row r="386">
          <cell r="BD386" t="str">
            <v>.</v>
          </cell>
        </row>
        <row r="387">
          <cell r="BD387" t="str">
            <v>.</v>
          </cell>
        </row>
        <row r="388">
          <cell r="BD388" t="str">
            <v>.</v>
          </cell>
        </row>
        <row r="389">
          <cell r="BD389" t="str">
            <v>.</v>
          </cell>
        </row>
        <row r="390">
          <cell r="BD390" t="str">
            <v>.</v>
          </cell>
        </row>
        <row r="391">
          <cell r="BD391" t="str">
            <v>.</v>
          </cell>
        </row>
        <row r="392">
          <cell r="BD392" t="str">
            <v>.</v>
          </cell>
        </row>
        <row r="393">
          <cell r="BD393" t="str">
            <v>.</v>
          </cell>
        </row>
        <row r="394">
          <cell r="BD394" t="str">
            <v>.</v>
          </cell>
        </row>
        <row r="395">
          <cell r="BD395" t="str">
            <v>.</v>
          </cell>
        </row>
        <row r="396">
          <cell r="BD396" t="str">
            <v>.</v>
          </cell>
        </row>
        <row r="397">
          <cell r="BD397" t="str">
            <v>.</v>
          </cell>
        </row>
        <row r="398">
          <cell r="BD398" t="str">
            <v>.</v>
          </cell>
        </row>
        <row r="399">
          <cell r="BD399" t="str">
            <v>.</v>
          </cell>
        </row>
        <row r="400">
          <cell r="BD400" t="str">
            <v>.</v>
          </cell>
        </row>
        <row r="401">
          <cell r="BD401" t="str">
            <v>.</v>
          </cell>
        </row>
        <row r="402">
          <cell r="BD402" t="str">
            <v>.</v>
          </cell>
        </row>
        <row r="403">
          <cell r="BD403" t="str">
            <v>.</v>
          </cell>
        </row>
        <row r="404">
          <cell r="BD404" t="str">
            <v>.</v>
          </cell>
        </row>
        <row r="405">
          <cell r="BD405" t="str">
            <v>.</v>
          </cell>
        </row>
        <row r="406">
          <cell r="BD406" t="str">
            <v>.</v>
          </cell>
        </row>
        <row r="407">
          <cell r="BD407" t="str">
            <v>.</v>
          </cell>
        </row>
        <row r="408">
          <cell r="BD408" t="str">
            <v>.</v>
          </cell>
        </row>
        <row r="409">
          <cell r="BD409" t="str">
            <v>.</v>
          </cell>
        </row>
        <row r="410">
          <cell r="BD410" t="str">
            <v>.</v>
          </cell>
        </row>
        <row r="411">
          <cell r="BD411" t="str">
            <v>.</v>
          </cell>
        </row>
        <row r="412">
          <cell r="BD412" t="str">
            <v>.</v>
          </cell>
        </row>
        <row r="413">
          <cell r="BD413" t="str">
            <v>.</v>
          </cell>
        </row>
        <row r="414">
          <cell r="BD414" t="str">
            <v>.</v>
          </cell>
        </row>
        <row r="415">
          <cell r="BD415" t="str">
            <v>.</v>
          </cell>
        </row>
        <row r="416">
          <cell r="BD416" t="str">
            <v>.</v>
          </cell>
        </row>
        <row r="417">
          <cell r="BD417" t="str">
            <v>.</v>
          </cell>
        </row>
        <row r="418">
          <cell r="BD418" t="str">
            <v>.</v>
          </cell>
        </row>
        <row r="419">
          <cell r="BD419" t="str">
            <v>.</v>
          </cell>
        </row>
        <row r="420">
          <cell r="BD420" t="str">
            <v>.</v>
          </cell>
        </row>
        <row r="421">
          <cell r="BD421" t="str">
            <v>.</v>
          </cell>
        </row>
        <row r="422">
          <cell r="BD422" t="str">
            <v>.</v>
          </cell>
        </row>
        <row r="423">
          <cell r="BD423" t="str">
            <v>.</v>
          </cell>
        </row>
        <row r="424">
          <cell r="BD424" t="str">
            <v>.</v>
          </cell>
        </row>
        <row r="425">
          <cell r="BD425" t="str">
            <v>.</v>
          </cell>
        </row>
        <row r="426">
          <cell r="BD426" t="str">
            <v>.</v>
          </cell>
        </row>
        <row r="427">
          <cell r="BD427" t="str">
            <v>.</v>
          </cell>
        </row>
        <row r="428">
          <cell r="BD428" t="str">
            <v>.</v>
          </cell>
        </row>
        <row r="429">
          <cell r="BD429" t="str">
            <v>.</v>
          </cell>
        </row>
        <row r="430">
          <cell r="BD430" t="str">
            <v>.</v>
          </cell>
        </row>
        <row r="431">
          <cell r="BD431" t="str">
            <v>.</v>
          </cell>
        </row>
        <row r="432">
          <cell r="BD432" t="str">
            <v>.</v>
          </cell>
        </row>
        <row r="433">
          <cell r="BD433" t="str">
            <v>.</v>
          </cell>
        </row>
        <row r="434">
          <cell r="BD434" t="str">
            <v>.</v>
          </cell>
        </row>
        <row r="435">
          <cell r="BD435" t="str">
            <v>.</v>
          </cell>
        </row>
        <row r="436">
          <cell r="BD436" t="str">
            <v>.</v>
          </cell>
        </row>
        <row r="437">
          <cell r="BD437" t="str">
            <v>.</v>
          </cell>
        </row>
        <row r="438">
          <cell r="BD438" t="str">
            <v>.</v>
          </cell>
        </row>
        <row r="439">
          <cell r="BD439" t="str">
            <v>.</v>
          </cell>
        </row>
        <row r="440">
          <cell r="BD440" t="str">
            <v>.</v>
          </cell>
        </row>
        <row r="441">
          <cell r="BD441" t="str">
            <v>.</v>
          </cell>
        </row>
        <row r="442">
          <cell r="BD442" t="str">
            <v>.</v>
          </cell>
        </row>
        <row r="443">
          <cell r="BD443" t="str">
            <v>.</v>
          </cell>
        </row>
        <row r="444">
          <cell r="BD444" t="str">
            <v>.</v>
          </cell>
        </row>
        <row r="445">
          <cell r="BD445" t="str">
            <v>.</v>
          </cell>
        </row>
        <row r="446">
          <cell r="BD446" t="str">
            <v>.</v>
          </cell>
        </row>
        <row r="447">
          <cell r="BD447" t="str">
            <v>.</v>
          </cell>
        </row>
        <row r="448">
          <cell r="BD448" t="str">
            <v>.</v>
          </cell>
        </row>
        <row r="449">
          <cell r="BD449" t="str">
            <v>.</v>
          </cell>
        </row>
        <row r="450">
          <cell r="BD450" t="str">
            <v>.</v>
          </cell>
        </row>
        <row r="451">
          <cell r="BD451" t="str">
            <v>.</v>
          </cell>
        </row>
        <row r="452">
          <cell r="BD452" t="str">
            <v>.</v>
          </cell>
        </row>
        <row r="453">
          <cell r="BD453" t="str">
            <v>.</v>
          </cell>
        </row>
        <row r="454">
          <cell r="BD454" t="str">
            <v>.</v>
          </cell>
        </row>
        <row r="455">
          <cell r="BD455" t="str">
            <v>.</v>
          </cell>
        </row>
        <row r="456">
          <cell r="BD456" t="str">
            <v>.</v>
          </cell>
        </row>
        <row r="457">
          <cell r="BD457" t="str">
            <v>.</v>
          </cell>
        </row>
        <row r="458">
          <cell r="BD458" t="str">
            <v>.</v>
          </cell>
        </row>
        <row r="459">
          <cell r="BD459" t="str">
            <v>.</v>
          </cell>
        </row>
        <row r="460">
          <cell r="BD460" t="str">
            <v>.</v>
          </cell>
        </row>
        <row r="461">
          <cell r="BD461" t="str">
            <v>.</v>
          </cell>
        </row>
        <row r="462">
          <cell r="BD462" t="str">
            <v>.</v>
          </cell>
        </row>
        <row r="463">
          <cell r="BD463" t="str">
            <v>.</v>
          </cell>
        </row>
        <row r="464">
          <cell r="BD464" t="str">
            <v>.</v>
          </cell>
        </row>
        <row r="465">
          <cell r="BD465" t="str">
            <v>.</v>
          </cell>
        </row>
        <row r="466">
          <cell r="BD466" t="str">
            <v>.</v>
          </cell>
        </row>
        <row r="467">
          <cell r="BD467" t="str">
            <v>.</v>
          </cell>
        </row>
        <row r="468">
          <cell r="BD468" t="str">
            <v>.</v>
          </cell>
        </row>
        <row r="469">
          <cell r="BD469" t="str">
            <v>.</v>
          </cell>
        </row>
        <row r="470">
          <cell r="BD470" t="str">
            <v>.</v>
          </cell>
        </row>
        <row r="471">
          <cell r="BD471" t="str">
            <v>.</v>
          </cell>
        </row>
        <row r="472">
          <cell r="BD472" t="str">
            <v>.</v>
          </cell>
        </row>
        <row r="473">
          <cell r="BD473" t="str">
            <v>.</v>
          </cell>
        </row>
        <row r="474">
          <cell r="BD474" t="str">
            <v>.</v>
          </cell>
        </row>
        <row r="475">
          <cell r="BD475" t="str">
            <v>.</v>
          </cell>
        </row>
        <row r="476">
          <cell r="BD476" t="str">
            <v>.</v>
          </cell>
        </row>
        <row r="477">
          <cell r="BD477" t="str">
            <v>.</v>
          </cell>
        </row>
        <row r="478">
          <cell r="BD478" t="str">
            <v>.</v>
          </cell>
        </row>
        <row r="479">
          <cell r="BD479" t="str">
            <v>.</v>
          </cell>
        </row>
        <row r="480">
          <cell r="BD480" t="str">
            <v>.</v>
          </cell>
        </row>
        <row r="481">
          <cell r="BD481" t="str">
            <v>.</v>
          </cell>
        </row>
        <row r="482">
          <cell r="BD482" t="str">
            <v>.</v>
          </cell>
        </row>
        <row r="483">
          <cell r="BD483" t="str">
            <v>.</v>
          </cell>
        </row>
        <row r="484">
          <cell r="BD484" t="str">
            <v>.</v>
          </cell>
        </row>
        <row r="485">
          <cell r="BD485" t="str">
            <v>.</v>
          </cell>
        </row>
        <row r="486">
          <cell r="BD486" t="str">
            <v>.</v>
          </cell>
        </row>
        <row r="487">
          <cell r="BD487" t="str">
            <v>.</v>
          </cell>
        </row>
        <row r="488">
          <cell r="BD488" t="str">
            <v>.</v>
          </cell>
        </row>
        <row r="489">
          <cell r="BD489" t="str">
            <v>.</v>
          </cell>
        </row>
        <row r="490">
          <cell r="BD490" t="str">
            <v>.</v>
          </cell>
        </row>
        <row r="491">
          <cell r="BD491" t="str">
            <v>.</v>
          </cell>
        </row>
        <row r="492">
          <cell r="BD492" t="str">
            <v>.</v>
          </cell>
        </row>
        <row r="493">
          <cell r="BD493" t="str">
            <v>.</v>
          </cell>
        </row>
        <row r="494">
          <cell r="BD494" t="str">
            <v>.</v>
          </cell>
        </row>
        <row r="495">
          <cell r="BD495" t="str">
            <v>.</v>
          </cell>
        </row>
        <row r="496">
          <cell r="BD496" t="str">
            <v>.</v>
          </cell>
        </row>
        <row r="497">
          <cell r="BD497" t="str">
            <v>.</v>
          </cell>
        </row>
        <row r="498">
          <cell r="BD498" t="str">
            <v>.</v>
          </cell>
        </row>
        <row r="499">
          <cell r="BD499" t="str">
            <v>.</v>
          </cell>
        </row>
        <row r="500">
          <cell r="BD500" t="str">
            <v>.</v>
          </cell>
        </row>
        <row r="501">
          <cell r="BD501" t="str">
            <v>.</v>
          </cell>
        </row>
        <row r="502">
          <cell r="BD502" t="str">
            <v>.</v>
          </cell>
        </row>
        <row r="503">
          <cell r="BD503" t="str">
            <v>.</v>
          </cell>
        </row>
        <row r="504">
          <cell r="BD504" t="str">
            <v>.</v>
          </cell>
        </row>
        <row r="505">
          <cell r="BD505" t="str">
            <v>.</v>
          </cell>
        </row>
        <row r="506">
          <cell r="BD506" t="str">
            <v>.</v>
          </cell>
        </row>
        <row r="507">
          <cell r="BD507" t="str">
            <v>.</v>
          </cell>
        </row>
        <row r="508">
          <cell r="BD508" t="str">
            <v>.</v>
          </cell>
        </row>
        <row r="509">
          <cell r="BD509" t="str">
            <v>.</v>
          </cell>
        </row>
        <row r="510">
          <cell r="BD510" t="str">
            <v>.</v>
          </cell>
        </row>
        <row r="511">
          <cell r="BD511" t="str">
            <v>.</v>
          </cell>
        </row>
        <row r="512">
          <cell r="BD512" t="str">
            <v>.</v>
          </cell>
        </row>
        <row r="513">
          <cell r="BD513" t="str">
            <v>.</v>
          </cell>
        </row>
        <row r="514">
          <cell r="BD514" t="str">
            <v>.</v>
          </cell>
        </row>
        <row r="515">
          <cell r="BD515" t="str">
            <v>.</v>
          </cell>
        </row>
        <row r="516">
          <cell r="BD516" t="str">
            <v>.</v>
          </cell>
        </row>
        <row r="517">
          <cell r="BD517" t="str">
            <v>.</v>
          </cell>
        </row>
        <row r="518">
          <cell r="BD518" t="str">
            <v>.</v>
          </cell>
        </row>
        <row r="519">
          <cell r="BD519" t="str">
            <v>.</v>
          </cell>
        </row>
        <row r="520">
          <cell r="BD520" t="str">
            <v>.</v>
          </cell>
        </row>
        <row r="521">
          <cell r="BD521" t="str">
            <v>.</v>
          </cell>
        </row>
        <row r="522">
          <cell r="BD522" t="str">
            <v>.</v>
          </cell>
        </row>
        <row r="523">
          <cell r="BD523" t="str">
            <v>.</v>
          </cell>
        </row>
        <row r="524">
          <cell r="BD524" t="str">
            <v>.</v>
          </cell>
        </row>
        <row r="525">
          <cell r="BD525" t="str">
            <v>.</v>
          </cell>
        </row>
        <row r="526">
          <cell r="BD526" t="str">
            <v>.</v>
          </cell>
        </row>
        <row r="527">
          <cell r="BD527" t="str">
            <v>.</v>
          </cell>
        </row>
        <row r="528">
          <cell r="BD528" t="str">
            <v>.</v>
          </cell>
        </row>
        <row r="529">
          <cell r="BD529" t="str">
            <v>.</v>
          </cell>
        </row>
        <row r="530">
          <cell r="BD530" t="str">
            <v>.</v>
          </cell>
        </row>
        <row r="531">
          <cell r="BD531" t="str">
            <v>.</v>
          </cell>
        </row>
        <row r="532">
          <cell r="BD532" t="str">
            <v>.</v>
          </cell>
        </row>
        <row r="533">
          <cell r="BD533" t="str">
            <v>.</v>
          </cell>
        </row>
        <row r="534">
          <cell r="BD534" t="str">
            <v>.</v>
          </cell>
        </row>
        <row r="535">
          <cell r="BD535" t="str">
            <v>.</v>
          </cell>
        </row>
        <row r="536">
          <cell r="BD536" t="str">
            <v>.</v>
          </cell>
        </row>
        <row r="537">
          <cell r="BD537" t="str">
            <v>.</v>
          </cell>
        </row>
        <row r="538">
          <cell r="BD538" t="str">
            <v>.</v>
          </cell>
        </row>
        <row r="539">
          <cell r="BD539" t="str">
            <v>.</v>
          </cell>
        </row>
        <row r="540">
          <cell r="BD540" t="str">
            <v>.</v>
          </cell>
        </row>
        <row r="541">
          <cell r="BD541" t="str">
            <v>.</v>
          </cell>
        </row>
        <row r="542">
          <cell r="BD542" t="str">
            <v>.</v>
          </cell>
        </row>
        <row r="543">
          <cell r="BD543" t="str">
            <v>.</v>
          </cell>
        </row>
        <row r="544">
          <cell r="BD544" t="str">
            <v>.</v>
          </cell>
        </row>
        <row r="545">
          <cell r="BD545" t="str">
            <v>.</v>
          </cell>
        </row>
        <row r="546">
          <cell r="BD546" t="str">
            <v>.</v>
          </cell>
        </row>
        <row r="547">
          <cell r="BD547" t="str">
            <v>.</v>
          </cell>
        </row>
        <row r="548">
          <cell r="BD548" t="str">
            <v>.</v>
          </cell>
        </row>
        <row r="549">
          <cell r="BD549" t="str">
            <v>.</v>
          </cell>
        </row>
        <row r="550">
          <cell r="BD550" t="str">
            <v>.</v>
          </cell>
        </row>
        <row r="551">
          <cell r="BD551" t="str">
            <v>.</v>
          </cell>
        </row>
        <row r="552">
          <cell r="BD552" t="str">
            <v>.</v>
          </cell>
        </row>
        <row r="553">
          <cell r="BD553" t="str">
            <v>.</v>
          </cell>
        </row>
        <row r="554">
          <cell r="BD554" t="str">
            <v>.</v>
          </cell>
        </row>
        <row r="555">
          <cell r="BD555" t="str">
            <v>.</v>
          </cell>
        </row>
        <row r="556">
          <cell r="BD556" t="str">
            <v>.</v>
          </cell>
        </row>
        <row r="557">
          <cell r="BD557" t="str">
            <v>.</v>
          </cell>
        </row>
        <row r="558">
          <cell r="BD558" t="str">
            <v>.</v>
          </cell>
        </row>
        <row r="559">
          <cell r="BD559" t="str">
            <v>.</v>
          </cell>
        </row>
        <row r="560">
          <cell r="BD560" t="str">
            <v>.</v>
          </cell>
        </row>
        <row r="561">
          <cell r="BD561" t="str">
            <v>.</v>
          </cell>
        </row>
        <row r="562">
          <cell r="BD562" t="str">
            <v>.</v>
          </cell>
        </row>
        <row r="563">
          <cell r="BD563" t="str">
            <v>.</v>
          </cell>
        </row>
        <row r="564">
          <cell r="BD564" t="str">
            <v>.</v>
          </cell>
        </row>
        <row r="565">
          <cell r="BD565" t="str">
            <v>.</v>
          </cell>
        </row>
        <row r="566">
          <cell r="BD566" t="str">
            <v>.</v>
          </cell>
        </row>
        <row r="567">
          <cell r="BD567" t="str">
            <v>.</v>
          </cell>
        </row>
        <row r="568">
          <cell r="BD568" t="str">
            <v>.</v>
          </cell>
        </row>
        <row r="569">
          <cell r="BD569" t="str">
            <v>.</v>
          </cell>
        </row>
        <row r="570">
          <cell r="BD570" t="str">
            <v>.</v>
          </cell>
        </row>
        <row r="571">
          <cell r="BD571" t="str">
            <v>.</v>
          </cell>
        </row>
        <row r="572">
          <cell r="BD572" t="str">
            <v>.</v>
          </cell>
        </row>
        <row r="573">
          <cell r="BD573" t="str">
            <v>.</v>
          </cell>
        </row>
        <row r="574">
          <cell r="BD574" t="str">
            <v>.</v>
          </cell>
        </row>
        <row r="575">
          <cell r="BD575" t="str">
            <v>.</v>
          </cell>
        </row>
        <row r="576">
          <cell r="BD576" t="str">
            <v>.</v>
          </cell>
        </row>
        <row r="577">
          <cell r="BD577" t="str">
            <v>.</v>
          </cell>
        </row>
        <row r="578">
          <cell r="BD578" t="str">
            <v>.</v>
          </cell>
        </row>
        <row r="579">
          <cell r="BD579" t="str">
            <v>.</v>
          </cell>
        </row>
        <row r="580">
          <cell r="BD580" t="str">
            <v>.</v>
          </cell>
        </row>
        <row r="581">
          <cell r="BD581" t="str">
            <v>.</v>
          </cell>
        </row>
        <row r="582">
          <cell r="BD582" t="str">
            <v>.</v>
          </cell>
        </row>
        <row r="583">
          <cell r="BD583" t="str">
            <v>.</v>
          </cell>
        </row>
        <row r="584">
          <cell r="BD584" t="str">
            <v>.</v>
          </cell>
        </row>
        <row r="585">
          <cell r="BD585" t="str">
            <v>.</v>
          </cell>
        </row>
        <row r="586">
          <cell r="BD586" t="str">
            <v>.</v>
          </cell>
        </row>
        <row r="587">
          <cell r="BD587" t="str">
            <v>.</v>
          </cell>
        </row>
        <row r="588">
          <cell r="BD588" t="str">
            <v>.</v>
          </cell>
        </row>
        <row r="589">
          <cell r="BD589" t="str">
            <v>.</v>
          </cell>
        </row>
        <row r="590">
          <cell r="BD590" t="str">
            <v>.</v>
          </cell>
        </row>
        <row r="591">
          <cell r="BD591" t="str">
            <v>.</v>
          </cell>
        </row>
        <row r="592">
          <cell r="BD592" t="str">
            <v>.</v>
          </cell>
        </row>
        <row r="593">
          <cell r="BD593" t="str">
            <v>.</v>
          </cell>
        </row>
        <row r="594">
          <cell r="BD594" t="str">
            <v>.</v>
          </cell>
        </row>
        <row r="595">
          <cell r="BD595" t="str">
            <v>.</v>
          </cell>
        </row>
        <row r="596">
          <cell r="BD596" t="str">
            <v>.</v>
          </cell>
        </row>
        <row r="597">
          <cell r="BD597" t="str">
            <v>.</v>
          </cell>
        </row>
        <row r="598">
          <cell r="BD598" t="str">
            <v>.</v>
          </cell>
        </row>
        <row r="599">
          <cell r="BD599" t="str">
            <v>.</v>
          </cell>
        </row>
        <row r="600">
          <cell r="BD600" t="str">
            <v>.</v>
          </cell>
        </row>
        <row r="601">
          <cell r="BD601" t="str">
            <v>.</v>
          </cell>
        </row>
        <row r="602">
          <cell r="BD602" t="str">
            <v>.</v>
          </cell>
        </row>
        <row r="603">
          <cell r="BD603" t="str">
            <v>.</v>
          </cell>
        </row>
        <row r="604">
          <cell r="BD604" t="str">
            <v>.</v>
          </cell>
        </row>
        <row r="605">
          <cell r="BD605" t="str">
            <v>.</v>
          </cell>
        </row>
        <row r="606">
          <cell r="BD606" t="str">
            <v>.</v>
          </cell>
        </row>
        <row r="607">
          <cell r="BD607" t="str">
            <v>.</v>
          </cell>
        </row>
        <row r="608">
          <cell r="BD608" t="str">
            <v>.</v>
          </cell>
        </row>
        <row r="609">
          <cell r="BD609" t="str">
            <v>.</v>
          </cell>
        </row>
        <row r="610">
          <cell r="BD610" t="str">
            <v>.</v>
          </cell>
        </row>
        <row r="611">
          <cell r="BD611" t="str">
            <v>.</v>
          </cell>
        </row>
        <row r="612">
          <cell r="BD612" t="str">
            <v>.</v>
          </cell>
        </row>
        <row r="613">
          <cell r="BD613" t="str">
            <v>.</v>
          </cell>
        </row>
        <row r="614">
          <cell r="BD614" t="str">
            <v>.</v>
          </cell>
        </row>
        <row r="615">
          <cell r="BD615" t="str">
            <v>.</v>
          </cell>
        </row>
        <row r="616">
          <cell r="BD616" t="str">
            <v>.</v>
          </cell>
        </row>
        <row r="617">
          <cell r="BD617" t="str">
            <v>.</v>
          </cell>
        </row>
        <row r="618">
          <cell r="BD618" t="str">
            <v>.</v>
          </cell>
        </row>
        <row r="619">
          <cell r="BD619" t="str">
            <v>.</v>
          </cell>
        </row>
        <row r="620">
          <cell r="BD620" t="str">
            <v>.</v>
          </cell>
        </row>
        <row r="621">
          <cell r="BD621" t="str">
            <v>.</v>
          </cell>
        </row>
        <row r="622">
          <cell r="BD622" t="str">
            <v>.</v>
          </cell>
        </row>
        <row r="623">
          <cell r="BD623" t="str">
            <v>.</v>
          </cell>
        </row>
        <row r="624">
          <cell r="BD624" t="str">
            <v>.</v>
          </cell>
        </row>
        <row r="625">
          <cell r="BD625" t="str">
            <v>.</v>
          </cell>
        </row>
        <row r="626">
          <cell r="BD626" t="str">
            <v>.</v>
          </cell>
        </row>
        <row r="627">
          <cell r="BD627" t="str">
            <v>.</v>
          </cell>
        </row>
        <row r="628">
          <cell r="BD628" t="str">
            <v>.</v>
          </cell>
        </row>
        <row r="629">
          <cell r="BD629" t="str">
            <v>.</v>
          </cell>
        </row>
        <row r="630">
          <cell r="BD630" t="str">
            <v>.</v>
          </cell>
        </row>
        <row r="631">
          <cell r="BD631" t="str">
            <v>.</v>
          </cell>
        </row>
        <row r="632">
          <cell r="BD632" t="str">
            <v>.</v>
          </cell>
        </row>
        <row r="633">
          <cell r="BD633" t="str">
            <v>.</v>
          </cell>
        </row>
        <row r="634">
          <cell r="BD634" t="str">
            <v>.</v>
          </cell>
        </row>
        <row r="635">
          <cell r="BD635" t="str">
            <v>.</v>
          </cell>
        </row>
        <row r="636">
          <cell r="BD636" t="str">
            <v>.</v>
          </cell>
        </row>
        <row r="637">
          <cell r="BD637" t="str">
            <v>.</v>
          </cell>
        </row>
        <row r="638">
          <cell r="BD638" t="str">
            <v>.</v>
          </cell>
        </row>
        <row r="639">
          <cell r="BD639" t="str">
            <v>.</v>
          </cell>
        </row>
        <row r="640">
          <cell r="BD640" t="str">
            <v>.</v>
          </cell>
        </row>
        <row r="641">
          <cell r="BD641" t="str">
            <v>.</v>
          </cell>
        </row>
        <row r="642">
          <cell r="BD642" t="str">
            <v>.</v>
          </cell>
        </row>
        <row r="643">
          <cell r="BD643" t="str">
            <v>.</v>
          </cell>
        </row>
        <row r="644">
          <cell r="BD644" t="str">
            <v>.</v>
          </cell>
        </row>
        <row r="645">
          <cell r="BD645" t="str">
            <v>.</v>
          </cell>
        </row>
        <row r="646">
          <cell r="BD646" t="str">
            <v>.</v>
          </cell>
        </row>
        <row r="647">
          <cell r="BD647" t="str">
            <v>.</v>
          </cell>
        </row>
        <row r="648">
          <cell r="BD648" t="str">
            <v>.</v>
          </cell>
        </row>
        <row r="649">
          <cell r="BD649" t="str">
            <v>.</v>
          </cell>
        </row>
        <row r="650">
          <cell r="BD650" t="str">
            <v>.</v>
          </cell>
        </row>
        <row r="651">
          <cell r="BD651" t="str">
            <v>.</v>
          </cell>
        </row>
        <row r="652">
          <cell r="BD652" t="str">
            <v>.</v>
          </cell>
        </row>
        <row r="653">
          <cell r="BD653" t="str">
            <v>.</v>
          </cell>
        </row>
        <row r="654">
          <cell r="BD654" t="str">
            <v>.</v>
          </cell>
        </row>
        <row r="655">
          <cell r="BD655" t="str">
            <v>.</v>
          </cell>
        </row>
        <row r="656">
          <cell r="BD656" t="str">
            <v>.</v>
          </cell>
        </row>
        <row r="657">
          <cell r="BD657" t="str">
            <v>.</v>
          </cell>
        </row>
        <row r="658">
          <cell r="BD658" t="str">
            <v>.</v>
          </cell>
        </row>
        <row r="659">
          <cell r="BD659" t="str">
            <v>.</v>
          </cell>
        </row>
        <row r="660">
          <cell r="BD660" t="str">
            <v>.</v>
          </cell>
        </row>
        <row r="661">
          <cell r="BD661" t="str">
            <v>.</v>
          </cell>
        </row>
        <row r="662">
          <cell r="BD662" t="str">
            <v>.</v>
          </cell>
        </row>
        <row r="663">
          <cell r="BD663" t="str">
            <v>.</v>
          </cell>
        </row>
        <row r="664">
          <cell r="BD664" t="str">
            <v>.</v>
          </cell>
        </row>
        <row r="665">
          <cell r="BD665" t="str">
            <v>.</v>
          </cell>
        </row>
        <row r="666">
          <cell r="BD666" t="str">
            <v>.</v>
          </cell>
        </row>
        <row r="667">
          <cell r="BD667" t="str">
            <v>.</v>
          </cell>
        </row>
        <row r="668">
          <cell r="BD668" t="str">
            <v>.</v>
          </cell>
        </row>
        <row r="669">
          <cell r="BD669" t="str">
            <v>.</v>
          </cell>
        </row>
        <row r="670">
          <cell r="BD670" t="str">
            <v>.</v>
          </cell>
        </row>
        <row r="671">
          <cell r="BD671" t="str">
            <v>.</v>
          </cell>
        </row>
        <row r="672">
          <cell r="BD672" t="str">
            <v>.</v>
          </cell>
        </row>
        <row r="673">
          <cell r="BD673" t="str">
            <v>.</v>
          </cell>
        </row>
        <row r="674">
          <cell r="BD674" t="str">
            <v>.</v>
          </cell>
        </row>
        <row r="675">
          <cell r="BD675" t="str">
            <v>.</v>
          </cell>
        </row>
        <row r="676">
          <cell r="BD676" t="str">
            <v>.</v>
          </cell>
        </row>
        <row r="677">
          <cell r="BD677" t="str">
            <v>.</v>
          </cell>
        </row>
        <row r="678">
          <cell r="BD678" t="str">
            <v>.</v>
          </cell>
        </row>
        <row r="679">
          <cell r="BD679" t="str">
            <v>.</v>
          </cell>
        </row>
        <row r="680">
          <cell r="BD680" t="str">
            <v>.</v>
          </cell>
        </row>
        <row r="681">
          <cell r="BD681" t="str">
            <v>.</v>
          </cell>
        </row>
        <row r="682">
          <cell r="BD682" t="str">
            <v>.</v>
          </cell>
        </row>
        <row r="683">
          <cell r="BD683" t="str">
            <v>.</v>
          </cell>
        </row>
        <row r="684">
          <cell r="BD684" t="str">
            <v>.</v>
          </cell>
        </row>
        <row r="685">
          <cell r="BD685" t="str">
            <v>.</v>
          </cell>
        </row>
        <row r="686">
          <cell r="BD686" t="str">
            <v>.</v>
          </cell>
        </row>
        <row r="687">
          <cell r="BD687" t="str">
            <v>.</v>
          </cell>
        </row>
        <row r="688">
          <cell r="BD688" t="str">
            <v>.</v>
          </cell>
        </row>
        <row r="689">
          <cell r="BD689" t="str">
            <v>.</v>
          </cell>
        </row>
        <row r="690">
          <cell r="BD690" t="str">
            <v>.</v>
          </cell>
        </row>
        <row r="691">
          <cell r="BD691" t="str">
            <v>.</v>
          </cell>
        </row>
        <row r="692">
          <cell r="BD692" t="str">
            <v>.</v>
          </cell>
        </row>
        <row r="693">
          <cell r="BD693" t="str">
            <v>.</v>
          </cell>
        </row>
        <row r="694">
          <cell r="BD694" t="str">
            <v>.</v>
          </cell>
        </row>
        <row r="695">
          <cell r="BD695" t="str">
            <v>.</v>
          </cell>
        </row>
        <row r="696">
          <cell r="BD696" t="str">
            <v>.</v>
          </cell>
        </row>
        <row r="697">
          <cell r="BD697" t="str">
            <v>.</v>
          </cell>
        </row>
        <row r="698">
          <cell r="BD698" t="str">
            <v>.</v>
          </cell>
        </row>
        <row r="699">
          <cell r="BD699" t="str">
            <v>.</v>
          </cell>
        </row>
        <row r="700">
          <cell r="BD700" t="str">
            <v>.</v>
          </cell>
        </row>
        <row r="701">
          <cell r="BD701" t="str">
            <v>.</v>
          </cell>
        </row>
        <row r="702">
          <cell r="BD702" t="str">
            <v>.</v>
          </cell>
        </row>
        <row r="703">
          <cell r="BD703" t="str">
            <v>.</v>
          </cell>
        </row>
        <row r="704">
          <cell r="BD704" t="str">
            <v>.</v>
          </cell>
        </row>
        <row r="705">
          <cell r="BD705" t="str">
            <v>.</v>
          </cell>
        </row>
        <row r="706">
          <cell r="BD706" t="str">
            <v>.</v>
          </cell>
        </row>
        <row r="707">
          <cell r="BD707" t="str">
            <v>.</v>
          </cell>
        </row>
        <row r="708">
          <cell r="BD708" t="str">
            <v>.</v>
          </cell>
        </row>
        <row r="709">
          <cell r="BD709" t="str">
            <v>.</v>
          </cell>
        </row>
        <row r="710">
          <cell r="BD710" t="str">
            <v>.</v>
          </cell>
        </row>
        <row r="711">
          <cell r="BD711" t="str">
            <v>.</v>
          </cell>
        </row>
        <row r="712">
          <cell r="BD712" t="str">
            <v>.</v>
          </cell>
        </row>
        <row r="713">
          <cell r="BD713" t="str">
            <v>.</v>
          </cell>
        </row>
        <row r="714">
          <cell r="BD714" t="str">
            <v>.</v>
          </cell>
        </row>
        <row r="715">
          <cell r="BD715" t="str">
            <v>.</v>
          </cell>
        </row>
        <row r="716">
          <cell r="BD716" t="str">
            <v>.</v>
          </cell>
        </row>
        <row r="717">
          <cell r="BD717" t="str">
            <v>.</v>
          </cell>
        </row>
        <row r="718">
          <cell r="BD718" t="str">
            <v>.</v>
          </cell>
        </row>
        <row r="719">
          <cell r="BD719" t="str">
            <v>.</v>
          </cell>
        </row>
        <row r="720">
          <cell r="BD720" t="str">
            <v>.</v>
          </cell>
        </row>
        <row r="721">
          <cell r="BD721" t="str">
            <v>.</v>
          </cell>
        </row>
        <row r="722">
          <cell r="BD722" t="str">
            <v>.</v>
          </cell>
        </row>
        <row r="723">
          <cell r="BD723" t="str">
            <v>.</v>
          </cell>
        </row>
        <row r="724">
          <cell r="BD724" t="str">
            <v>.</v>
          </cell>
        </row>
        <row r="725">
          <cell r="BD725" t="str">
            <v>.</v>
          </cell>
        </row>
        <row r="726">
          <cell r="BD726" t="str">
            <v>.</v>
          </cell>
        </row>
        <row r="727">
          <cell r="BD727" t="str">
            <v>.</v>
          </cell>
        </row>
        <row r="728">
          <cell r="BD728" t="str">
            <v>.</v>
          </cell>
        </row>
        <row r="729">
          <cell r="BD729" t="str">
            <v>.</v>
          </cell>
        </row>
        <row r="730">
          <cell r="BD730" t="str">
            <v>.</v>
          </cell>
        </row>
        <row r="731">
          <cell r="BD731" t="str">
            <v>.</v>
          </cell>
        </row>
        <row r="732">
          <cell r="BD732" t="str">
            <v>.</v>
          </cell>
        </row>
        <row r="733">
          <cell r="BD733" t="str">
            <v>.</v>
          </cell>
        </row>
        <row r="734">
          <cell r="BD734" t="str">
            <v>.</v>
          </cell>
        </row>
        <row r="735">
          <cell r="BD735" t="str">
            <v>.</v>
          </cell>
        </row>
        <row r="736">
          <cell r="BD736" t="str">
            <v>.</v>
          </cell>
        </row>
        <row r="737">
          <cell r="BD737" t="str">
            <v>.</v>
          </cell>
        </row>
        <row r="738">
          <cell r="BD738" t="str">
            <v>.</v>
          </cell>
        </row>
        <row r="739">
          <cell r="BD739" t="str">
            <v>.</v>
          </cell>
        </row>
        <row r="740">
          <cell r="BD740" t="str">
            <v>.</v>
          </cell>
        </row>
        <row r="741">
          <cell r="BD741" t="str">
            <v>.</v>
          </cell>
        </row>
        <row r="742">
          <cell r="BD742" t="str">
            <v>.</v>
          </cell>
        </row>
        <row r="743">
          <cell r="BD743" t="str">
            <v>.</v>
          </cell>
        </row>
        <row r="744">
          <cell r="BD744" t="str">
            <v>.</v>
          </cell>
        </row>
        <row r="745">
          <cell r="BD745" t="str">
            <v>.</v>
          </cell>
        </row>
        <row r="746">
          <cell r="BD746" t="str">
            <v>.</v>
          </cell>
        </row>
        <row r="747">
          <cell r="BD747" t="str">
            <v>.</v>
          </cell>
        </row>
        <row r="748">
          <cell r="BD748" t="str">
            <v>.</v>
          </cell>
        </row>
        <row r="749">
          <cell r="BD749" t="str">
            <v>.</v>
          </cell>
        </row>
        <row r="750">
          <cell r="BD750" t="str">
            <v>.</v>
          </cell>
        </row>
        <row r="751">
          <cell r="BD751" t="str">
            <v>.</v>
          </cell>
        </row>
        <row r="752">
          <cell r="BD752" t="str">
            <v>.</v>
          </cell>
        </row>
        <row r="753">
          <cell r="BD753" t="str">
            <v>.</v>
          </cell>
        </row>
        <row r="754">
          <cell r="BD754" t="str">
            <v>.</v>
          </cell>
        </row>
        <row r="755">
          <cell r="BD755" t="str">
            <v>.</v>
          </cell>
        </row>
        <row r="756">
          <cell r="BD756" t="str">
            <v>.</v>
          </cell>
        </row>
        <row r="757">
          <cell r="BD757" t="str">
            <v>.</v>
          </cell>
        </row>
        <row r="758">
          <cell r="BD758" t="str">
            <v>.</v>
          </cell>
        </row>
        <row r="759">
          <cell r="BD759" t="str">
            <v>.</v>
          </cell>
        </row>
        <row r="760">
          <cell r="BD760" t="str">
            <v>.</v>
          </cell>
        </row>
        <row r="761">
          <cell r="BD761" t="str">
            <v>.</v>
          </cell>
        </row>
        <row r="762">
          <cell r="BD762" t="str">
            <v>.</v>
          </cell>
        </row>
        <row r="763">
          <cell r="BD763" t="str">
            <v>.</v>
          </cell>
        </row>
        <row r="764">
          <cell r="BD764" t="str">
            <v>.</v>
          </cell>
        </row>
        <row r="765">
          <cell r="BD765" t="str">
            <v>.</v>
          </cell>
        </row>
        <row r="766">
          <cell r="BD766" t="str">
            <v>.</v>
          </cell>
        </row>
        <row r="767">
          <cell r="BD767" t="str">
            <v>.</v>
          </cell>
        </row>
        <row r="768">
          <cell r="BD768" t="str">
            <v>.</v>
          </cell>
        </row>
        <row r="769">
          <cell r="BD769" t="str">
            <v>.</v>
          </cell>
        </row>
        <row r="770">
          <cell r="BD770" t="str">
            <v>.</v>
          </cell>
        </row>
        <row r="771">
          <cell r="BD771" t="str">
            <v>.</v>
          </cell>
        </row>
        <row r="772">
          <cell r="BD772" t="str">
            <v>.</v>
          </cell>
        </row>
        <row r="773">
          <cell r="BD773" t="str">
            <v>.</v>
          </cell>
        </row>
        <row r="774">
          <cell r="BD774" t="str">
            <v>.</v>
          </cell>
        </row>
        <row r="775">
          <cell r="BD775" t="str">
            <v>.</v>
          </cell>
        </row>
        <row r="776">
          <cell r="BD776" t="str">
            <v>.</v>
          </cell>
        </row>
        <row r="777">
          <cell r="BD777" t="str">
            <v>.</v>
          </cell>
        </row>
        <row r="778">
          <cell r="BD778" t="str">
            <v>.</v>
          </cell>
        </row>
        <row r="779">
          <cell r="BD779" t="str">
            <v>.</v>
          </cell>
        </row>
        <row r="780">
          <cell r="BD780" t="str">
            <v>.</v>
          </cell>
        </row>
        <row r="781">
          <cell r="BD781" t="str">
            <v>.</v>
          </cell>
        </row>
        <row r="782">
          <cell r="BD782" t="str">
            <v>.</v>
          </cell>
        </row>
        <row r="783">
          <cell r="BD783" t="str">
            <v>.</v>
          </cell>
        </row>
        <row r="784">
          <cell r="BD784" t="str">
            <v>.</v>
          </cell>
        </row>
        <row r="785">
          <cell r="BD785" t="str">
            <v>.</v>
          </cell>
        </row>
        <row r="786">
          <cell r="BD786" t="str">
            <v>.</v>
          </cell>
        </row>
        <row r="787">
          <cell r="BD787" t="str">
            <v>.</v>
          </cell>
        </row>
        <row r="788">
          <cell r="BD788" t="str">
            <v>.</v>
          </cell>
        </row>
        <row r="789">
          <cell r="BD789" t="str">
            <v>.</v>
          </cell>
        </row>
        <row r="790">
          <cell r="BD790" t="str">
            <v>.</v>
          </cell>
        </row>
        <row r="791">
          <cell r="BD791" t="str">
            <v>.</v>
          </cell>
        </row>
        <row r="792">
          <cell r="BD792" t="str">
            <v>.</v>
          </cell>
        </row>
        <row r="793">
          <cell r="BD793" t="str">
            <v>.</v>
          </cell>
        </row>
        <row r="794">
          <cell r="BD794" t="str">
            <v>.</v>
          </cell>
        </row>
        <row r="795">
          <cell r="BD795" t="str">
            <v>.</v>
          </cell>
        </row>
        <row r="796">
          <cell r="BD796" t="str">
            <v>.</v>
          </cell>
        </row>
        <row r="797">
          <cell r="BD797" t="str">
            <v>.</v>
          </cell>
        </row>
        <row r="798">
          <cell r="BD798" t="str">
            <v>.</v>
          </cell>
        </row>
        <row r="799">
          <cell r="BD799" t="str">
            <v>.</v>
          </cell>
        </row>
        <row r="800">
          <cell r="BD800" t="str">
            <v>.</v>
          </cell>
        </row>
        <row r="801">
          <cell r="BD801" t="str">
            <v>.</v>
          </cell>
        </row>
        <row r="802">
          <cell r="BD802" t="str">
            <v>.</v>
          </cell>
        </row>
        <row r="803">
          <cell r="BD803" t="str">
            <v>.</v>
          </cell>
        </row>
        <row r="804">
          <cell r="BD804" t="str">
            <v>.</v>
          </cell>
        </row>
        <row r="805">
          <cell r="BD805" t="str">
            <v>.</v>
          </cell>
        </row>
        <row r="806">
          <cell r="BD806" t="str">
            <v>.</v>
          </cell>
        </row>
        <row r="807">
          <cell r="BD807" t="str">
            <v>.</v>
          </cell>
        </row>
        <row r="808">
          <cell r="BD808" t="str">
            <v>.</v>
          </cell>
        </row>
        <row r="809">
          <cell r="BD809" t="str">
            <v>.</v>
          </cell>
        </row>
        <row r="810">
          <cell r="BD810" t="str">
            <v>.</v>
          </cell>
        </row>
        <row r="811">
          <cell r="BD811" t="str">
            <v>.</v>
          </cell>
        </row>
        <row r="812">
          <cell r="BD812" t="str">
            <v>.</v>
          </cell>
        </row>
        <row r="813">
          <cell r="BD813" t="str">
            <v>.</v>
          </cell>
        </row>
        <row r="814">
          <cell r="BD814" t="str">
            <v>.</v>
          </cell>
        </row>
        <row r="815">
          <cell r="BD815" t="str">
            <v>.</v>
          </cell>
        </row>
        <row r="816">
          <cell r="BD816" t="str">
            <v>.</v>
          </cell>
        </row>
        <row r="817">
          <cell r="BD817" t="str">
            <v>.</v>
          </cell>
        </row>
        <row r="818">
          <cell r="BD818" t="str">
            <v>.</v>
          </cell>
        </row>
        <row r="819">
          <cell r="BD819" t="str">
            <v>.</v>
          </cell>
        </row>
        <row r="820">
          <cell r="BD820" t="str">
            <v>.</v>
          </cell>
        </row>
        <row r="821">
          <cell r="BD821" t="str">
            <v>.</v>
          </cell>
        </row>
        <row r="822">
          <cell r="BD822" t="str">
            <v>.</v>
          </cell>
        </row>
        <row r="823">
          <cell r="BD823" t="str">
            <v>.</v>
          </cell>
        </row>
        <row r="824">
          <cell r="BD824" t="str">
            <v>.</v>
          </cell>
        </row>
        <row r="825">
          <cell r="BD825" t="str">
            <v>.</v>
          </cell>
        </row>
        <row r="826">
          <cell r="BD826" t="str">
            <v>.</v>
          </cell>
        </row>
        <row r="827">
          <cell r="BD827" t="str">
            <v>.</v>
          </cell>
        </row>
        <row r="828">
          <cell r="BD828" t="str">
            <v>.</v>
          </cell>
        </row>
        <row r="829">
          <cell r="BD829" t="str">
            <v>.</v>
          </cell>
        </row>
        <row r="830">
          <cell r="BD830" t="str">
            <v>.</v>
          </cell>
        </row>
        <row r="831">
          <cell r="BD831" t="str">
            <v>.</v>
          </cell>
        </row>
        <row r="832">
          <cell r="BD832" t="str">
            <v>.</v>
          </cell>
        </row>
        <row r="833">
          <cell r="BD833" t="str">
            <v>.</v>
          </cell>
        </row>
        <row r="834">
          <cell r="BD834" t="str">
            <v>.</v>
          </cell>
        </row>
        <row r="835">
          <cell r="BD835" t="str">
            <v>.</v>
          </cell>
        </row>
        <row r="836">
          <cell r="BD836" t="str">
            <v>.</v>
          </cell>
        </row>
        <row r="837">
          <cell r="BD837" t="str">
            <v>.</v>
          </cell>
        </row>
        <row r="838">
          <cell r="BD838" t="str">
            <v>.</v>
          </cell>
        </row>
        <row r="839">
          <cell r="BD839" t="str">
            <v>.</v>
          </cell>
        </row>
        <row r="840">
          <cell r="BD840" t="str">
            <v>.</v>
          </cell>
        </row>
        <row r="841">
          <cell r="BD841" t="str">
            <v>.</v>
          </cell>
        </row>
        <row r="842">
          <cell r="BD842" t="str">
            <v>.</v>
          </cell>
        </row>
        <row r="843">
          <cell r="BD843" t="str">
            <v>.</v>
          </cell>
        </row>
        <row r="844">
          <cell r="BD844" t="str">
            <v>.</v>
          </cell>
        </row>
        <row r="845">
          <cell r="BD845" t="str">
            <v>.</v>
          </cell>
        </row>
        <row r="846">
          <cell r="BD846" t="str">
            <v>.</v>
          </cell>
        </row>
        <row r="847">
          <cell r="BD847" t="str">
            <v>.</v>
          </cell>
        </row>
        <row r="848">
          <cell r="BD848" t="str">
            <v>.</v>
          </cell>
        </row>
        <row r="849">
          <cell r="BD849" t="str">
            <v>.</v>
          </cell>
        </row>
        <row r="850">
          <cell r="BD850" t="str">
            <v>.</v>
          </cell>
        </row>
        <row r="851">
          <cell r="BD851" t="str">
            <v>.</v>
          </cell>
        </row>
        <row r="852">
          <cell r="BD852" t="str">
            <v>.</v>
          </cell>
        </row>
        <row r="853">
          <cell r="BD853" t="str">
            <v>.</v>
          </cell>
        </row>
        <row r="854">
          <cell r="BD854" t="str">
            <v>.</v>
          </cell>
        </row>
        <row r="855">
          <cell r="BD855" t="str">
            <v>.</v>
          </cell>
        </row>
        <row r="856">
          <cell r="BD856" t="str">
            <v>.</v>
          </cell>
        </row>
        <row r="857">
          <cell r="BD857" t="str">
            <v>.</v>
          </cell>
        </row>
        <row r="858">
          <cell r="BD858" t="str">
            <v>.</v>
          </cell>
        </row>
        <row r="859">
          <cell r="BD859" t="str">
            <v>.</v>
          </cell>
        </row>
        <row r="860">
          <cell r="BD860" t="str">
            <v>.</v>
          </cell>
        </row>
        <row r="861">
          <cell r="BD861" t="str">
            <v>.</v>
          </cell>
        </row>
        <row r="862">
          <cell r="BD862" t="str">
            <v>.</v>
          </cell>
        </row>
        <row r="863">
          <cell r="BD863" t="str">
            <v>.</v>
          </cell>
        </row>
        <row r="864">
          <cell r="BD864" t="str">
            <v>.</v>
          </cell>
        </row>
        <row r="865">
          <cell r="BD865" t="str">
            <v>.</v>
          </cell>
        </row>
        <row r="866">
          <cell r="BD866" t="str">
            <v>.</v>
          </cell>
        </row>
        <row r="867">
          <cell r="BD867" t="str">
            <v>.</v>
          </cell>
        </row>
        <row r="868">
          <cell r="BD868" t="str">
            <v>.</v>
          </cell>
        </row>
        <row r="869">
          <cell r="BD869" t="str">
            <v>.</v>
          </cell>
        </row>
        <row r="870">
          <cell r="BD870" t="str">
            <v>.</v>
          </cell>
        </row>
        <row r="871">
          <cell r="BD871" t="str">
            <v>.</v>
          </cell>
        </row>
        <row r="872">
          <cell r="BD872" t="str">
            <v>.</v>
          </cell>
        </row>
        <row r="873">
          <cell r="BD873" t="str">
            <v>.</v>
          </cell>
        </row>
        <row r="874">
          <cell r="BD874" t="str">
            <v>.</v>
          </cell>
        </row>
        <row r="875">
          <cell r="BD875" t="str">
            <v>.</v>
          </cell>
        </row>
        <row r="876">
          <cell r="BD876" t="str">
            <v>.</v>
          </cell>
        </row>
        <row r="877">
          <cell r="BD877" t="str">
            <v>.</v>
          </cell>
        </row>
        <row r="878">
          <cell r="BD878" t="str">
            <v>.</v>
          </cell>
        </row>
        <row r="879">
          <cell r="BD879" t="str">
            <v>.</v>
          </cell>
        </row>
        <row r="880">
          <cell r="BD880" t="str">
            <v>.</v>
          </cell>
        </row>
        <row r="881">
          <cell r="BD881" t="str">
            <v>.</v>
          </cell>
        </row>
        <row r="882">
          <cell r="BD882" t="str">
            <v>.</v>
          </cell>
        </row>
        <row r="883">
          <cell r="BD883" t="str">
            <v>.</v>
          </cell>
        </row>
        <row r="884">
          <cell r="BD884" t="str">
            <v>.</v>
          </cell>
        </row>
        <row r="885">
          <cell r="BD885" t="str">
            <v>.</v>
          </cell>
        </row>
        <row r="886">
          <cell r="BD886" t="str">
            <v>.</v>
          </cell>
        </row>
        <row r="887">
          <cell r="BD887" t="str">
            <v>.</v>
          </cell>
        </row>
        <row r="888">
          <cell r="BD888" t="str">
            <v>.</v>
          </cell>
        </row>
        <row r="889">
          <cell r="BD889" t="str">
            <v>.</v>
          </cell>
        </row>
        <row r="890">
          <cell r="BD890" t="str">
            <v>.</v>
          </cell>
        </row>
        <row r="891">
          <cell r="BD891" t="str">
            <v>.</v>
          </cell>
        </row>
        <row r="892">
          <cell r="BD892" t="str">
            <v>.</v>
          </cell>
        </row>
        <row r="893">
          <cell r="BD893" t="str">
            <v>.</v>
          </cell>
        </row>
        <row r="894">
          <cell r="BD894" t="str">
            <v>.</v>
          </cell>
        </row>
        <row r="895">
          <cell r="BD895" t="str">
            <v>.</v>
          </cell>
        </row>
        <row r="896">
          <cell r="BD896" t="str">
            <v>.</v>
          </cell>
        </row>
        <row r="897">
          <cell r="BD897" t="str">
            <v>.</v>
          </cell>
        </row>
        <row r="898">
          <cell r="BD898" t="str">
            <v>.</v>
          </cell>
        </row>
        <row r="899">
          <cell r="BD899" t="str">
            <v>.</v>
          </cell>
        </row>
        <row r="900">
          <cell r="BD900" t="str">
            <v>.</v>
          </cell>
        </row>
        <row r="901">
          <cell r="BD901" t="str">
            <v>.</v>
          </cell>
        </row>
        <row r="902">
          <cell r="BD902" t="str">
            <v>.</v>
          </cell>
        </row>
        <row r="903">
          <cell r="BD903" t="str">
            <v>.</v>
          </cell>
        </row>
        <row r="904">
          <cell r="BD904" t="str">
            <v>.</v>
          </cell>
        </row>
        <row r="905">
          <cell r="BD905" t="str">
            <v>.</v>
          </cell>
        </row>
        <row r="906">
          <cell r="BD906" t="str">
            <v>.</v>
          </cell>
        </row>
        <row r="907">
          <cell r="BD907" t="str">
            <v>.</v>
          </cell>
        </row>
        <row r="908">
          <cell r="BD908" t="str">
            <v>.</v>
          </cell>
        </row>
        <row r="909">
          <cell r="BD909" t="str">
            <v>.</v>
          </cell>
        </row>
        <row r="910">
          <cell r="BD910" t="str">
            <v>.</v>
          </cell>
        </row>
        <row r="911">
          <cell r="BD911" t="str">
            <v>.</v>
          </cell>
        </row>
        <row r="912">
          <cell r="BD912" t="str">
            <v>.</v>
          </cell>
        </row>
        <row r="913">
          <cell r="BD913" t="str">
            <v>.</v>
          </cell>
        </row>
        <row r="914">
          <cell r="BD914" t="str">
            <v>.</v>
          </cell>
        </row>
        <row r="915">
          <cell r="BD915" t="str">
            <v>.</v>
          </cell>
        </row>
        <row r="916">
          <cell r="BD916" t="str">
            <v>.</v>
          </cell>
        </row>
        <row r="917">
          <cell r="BD917" t="str">
            <v>.</v>
          </cell>
        </row>
        <row r="918">
          <cell r="BD918" t="str">
            <v>.</v>
          </cell>
        </row>
        <row r="919">
          <cell r="BD919" t="str">
            <v>.</v>
          </cell>
        </row>
        <row r="920">
          <cell r="BD920" t="str">
            <v>.</v>
          </cell>
        </row>
        <row r="921">
          <cell r="BD921" t="str">
            <v>.</v>
          </cell>
        </row>
        <row r="922">
          <cell r="BD922" t="str">
            <v>.</v>
          </cell>
        </row>
        <row r="923">
          <cell r="BD923" t="str">
            <v>.</v>
          </cell>
        </row>
        <row r="924">
          <cell r="BD924" t="str">
            <v>.</v>
          </cell>
        </row>
        <row r="925">
          <cell r="BD925" t="str">
            <v>.</v>
          </cell>
        </row>
        <row r="926">
          <cell r="BD926" t="str">
            <v>.</v>
          </cell>
        </row>
        <row r="927">
          <cell r="BD927" t="str">
            <v>.</v>
          </cell>
        </row>
        <row r="928">
          <cell r="BD928" t="str">
            <v>.</v>
          </cell>
        </row>
        <row r="929">
          <cell r="BD929" t="str">
            <v>.</v>
          </cell>
        </row>
        <row r="930">
          <cell r="BD930" t="str">
            <v>.</v>
          </cell>
        </row>
        <row r="931">
          <cell r="BD931" t="str">
            <v>.</v>
          </cell>
        </row>
        <row r="932">
          <cell r="BD932" t="str">
            <v>.</v>
          </cell>
        </row>
        <row r="933">
          <cell r="BD933" t="str">
            <v>.</v>
          </cell>
        </row>
        <row r="934">
          <cell r="BD934" t="str">
            <v>.</v>
          </cell>
        </row>
        <row r="935">
          <cell r="BD935" t="str">
            <v>.</v>
          </cell>
        </row>
        <row r="936">
          <cell r="BD936" t="str">
            <v>.</v>
          </cell>
        </row>
        <row r="937">
          <cell r="BD937" t="str">
            <v>.</v>
          </cell>
        </row>
        <row r="938">
          <cell r="BD938" t="str">
            <v>.</v>
          </cell>
        </row>
        <row r="939">
          <cell r="BD939" t="str">
            <v>.</v>
          </cell>
        </row>
        <row r="940">
          <cell r="BD940" t="str">
            <v>.</v>
          </cell>
        </row>
        <row r="941">
          <cell r="BD941" t="str">
            <v>.</v>
          </cell>
        </row>
        <row r="942">
          <cell r="BD942" t="str">
            <v>.</v>
          </cell>
        </row>
        <row r="943">
          <cell r="BD943" t="str">
            <v>.</v>
          </cell>
        </row>
        <row r="944">
          <cell r="BD944" t="str">
            <v>.</v>
          </cell>
        </row>
        <row r="945">
          <cell r="BD945" t="str">
            <v>.</v>
          </cell>
        </row>
        <row r="946">
          <cell r="BD946" t="str">
            <v>.</v>
          </cell>
        </row>
        <row r="947">
          <cell r="BD947" t="str">
            <v>.</v>
          </cell>
        </row>
        <row r="948">
          <cell r="BD948" t="str">
            <v>.</v>
          </cell>
        </row>
        <row r="949">
          <cell r="BD949" t="str">
            <v>.</v>
          </cell>
        </row>
        <row r="950">
          <cell r="BD950" t="str">
            <v>.</v>
          </cell>
        </row>
        <row r="951">
          <cell r="BD951" t="str">
            <v>.</v>
          </cell>
        </row>
        <row r="952">
          <cell r="BD952" t="str">
            <v>.</v>
          </cell>
        </row>
        <row r="953">
          <cell r="BD953" t="str">
            <v>.</v>
          </cell>
        </row>
        <row r="954">
          <cell r="BD954" t="str">
            <v>.</v>
          </cell>
        </row>
        <row r="955">
          <cell r="BD955" t="str">
            <v>.</v>
          </cell>
        </row>
        <row r="956">
          <cell r="BD956" t="str">
            <v>.</v>
          </cell>
        </row>
        <row r="957">
          <cell r="BD957" t="str">
            <v>.</v>
          </cell>
        </row>
        <row r="958">
          <cell r="BD958" t="str">
            <v>.</v>
          </cell>
        </row>
        <row r="959">
          <cell r="BD959" t="str">
            <v>.</v>
          </cell>
        </row>
        <row r="960">
          <cell r="BD960" t="str">
            <v>.</v>
          </cell>
        </row>
        <row r="961">
          <cell r="BD961" t="str">
            <v>.</v>
          </cell>
        </row>
        <row r="962">
          <cell r="BD962" t="str">
            <v>.</v>
          </cell>
        </row>
        <row r="963">
          <cell r="BD963" t="str">
            <v>.</v>
          </cell>
        </row>
        <row r="964">
          <cell r="BD964" t="str">
            <v>.</v>
          </cell>
        </row>
        <row r="965">
          <cell r="BD965" t="str">
            <v>.</v>
          </cell>
        </row>
        <row r="966">
          <cell r="BD966" t="str">
            <v>.</v>
          </cell>
        </row>
        <row r="967">
          <cell r="BD967" t="str">
            <v>.</v>
          </cell>
        </row>
        <row r="968">
          <cell r="BD968" t="str">
            <v>.</v>
          </cell>
        </row>
        <row r="969">
          <cell r="BD969" t="str">
            <v>.</v>
          </cell>
        </row>
        <row r="970">
          <cell r="BD970" t="str">
            <v>.</v>
          </cell>
        </row>
        <row r="971">
          <cell r="BD971" t="str">
            <v>.</v>
          </cell>
        </row>
        <row r="972">
          <cell r="BD972" t="str">
            <v>.</v>
          </cell>
        </row>
        <row r="973">
          <cell r="BD973" t="str">
            <v>.</v>
          </cell>
        </row>
        <row r="974">
          <cell r="BD974" t="str">
            <v>.</v>
          </cell>
        </row>
        <row r="975">
          <cell r="BD975" t="str">
            <v>.</v>
          </cell>
        </row>
        <row r="976">
          <cell r="BD976" t="str">
            <v>.</v>
          </cell>
        </row>
        <row r="977">
          <cell r="BD977" t="str">
            <v>.</v>
          </cell>
        </row>
        <row r="978">
          <cell r="BD978" t="str">
            <v>.</v>
          </cell>
        </row>
        <row r="979">
          <cell r="BD979" t="str">
            <v>.</v>
          </cell>
        </row>
        <row r="980">
          <cell r="BD980" t="str">
            <v>.</v>
          </cell>
        </row>
        <row r="981">
          <cell r="BD981" t="str">
            <v>.</v>
          </cell>
        </row>
        <row r="982">
          <cell r="BD982" t="str">
            <v>.</v>
          </cell>
        </row>
        <row r="983">
          <cell r="BD983" t="str">
            <v>.</v>
          </cell>
        </row>
        <row r="984">
          <cell r="BD984" t="str">
            <v>.</v>
          </cell>
        </row>
        <row r="985">
          <cell r="BD985" t="str">
            <v>.</v>
          </cell>
        </row>
        <row r="986">
          <cell r="BD986" t="str">
            <v>.</v>
          </cell>
        </row>
        <row r="987">
          <cell r="BD987" t="str">
            <v>.</v>
          </cell>
        </row>
        <row r="988">
          <cell r="BD988" t="str">
            <v>.</v>
          </cell>
        </row>
        <row r="989">
          <cell r="BD989" t="str">
            <v>.</v>
          </cell>
        </row>
        <row r="990">
          <cell r="BD990" t="str">
            <v>.</v>
          </cell>
        </row>
        <row r="991">
          <cell r="BD991" t="str">
            <v>.</v>
          </cell>
        </row>
        <row r="992">
          <cell r="BD992" t="str">
            <v>.</v>
          </cell>
        </row>
        <row r="993">
          <cell r="BD993" t="str">
            <v>.</v>
          </cell>
        </row>
        <row r="994">
          <cell r="BD994" t="str">
            <v>.</v>
          </cell>
        </row>
        <row r="995">
          <cell r="BD995" t="str">
            <v>.</v>
          </cell>
        </row>
        <row r="996">
          <cell r="C996" t="str">
            <v>.</v>
          </cell>
          <cell r="D996" t="str">
            <v>.</v>
          </cell>
          <cell r="E996" t="str">
            <v>.</v>
          </cell>
          <cell r="F996" t="str">
            <v>.</v>
          </cell>
          <cell r="G996" t="str">
            <v>.</v>
          </cell>
          <cell r="H996" t="str">
            <v>.</v>
          </cell>
          <cell r="BD996" t="str">
            <v>.</v>
          </cell>
        </row>
        <row r="997">
          <cell r="A997" t="str">
            <v>.</v>
          </cell>
          <cell r="B997" t="str">
            <v>.</v>
          </cell>
          <cell r="V997" t="str">
            <v>.</v>
          </cell>
          <cell r="W997" t="str">
            <v>.</v>
          </cell>
          <cell r="X997" t="str">
            <v>.</v>
          </cell>
          <cell r="Y997" t="str">
            <v>.</v>
          </cell>
          <cell r="Z997" t="str">
            <v>.</v>
          </cell>
          <cell r="AA997" t="str">
            <v>.</v>
          </cell>
          <cell r="AB997" t="str">
            <v>.</v>
          </cell>
          <cell r="AC997" t="str">
            <v>.</v>
          </cell>
          <cell r="AD997" t="str">
            <v>.</v>
          </cell>
          <cell r="AE997" t="str">
            <v>.</v>
          </cell>
          <cell r="AF997" t="str">
            <v>.</v>
          </cell>
          <cell r="AG997" t="str">
            <v>.</v>
          </cell>
          <cell r="AH997" t="str">
            <v>.</v>
          </cell>
          <cell r="AI997" t="str">
            <v>.</v>
          </cell>
          <cell r="AJ997" t="str">
            <v>.</v>
          </cell>
          <cell r="AK997" t="str">
            <v>.</v>
          </cell>
          <cell r="AL997" t="str">
            <v>.</v>
          </cell>
          <cell r="AM997" t="str">
            <v>.</v>
          </cell>
          <cell r="AN997" t="str">
            <v>.</v>
          </cell>
          <cell r="AO997" t="str">
            <v>.</v>
          </cell>
          <cell r="AP997" t="str">
            <v>.</v>
          </cell>
          <cell r="AQ997" t="str">
            <v>.</v>
          </cell>
          <cell r="AR997" t="str">
            <v>.</v>
          </cell>
          <cell r="AS997" t="str">
            <v>.</v>
          </cell>
          <cell r="AT997" t="str">
            <v>.</v>
          </cell>
          <cell r="AU997" t="str">
            <v>.</v>
          </cell>
          <cell r="AV997" t="str">
            <v>.</v>
          </cell>
          <cell r="AW997" t="str">
            <v>.</v>
          </cell>
          <cell r="AX997" t="str">
            <v>.</v>
          </cell>
          <cell r="AY997" t="str">
            <v>.</v>
          </cell>
          <cell r="AZ997" t="str">
            <v>.</v>
          </cell>
          <cell r="BA997" t="str">
            <v>.</v>
          </cell>
          <cell r="BB997" t="str">
            <v>.</v>
          </cell>
          <cell r="BC997" t="str">
            <v>.</v>
          </cell>
          <cell r="BD997" t="str">
            <v>.</v>
          </cell>
        </row>
      </sheetData>
      <sheetData sheetId="26"/>
      <sheetData sheetId="27">
        <row r="1">
          <cell r="A1" t="str">
            <v>RRS-5.10</v>
          </cell>
        </row>
      </sheetData>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sheetData sheetId="50" refreshError="1"/>
      <sheetData sheetId="51" refreshError="1"/>
      <sheetData sheetId="52" refreshError="1"/>
      <sheetData sheetId="5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FDSCACHE__"/>
      <sheetName val="mwareTaxoPres"/>
      <sheetName val="LOG"/>
      <sheetName val="MS Est vs. Rpt"/>
      <sheetName val="Changes to the Model"/>
      <sheetName val="Quarterly"/>
      <sheetName val="mwareValPrintout"/>
      <sheetName val="Annual"/>
      <sheetName val="Balance Sheet "/>
      <sheetName val="Cashflow"/>
      <sheetName val="Avastin"/>
      <sheetName val="Herceptin"/>
      <sheetName val="Rituxan"/>
      <sheetName val="Raptiva"/>
      <sheetName val="Xolair"/>
      <sheetName val="Avastin-Patient Ramp"/>
      <sheetName val="DCF Valuation"/>
      <sheetName val="Model_Template"/>
      <sheetName val="Clinical data"/>
      <sheetName val="Sheet1"/>
      <sheetName val="Sheet1 (2)"/>
      <sheetName val="Marketing"/>
      <sheetName val="mwareDates"/>
      <sheetName val="MWare_Cached"/>
      <sheetName val="Manufacturing"/>
      <sheetName val="NY UPLOAD shadow"/>
      <sheetName val="mwareSettings"/>
      <sheetName val="mStartup"/>
      <sheetName val="MainCode"/>
      <sheetName val="Figures"/>
      <sheetName val="MS Est. Vs Actual"/>
      <sheetName val="ProcritAranesp"/>
      <sheetName val="Changes to Model"/>
    </sheetNames>
    <sheetDataSet>
      <sheetData sheetId="0" refreshError="1"/>
      <sheetData sheetId="1" refreshError="1"/>
      <sheetData sheetId="2" refreshError="1"/>
      <sheetData sheetId="3" refreshError="1">
        <row r="2">
          <cell r="B2" t="str">
            <v>Earnings Snapshot</v>
          </cell>
        </row>
        <row r="3">
          <cell r="C3" t="str">
            <v>1Q05</v>
          </cell>
          <cell r="D3" t="str">
            <v>1Q06</v>
          </cell>
          <cell r="E3" t="str">
            <v>1Q06</v>
          </cell>
          <cell r="F3" t="str">
            <v>% Var.</v>
          </cell>
          <cell r="G3" t="str">
            <v>Y/Y</v>
          </cell>
        </row>
        <row r="4">
          <cell r="C4" t="str">
            <v>Actual</v>
          </cell>
          <cell r="D4" t="str">
            <v>MS Est</v>
          </cell>
          <cell r="E4" t="str">
            <v>Actual</v>
          </cell>
          <cell r="F4" t="str">
            <v>from est.</v>
          </cell>
          <cell r="G4" t="str">
            <v>% chg</v>
          </cell>
          <cell r="H4" t="str">
            <v>Comments</v>
          </cell>
        </row>
        <row r="5">
          <cell r="B5" t="str">
            <v>Revenues:</v>
          </cell>
        </row>
        <row r="6">
          <cell r="B6" t="str">
            <v>Rituxan US</v>
          </cell>
          <cell r="C6">
            <v>440.55</v>
          </cell>
          <cell r="D6">
            <v>505</v>
          </cell>
          <cell r="E6">
            <v>477</v>
          </cell>
          <cell r="F6">
            <v>-5.5445544554455495E-2</v>
          </cell>
          <cell r="G6">
            <v>0.14629440472137101</v>
          </cell>
          <cell r="H6" t="str">
            <v>Rituxan sales meaningfully weaker than indicated by IMS sales trends.</v>
          </cell>
        </row>
        <row r="7">
          <cell r="B7" t="str">
            <v>Avastin US</v>
          </cell>
          <cell r="C7">
            <v>202.85499999999999</v>
          </cell>
          <cell r="D7">
            <v>405</v>
          </cell>
          <cell r="E7">
            <v>398</v>
          </cell>
          <cell r="F7">
            <v>-1.7283950617283939E-2</v>
          </cell>
          <cell r="G7">
            <v>0.99649996302777866</v>
          </cell>
          <cell r="H7" t="str">
            <v xml:space="preserve">US sales were $10M short of our estimate after adjusting for $3M add back for destroyed shipment. </v>
          </cell>
        </row>
        <row r="8">
          <cell r="B8" t="str">
            <v>Herceptin US</v>
          </cell>
          <cell r="C8">
            <v>129.63</v>
          </cell>
          <cell r="D8">
            <v>273</v>
          </cell>
          <cell r="E8">
            <v>290</v>
          </cell>
          <cell r="F8">
            <v>6.2271062271062272E-2</v>
          </cell>
          <cell r="G8">
            <v>1.1059939828743346</v>
          </cell>
          <cell r="H8" t="str">
            <v>Herceptin strength in line with IMS sales data ($2M added back for destroyed shipment).</v>
          </cell>
        </row>
        <row r="9">
          <cell r="B9" t="str">
            <v>Xolair</v>
          </cell>
          <cell r="C9">
            <v>68.597000000000008</v>
          </cell>
          <cell r="D9">
            <v>98</v>
          </cell>
          <cell r="E9">
            <v>95</v>
          </cell>
          <cell r="F9">
            <v>-3.0612244897959218E-2</v>
          </cell>
          <cell r="G9">
            <v>0.42863390527282519</v>
          </cell>
        </row>
        <row r="10">
          <cell r="B10" t="str">
            <v>Tarceva - US</v>
          </cell>
          <cell r="C10">
            <v>47.585000000000001</v>
          </cell>
          <cell r="D10">
            <v>97</v>
          </cell>
          <cell r="E10">
            <v>93</v>
          </cell>
          <cell r="F10">
            <v>-4.123711340206182E-2</v>
          </cell>
          <cell r="G10" t="str">
            <v>NM</v>
          </cell>
          <cell r="H10" t="str">
            <v>US Tarceva sales below expectations based on IMS prescription trends and the November price increase.</v>
          </cell>
        </row>
        <row r="11">
          <cell r="B11" t="str">
            <v>Raptiva</v>
          </cell>
          <cell r="C11">
            <v>24.114999999999998</v>
          </cell>
          <cell r="D11">
            <v>22</v>
          </cell>
          <cell r="E11">
            <v>21</v>
          </cell>
          <cell r="F11">
            <v>-4.5454545454545414E-2</v>
          </cell>
          <cell r="G11">
            <v>-8.7704748082106487E-2</v>
          </cell>
        </row>
        <row r="12">
          <cell r="B12" t="str">
            <v>Growth Hormone Products</v>
          </cell>
          <cell r="C12">
            <v>92.087999999999994</v>
          </cell>
          <cell r="D12">
            <v>94</v>
          </cell>
          <cell r="E12">
            <v>87</v>
          </cell>
          <cell r="F12">
            <v>-7.4468085106383031E-2</v>
          </cell>
          <cell r="G12">
            <v>2.0762748675180243E-2</v>
          </cell>
        </row>
        <row r="13">
          <cell r="B13" t="str">
            <v>Thrombolytics</v>
          </cell>
          <cell r="C13">
            <v>53.57</v>
          </cell>
          <cell r="D13">
            <v>59</v>
          </cell>
          <cell r="E13">
            <v>59</v>
          </cell>
          <cell r="F13">
            <v>0</v>
          </cell>
          <cell r="G13">
            <v>0.10136270300541339</v>
          </cell>
        </row>
        <row r="14">
          <cell r="B14" t="str">
            <v>Pulmozyme</v>
          </cell>
          <cell r="C14">
            <v>51.745999999999995</v>
          </cell>
          <cell r="D14">
            <v>51</v>
          </cell>
          <cell r="E14">
            <v>49</v>
          </cell>
          <cell r="F14">
            <v>-3.9215686274509776E-2</v>
          </cell>
          <cell r="G14">
            <v>-1.4416573261701315E-2</v>
          </cell>
        </row>
        <row r="15">
          <cell r="B15" t="str">
            <v>Royalties, Contracts and Other</v>
          </cell>
          <cell r="C15">
            <v>275.60000000000002</v>
          </cell>
          <cell r="D15">
            <v>316.2</v>
          </cell>
          <cell r="E15">
            <v>342</v>
          </cell>
          <cell r="F15">
            <v>8.1593927893738094E-2</v>
          </cell>
          <cell r="G15">
            <v>0.1473149492017416</v>
          </cell>
        </row>
        <row r="16">
          <cell r="B16" t="str">
            <v>Total Revenues</v>
          </cell>
          <cell r="C16">
            <v>1461.6020000000003</v>
          </cell>
          <cell r="D16">
            <v>2013.12</v>
          </cell>
          <cell r="E16">
            <v>1986</v>
          </cell>
          <cell r="F16">
            <v>-1.3471626132570247E-2</v>
          </cell>
          <cell r="G16">
            <v>0.37733801677884915</v>
          </cell>
        </row>
        <row r="17">
          <cell r="B17" t="str">
            <v>Operating Expenses:</v>
          </cell>
        </row>
        <row r="18">
          <cell r="B18" t="str">
            <v>Cost of Sales</v>
          </cell>
          <cell r="C18">
            <v>251.041</v>
          </cell>
          <cell r="D18">
            <v>268.11336</v>
          </cell>
          <cell r="E18">
            <v>262</v>
          </cell>
          <cell r="F18">
            <v>-2.28014001241863E-2</v>
          </cell>
          <cell r="G18">
            <v>6.8006261925342981E-2</v>
          </cell>
        </row>
        <row r="19">
          <cell r="B19" t="str">
            <v>R&amp;D</v>
          </cell>
          <cell r="C19">
            <v>243.24</v>
          </cell>
          <cell r="D19">
            <v>367.39440000000002</v>
          </cell>
          <cell r="E19">
            <v>341</v>
          </cell>
          <cell r="F19">
            <v>-7.1842140217706185E-2</v>
          </cell>
          <cell r="G19">
            <v>0.51041933892451907</v>
          </cell>
        </row>
        <row r="20">
          <cell r="B20" t="str">
            <v>SG&amp;A</v>
          </cell>
          <cell r="C20">
            <v>315.214</v>
          </cell>
          <cell r="D20">
            <v>417.72239999999999</v>
          </cell>
          <cell r="E20">
            <v>400</v>
          </cell>
          <cell r="F20">
            <v>-4.2426262034307882E-2</v>
          </cell>
          <cell r="G20">
            <v>0.32520256079996446</v>
          </cell>
        </row>
        <row r="21">
          <cell r="B21" t="str">
            <v>Collaborative Profit Split</v>
          </cell>
          <cell r="C21">
            <v>176.27699999999999</v>
          </cell>
          <cell r="D21">
            <v>240</v>
          </cell>
          <cell r="E21">
            <v>226</v>
          </cell>
          <cell r="F21">
            <v>-5.8333333333333348E-2</v>
          </cell>
          <cell r="G21">
            <v>0.36149355843360187</v>
          </cell>
        </row>
        <row r="22">
          <cell r="B22" t="str">
            <v>Total Op.Expenses</v>
          </cell>
          <cell r="C22">
            <v>985.77199999999993</v>
          </cell>
          <cell r="D22">
            <v>1293.2301600000001</v>
          </cell>
          <cell r="E22">
            <v>1229</v>
          </cell>
          <cell r="F22">
            <v>-4.9666456897355382E-2</v>
          </cell>
          <cell r="G22">
            <v>0.31189581363641916</v>
          </cell>
        </row>
        <row r="23">
          <cell r="B23" t="str">
            <v>Operating Income (Loss)</v>
          </cell>
          <cell r="C23">
            <v>475.83000000000027</v>
          </cell>
          <cell r="D23">
            <v>719.88984000000005</v>
          </cell>
          <cell r="E23">
            <v>757</v>
          </cell>
          <cell r="F23">
            <v>5.154977600461752E-2</v>
          </cell>
          <cell r="G23">
            <v>0.51291393985246758</v>
          </cell>
        </row>
        <row r="24">
          <cell r="B24" t="str">
            <v xml:space="preserve">   Net Other Income</v>
          </cell>
          <cell r="C24">
            <v>16.396000000000001</v>
          </cell>
          <cell r="D24">
            <v>16</v>
          </cell>
          <cell r="E24">
            <v>34</v>
          </cell>
          <cell r="F24">
            <v>1.125</v>
          </cell>
          <cell r="G24">
            <v>-2.4152232251768768E-2</v>
          </cell>
        </row>
        <row r="25">
          <cell r="B25" t="str">
            <v xml:space="preserve">   Tax Expense</v>
          </cell>
          <cell r="C25">
            <v>180.58500000000001</v>
          </cell>
          <cell r="D25">
            <v>272.27924080000003</v>
          </cell>
          <cell r="E25">
            <v>300</v>
          </cell>
          <cell r="F25">
            <v>0.10181003560371304</v>
          </cell>
          <cell r="G25">
            <v>0.50776222166846652</v>
          </cell>
        </row>
        <row r="26">
          <cell r="B26" t="str">
            <v>Net Income (Loss)</v>
          </cell>
          <cell r="C26">
            <v>311.6410000000003</v>
          </cell>
          <cell r="D26">
            <v>463.61059920000002</v>
          </cell>
          <cell r="E26">
            <v>491</v>
          </cell>
          <cell r="F26">
            <v>5.9078461207018762E-2</v>
          </cell>
          <cell r="G26">
            <v>0.48764315093328414</v>
          </cell>
        </row>
        <row r="27">
          <cell r="B27" t="str">
            <v>EPS, Diluted</v>
          </cell>
          <cell r="C27">
            <v>0.29205273126155645</v>
          </cell>
          <cell r="D27">
            <v>0.42985344635725764</v>
          </cell>
          <cell r="E27">
            <v>0.45674418604651162</v>
          </cell>
          <cell r="F27">
            <v>6.2557925072222575E-2</v>
          </cell>
          <cell r="G27">
            <v>0.47183505013103155</v>
          </cell>
        </row>
        <row r="28">
          <cell r="B28" t="str">
            <v>Consensus EPS</v>
          </cell>
          <cell r="D28">
            <v>0.41</v>
          </cell>
        </row>
        <row r="29">
          <cell r="B29" t="str">
            <v xml:space="preserve">Diluted Shares Outstanding </v>
          </cell>
          <cell r="C29">
            <v>1067.0709999999999</v>
          </cell>
          <cell r="D29">
            <v>1078.531772</v>
          </cell>
          <cell r="E29">
            <v>1075</v>
          </cell>
          <cell r="F29">
            <v>-3.2746109958826652E-3</v>
          </cell>
          <cell r="G29">
            <v>1.0740402466190346E-2</v>
          </cell>
        </row>
      </sheetData>
      <sheetData sheetId="4" refreshError="1">
        <row r="2">
          <cell r="B2" t="str">
            <v>Changes To Model</v>
          </cell>
        </row>
        <row r="3">
          <cell r="C3">
            <v>2003</v>
          </cell>
          <cell r="E3">
            <v>2004</v>
          </cell>
          <cell r="G3">
            <v>2005</v>
          </cell>
          <cell r="I3">
            <v>2006</v>
          </cell>
          <cell r="K3">
            <v>2007</v>
          </cell>
          <cell r="M3">
            <v>2008</v>
          </cell>
          <cell r="O3">
            <v>2009</v>
          </cell>
          <cell r="Q3">
            <v>2010</v>
          </cell>
          <cell r="R3" t="str">
            <v>Comments</v>
          </cell>
        </row>
        <row r="4">
          <cell r="B4" t="str">
            <v>Avastin US Sales</v>
          </cell>
          <cell r="R4" t="str">
            <v>Lowered near term (2006-09) estimates based on current usage trends.  Long term, sales projections become more dependent upon additional indications.</v>
          </cell>
        </row>
        <row r="5">
          <cell r="B5" t="str">
            <v xml:space="preserve">   Current</v>
          </cell>
          <cell r="C5">
            <v>0</v>
          </cell>
          <cell r="E5">
            <v>552.34</v>
          </cell>
          <cell r="G5">
            <v>1132.721</v>
          </cell>
          <cell r="I5">
            <v>1876</v>
          </cell>
          <cell r="K5">
            <v>2817.9611602894643</v>
          </cell>
          <cell r="M5">
            <v>3802.1294573955038</v>
          </cell>
          <cell r="O5">
            <v>4624.6783247655285</v>
          </cell>
          <cell r="Q5">
            <v>5307.1770570587933</v>
          </cell>
        </row>
        <row r="6">
          <cell r="B6" t="str">
            <v xml:space="preserve">   Prior</v>
          </cell>
          <cell r="C6">
            <v>0</v>
          </cell>
          <cell r="E6">
            <v>545.5</v>
          </cell>
          <cell r="G6">
            <v>1132.721</v>
          </cell>
          <cell r="I6">
            <v>1991</v>
          </cell>
          <cell r="K6">
            <v>3237.062488981529</v>
          </cell>
          <cell r="M6">
            <v>4383.5907709546664</v>
          </cell>
          <cell r="O6">
            <v>4968.255300105604</v>
          </cell>
          <cell r="Q6">
            <v>5357.3388751605999</v>
          </cell>
        </row>
        <row r="7">
          <cell r="B7" t="str">
            <v>Rituxan US Sales</v>
          </cell>
        </row>
        <row r="8">
          <cell r="B8" t="str">
            <v xml:space="preserve">   Current</v>
          </cell>
          <cell r="C8">
            <v>1360.2</v>
          </cell>
          <cell r="E8">
            <v>1574</v>
          </cell>
          <cell r="G8">
            <v>1831.481</v>
          </cell>
          <cell r="I8">
            <v>2097</v>
          </cell>
          <cell r="K8">
            <v>2430.2807564833265</v>
          </cell>
          <cell r="M8">
            <v>2695.0166005063993</v>
          </cell>
          <cell r="O8">
            <v>2950.119381396431</v>
          </cell>
          <cell r="Q8">
            <v>3220</v>
          </cell>
        </row>
        <row r="9">
          <cell r="B9" t="str">
            <v xml:space="preserve">   Prior</v>
          </cell>
          <cell r="C9">
            <v>1360.2</v>
          </cell>
          <cell r="E9">
            <v>1574</v>
          </cell>
          <cell r="G9">
            <v>1831.481</v>
          </cell>
          <cell r="I9">
            <v>2160</v>
          </cell>
          <cell r="K9">
            <v>2437.3514265485192</v>
          </cell>
          <cell r="M9">
            <v>2692.5171673115556</v>
          </cell>
          <cell r="O9">
            <v>2933.0759826633407</v>
          </cell>
          <cell r="Q9">
            <v>3195</v>
          </cell>
        </row>
        <row r="10">
          <cell r="B10" t="str">
            <v>Herceptin US Sales</v>
          </cell>
        </row>
        <row r="11">
          <cell r="B11" t="str">
            <v xml:space="preserve">   Current</v>
          </cell>
          <cell r="C11">
            <v>424.8</v>
          </cell>
          <cell r="E11">
            <v>482.27499999999998</v>
          </cell>
          <cell r="G11">
            <v>747.24699999999996</v>
          </cell>
          <cell r="I11">
            <v>1375</v>
          </cell>
          <cell r="K11">
            <v>1566.9607618585742</v>
          </cell>
          <cell r="M11">
            <v>1676.8953104490511</v>
          </cell>
          <cell r="O11">
            <v>1772.633441089682</v>
          </cell>
          <cell r="Q11">
            <v>1873.880898727371</v>
          </cell>
        </row>
        <row r="12">
          <cell r="B12" t="str">
            <v xml:space="preserve">   Prior</v>
          </cell>
          <cell r="C12">
            <v>424.8</v>
          </cell>
          <cell r="E12">
            <v>482.27499999999998</v>
          </cell>
          <cell r="G12">
            <v>747.24699999999996</v>
          </cell>
          <cell r="I12">
            <v>1236</v>
          </cell>
          <cell r="K12">
            <v>1467.230824775874</v>
          </cell>
          <cell r="M12">
            <v>1572.4179521860037</v>
          </cell>
          <cell r="O12">
            <v>1676.1602207869551</v>
          </cell>
          <cell r="Q12">
            <v>1802.0633882939715</v>
          </cell>
        </row>
        <row r="13">
          <cell r="B13" t="str">
            <v>Xolair</v>
          </cell>
        </row>
        <row r="14">
          <cell r="B14" t="str">
            <v xml:space="preserve">   Current</v>
          </cell>
          <cell r="C14">
            <v>25.3</v>
          </cell>
          <cell r="E14">
            <v>188.5</v>
          </cell>
          <cell r="G14">
            <v>323.79700000000003</v>
          </cell>
          <cell r="I14">
            <v>423</v>
          </cell>
          <cell r="K14">
            <v>496.67639851943272</v>
          </cell>
          <cell r="M14">
            <v>549.18117450569844</v>
          </cell>
          <cell r="O14">
            <v>609.0179751523707</v>
          </cell>
          <cell r="Q14">
            <v>656.42413544863268</v>
          </cell>
        </row>
        <row r="15">
          <cell r="B15" t="str">
            <v xml:space="preserve">   Prior</v>
          </cell>
          <cell r="C15">
            <v>25.3</v>
          </cell>
          <cell r="E15">
            <v>188.5</v>
          </cell>
          <cell r="G15">
            <v>332.99700000000001</v>
          </cell>
          <cell r="I15">
            <v>443.81706468549254</v>
          </cell>
          <cell r="K15">
            <v>496.67639851943272</v>
          </cell>
          <cell r="M15">
            <v>583.43592955279041</v>
          </cell>
          <cell r="O15">
            <v>583.43592955279041</v>
          </cell>
          <cell r="Q15">
            <v>583.43592955279041</v>
          </cell>
        </row>
        <row r="16">
          <cell r="B16" t="str">
            <v>Raptiva</v>
          </cell>
        </row>
        <row r="17">
          <cell r="B17" t="str">
            <v xml:space="preserve">   Current</v>
          </cell>
          <cell r="C17">
            <v>1.4</v>
          </cell>
          <cell r="E17">
            <v>56.300000000000004</v>
          </cell>
          <cell r="G17">
            <v>86.754999999999995</v>
          </cell>
          <cell r="I17">
            <v>93</v>
          </cell>
          <cell r="K17">
            <v>114.74883545485645</v>
          </cell>
          <cell r="M17">
            <v>111.02507700089812</v>
          </cell>
          <cell r="O17">
            <v>116.64294589714356</v>
          </cell>
          <cell r="Q17">
            <v>122.54507895953904</v>
          </cell>
        </row>
        <row r="18">
          <cell r="B18" t="str">
            <v xml:space="preserve">   Prior</v>
          </cell>
          <cell r="C18">
            <v>1.4</v>
          </cell>
          <cell r="E18">
            <v>56.3</v>
          </cell>
          <cell r="G18">
            <v>96.415000000000006</v>
          </cell>
          <cell r="I18">
            <v>128.34202046044302</v>
          </cell>
          <cell r="K18">
            <v>154.41809851788798</v>
          </cell>
          <cell r="M18">
            <v>190.17374516347169</v>
          </cell>
          <cell r="O18">
            <v>190.17374516347169</v>
          </cell>
          <cell r="Q18">
            <v>190.17374516347169</v>
          </cell>
        </row>
        <row r="19">
          <cell r="B19" t="str">
            <v>Lucentis</v>
          </cell>
        </row>
        <row r="20">
          <cell r="B20" t="str">
            <v xml:space="preserve">   Current</v>
          </cell>
          <cell r="C20">
            <v>0</v>
          </cell>
          <cell r="E20">
            <v>0</v>
          </cell>
          <cell r="G20">
            <v>0</v>
          </cell>
          <cell r="I20">
            <v>135</v>
          </cell>
          <cell r="K20">
            <v>550</v>
          </cell>
          <cell r="M20">
            <v>850</v>
          </cell>
          <cell r="O20">
            <v>1050</v>
          </cell>
          <cell r="Q20">
            <v>1200</v>
          </cell>
        </row>
        <row r="21">
          <cell r="B21" t="str">
            <v xml:space="preserve">   Prior</v>
          </cell>
          <cell r="C21">
            <v>1.4</v>
          </cell>
          <cell r="E21">
            <v>0</v>
          </cell>
          <cell r="G21">
            <v>0</v>
          </cell>
          <cell r="I21">
            <v>150</v>
          </cell>
          <cell r="K21">
            <v>700</v>
          </cell>
          <cell r="M21">
            <v>1150</v>
          </cell>
          <cell r="O21">
            <v>1150</v>
          </cell>
          <cell r="Q21">
            <v>1150</v>
          </cell>
        </row>
        <row r="22">
          <cell r="B22" t="str">
            <v>Total Revenue</v>
          </cell>
          <cell r="R22" t="str">
            <v>2006 Guidance: Sales to Collaborators= YoY growth of 30%; Royalties = YoY growth of 30%; Net Interest Income = YoY growth of 30%</v>
          </cell>
        </row>
        <row r="23">
          <cell r="B23" t="str">
            <v xml:space="preserve">   Current</v>
          </cell>
          <cell r="C23">
            <v>3300.2629999999999</v>
          </cell>
          <cell r="E23">
            <v>4621.2</v>
          </cell>
          <cell r="G23">
            <v>6633.4230000000007</v>
          </cell>
          <cell r="I23">
            <v>9120.36</v>
          </cell>
          <cell r="K23">
            <v>11279.125121683228</v>
          </cell>
          <cell r="M23">
            <v>13104.186311101828</v>
          </cell>
          <cell r="O23">
            <v>14586.038977915103</v>
          </cell>
          <cell r="Q23">
            <v>15778.109649377711</v>
          </cell>
        </row>
        <row r="24">
          <cell r="B24" t="str">
            <v xml:space="preserve">   Prior</v>
          </cell>
          <cell r="C24">
            <v>3300.2629999999999</v>
          </cell>
          <cell r="E24">
            <v>4614.3599999999997</v>
          </cell>
          <cell r="G24">
            <v>6633.4230000000007</v>
          </cell>
          <cell r="I24">
            <v>9060.77</v>
          </cell>
          <cell r="K24">
            <v>11649.799183357783</v>
          </cell>
          <cell r="M24">
            <v>13530.991983203103</v>
          </cell>
          <cell r="O24">
            <v>14825.172049719364</v>
          </cell>
          <cell r="Q24">
            <v>15802.880857526117</v>
          </cell>
        </row>
        <row r="25">
          <cell r="B25" t="str">
            <v>COGS ($MM)</v>
          </cell>
          <cell r="R25" t="str">
            <v xml:space="preserve">2006 Guidance: 16% of sales (from 15-16%);  </v>
          </cell>
        </row>
        <row r="26">
          <cell r="B26" t="str">
            <v xml:space="preserve">   Current</v>
          </cell>
          <cell r="C26">
            <v>480.15100000000001</v>
          </cell>
          <cell r="E26">
            <v>672.5</v>
          </cell>
          <cell r="G26">
            <v>1011.0629999999999</v>
          </cell>
          <cell r="I26">
            <v>1222.5376000000001</v>
          </cell>
          <cell r="K26">
            <v>1506.7599287814626</v>
          </cell>
          <cell r="M26">
            <v>1619.0699996815897</v>
          </cell>
          <cell r="O26">
            <v>1702.8029601920346</v>
          </cell>
          <cell r="Q26">
            <v>1774.5598005138277</v>
          </cell>
        </row>
        <row r="27">
          <cell r="B27" t="str">
            <v xml:space="preserve">   Prior</v>
          </cell>
          <cell r="C27">
            <v>480.15100000000001</v>
          </cell>
          <cell r="E27">
            <v>672.5</v>
          </cell>
          <cell r="G27">
            <v>1011.0629999999999</v>
          </cell>
          <cell r="I27">
            <v>1202.9025999999999</v>
          </cell>
          <cell r="K27">
            <v>1565.9989624404361</v>
          </cell>
          <cell r="M27">
            <v>1695.7885048324765</v>
          </cell>
          <cell r="O27">
            <v>1751.9607945750547</v>
          </cell>
          <cell r="Q27">
            <v>1797.2421266516367</v>
          </cell>
        </row>
        <row r="28">
          <cell r="B28" t="str">
            <v>R&amp;D ($MM)</v>
          </cell>
          <cell r="R28" t="str">
            <v>2006 Guidance: 18-19% of operating revenue.</v>
          </cell>
        </row>
        <row r="29">
          <cell r="B29" t="str">
            <v xml:space="preserve">   Current</v>
          </cell>
          <cell r="C29">
            <v>721.96299999999997</v>
          </cell>
          <cell r="D29">
            <v>0.15795323682159235</v>
          </cell>
          <cell r="E29">
            <v>947.5</v>
          </cell>
          <cell r="F29">
            <v>0.3123941254607232</v>
          </cell>
          <cell r="G29">
            <v>1261.8240000000001</v>
          </cell>
          <cell r="H29">
            <v>0.33174036939314</v>
          </cell>
          <cell r="I29">
            <v>1677.1420800000001</v>
          </cell>
          <cell r="J29">
            <v>0.3291410529519172</v>
          </cell>
          <cell r="K29">
            <v>2058.4403347071889</v>
          </cell>
          <cell r="M29">
            <v>2384.9619086205325</v>
          </cell>
          <cell r="O29">
            <v>2654.6590939805487</v>
          </cell>
          <cell r="Q29">
            <v>2871.6159561867435</v>
          </cell>
        </row>
        <row r="30">
          <cell r="B30" t="str">
            <v xml:space="preserve">   Prior</v>
          </cell>
          <cell r="C30">
            <v>721.96299999999997</v>
          </cell>
          <cell r="E30">
            <v>947.5</v>
          </cell>
          <cell r="F30">
            <v>0.3123941254607232</v>
          </cell>
          <cell r="G30">
            <v>1261.8240000000001</v>
          </cell>
          <cell r="H30">
            <v>0.33174036939314</v>
          </cell>
          <cell r="I30">
            <v>1677.54035</v>
          </cell>
          <cell r="J30">
            <v>0.32945668334094136</v>
          </cell>
          <cell r="K30">
            <v>2126.0883509627956</v>
          </cell>
          <cell r="M30">
            <v>2462.6405409429644</v>
          </cell>
          <cell r="O30">
            <v>2698.181313048924</v>
          </cell>
          <cell r="Q30">
            <v>2876.1243160697531</v>
          </cell>
        </row>
        <row r="31">
          <cell r="B31" t="str">
            <v>SG&amp;A ($MM)</v>
          </cell>
          <cell r="R31" t="str">
            <v>2006 Guidance: 21% of operating revenue (from 21-22%)</v>
          </cell>
        </row>
        <row r="32">
          <cell r="B32" t="str">
            <v xml:space="preserve">   Current</v>
          </cell>
          <cell r="C32">
            <v>794.88499999999999</v>
          </cell>
          <cell r="D32">
            <v>0.45509778939583656</v>
          </cell>
          <cell r="E32">
            <v>1088.2</v>
          </cell>
          <cell r="F32">
            <v>0.36900306333620603</v>
          </cell>
          <cell r="G32">
            <v>1435.0319999999999</v>
          </cell>
          <cell r="H32">
            <v>0.31872082337805541</v>
          </cell>
          <cell r="I32">
            <v>1928.0563000000002</v>
          </cell>
          <cell r="J32">
            <v>0.34356327942512799</v>
          </cell>
          <cell r="K32">
            <v>2114.835960315605</v>
          </cell>
          <cell r="M32">
            <v>2293.2326044428196</v>
          </cell>
          <cell r="O32">
            <v>2406.696431355992</v>
          </cell>
          <cell r="Q32">
            <v>2406.1617215301007</v>
          </cell>
        </row>
        <row r="33">
          <cell r="B33" t="str">
            <v xml:space="preserve">   Prior</v>
          </cell>
          <cell r="C33">
            <v>794.88499999999999</v>
          </cell>
          <cell r="D33">
            <v>0.45509778939583656</v>
          </cell>
          <cell r="E33">
            <v>1088.2</v>
          </cell>
          <cell r="F33">
            <v>0.36900306333620603</v>
          </cell>
          <cell r="G33">
            <v>1435.0319999999999</v>
          </cell>
          <cell r="H33">
            <v>0.31872082337805541</v>
          </cell>
          <cell r="I33">
            <v>1955.315885</v>
          </cell>
          <cell r="J33">
            <v>0.36255908230617861</v>
          </cell>
          <cell r="K33">
            <v>2184.3373468795844</v>
          </cell>
          <cell r="M33">
            <v>2367.9235970605428</v>
          </cell>
          <cell r="O33">
            <v>2446.1533882036952</v>
          </cell>
          <cell r="Q33">
            <v>2409.9393307727328</v>
          </cell>
        </row>
        <row r="34">
          <cell r="B34" t="str">
            <v>Interest, Other Income</v>
          </cell>
        </row>
        <row r="35">
          <cell r="B35" t="str">
            <v xml:space="preserve">   Current</v>
          </cell>
          <cell r="C35">
            <v>92.807000000000002</v>
          </cell>
          <cell r="D35">
            <v>0</v>
          </cell>
          <cell r="E35">
            <v>82.597000000000008</v>
          </cell>
          <cell r="F35">
            <v>0</v>
          </cell>
          <cell r="G35">
            <v>140.9</v>
          </cell>
          <cell r="H35">
            <v>0</v>
          </cell>
          <cell r="I35">
            <v>228</v>
          </cell>
          <cell r="J35">
            <v>0</v>
          </cell>
          <cell r="K35">
            <v>158.27981570681379</v>
          </cell>
          <cell r="M35">
            <v>214.14721389467866</v>
          </cell>
          <cell r="O35">
            <v>298.9218808473185</v>
          </cell>
          <cell r="Q35">
            <v>424.04459975088002</v>
          </cell>
        </row>
        <row r="36">
          <cell r="B36" t="str">
            <v xml:space="preserve">   Prior</v>
          </cell>
          <cell r="C36">
            <v>92.8</v>
          </cell>
          <cell r="E36">
            <v>82.597000000000008</v>
          </cell>
          <cell r="F36">
            <v>0</v>
          </cell>
          <cell r="G36">
            <v>140.9</v>
          </cell>
          <cell r="H36">
            <v>0</v>
          </cell>
          <cell r="I36">
            <v>175</v>
          </cell>
          <cell r="J36">
            <v>0</v>
          </cell>
          <cell r="K36">
            <v>144.98120766629103</v>
          </cell>
          <cell r="M36">
            <v>198.6848384525747</v>
          </cell>
          <cell r="O36">
            <v>299.84795970525033</v>
          </cell>
          <cell r="Q36">
            <v>427.16721415138414</v>
          </cell>
        </row>
        <row r="37">
          <cell r="B37" t="str">
            <v xml:space="preserve">Net Income ($MM) </v>
          </cell>
        </row>
        <row r="38">
          <cell r="B38" t="str">
            <v xml:space="preserve">   Current</v>
          </cell>
          <cell r="C38">
            <v>634.65584265857763</v>
          </cell>
          <cell r="D38">
            <v>0.31253732024758918</v>
          </cell>
          <cell r="E38">
            <v>894.36599999999964</v>
          </cell>
          <cell r="F38">
            <v>0.4092141596829777</v>
          </cell>
          <cell r="G38">
            <v>1387.3240000000012</v>
          </cell>
          <cell r="H38">
            <v>0.55118150734710603</v>
          </cell>
          <cell r="I38">
            <v>2124.9055085800001</v>
          </cell>
          <cell r="J38">
            <v>0.53165771555887331</v>
          </cell>
          <cell r="K38">
            <v>2800.6211029553579</v>
          </cell>
          <cell r="M38">
            <v>3493.9576522401981</v>
          </cell>
          <cell r="O38">
            <v>4096.4026406736639</v>
          </cell>
          <cell r="Q38">
            <v>4671.2691888702175</v>
          </cell>
        </row>
        <row r="39">
          <cell r="B39" t="str">
            <v xml:space="preserve">   Prior</v>
          </cell>
          <cell r="C39">
            <v>634.65584265857763</v>
          </cell>
          <cell r="E39">
            <v>887.5259999999995</v>
          </cell>
          <cell r="F39">
            <v>0.3984366649523734</v>
          </cell>
          <cell r="G39">
            <v>1387.3240000000012</v>
          </cell>
          <cell r="H39">
            <v>0.55118150734710603</v>
          </cell>
          <cell r="I39">
            <v>2034.2770339500007</v>
          </cell>
          <cell r="J39">
            <v>0.4663316095951624</v>
          </cell>
          <cell r="K39">
            <v>2904.7667281963868</v>
          </cell>
          <cell r="M39">
            <v>3614.4886831826261</v>
          </cell>
          <cell r="O39">
            <v>4174.1361237760229</v>
          </cell>
          <cell r="Q39">
            <v>4681.8126100993795</v>
          </cell>
        </row>
        <row r="40">
          <cell r="B40" t="str">
            <v>Non-GAAP EPS, Diluted</v>
          </cell>
          <cell r="R40" t="str">
            <v>2006 Guidance: 45-55% YoY growth.  Raised guidance again (company raised guidance from 35-45% to 40%-50% at its analyst day three weeks ago).  Horizon 2010 guidance of 5-year CAGR of 25% (our model assumes 28%).  We are lowering 2007-09 EPS estimates.</v>
          </cell>
        </row>
        <row r="41">
          <cell r="B41" t="str">
            <v xml:space="preserve">   Current</v>
          </cell>
          <cell r="C41">
            <v>0.60195636879300407</v>
          </cell>
          <cell r="D41">
            <v>0.30585864252004424</v>
          </cell>
          <cell r="E41">
            <v>0.82872362999196592</v>
          </cell>
          <cell r="F41">
            <v>0.37671710601493902</v>
          </cell>
          <cell r="G41">
            <v>1.2834315032439099</v>
          </cell>
          <cell r="H41">
            <v>0.54868457564840067</v>
          </cell>
          <cell r="I41">
            <v>1.9766562870511628</v>
          </cell>
          <cell r="J41">
            <v>0.54013383811688231</v>
          </cell>
          <cell r="K41">
            <v>2.6131703146035923</v>
          </cell>
          <cell r="M41">
            <v>3.2657035401917991</v>
          </cell>
          <cell r="O41">
            <v>3.8441841959191563</v>
          </cell>
          <cell r="Q41">
            <v>4.4101388095141756</v>
          </cell>
        </row>
        <row r="42">
          <cell r="B42" t="str">
            <v xml:space="preserve">       Prior</v>
          </cell>
          <cell r="C42">
            <v>0.60195636879300407</v>
          </cell>
          <cell r="E42">
            <v>0.82238565467856495</v>
          </cell>
          <cell r="F42">
            <v>0.36618814471146544</v>
          </cell>
          <cell r="G42">
            <v>1.2834315032439099</v>
          </cell>
          <cell r="H42">
            <v>0.54868457564840067</v>
          </cell>
          <cell r="I42">
            <v>1.8875696940202418</v>
          </cell>
          <cell r="J42">
            <v>0.47072102348224698</v>
          </cell>
          <cell r="K42">
            <v>2.7103452791100371</v>
          </cell>
          <cell r="M42">
            <v>3.3783604907416378</v>
          </cell>
          <cell r="O42">
            <v>3.9171315727880218</v>
          </cell>
          <cell r="Q42">
            <v>4.4200928389797802</v>
          </cell>
        </row>
        <row r="43">
          <cell r="B43" t="str">
            <v>Non-GAAP EPS, Diluted (incl options expense)</v>
          </cell>
        </row>
        <row r="44">
          <cell r="B44" t="str">
            <v xml:space="preserve">   Current</v>
          </cell>
          <cell r="C44">
            <v>0</v>
          </cell>
          <cell r="D44">
            <v>0</v>
          </cell>
          <cell r="E44">
            <v>0</v>
          </cell>
          <cell r="F44">
            <v>0</v>
          </cell>
          <cell r="H44">
            <v>0</v>
          </cell>
          <cell r="I44">
            <v>1.670437236911628</v>
          </cell>
          <cell r="J44">
            <v>0</v>
          </cell>
          <cell r="K44">
            <v>2.2605437247777207</v>
          </cell>
          <cell r="M44">
            <v>2.8726239093062675</v>
          </cell>
          <cell r="O44">
            <v>3.4182573129078739</v>
          </cell>
          <cell r="Q44">
            <v>3.9597085440583326</v>
          </cell>
        </row>
        <row r="45">
          <cell r="B45" t="str">
            <v xml:space="preserve">   Prior</v>
          </cell>
          <cell r="C45">
            <v>0.60195636879300407</v>
          </cell>
          <cell r="E45">
            <v>0.82238565467856495</v>
          </cell>
          <cell r="F45">
            <v>0.36618814471146544</v>
          </cell>
          <cell r="H45">
            <v>0</v>
          </cell>
          <cell r="I45">
            <v>1.7230350353762618</v>
          </cell>
          <cell r="J45">
            <v>0</v>
          </cell>
          <cell r="K45">
            <v>2.5124428538629009</v>
          </cell>
          <cell r="M45">
            <v>3.1575521802291613</v>
          </cell>
          <cell r="O45">
            <v>3.6217186312474188</v>
          </cell>
          <cell r="Q45">
            <v>4.1138707857302448</v>
          </cell>
        </row>
        <row r="46">
          <cell r="B46" t="str">
            <v>Capital Expenditures</v>
          </cell>
          <cell r="R46" t="str">
            <v>2006 Guidance: $1.5B; expect decrease to ~$800 by 2010</v>
          </cell>
        </row>
        <row r="47">
          <cell r="B47" t="str">
            <v xml:space="preserve">   Current</v>
          </cell>
          <cell r="C47">
            <v>321.95</v>
          </cell>
          <cell r="D47">
            <v>649.85799999999995</v>
          </cell>
          <cell r="E47">
            <v>649.85799999999995</v>
          </cell>
          <cell r="F47">
            <v>1482.0585000000001</v>
          </cell>
          <cell r="G47">
            <v>1399.8240000000001</v>
          </cell>
          <cell r="H47">
            <v>1179.3767679991645</v>
          </cell>
          <cell r="I47">
            <v>1482.0585000000001</v>
          </cell>
          <cell r="J47">
            <v>828.35075659232984</v>
          </cell>
          <cell r="K47">
            <v>1579.0775170356521</v>
          </cell>
          <cell r="M47">
            <v>1179.3767679991645</v>
          </cell>
          <cell r="O47">
            <v>875.1623386749061</v>
          </cell>
          <cell r="Q47">
            <v>828.35075659232984</v>
          </cell>
        </row>
        <row r="48">
          <cell r="B48" t="str">
            <v xml:space="preserve">   Prior</v>
          </cell>
          <cell r="C48">
            <v>322</v>
          </cell>
          <cell r="E48">
            <v>649.85799999999995</v>
          </cell>
          <cell r="F48">
            <v>1073.9414548082564</v>
          </cell>
          <cell r="G48">
            <v>1399.8240000000001</v>
          </cell>
          <cell r="H48">
            <v>1217.7892784882793</v>
          </cell>
          <cell r="I48">
            <v>1472.375125</v>
          </cell>
          <cell r="J48">
            <v>829.65124502012111</v>
          </cell>
          <cell r="K48">
            <v>1630.9718856700899</v>
          </cell>
          <cell r="M48">
            <v>1217.7892784882793</v>
          </cell>
          <cell r="O48">
            <v>889.51032298316204</v>
          </cell>
          <cell r="Q48">
            <v>829.651245020121</v>
          </cell>
        </row>
        <row r="49">
          <cell r="B49" t="str">
            <v>Basic Shares Outstanding</v>
          </cell>
        </row>
        <row r="50">
          <cell r="B50" t="str">
            <v xml:space="preserve">   Current</v>
          </cell>
          <cell r="C50">
            <v>1034.4565</v>
          </cell>
          <cell r="D50">
            <v>-3.901749480143768E-3</v>
          </cell>
          <cell r="E50">
            <v>1055.165</v>
          </cell>
          <cell r="F50">
            <v>2.0018724808631427E-2</v>
          </cell>
          <cell r="G50">
            <v>1054.952</v>
          </cell>
          <cell r="H50">
            <v>-2.0186416342460323E-4</v>
          </cell>
          <cell r="I50">
            <v>1054</v>
          </cell>
          <cell r="J50">
            <v>-9.0241072579599901E-4</v>
          </cell>
          <cell r="K50">
            <v>1053.713</v>
          </cell>
          <cell r="M50">
            <v>1053.713</v>
          </cell>
          <cell r="O50">
            <v>1053.713</v>
          </cell>
          <cell r="Q50">
            <v>1053.713</v>
          </cell>
        </row>
        <row r="51">
          <cell r="B51" t="str">
            <v xml:space="preserve">   Prior</v>
          </cell>
          <cell r="C51">
            <v>1034.46</v>
          </cell>
          <cell r="E51">
            <v>1055.165</v>
          </cell>
          <cell r="F51">
            <v>2.0018724808631427E-2</v>
          </cell>
          <cell r="G51">
            <v>1054.952</v>
          </cell>
          <cell r="H51">
            <v>-2.0186416342460323E-4</v>
          </cell>
          <cell r="I51">
            <v>1054.7239999999999</v>
          </cell>
          <cell r="J51">
            <v>-2.1612357718647779E-4</v>
          </cell>
          <cell r="K51">
            <v>1053.713</v>
          </cell>
          <cell r="M51">
            <v>1053.713</v>
          </cell>
          <cell r="O51">
            <v>1053.713</v>
          </cell>
          <cell r="Q51">
            <v>1053.713</v>
          </cell>
        </row>
        <row r="52">
          <cell r="B52" t="str">
            <v>Diluted Shares Outstanding</v>
          </cell>
          <cell r="R52" t="str">
            <v xml:space="preserve">2006 Guidance: Flat YoY growth. </v>
          </cell>
        </row>
        <row r="53">
          <cell r="B53" t="str">
            <v xml:space="preserve">   Current</v>
          </cell>
          <cell r="C53">
            <v>1054.3219999999999</v>
          </cell>
          <cell r="D53">
            <v>5.1538922087179806E-3</v>
          </cell>
          <cell r="E53">
            <v>1079.2090000000001</v>
          </cell>
          <cell r="F53">
            <v>2.3604743142986884E-2</v>
          </cell>
          <cell r="G53">
            <v>1080.9490000000001</v>
          </cell>
          <cell r="H53">
            <v>1.6122919656897938E-3</v>
          </cell>
          <cell r="I53">
            <v>1075</v>
          </cell>
          <cell r="J53">
            <v>-5.5034973897936101E-3</v>
          </cell>
          <cell r="K53">
            <v>1071.7330926745205</v>
          </cell>
          <cell r="M53">
            <v>1069.8943150347914</v>
          </cell>
          <cell r="O53">
            <v>1065.6103953141094</v>
          </cell>
          <cell r="Q53">
            <v>1059.2113742072459</v>
          </cell>
        </row>
        <row r="54">
          <cell r="B54" t="str">
            <v xml:space="preserve">   Prior</v>
          </cell>
          <cell r="C54">
            <v>1054.32</v>
          </cell>
          <cell r="E54">
            <v>1079.2090000000001</v>
          </cell>
          <cell r="F54">
            <v>2.3604743142986884E-2</v>
          </cell>
          <cell r="G54">
            <v>1080.9490000000001</v>
          </cell>
          <cell r="H54">
            <v>1.6122919656897938E-3</v>
          </cell>
          <cell r="I54">
            <v>1077.7228731710002</v>
          </cell>
          <cell r="J54">
            <v>-2.9845319520160896E-3</v>
          </cell>
          <cell r="K54">
            <v>1071.7330926745205</v>
          </cell>
          <cell r="M54">
            <v>1069.8943150347914</v>
          </cell>
          <cell r="O54">
            <v>1065.6103953141094</v>
          </cell>
          <cell r="Q54">
            <v>1059.2113742072459</v>
          </cell>
        </row>
      </sheetData>
      <sheetData sheetId="5" refreshError="1">
        <row r="1">
          <cell r="B1" t="str">
            <v>Genentech Quarterly Income Statement</v>
          </cell>
          <cell r="BC1">
            <v>6.0159760359460801E-2</v>
          </cell>
          <cell r="BE1">
            <v>3.0609842241582363E-2</v>
          </cell>
        </row>
        <row r="2">
          <cell r="B2" t="str">
            <v>(Dollars in thousands except per-share data)</v>
          </cell>
          <cell r="BW2">
            <v>55</v>
          </cell>
        </row>
        <row r="3">
          <cell r="BW3">
            <v>0.11121852970795569</v>
          </cell>
        </row>
        <row r="4">
          <cell r="C4" t="str">
            <v>1Q99A</v>
          </cell>
          <cell r="E4" t="str">
            <v>2Q99A</v>
          </cell>
          <cell r="G4" t="str">
            <v>3Q99A</v>
          </cell>
          <cell r="I4" t="str">
            <v>4Q99A</v>
          </cell>
          <cell r="K4" t="str">
            <v>1999A</v>
          </cell>
          <cell r="M4" t="str">
            <v>1Q00A</v>
          </cell>
          <cell r="O4" t="str">
            <v>2Q00A</v>
          </cell>
          <cell r="Q4" t="str">
            <v>3Q00A</v>
          </cell>
          <cell r="S4" t="str">
            <v>4Q00A</v>
          </cell>
          <cell r="U4" t="str">
            <v>2000A</v>
          </cell>
          <cell r="W4" t="str">
            <v>1Q01A</v>
          </cell>
          <cell r="Y4" t="str">
            <v>2Q01A</v>
          </cell>
          <cell r="AA4" t="str">
            <v>3Q01A</v>
          </cell>
          <cell r="AC4" t="str">
            <v>4Q01A</v>
          </cell>
          <cell r="AE4" t="str">
            <v>2001A</v>
          </cell>
          <cell r="AG4" t="str">
            <v>1Q02A</v>
          </cell>
          <cell r="AI4" t="str">
            <v>2Q02A</v>
          </cell>
          <cell r="AK4" t="str">
            <v>3Q02A</v>
          </cell>
          <cell r="AM4" t="str">
            <v>4Q02A</v>
          </cell>
          <cell r="AO4" t="str">
            <v>2002A</v>
          </cell>
          <cell r="AQ4" t="str">
            <v>1Q03A</v>
          </cell>
          <cell r="AS4" t="str">
            <v>2Q03A</v>
          </cell>
          <cell r="AU4" t="str">
            <v>3Q03A</v>
          </cell>
          <cell r="AW4" t="str">
            <v>4Q03A</v>
          </cell>
          <cell r="AY4" t="str">
            <v>2003A</v>
          </cell>
          <cell r="BA4" t="str">
            <v>1Q04A</v>
          </cell>
          <cell r="BB4" t="str">
            <v>% chg</v>
          </cell>
          <cell r="BC4" t="str">
            <v>2Q04A</v>
          </cell>
          <cell r="BD4" t="str">
            <v>% chg</v>
          </cell>
          <cell r="BE4" t="str">
            <v>3Q04A</v>
          </cell>
          <cell r="BF4" t="str">
            <v>% chg</v>
          </cell>
          <cell r="BG4" t="str">
            <v>4Q04A</v>
          </cell>
          <cell r="BH4" t="str">
            <v>% chg</v>
          </cell>
          <cell r="BI4" t="str">
            <v>2004A</v>
          </cell>
          <cell r="BJ4" t="str">
            <v>% chg</v>
          </cell>
          <cell r="BL4" t="str">
            <v>1Q05A</v>
          </cell>
          <cell r="BM4" t="str">
            <v>% chg</v>
          </cell>
          <cell r="BN4" t="str">
            <v>2Q05A</v>
          </cell>
          <cell r="BO4" t="str">
            <v>% chg</v>
          </cell>
          <cell r="BP4" t="str">
            <v>3Q05A</v>
          </cell>
          <cell r="BQ4" t="str">
            <v>% chg</v>
          </cell>
          <cell r="BR4" t="str">
            <v>4Q05A</v>
          </cell>
          <cell r="BS4" t="str">
            <v>% chg</v>
          </cell>
          <cell r="BT4" t="str">
            <v>2005A</v>
          </cell>
          <cell r="BU4" t="str">
            <v>% chg</v>
          </cell>
          <cell r="BW4" t="str">
            <v>1Q06A</v>
          </cell>
          <cell r="BX4" t="str">
            <v>% chg</v>
          </cell>
          <cell r="BY4" t="str">
            <v>2Q06E</v>
          </cell>
          <cell r="BZ4" t="str">
            <v>% chg</v>
          </cell>
          <cell r="CA4" t="str">
            <v>3Q06E</v>
          </cell>
          <cell r="CB4" t="str">
            <v>% chg</v>
          </cell>
          <cell r="CC4" t="str">
            <v>4Q06E</v>
          </cell>
          <cell r="CD4" t="str">
            <v>% chg</v>
          </cell>
          <cell r="CE4" t="str">
            <v>2006E</v>
          </cell>
          <cell r="CF4" t="str">
            <v>% chg</v>
          </cell>
        </row>
        <row r="5">
          <cell r="B5" t="str">
            <v>Rituxan -US</v>
          </cell>
          <cell r="C5" t="str">
            <v>52</v>
          </cell>
          <cell r="E5" t="str">
            <v>68.3</v>
          </cell>
          <cell r="G5" t="str">
            <v>70.2</v>
          </cell>
          <cell r="I5" t="str">
            <v>72.2</v>
          </cell>
          <cell r="K5" t="str">
            <v>262.7</v>
          </cell>
          <cell r="M5" t="str">
            <v>78</v>
          </cell>
          <cell r="O5" t="str">
            <v>96.7</v>
          </cell>
          <cell r="Q5" t="str">
            <v>115.5</v>
          </cell>
          <cell r="S5" t="str">
            <v>134</v>
          </cell>
          <cell r="U5" t="str">
            <v>424.2</v>
          </cell>
          <cell r="W5" t="str">
            <v>168</v>
          </cell>
          <cell r="Y5" t="str">
            <v>180</v>
          </cell>
          <cell r="AA5" t="str">
            <v>205</v>
          </cell>
          <cell r="AC5" t="str">
            <v>226</v>
          </cell>
          <cell r="AE5" t="str">
            <v>779</v>
          </cell>
          <cell r="AG5" t="str">
            <v>235</v>
          </cell>
          <cell r="AI5" t="str">
            <v>257.4</v>
          </cell>
          <cell r="AK5" t="str">
            <v>269.6</v>
          </cell>
          <cell r="AM5" t="str">
            <v>318.2</v>
          </cell>
          <cell r="AO5" t="str">
            <v>1080.2</v>
          </cell>
          <cell r="AQ5" t="str">
            <v>310</v>
          </cell>
          <cell r="AS5" t="str">
            <v>328</v>
          </cell>
          <cell r="AU5" t="str">
            <v>353.6</v>
          </cell>
          <cell r="AW5" t="str">
            <v>368.6</v>
          </cell>
          <cell r="AY5">
            <v>1360.2</v>
          </cell>
          <cell r="BA5">
            <v>361.8</v>
          </cell>
          <cell r="BC5">
            <v>390</v>
          </cell>
          <cell r="BE5">
            <v>393</v>
          </cell>
          <cell r="BG5">
            <v>429.2</v>
          </cell>
          <cell r="BI5">
            <v>1574</v>
          </cell>
          <cell r="BJ5">
            <v>0.15718276724011182</v>
          </cell>
          <cell r="BL5">
            <v>440.55</v>
          </cell>
          <cell r="BN5">
            <v>450.3</v>
          </cell>
          <cell r="BP5">
            <v>456.22699999999998</v>
          </cell>
          <cell r="BR5">
            <v>484.404</v>
          </cell>
          <cell r="BT5">
            <v>1831.481</v>
          </cell>
          <cell r="BU5">
            <v>0.1635838627700128</v>
          </cell>
          <cell r="BW5">
            <v>477</v>
          </cell>
          <cell r="BY5">
            <v>520</v>
          </cell>
          <cell r="CA5">
            <v>540</v>
          </cell>
          <cell r="CC5">
            <v>560</v>
          </cell>
          <cell r="CE5">
            <v>2097</v>
          </cell>
          <cell r="CF5">
            <v>0.14497502294591103</v>
          </cell>
        </row>
        <row r="6">
          <cell r="B6" t="str">
            <v>Rituxan- Ex-US</v>
          </cell>
          <cell r="C6">
            <v>17</v>
          </cell>
          <cell r="E6" t="str">
            <v>20.3</v>
          </cell>
          <cell r="G6">
            <v>8</v>
          </cell>
          <cell r="I6" t="str">
            <v>10.3</v>
          </cell>
          <cell r="K6">
            <v>55.800000000000011</v>
          </cell>
          <cell r="M6">
            <v>31.696428571428569</v>
          </cell>
          <cell r="O6">
            <v>27.232142857142854</v>
          </cell>
          <cell r="Q6">
            <v>10.714285714285714</v>
          </cell>
          <cell r="S6">
            <v>19.196428571428569</v>
          </cell>
          <cell r="U6">
            <v>88.800000000000011</v>
          </cell>
          <cell r="W6">
            <v>24.500000000000028</v>
          </cell>
          <cell r="Y6">
            <v>51.28</v>
          </cell>
          <cell r="AA6">
            <v>56.370000000000005</v>
          </cell>
          <cell r="AC6">
            <v>54.5</v>
          </cell>
          <cell r="AE6">
            <v>186.65000000000003</v>
          </cell>
          <cell r="AG6">
            <v>106.90000000000003</v>
          </cell>
          <cell r="AI6">
            <v>94.760000000000048</v>
          </cell>
          <cell r="AK6">
            <v>119</v>
          </cell>
          <cell r="AM6">
            <v>129.24000000000007</v>
          </cell>
          <cell r="AO6">
            <v>449.90000000000015</v>
          </cell>
          <cell r="AQ6">
            <v>111.58999999999997</v>
          </cell>
          <cell r="AS6">
            <v>161.09999999999997</v>
          </cell>
          <cell r="AU6">
            <v>159.76</v>
          </cell>
          <cell r="AW6">
            <v>217.14999999999998</v>
          </cell>
          <cell r="AY6">
            <v>649.59999999999991</v>
          </cell>
          <cell r="BA6">
            <v>261</v>
          </cell>
          <cell r="BC6">
            <v>270</v>
          </cell>
          <cell r="BE6">
            <v>305</v>
          </cell>
          <cell r="BG6">
            <v>313</v>
          </cell>
          <cell r="BI6">
            <v>1149</v>
          </cell>
          <cell r="BL6">
            <v>330</v>
          </cell>
          <cell r="BM6">
            <v>0.2</v>
          </cell>
          <cell r="BN6">
            <v>361</v>
          </cell>
          <cell r="BO6">
            <v>0.18</v>
          </cell>
          <cell r="BP6">
            <v>350</v>
          </cell>
          <cell r="BQ6">
            <v>0.17</v>
          </cell>
          <cell r="BR6">
            <v>370</v>
          </cell>
          <cell r="BS6">
            <v>0.15</v>
          </cell>
          <cell r="BT6">
            <v>1411</v>
          </cell>
          <cell r="BU6">
            <v>0.22802436901653622</v>
          </cell>
          <cell r="BW6">
            <v>440</v>
          </cell>
          <cell r="BY6">
            <v>460</v>
          </cell>
          <cell r="CA6">
            <v>475</v>
          </cell>
          <cell r="CC6">
            <v>490</v>
          </cell>
          <cell r="CE6">
            <v>1865</v>
          </cell>
          <cell r="CF6">
            <v>0.32175761871013475</v>
          </cell>
        </row>
        <row r="7">
          <cell r="B7" t="str">
            <v xml:space="preserve">Rituxan - Transfer to Roche </v>
          </cell>
          <cell r="C7" t="str">
            <v>5.1</v>
          </cell>
          <cell r="E7" t="str">
            <v>6.1</v>
          </cell>
          <cell r="G7" t="str">
            <v>2.4</v>
          </cell>
          <cell r="I7" t="str">
            <v>3.1</v>
          </cell>
          <cell r="K7" t="str">
            <v>16.7</v>
          </cell>
          <cell r="M7" t="str">
            <v>7.1</v>
          </cell>
          <cell r="O7" t="str">
            <v>6.1</v>
          </cell>
          <cell r="Q7" t="str">
            <v>2.4</v>
          </cell>
          <cell r="S7" t="str">
            <v>4.3</v>
          </cell>
          <cell r="U7">
            <v>19.899999999999977</v>
          </cell>
          <cell r="W7" t="str">
            <v>4.1</v>
          </cell>
          <cell r="Y7" t="str">
            <v>7.7</v>
          </cell>
          <cell r="AA7" t="str">
            <v>7.8</v>
          </cell>
          <cell r="AC7" t="str">
            <v>20</v>
          </cell>
          <cell r="AE7" t="str">
            <v>39.6</v>
          </cell>
          <cell r="AG7" t="str">
            <v>12.5</v>
          </cell>
          <cell r="AI7" t="str">
            <v>17.5</v>
          </cell>
          <cell r="AK7" t="str">
            <v>24.3</v>
          </cell>
          <cell r="AM7" t="str">
            <v>28.4</v>
          </cell>
          <cell r="AO7" t="str">
            <v>82.7</v>
          </cell>
          <cell r="AQ7" t="str">
            <v>31</v>
          </cell>
          <cell r="AS7" t="str">
            <v>35.4</v>
          </cell>
          <cell r="AU7" t="str">
            <v>18.1</v>
          </cell>
          <cell r="AW7" t="str">
            <v>44.4</v>
          </cell>
          <cell r="AY7">
            <v>128.9</v>
          </cell>
          <cell r="BA7">
            <v>38.799999999999997</v>
          </cell>
          <cell r="BC7">
            <v>34.700000000000003</v>
          </cell>
          <cell r="BE7">
            <v>44.7</v>
          </cell>
          <cell r="BG7">
            <v>19</v>
          </cell>
          <cell r="BI7">
            <v>137.19999999999999</v>
          </cell>
          <cell r="BJ7">
            <v>6.4391000775795071E-2</v>
          </cell>
          <cell r="BL7">
            <v>33.049999999999997</v>
          </cell>
          <cell r="BN7">
            <v>32</v>
          </cell>
          <cell r="BP7">
            <v>45.7</v>
          </cell>
          <cell r="BR7">
            <v>47.2</v>
          </cell>
          <cell r="BT7">
            <v>157.94999999999999</v>
          </cell>
          <cell r="BU7">
            <v>0.15123906705539358</v>
          </cell>
          <cell r="BW7">
            <v>32</v>
          </cell>
          <cell r="BY7">
            <v>73.600000000000009</v>
          </cell>
          <cell r="CA7">
            <v>76</v>
          </cell>
          <cell r="CC7">
            <v>78.400000000000006</v>
          </cell>
          <cell r="CE7">
            <v>260</v>
          </cell>
          <cell r="CF7">
            <v>0.64609053497942392</v>
          </cell>
        </row>
        <row r="8">
          <cell r="B8" t="str">
            <v>Rituxan - US &amp; Sales to Roche</v>
          </cell>
          <cell r="C8">
            <v>57.1</v>
          </cell>
          <cell r="E8">
            <v>74.400000000000006</v>
          </cell>
          <cell r="G8">
            <v>72.599999999999994</v>
          </cell>
          <cell r="I8">
            <v>75.3</v>
          </cell>
          <cell r="K8">
            <v>279.39999999999998</v>
          </cell>
          <cell r="M8">
            <v>85.1</v>
          </cell>
          <cell r="O8">
            <v>102.8</v>
          </cell>
          <cell r="Q8">
            <v>117.9</v>
          </cell>
          <cell r="S8">
            <v>138.30000000000001</v>
          </cell>
          <cell r="U8">
            <v>444.09999999999997</v>
          </cell>
          <cell r="W8">
            <v>172.1</v>
          </cell>
          <cell r="Y8">
            <v>187.7</v>
          </cell>
          <cell r="AA8">
            <v>212.8</v>
          </cell>
          <cell r="AC8">
            <v>246</v>
          </cell>
          <cell r="AE8">
            <v>818.59999999999991</v>
          </cell>
          <cell r="AG8">
            <v>247.5</v>
          </cell>
          <cell r="AI8">
            <v>274.89999999999998</v>
          </cell>
          <cell r="AK8">
            <v>293.90000000000003</v>
          </cell>
          <cell r="AM8">
            <v>346.59999999999997</v>
          </cell>
          <cell r="AO8">
            <v>1162.8999999999999</v>
          </cell>
          <cell r="AQ8">
            <v>341</v>
          </cell>
          <cell r="AS8">
            <v>363.4</v>
          </cell>
          <cell r="AU8">
            <v>371.70000000000005</v>
          </cell>
          <cell r="AW8">
            <v>413</v>
          </cell>
          <cell r="AY8">
            <v>1489.1</v>
          </cell>
          <cell r="BA8">
            <v>400.6</v>
          </cell>
          <cell r="BB8">
            <v>0.17478005865102642</v>
          </cell>
          <cell r="BC8">
            <v>424.7</v>
          </cell>
          <cell r="BD8">
            <v>0.1686846450192625</v>
          </cell>
          <cell r="BE8">
            <v>437.7</v>
          </cell>
          <cell r="BF8">
            <v>0.17756255044390623</v>
          </cell>
          <cell r="BG8">
            <v>448.2</v>
          </cell>
          <cell r="BH8">
            <v>8.5230024213075017E-2</v>
          </cell>
          <cell r="BI8">
            <v>1711.2</v>
          </cell>
          <cell r="BJ8">
            <v>0.14915049358673027</v>
          </cell>
          <cell r="BL8">
            <v>473.6</v>
          </cell>
          <cell r="BM8">
            <v>0.18222666000998511</v>
          </cell>
          <cell r="BN8">
            <v>482.3</v>
          </cell>
          <cell r="BO8">
            <v>0.13562514716270324</v>
          </cell>
          <cell r="BP8">
            <v>501.92699999999996</v>
          </cell>
          <cell r="BQ8">
            <v>0.14673749143248793</v>
          </cell>
          <cell r="BR8">
            <v>531.60400000000004</v>
          </cell>
          <cell r="BS8">
            <v>0.18608656849620719</v>
          </cell>
          <cell r="BT8">
            <v>1989.431</v>
          </cell>
          <cell r="BU8">
            <v>0.16259408602150538</v>
          </cell>
          <cell r="BW8">
            <v>509</v>
          </cell>
          <cell r="BX8">
            <v>7.474662162162149E-2</v>
          </cell>
          <cell r="BY8">
            <v>593.6</v>
          </cell>
          <cell r="BZ8">
            <v>0.23076923076923084</v>
          </cell>
          <cell r="CA8">
            <v>616</v>
          </cell>
          <cell r="CB8">
            <v>0.22727010103062795</v>
          </cell>
          <cell r="CC8">
            <v>638.4</v>
          </cell>
          <cell r="CD8">
            <v>0.2008938984657751</v>
          </cell>
          <cell r="CE8">
            <v>2357</v>
          </cell>
          <cell r="CF8">
            <v>0.18476086881123299</v>
          </cell>
        </row>
        <row r="9">
          <cell r="B9" t="str">
            <v>Avastin - US</v>
          </cell>
          <cell r="BA9">
            <v>38.1</v>
          </cell>
          <cell r="BC9">
            <v>133</v>
          </cell>
          <cell r="BE9">
            <v>183</v>
          </cell>
          <cell r="BG9">
            <v>198.24</v>
          </cell>
          <cell r="BI9">
            <v>552.34</v>
          </cell>
          <cell r="BL9">
            <v>202.85499999999999</v>
          </cell>
          <cell r="BN9">
            <v>245.6</v>
          </cell>
          <cell r="BP9">
            <v>325.15600000000001</v>
          </cell>
          <cell r="BR9">
            <v>359.11</v>
          </cell>
          <cell r="BT9">
            <v>1132.721</v>
          </cell>
          <cell r="BW9">
            <v>398</v>
          </cell>
          <cell r="BY9">
            <v>442</v>
          </cell>
          <cell r="CA9">
            <v>486</v>
          </cell>
          <cell r="CC9">
            <v>550</v>
          </cell>
          <cell r="CE9">
            <v>1876</v>
          </cell>
        </row>
        <row r="10">
          <cell r="B10" t="str">
            <v>Avastin - Ex-US</v>
          </cell>
          <cell r="BA10">
            <v>0</v>
          </cell>
          <cell r="BC10">
            <v>0</v>
          </cell>
          <cell r="BE10">
            <v>0</v>
          </cell>
          <cell r="BG10">
            <v>10</v>
          </cell>
          <cell r="BI10">
            <v>10</v>
          </cell>
          <cell r="BL10">
            <v>16.899999999999999</v>
          </cell>
          <cell r="BN10">
            <v>38.200000000000003</v>
          </cell>
          <cell r="BP10">
            <v>60.6</v>
          </cell>
          <cell r="BR10">
            <v>75</v>
          </cell>
          <cell r="BT10">
            <v>190.7</v>
          </cell>
          <cell r="BW10">
            <v>105</v>
          </cell>
          <cell r="BY10">
            <v>130</v>
          </cell>
          <cell r="CA10">
            <v>150</v>
          </cell>
          <cell r="CC10">
            <v>180</v>
          </cell>
          <cell r="CE10">
            <v>565</v>
          </cell>
        </row>
        <row r="11">
          <cell r="B11" t="str">
            <v>Avastin - Transfer to Roche</v>
          </cell>
          <cell r="BG11">
            <v>2.16</v>
          </cell>
          <cell r="BI11">
            <v>2.16</v>
          </cell>
          <cell r="BL11">
            <v>11.632</v>
          </cell>
          <cell r="BN11">
            <v>3.6</v>
          </cell>
          <cell r="BP11">
            <v>35</v>
          </cell>
          <cell r="BR11">
            <v>33.799999999999997</v>
          </cell>
          <cell r="BT11">
            <v>84.031999999999996</v>
          </cell>
          <cell r="BW11">
            <v>18</v>
          </cell>
          <cell r="BY11">
            <v>28.08</v>
          </cell>
          <cell r="CA11">
            <v>32.4</v>
          </cell>
          <cell r="CC11">
            <v>38.879999999999995</v>
          </cell>
          <cell r="CE11">
            <v>117.35999999999999</v>
          </cell>
        </row>
        <row r="12">
          <cell r="B12" t="str">
            <v>Avastin -  US &amp; Sales to Roche</v>
          </cell>
          <cell r="BA12">
            <v>38.1</v>
          </cell>
          <cell r="BB12" t="str">
            <v>NM</v>
          </cell>
          <cell r="BC12">
            <v>133</v>
          </cell>
          <cell r="BD12" t="str">
            <v>NM</v>
          </cell>
          <cell r="BE12">
            <v>183</v>
          </cell>
          <cell r="BF12" t="str">
            <v>NM</v>
          </cell>
          <cell r="BG12">
            <v>200.4</v>
          </cell>
          <cell r="BH12" t="str">
            <v>NM</v>
          </cell>
          <cell r="BI12">
            <v>554.5</v>
          </cell>
          <cell r="BJ12" t="str">
            <v>NM</v>
          </cell>
          <cell r="BL12">
            <v>214.48699999999999</v>
          </cell>
          <cell r="BM12">
            <v>4.6295800524934378</v>
          </cell>
          <cell r="BN12">
            <v>249.2</v>
          </cell>
          <cell r="BO12">
            <v>0.87368421052631562</v>
          </cell>
          <cell r="BP12">
            <v>360.15600000000001</v>
          </cell>
          <cell r="BQ12">
            <v>0.96806557377049174</v>
          </cell>
          <cell r="BR12">
            <v>392.91</v>
          </cell>
          <cell r="BS12">
            <v>0.96062874251497021</v>
          </cell>
          <cell r="BT12">
            <v>1216.7530000000002</v>
          </cell>
          <cell r="BU12">
            <v>1.1943246167718669</v>
          </cell>
          <cell r="BW12">
            <v>416</v>
          </cell>
          <cell r="BX12">
            <v>0.93951148554457853</v>
          </cell>
          <cell r="BY12">
            <v>470.08</v>
          </cell>
          <cell r="BZ12">
            <v>0.88635634028892452</v>
          </cell>
          <cell r="CA12">
            <v>518.4</v>
          </cell>
          <cell r="CB12">
            <v>0.4393762702828774</v>
          </cell>
          <cell r="CC12">
            <v>588.88</v>
          </cell>
          <cell r="CD12">
            <v>0.49876562062558838</v>
          </cell>
          <cell r="CE12">
            <v>1993.3600000000001</v>
          </cell>
          <cell r="CF12">
            <v>0.63826183292747163</v>
          </cell>
        </row>
        <row r="13">
          <cell r="B13" t="str">
            <v>Herceptin - US</v>
          </cell>
          <cell r="C13">
            <v>39.200000000000003</v>
          </cell>
          <cell r="E13">
            <v>42.6</v>
          </cell>
          <cell r="G13">
            <v>47.5</v>
          </cell>
          <cell r="I13">
            <v>54.4</v>
          </cell>
          <cell r="K13">
            <v>183.70000000000002</v>
          </cell>
          <cell r="M13">
            <v>56.7</v>
          </cell>
          <cell r="O13">
            <v>62.6</v>
          </cell>
          <cell r="Q13">
            <v>64.099999999999994</v>
          </cell>
          <cell r="S13">
            <v>66.3</v>
          </cell>
          <cell r="U13">
            <v>249.7</v>
          </cell>
          <cell r="W13">
            <v>70.099999999999994</v>
          </cell>
          <cell r="Y13">
            <v>74.099999999999994</v>
          </cell>
          <cell r="AA13">
            <v>75.900000000000006</v>
          </cell>
          <cell r="AC13">
            <v>95.3</v>
          </cell>
          <cell r="AE13">
            <v>315.39999999999998</v>
          </cell>
          <cell r="AG13">
            <v>77.3</v>
          </cell>
          <cell r="AI13">
            <v>82.5</v>
          </cell>
          <cell r="AK13">
            <v>88.3</v>
          </cell>
          <cell r="AM13">
            <v>96.8</v>
          </cell>
          <cell r="AO13">
            <v>344.9</v>
          </cell>
          <cell r="AQ13">
            <v>93.7</v>
          </cell>
          <cell r="AS13">
            <v>99</v>
          </cell>
          <cell r="AU13">
            <v>106.2</v>
          </cell>
          <cell r="AW13">
            <v>107.1</v>
          </cell>
          <cell r="AY13">
            <v>406</v>
          </cell>
          <cell r="BA13">
            <v>108.7</v>
          </cell>
          <cell r="BC13">
            <v>110</v>
          </cell>
          <cell r="BE13">
            <v>122.7</v>
          </cell>
          <cell r="BG13">
            <v>125</v>
          </cell>
          <cell r="BI13">
            <v>466.4</v>
          </cell>
          <cell r="BJ13">
            <v>0.14876847290640383</v>
          </cell>
          <cell r="BL13">
            <v>129.63</v>
          </cell>
          <cell r="BM13">
            <v>0.19254829806807727</v>
          </cell>
          <cell r="BN13">
            <v>152.4</v>
          </cell>
          <cell r="BO13">
            <v>0.38545454545454549</v>
          </cell>
          <cell r="BP13">
            <v>215.148</v>
          </cell>
          <cell r="BQ13">
            <v>0.75344743276283621</v>
          </cell>
          <cell r="BR13">
            <v>250.06899999999999</v>
          </cell>
          <cell r="BS13">
            <v>1.0005519999999999</v>
          </cell>
          <cell r="BT13">
            <v>747.24699999999996</v>
          </cell>
          <cell r="BU13">
            <v>0.60215909090909081</v>
          </cell>
          <cell r="BW13">
            <v>290</v>
          </cell>
          <cell r="BX13">
            <v>1.2371364653243848</v>
          </cell>
          <cell r="BY13">
            <v>330</v>
          </cell>
          <cell r="BZ13">
            <v>1.1653543307086611</v>
          </cell>
          <cell r="CA13">
            <v>365</v>
          </cell>
          <cell r="CB13">
            <v>0.69650659081190636</v>
          </cell>
          <cell r="CC13">
            <v>390</v>
          </cell>
          <cell r="CD13">
            <v>0.55956955880177084</v>
          </cell>
          <cell r="CE13">
            <v>1375</v>
          </cell>
          <cell r="CF13">
            <v>0.84008768185084737</v>
          </cell>
        </row>
        <row r="14">
          <cell r="B14" t="str">
            <v xml:space="preserve">Herceptin - Ex-US </v>
          </cell>
          <cell r="K14">
            <v>0</v>
          </cell>
          <cell r="M14">
            <v>26.490066225165563</v>
          </cell>
          <cell r="O14">
            <v>9.0507726269315665</v>
          </cell>
          <cell r="Q14">
            <v>18.763796909492275</v>
          </cell>
          <cell r="S14">
            <v>3.7527593818984544</v>
          </cell>
          <cell r="U14">
            <v>58.099999999999966</v>
          </cell>
          <cell r="W14">
            <v>26.799999999999997</v>
          </cell>
          <cell r="Y14">
            <v>31.92</v>
          </cell>
          <cell r="AA14">
            <v>40.379999999999981</v>
          </cell>
          <cell r="AC14">
            <v>44.92</v>
          </cell>
          <cell r="AE14">
            <v>144.01999999999998</v>
          </cell>
          <cell r="AG14">
            <v>67.65000000000002</v>
          </cell>
          <cell r="AI14">
            <v>70.02000000000001</v>
          </cell>
          <cell r="AK14">
            <v>83.89</v>
          </cell>
          <cell r="AM14">
            <v>94.280000000000015</v>
          </cell>
          <cell r="AO14">
            <v>315.84000000000003</v>
          </cell>
          <cell r="AQ14">
            <v>89.149999999999991</v>
          </cell>
          <cell r="AS14">
            <v>109.78</v>
          </cell>
          <cell r="AU14">
            <v>117.71999999999998</v>
          </cell>
          <cell r="AW14">
            <v>129.15</v>
          </cell>
          <cell r="AY14">
            <v>445.79999999999995</v>
          </cell>
          <cell r="BA14">
            <v>147.13999999999999</v>
          </cell>
          <cell r="BC14">
            <v>145</v>
          </cell>
          <cell r="BE14">
            <v>148</v>
          </cell>
          <cell r="BG14">
            <v>150</v>
          </cell>
          <cell r="BI14">
            <v>590.14</v>
          </cell>
          <cell r="BL14">
            <v>201</v>
          </cell>
          <cell r="BM14">
            <v>0.36604594263966295</v>
          </cell>
          <cell r="BN14">
            <v>223</v>
          </cell>
          <cell r="BO14">
            <v>0.53793103448275859</v>
          </cell>
          <cell r="BP14">
            <v>252</v>
          </cell>
          <cell r="BQ14">
            <v>0.70270270270270263</v>
          </cell>
          <cell r="BR14">
            <v>272</v>
          </cell>
          <cell r="BS14">
            <v>0.81333333333333324</v>
          </cell>
          <cell r="BT14">
            <v>948</v>
          </cell>
          <cell r="BU14">
            <v>0.60639848171620292</v>
          </cell>
          <cell r="BW14">
            <v>255</v>
          </cell>
          <cell r="BX14">
            <v>0.26865671641791056</v>
          </cell>
          <cell r="BY14">
            <v>275</v>
          </cell>
          <cell r="BZ14">
            <v>0.23318385650224216</v>
          </cell>
          <cell r="CA14">
            <v>315</v>
          </cell>
          <cell r="CB14">
            <v>0.25</v>
          </cell>
          <cell r="CC14">
            <v>330</v>
          </cell>
          <cell r="CD14">
            <v>0.21323529411764697</v>
          </cell>
          <cell r="CE14">
            <v>1175</v>
          </cell>
          <cell r="CF14">
            <v>0.23945147679324896</v>
          </cell>
        </row>
        <row r="15">
          <cell r="B15" t="str">
            <v>Herceptin - Transfer to Roche</v>
          </cell>
          <cell r="C15">
            <v>0.7</v>
          </cell>
          <cell r="E15">
            <v>3.6</v>
          </cell>
          <cell r="G15">
            <v>0.4</v>
          </cell>
          <cell r="I15">
            <v>0</v>
          </cell>
          <cell r="K15">
            <v>4.7</v>
          </cell>
          <cell r="M15">
            <v>12</v>
          </cell>
          <cell r="O15">
            <v>4.0999999999999996</v>
          </cell>
          <cell r="Q15">
            <v>8.5</v>
          </cell>
          <cell r="S15">
            <v>1.7</v>
          </cell>
          <cell r="U15">
            <v>26.3</v>
          </cell>
          <cell r="W15">
            <v>11.3</v>
          </cell>
          <cell r="Y15">
            <v>4.7</v>
          </cell>
          <cell r="AA15">
            <v>7.9</v>
          </cell>
          <cell r="AC15">
            <v>7.4</v>
          </cell>
          <cell r="AE15">
            <v>31.299999999999997</v>
          </cell>
          <cell r="AG15">
            <v>9.5</v>
          </cell>
          <cell r="AI15">
            <v>12.6</v>
          </cell>
          <cell r="AK15">
            <v>8.4</v>
          </cell>
          <cell r="AM15">
            <v>9.8000000000000007</v>
          </cell>
          <cell r="AO15">
            <v>40.299999999999997</v>
          </cell>
          <cell r="AQ15">
            <v>0</v>
          </cell>
          <cell r="AS15">
            <v>10.1</v>
          </cell>
          <cell r="AU15">
            <v>1.5</v>
          </cell>
          <cell r="AW15">
            <v>7.2</v>
          </cell>
          <cell r="AY15">
            <v>18.8</v>
          </cell>
          <cell r="BA15">
            <v>4.8</v>
          </cell>
          <cell r="BC15">
            <v>3.625</v>
          </cell>
          <cell r="BE15">
            <v>3.7</v>
          </cell>
          <cell r="BG15">
            <v>3.75</v>
          </cell>
          <cell r="BI15">
            <v>15.875</v>
          </cell>
          <cell r="BJ15">
            <v>-0.15558510638297873</v>
          </cell>
          <cell r="BL15">
            <v>10.888</v>
          </cell>
          <cell r="BM15">
            <v>1.2683333333333335</v>
          </cell>
          <cell r="BN15">
            <v>-1.7669999999999999</v>
          </cell>
          <cell r="BO15">
            <v>-1.4874482758620688</v>
          </cell>
          <cell r="BP15">
            <v>5</v>
          </cell>
          <cell r="BQ15">
            <v>0.35135135135135132</v>
          </cell>
          <cell r="BR15">
            <v>2.5</v>
          </cell>
          <cell r="BS15">
            <v>-0.33333333333333337</v>
          </cell>
          <cell r="BT15">
            <v>16.621000000000002</v>
          </cell>
          <cell r="BU15">
            <v>4.6992125984252064E-2</v>
          </cell>
          <cell r="BW15">
            <v>5</v>
          </cell>
          <cell r="BX15">
            <v>-0.54077883908890523</v>
          </cell>
          <cell r="BY15">
            <v>0</v>
          </cell>
          <cell r="CA15">
            <v>0</v>
          </cell>
          <cell r="CC15">
            <v>0</v>
          </cell>
          <cell r="CE15">
            <v>5</v>
          </cell>
          <cell r="CF15">
            <v>-0.69917574153179718</v>
          </cell>
        </row>
        <row r="16">
          <cell r="B16" t="str">
            <v>Herceptin- US &amp; Sales to Roche</v>
          </cell>
          <cell r="C16">
            <v>39.899999999000009</v>
          </cell>
          <cell r="E16">
            <v>46.2</v>
          </cell>
          <cell r="G16">
            <v>47.900000000999995</v>
          </cell>
          <cell r="I16">
            <v>54.4</v>
          </cell>
          <cell r="K16">
            <v>188.4</v>
          </cell>
          <cell r="M16">
            <v>68.700000000999992</v>
          </cell>
          <cell r="O16">
            <v>66.700000000999992</v>
          </cell>
          <cell r="Q16">
            <v>72.599999999999994</v>
          </cell>
          <cell r="S16">
            <v>67.900000000000006</v>
          </cell>
          <cell r="U16">
            <v>275.90000000199996</v>
          </cell>
          <cell r="W16">
            <v>81.400000000000006</v>
          </cell>
          <cell r="Y16">
            <v>78.799999999000008</v>
          </cell>
          <cell r="AA16">
            <v>83.9</v>
          </cell>
          <cell r="AC16">
            <v>102.52497556000002</v>
          </cell>
          <cell r="AE16">
            <v>346.62497555900001</v>
          </cell>
          <cell r="AG16">
            <v>86.835243488000017</v>
          </cell>
          <cell r="AI16">
            <v>95.107865390720022</v>
          </cell>
          <cell r="AK16">
            <v>96.7</v>
          </cell>
          <cell r="AM16">
            <v>106.62597458240003</v>
          </cell>
          <cell r="AO16">
            <v>385.26908346112009</v>
          </cell>
          <cell r="AQ16">
            <v>93.7</v>
          </cell>
          <cell r="AS16">
            <v>109.1</v>
          </cell>
          <cell r="AU16">
            <v>107.7</v>
          </cell>
          <cell r="AW16">
            <v>114.3</v>
          </cell>
          <cell r="AY16">
            <v>424.8</v>
          </cell>
          <cell r="BA16">
            <v>113.5</v>
          </cell>
          <cell r="BB16">
            <v>0.21131270010672365</v>
          </cell>
          <cell r="BC16">
            <v>117.7</v>
          </cell>
          <cell r="BD16">
            <v>7.8826764436296992E-2</v>
          </cell>
          <cell r="BE16">
            <v>126</v>
          </cell>
          <cell r="BF16">
            <v>0.16991643454038985</v>
          </cell>
          <cell r="BG16">
            <v>126</v>
          </cell>
          <cell r="BH16">
            <v>0.10236220472440949</v>
          </cell>
          <cell r="BI16">
            <v>483.2</v>
          </cell>
          <cell r="BJ16">
            <v>0.1374764595103577</v>
          </cell>
          <cell r="BL16">
            <v>140.518</v>
          </cell>
          <cell r="BM16">
            <v>0.23804405286343622</v>
          </cell>
          <cell r="BN16">
            <v>150.63300000000001</v>
          </cell>
          <cell r="BO16">
            <v>0.27980458793542917</v>
          </cell>
          <cell r="BP16">
            <v>220.148</v>
          </cell>
          <cell r="BQ16">
            <v>0.74720634920634921</v>
          </cell>
          <cell r="BR16">
            <v>252.56899999999999</v>
          </cell>
          <cell r="BS16">
            <v>1.004515873015873</v>
          </cell>
          <cell r="BT16">
            <v>763.86799999999994</v>
          </cell>
          <cell r="BU16">
            <v>0.58085264900662237</v>
          </cell>
          <cell r="BW16">
            <v>295</v>
          </cell>
          <cell r="BX16">
            <v>1.0993751690174922</v>
          </cell>
          <cell r="BY16">
            <v>330</v>
          </cell>
          <cell r="BZ16">
            <v>1.1907550138415885</v>
          </cell>
          <cell r="CA16">
            <v>365</v>
          </cell>
          <cell r="CB16">
            <v>0.65797554372513045</v>
          </cell>
          <cell r="CC16">
            <v>390</v>
          </cell>
          <cell r="CD16">
            <v>0.54413249448665524</v>
          </cell>
          <cell r="CE16">
            <v>1380</v>
          </cell>
          <cell r="CF16">
            <v>0.8065948567029908</v>
          </cell>
        </row>
        <row r="17">
          <cell r="B17" t="str">
            <v>Xolair</v>
          </cell>
          <cell r="C17">
            <v>0</v>
          </cell>
          <cell r="E17">
            <v>0</v>
          </cell>
          <cell r="G17">
            <v>0</v>
          </cell>
          <cell r="I17">
            <v>0</v>
          </cell>
          <cell r="K17">
            <v>0</v>
          </cell>
          <cell r="M17">
            <v>0</v>
          </cell>
          <cell r="O17">
            <v>0</v>
          </cell>
          <cell r="Q17">
            <v>0</v>
          </cell>
          <cell r="S17">
            <v>0</v>
          </cell>
          <cell r="U17">
            <v>0</v>
          </cell>
          <cell r="W17">
            <v>0</v>
          </cell>
          <cell r="Y17">
            <v>0</v>
          </cell>
          <cell r="AA17">
            <v>0</v>
          </cell>
          <cell r="AC17">
            <v>0</v>
          </cell>
          <cell r="AE17">
            <v>0</v>
          </cell>
          <cell r="AG17">
            <v>0</v>
          </cell>
          <cell r="AI17">
            <v>0</v>
          </cell>
          <cell r="AK17">
            <v>0</v>
          </cell>
          <cell r="AM17">
            <v>0</v>
          </cell>
          <cell r="AO17">
            <v>0</v>
          </cell>
          <cell r="AQ17">
            <v>0</v>
          </cell>
          <cell r="AS17">
            <v>0</v>
          </cell>
          <cell r="AU17">
            <v>6.8</v>
          </cell>
          <cell r="AW17">
            <v>18.5</v>
          </cell>
          <cell r="AY17">
            <v>25.3</v>
          </cell>
          <cell r="BA17">
            <v>30</v>
          </cell>
          <cell r="BB17" t="str">
            <v>NM</v>
          </cell>
          <cell r="BC17">
            <v>43.7</v>
          </cell>
          <cell r="BE17">
            <v>53.9</v>
          </cell>
          <cell r="BG17">
            <v>60.9</v>
          </cell>
          <cell r="BH17">
            <v>2.291891891891892</v>
          </cell>
          <cell r="BI17">
            <v>188.5</v>
          </cell>
          <cell r="BJ17">
            <v>6.4505928853754941</v>
          </cell>
          <cell r="BL17">
            <v>68.597000000000008</v>
          </cell>
          <cell r="BM17">
            <v>1.2865666666666669</v>
          </cell>
          <cell r="BN17">
            <v>80.400000000000006</v>
          </cell>
          <cell r="BO17">
            <v>0.83981693363844401</v>
          </cell>
          <cell r="BP17">
            <v>81.55</v>
          </cell>
          <cell r="BQ17">
            <v>0.51298701298701288</v>
          </cell>
          <cell r="BR17">
            <v>93.25</v>
          </cell>
          <cell r="BS17">
            <v>0.53119868637110024</v>
          </cell>
          <cell r="BT17">
            <v>323.79700000000003</v>
          </cell>
          <cell r="BU17">
            <v>0.71775596816976139</v>
          </cell>
          <cell r="BW17">
            <v>95</v>
          </cell>
          <cell r="BX17">
            <v>0.3849002142950857</v>
          </cell>
          <cell r="BY17">
            <v>106</v>
          </cell>
          <cell r="BZ17">
            <v>0.31840796019900486</v>
          </cell>
          <cell r="CA17">
            <v>108</v>
          </cell>
          <cell r="CB17">
            <v>0.32434089515634579</v>
          </cell>
          <cell r="CC17">
            <v>114</v>
          </cell>
          <cell r="CD17">
            <v>0.22252010723860582</v>
          </cell>
          <cell r="CE17">
            <v>423</v>
          </cell>
          <cell r="CF17">
            <v>0.30637405534949358</v>
          </cell>
        </row>
        <row r="18">
          <cell r="B18" t="str">
            <v>Raptiva</v>
          </cell>
          <cell r="C18">
            <v>0</v>
          </cell>
          <cell r="E18">
            <v>0</v>
          </cell>
          <cell r="G18">
            <v>0</v>
          </cell>
          <cell r="I18">
            <v>0</v>
          </cell>
          <cell r="K18">
            <v>0</v>
          </cell>
          <cell r="M18">
            <v>0</v>
          </cell>
          <cell r="O18">
            <v>0</v>
          </cell>
          <cell r="Q18">
            <v>0</v>
          </cell>
          <cell r="S18">
            <v>0</v>
          </cell>
          <cell r="U18">
            <v>0</v>
          </cell>
          <cell r="W18">
            <v>0</v>
          </cell>
          <cell r="Y18">
            <v>0</v>
          </cell>
          <cell r="AA18">
            <v>0</v>
          </cell>
          <cell r="AC18">
            <v>0</v>
          </cell>
          <cell r="AE18">
            <v>0</v>
          </cell>
          <cell r="AG18">
            <v>0</v>
          </cell>
          <cell r="AI18">
            <v>0</v>
          </cell>
          <cell r="AK18">
            <v>0</v>
          </cell>
          <cell r="AM18">
            <v>0</v>
          </cell>
          <cell r="AO18">
            <v>0</v>
          </cell>
          <cell r="AQ18">
            <v>0</v>
          </cell>
          <cell r="AS18">
            <v>0</v>
          </cell>
          <cell r="AU18">
            <v>0</v>
          </cell>
          <cell r="AW18">
            <v>1.4</v>
          </cell>
          <cell r="AY18">
            <v>1.4</v>
          </cell>
          <cell r="BA18">
            <v>6.3</v>
          </cell>
          <cell r="BB18" t="str">
            <v>NM</v>
          </cell>
          <cell r="BC18">
            <v>13.4</v>
          </cell>
          <cell r="BD18" t="str">
            <v>NM</v>
          </cell>
          <cell r="BE18">
            <v>18</v>
          </cell>
          <cell r="BF18" t="str">
            <v>NM</v>
          </cell>
          <cell r="BG18">
            <v>18.600000000000001</v>
          </cell>
          <cell r="BH18" t="str">
            <v>NM</v>
          </cell>
          <cell r="BI18">
            <v>56.300000000000004</v>
          </cell>
          <cell r="BJ18" t="str">
            <v>NM</v>
          </cell>
          <cell r="BL18">
            <v>24.114999999999998</v>
          </cell>
          <cell r="BM18">
            <v>2.8277777777777775</v>
          </cell>
          <cell r="BN18">
            <v>21.3</v>
          </cell>
          <cell r="BO18">
            <v>0.58955223880597019</v>
          </cell>
          <cell r="BP18">
            <v>20.887</v>
          </cell>
          <cell r="BQ18">
            <v>0.16038888888888891</v>
          </cell>
          <cell r="BR18">
            <v>20.452999999999999</v>
          </cell>
          <cell r="BS18">
            <v>9.9623655913978482E-2</v>
          </cell>
          <cell r="BT18">
            <v>86.754999999999995</v>
          </cell>
          <cell r="BU18">
            <v>0.54094138543516856</v>
          </cell>
          <cell r="BW18">
            <v>21</v>
          </cell>
          <cell r="BX18">
            <v>-0.12917271407837438</v>
          </cell>
          <cell r="BY18">
            <v>23</v>
          </cell>
          <cell r="BZ18">
            <v>7.9812206572769995E-2</v>
          </cell>
          <cell r="CA18">
            <v>24</v>
          </cell>
          <cell r="CB18">
            <v>0.14904007277253783</v>
          </cell>
          <cell r="CC18">
            <v>25</v>
          </cell>
          <cell r="CD18">
            <v>0.22231457487899098</v>
          </cell>
          <cell r="CE18">
            <v>93</v>
          </cell>
          <cell r="CF18">
            <v>7.1984323670105432E-2</v>
          </cell>
        </row>
        <row r="19">
          <cell r="B19" t="str">
            <v>Tarceva - US</v>
          </cell>
          <cell r="BA19">
            <v>0</v>
          </cell>
          <cell r="BC19">
            <v>0</v>
          </cell>
          <cell r="BE19">
            <v>0</v>
          </cell>
          <cell r="BG19">
            <v>13.3</v>
          </cell>
          <cell r="BI19">
            <v>13.3</v>
          </cell>
          <cell r="BL19">
            <v>47.585000000000001</v>
          </cell>
          <cell r="BN19">
            <v>70.2</v>
          </cell>
          <cell r="BP19">
            <v>73.22</v>
          </cell>
          <cell r="BR19">
            <v>83.891000000000005</v>
          </cell>
          <cell r="BT19">
            <v>274.89600000000002</v>
          </cell>
          <cell r="BU19" t="str">
            <v>NM</v>
          </cell>
          <cell r="BW19">
            <v>93</v>
          </cell>
          <cell r="BY19">
            <v>102</v>
          </cell>
          <cell r="CA19">
            <v>109</v>
          </cell>
          <cell r="CC19">
            <v>120</v>
          </cell>
          <cell r="CE19">
            <v>424</v>
          </cell>
          <cell r="CF19" t="str">
            <v>NM</v>
          </cell>
        </row>
        <row r="20">
          <cell r="B20" t="str">
            <v>Lucentis - US</v>
          </cell>
          <cell r="BW20">
            <v>0</v>
          </cell>
          <cell r="BY20">
            <v>0</v>
          </cell>
          <cell r="CA20">
            <v>40</v>
          </cell>
          <cell r="CC20">
            <v>95</v>
          </cell>
          <cell r="CE20">
            <v>135</v>
          </cell>
        </row>
        <row r="21">
          <cell r="B21" t="str">
            <v>Growth Hormone Products</v>
          </cell>
          <cell r="C21">
            <v>56.2</v>
          </cell>
          <cell r="E21">
            <v>59.3</v>
          </cell>
          <cell r="G21">
            <v>59.900000000999995</v>
          </cell>
          <cell r="I21">
            <v>45.8</v>
          </cell>
          <cell r="K21">
            <v>221.20000000099998</v>
          </cell>
          <cell r="M21">
            <v>55.1</v>
          </cell>
          <cell r="O21">
            <v>49.9</v>
          </cell>
          <cell r="Q21">
            <v>61.1</v>
          </cell>
          <cell r="S21">
            <v>60.5</v>
          </cell>
          <cell r="U21">
            <v>226.6</v>
          </cell>
          <cell r="W21">
            <v>55.499999999000018</v>
          </cell>
          <cell r="Y21">
            <v>62.5</v>
          </cell>
          <cell r="AA21">
            <v>67.7</v>
          </cell>
          <cell r="AC21">
            <v>64.53</v>
          </cell>
          <cell r="AE21">
            <v>250.229999999</v>
          </cell>
          <cell r="AG21">
            <v>67.680000000000007</v>
          </cell>
          <cell r="AI21">
            <v>75.33</v>
          </cell>
          <cell r="AK21">
            <v>77.400000000000006</v>
          </cell>
          <cell r="AM21">
            <v>76.814999999999998</v>
          </cell>
          <cell r="AO21">
            <v>297.22500000000002</v>
          </cell>
          <cell r="AQ21">
            <v>76.7</v>
          </cell>
          <cell r="AS21">
            <v>81.599999999999994</v>
          </cell>
          <cell r="AU21">
            <v>80.599999999999994</v>
          </cell>
          <cell r="AW21">
            <v>83</v>
          </cell>
          <cell r="AY21">
            <v>321.89999999999998</v>
          </cell>
          <cell r="BA21">
            <v>85.5</v>
          </cell>
          <cell r="BB21">
            <v>0.11473272490221631</v>
          </cell>
          <cell r="BC21">
            <v>88.4</v>
          </cell>
          <cell r="BD21">
            <v>8.3333333333333481E-2</v>
          </cell>
          <cell r="BE21">
            <v>87.2</v>
          </cell>
          <cell r="BF21">
            <v>8.1885856079404684E-2</v>
          </cell>
          <cell r="BG21">
            <v>92.5</v>
          </cell>
          <cell r="BH21">
            <v>0.1144578313253013</v>
          </cell>
          <cell r="BI21">
            <v>353.6</v>
          </cell>
          <cell r="BJ21">
            <v>9.8477788132960598E-2</v>
          </cell>
          <cell r="BL21">
            <v>92.087999999999994</v>
          </cell>
          <cell r="BM21">
            <v>7.7052631578947262E-2</v>
          </cell>
          <cell r="BN21">
            <v>97.116</v>
          </cell>
          <cell r="BO21">
            <v>9.8597285067873131E-2</v>
          </cell>
          <cell r="BP21">
            <v>88.584999999999994</v>
          </cell>
          <cell r="BQ21">
            <v>1.5883027522935578E-2</v>
          </cell>
          <cell r="BR21">
            <v>94.891000000000005</v>
          </cell>
          <cell r="BS21">
            <v>2.5848648648648664E-2</v>
          </cell>
          <cell r="BT21">
            <v>372.68</v>
          </cell>
          <cell r="BU21">
            <v>5.3959276018099578E-2</v>
          </cell>
          <cell r="BW21">
            <v>87</v>
          </cell>
          <cell r="BX21">
            <v>-5.5251498566588397E-2</v>
          </cell>
          <cell r="BY21">
            <v>97</v>
          </cell>
          <cell r="BZ21">
            <v>-1.194447876765925E-3</v>
          </cell>
          <cell r="CA21">
            <v>97</v>
          </cell>
          <cell r="CB21">
            <v>9.4993509059095871E-2</v>
          </cell>
          <cell r="CC21">
            <v>97</v>
          </cell>
          <cell r="CD21">
            <v>2.2225500837803391E-2</v>
          </cell>
          <cell r="CE21">
            <v>378</v>
          </cell>
          <cell r="CF21">
            <v>1.427498121712989E-2</v>
          </cell>
        </row>
        <row r="22">
          <cell r="B22" t="str">
            <v>Thrombolytics</v>
          </cell>
          <cell r="C22">
            <v>51.999999999000003</v>
          </cell>
          <cell r="E22">
            <v>58.100000000999991</v>
          </cell>
          <cell r="G22">
            <v>59.2</v>
          </cell>
          <cell r="I22">
            <v>66.700000000999992</v>
          </cell>
          <cell r="K22">
            <v>236.00000000099999</v>
          </cell>
          <cell r="M22">
            <v>47.5</v>
          </cell>
          <cell r="O22">
            <v>56.8</v>
          </cell>
          <cell r="Q22">
            <v>50.7</v>
          </cell>
          <cell r="S22">
            <v>51.2</v>
          </cell>
          <cell r="U22">
            <v>206.2</v>
          </cell>
          <cell r="W22">
            <v>52.099999999000005</v>
          </cell>
          <cell r="Y22">
            <v>51.6</v>
          </cell>
          <cell r="AA22">
            <v>48.6</v>
          </cell>
          <cell r="AC22">
            <v>44.805593250000001</v>
          </cell>
          <cell r="AE22">
            <v>197.10559324899998</v>
          </cell>
          <cell r="AG22">
            <v>42.834863389724994</v>
          </cell>
          <cell r="AI22">
            <v>43.103975852272498</v>
          </cell>
          <cell r="AK22">
            <v>45.6</v>
          </cell>
          <cell r="AM22">
            <v>48.655636966529997</v>
          </cell>
          <cell r="AO22">
            <v>180.19447620852748</v>
          </cell>
          <cell r="AQ22">
            <v>47.5</v>
          </cell>
          <cell r="AS22">
            <v>47.6</v>
          </cell>
          <cell r="AU22">
            <v>46</v>
          </cell>
          <cell r="AW22">
            <v>44.1</v>
          </cell>
          <cell r="AY22">
            <v>185.2</v>
          </cell>
          <cell r="BA22">
            <v>46.3</v>
          </cell>
          <cell r="BB22">
            <v>-2.5263157894736876E-2</v>
          </cell>
          <cell r="BC22">
            <v>51.5</v>
          </cell>
          <cell r="BD22">
            <v>8.1932773109243628E-2</v>
          </cell>
          <cell r="BE22">
            <v>54</v>
          </cell>
          <cell r="BF22">
            <v>0.17391304347826098</v>
          </cell>
          <cell r="BG22">
            <v>48.2</v>
          </cell>
          <cell r="BH22">
            <v>9.2970521541950069E-2</v>
          </cell>
          <cell r="BI22">
            <v>200</v>
          </cell>
          <cell r="BJ22">
            <v>7.9913606911447221E-2</v>
          </cell>
          <cell r="BL22">
            <v>53.57</v>
          </cell>
          <cell r="BM22">
            <v>0.15701943844492439</v>
          </cell>
          <cell r="BN22">
            <v>51.6</v>
          </cell>
          <cell r="BO22">
            <v>1.9417475728156219E-3</v>
          </cell>
          <cell r="BP22">
            <v>57.902999999999999</v>
          </cell>
          <cell r="BQ22">
            <v>7.2277777777777663E-2</v>
          </cell>
          <cell r="BR22">
            <v>58.389000000000003</v>
          </cell>
          <cell r="BS22">
            <v>0.21139004149377594</v>
          </cell>
          <cell r="BT22">
            <v>221.46200000000002</v>
          </cell>
          <cell r="BU22">
            <v>0.10731000000000002</v>
          </cell>
          <cell r="BW22">
            <v>59</v>
          </cell>
          <cell r="BX22">
            <v>0.10136270300541339</v>
          </cell>
          <cell r="BY22">
            <v>60</v>
          </cell>
          <cell r="BZ22">
            <v>0.16279069767441867</v>
          </cell>
          <cell r="CA22">
            <v>60</v>
          </cell>
          <cell r="CB22">
            <v>3.6215740117092388E-2</v>
          </cell>
          <cell r="CC22">
            <v>60</v>
          </cell>
          <cell r="CD22">
            <v>2.7590813338128628E-2</v>
          </cell>
          <cell r="CE22">
            <v>239</v>
          </cell>
          <cell r="CF22">
            <v>7.91919155430727E-2</v>
          </cell>
        </row>
        <row r="23">
          <cell r="B23" t="str">
            <v>Pulmozyme</v>
          </cell>
          <cell r="C23">
            <v>28.199999999000003</v>
          </cell>
          <cell r="E23">
            <v>30.600000000999994</v>
          </cell>
          <cell r="G23">
            <v>26.999999999000003</v>
          </cell>
          <cell r="I23">
            <v>25.599999999000005</v>
          </cell>
          <cell r="K23">
            <v>111.399999998</v>
          </cell>
          <cell r="M23">
            <v>26.8</v>
          </cell>
          <cell r="O23">
            <v>32.300000000999994</v>
          </cell>
          <cell r="Q23">
            <v>29.999999999000003</v>
          </cell>
          <cell r="S23">
            <v>32.700000000999992</v>
          </cell>
          <cell r="U23">
            <v>121.80000000099999</v>
          </cell>
          <cell r="W23">
            <v>29.899999999000006</v>
          </cell>
          <cell r="Y23">
            <v>28.1</v>
          </cell>
          <cell r="AA23">
            <v>32.799999999999997</v>
          </cell>
          <cell r="AC23">
            <v>32.077500000000001</v>
          </cell>
          <cell r="AE23">
            <v>122.87749999900001</v>
          </cell>
          <cell r="AG23">
            <v>31.6875</v>
          </cell>
          <cell r="AI23">
            <v>35.1</v>
          </cell>
          <cell r="AK23">
            <v>38.200000000000003</v>
          </cell>
          <cell r="AM23">
            <v>33.052500000000002</v>
          </cell>
          <cell r="AO23">
            <v>138.04</v>
          </cell>
          <cell r="AQ23">
            <v>39.6</v>
          </cell>
          <cell r="AS23">
            <v>42.6</v>
          </cell>
          <cell r="AU23">
            <v>40.4</v>
          </cell>
          <cell r="AW23">
            <v>44.6</v>
          </cell>
          <cell r="AY23">
            <v>167.2</v>
          </cell>
          <cell r="BA23">
            <v>43.4</v>
          </cell>
          <cell r="BB23">
            <v>9.59595959595958E-2</v>
          </cell>
          <cell r="BC23">
            <v>41</v>
          </cell>
          <cell r="BD23">
            <v>-3.7558685446009377E-2</v>
          </cell>
          <cell r="BE23">
            <v>45.7</v>
          </cell>
          <cell r="BF23">
            <v>0.1311881188118813</v>
          </cell>
          <cell r="BG23">
            <v>47.6</v>
          </cell>
          <cell r="BH23">
            <v>6.7264573991031362E-2</v>
          </cell>
          <cell r="BI23">
            <v>177.70000000000002</v>
          </cell>
          <cell r="BJ23">
            <v>6.2799043062201187E-2</v>
          </cell>
          <cell r="BL23">
            <v>51.745999999999995</v>
          </cell>
          <cell r="BM23">
            <v>0.19230414746543767</v>
          </cell>
          <cell r="BN23">
            <v>46.9</v>
          </cell>
          <cell r="BO23">
            <v>0.14390243902439015</v>
          </cell>
          <cell r="BP23">
            <v>46.593000000000004</v>
          </cell>
          <cell r="BQ23">
            <v>1.9540481400437626E-2</v>
          </cell>
          <cell r="BR23">
            <v>49.008000000000003</v>
          </cell>
          <cell r="BS23">
            <v>2.9579831932773137E-2</v>
          </cell>
          <cell r="BT23">
            <v>194.24699999999999</v>
          </cell>
          <cell r="BU23">
            <v>9.3117613956105627E-2</v>
          </cell>
          <cell r="BW23">
            <v>49</v>
          </cell>
          <cell r="BX23">
            <v>-5.3066903722026715E-2</v>
          </cell>
          <cell r="BY23">
            <v>52</v>
          </cell>
          <cell r="BZ23">
            <v>0.10874200426439229</v>
          </cell>
          <cell r="CA23">
            <v>52</v>
          </cell>
          <cell r="CB23">
            <v>0.11604747494258794</v>
          </cell>
          <cell r="CC23">
            <v>52</v>
          </cell>
          <cell r="CD23">
            <v>6.1051256937642684E-2</v>
          </cell>
          <cell r="CE23">
            <v>205</v>
          </cell>
          <cell r="CF23">
            <v>5.5357354296334149E-2</v>
          </cell>
        </row>
        <row r="24">
          <cell r="B24" t="str">
            <v>Actimmune</v>
          </cell>
          <cell r="C24">
            <v>0.7</v>
          </cell>
          <cell r="E24">
            <v>0.7</v>
          </cell>
          <cell r="G24">
            <v>0.4</v>
          </cell>
          <cell r="I24">
            <v>0.9</v>
          </cell>
          <cell r="K24">
            <v>2.6999999999999997</v>
          </cell>
          <cell r="M24">
            <v>0</v>
          </cell>
          <cell r="O24">
            <v>0.9</v>
          </cell>
          <cell r="Q24">
            <v>1.9</v>
          </cell>
          <cell r="S24">
            <v>0.9</v>
          </cell>
          <cell r="U24">
            <v>3.6999999999999997</v>
          </cell>
          <cell r="W24">
            <v>0.9</v>
          </cell>
          <cell r="Y24">
            <v>1.6</v>
          </cell>
          <cell r="AA24">
            <v>2.9</v>
          </cell>
          <cell r="AC24">
            <v>1.5</v>
          </cell>
          <cell r="AE24">
            <v>6.9</v>
          </cell>
          <cell r="AG24">
            <v>0</v>
          </cell>
          <cell r="AI24">
            <v>0</v>
          </cell>
          <cell r="AK24">
            <v>0</v>
          </cell>
          <cell r="AM24">
            <v>0</v>
          </cell>
          <cell r="AO24">
            <v>0</v>
          </cell>
          <cell r="AQ24">
            <v>0</v>
          </cell>
          <cell r="AS24">
            <v>0</v>
          </cell>
          <cell r="AU24">
            <v>0</v>
          </cell>
          <cell r="AW24">
            <v>0</v>
          </cell>
          <cell r="AY24">
            <v>0</v>
          </cell>
          <cell r="BA24">
            <v>0</v>
          </cell>
          <cell r="BC24">
            <v>0</v>
          </cell>
          <cell r="BE24">
            <v>0</v>
          </cell>
          <cell r="BG24">
            <v>0</v>
          </cell>
          <cell r="BI24">
            <v>0</v>
          </cell>
          <cell r="BL24">
            <v>0</v>
          </cell>
          <cell r="BN24">
            <v>0</v>
          </cell>
          <cell r="BP24">
            <v>0</v>
          </cell>
          <cell r="BR24">
            <v>0</v>
          </cell>
          <cell r="BT24">
            <v>0</v>
          </cell>
          <cell r="BW24">
            <v>0</v>
          </cell>
          <cell r="BY24">
            <v>0</v>
          </cell>
          <cell r="CA24">
            <v>0</v>
          </cell>
          <cell r="CC24">
            <v>0</v>
          </cell>
          <cell r="CE24">
            <v>0</v>
          </cell>
        </row>
        <row r="25">
          <cell r="B25" t="str">
            <v>Other</v>
          </cell>
          <cell r="AU25">
            <v>1.7220000000000937</v>
          </cell>
          <cell r="AW25">
            <v>4.9000000000000004</v>
          </cell>
          <cell r="AY25">
            <v>6.622000000000094</v>
          </cell>
          <cell r="BA25">
            <v>0</v>
          </cell>
          <cell r="BC25">
            <v>0</v>
          </cell>
          <cell r="BE25">
            <v>0</v>
          </cell>
          <cell r="BG25">
            <v>10.6</v>
          </cell>
          <cell r="BI25">
            <v>10.6</v>
          </cell>
          <cell r="BL25">
            <v>19.696000000000002</v>
          </cell>
          <cell r="BN25">
            <v>24.5</v>
          </cell>
          <cell r="BP25">
            <v>0</v>
          </cell>
          <cell r="BR25">
            <v>0</v>
          </cell>
          <cell r="BT25">
            <v>44.195999999999998</v>
          </cell>
          <cell r="BW25">
            <v>20</v>
          </cell>
          <cell r="BY25">
            <v>0</v>
          </cell>
          <cell r="CA25">
            <v>0</v>
          </cell>
          <cell r="CC25">
            <v>0</v>
          </cell>
          <cell r="CE25">
            <v>20</v>
          </cell>
        </row>
        <row r="26">
          <cell r="B26" t="str">
            <v>Product Sales</v>
          </cell>
          <cell r="C26">
            <v>273.99999999700003</v>
          </cell>
          <cell r="E26">
            <v>315.50000000200004</v>
          </cell>
          <cell r="G26">
            <v>314.90000000099997</v>
          </cell>
          <cell r="I26">
            <v>323.09999999999991</v>
          </cell>
          <cell r="K26">
            <v>1227.5000000000002</v>
          </cell>
          <cell r="M26">
            <v>378.39006622616557</v>
          </cell>
          <cell r="O26">
            <v>385.15077262893152</v>
          </cell>
          <cell r="Q26">
            <v>425.56379690849229</v>
          </cell>
          <cell r="S26">
            <v>423.25275938289838</v>
          </cell>
          <cell r="U26">
            <v>1612.3573951464878</v>
          </cell>
          <cell r="W26">
            <v>500.09999999700005</v>
          </cell>
          <cell r="Y26">
            <v>521.01999999899999</v>
          </cell>
          <cell r="AA26">
            <v>572.87999999999988</v>
          </cell>
          <cell r="AC26">
            <v>639.05806881000001</v>
          </cell>
          <cell r="AE26">
            <v>2233.0580688059999</v>
          </cell>
          <cell r="AG26">
            <v>476.53760687772501</v>
          </cell>
          <cell r="AI26">
            <v>523.54184124299252</v>
          </cell>
          <cell r="AK26">
            <v>551.80000000000007</v>
          </cell>
          <cell r="AM26">
            <v>611.74911154892993</v>
          </cell>
          <cell r="AO26">
            <v>2163.6285596696475</v>
          </cell>
          <cell r="AQ26">
            <v>598.5</v>
          </cell>
          <cell r="AS26">
            <v>644.29999999999995</v>
          </cell>
          <cell r="AU26">
            <v>654.92200000000014</v>
          </cell>
          <cell r="AW26">
            <v>723.8</v>
          </cell>
          <cell r="AY26">
            <v>2621.5219999999999</v>
          </cell>
          <cell r="BA26">
            <v>763.7</v>
          </cell>
          <cell r="BB26">
            <v>0.27602339181286561</v>
          </cell>
          <cell r="BC26">
            <v>913.36599999999999</v>
          </cell>
          <cell r="BD26">
            <v>0.41760980909514211</v>
          </cell>
          <cell r="BE26">
            <v>1005.5</v>
          </cell>
          <cell r="BF26">
            <v>0.53529733311753125</v>
          </cell>
          <cell r="BG26">
            <v>1066.3000000000002</v>
          </cell>
          <cell r="BH26">
            <v>0.47319701575020767</v>
          </cell>
          <cell r="BI26">
            <v>3748.9</v>
          </cell>
          <cell r="BJ26">
            <v>0.43004712529591593</v>
          </cell>
          <cell r="BL26">
            <v>1186.0020000000002</v>
          </cell>
          <cell r="BM26">
            <v>0.55296844310593185</v>
          </cell>
          <cell r="BN26">
            <v>1274.1490000000001</v>
          </cell>
          <cell r="BO26">
            <v>0.39500375534013754</v>
          </cell>
          <cell r="BP26">
            <v>1450.9689999999998</v>
          </cell>
          <cell r="BQ26">
            <v>0.44303232222774724</v>
          </cell>
          <cell r="BR26">
            <v>1576.9650000000001</v>
          </cell>
          <cell r="BS26">
            <v>0.47891306386570376</v>
          </cell>
          <cell r="BT26">
            <v>5488.085</v>
          </cell>
          <cell r="BU26">
            <v>0.46391874949985334</v>
          </cell>
          <cell r="BW26">
            <v>1644</v>
          </cell>
          <cell r="BX26">
            <v>0.38616966919111406</v>
          </cell>
          <cell r="BY26">
            <v>1833.6799999999998</v>
          </cell>
          <cell r="BZ26">
            <v>0.43914094819365679</v>
          </cell>
          <cell r="CA26">
            <v>1989.4</v>
          </cell>
          <cell r="CB26">
            <v>0.37108373783313109</v>
          </cell>
          <cell r="CC26">
            <v>2180.2800000000002</v>
          </cell>
          <cell r="CD26">
            <v>0.38257982897527842</v>
          </cell>
          <cell r="CE26">
            <v>7647.3600000000006</v>
          </cell>
          <cell r="CF26">
            <v>0.39344780556423609</v>
          </cell>
        </row>
        <row r="27">
          <cell r="B27" t="str">
            <v>Royalties</v>
          </cell>
          <cell r="C27">
            <v>46.618000000000002</v>
          </cell>
          <cell r="E27">
            <v>45.985999999999997</v>
          </cell>
          <cell r="G27">
            <v>46.128</v>
          </cell>
          <cell r="I27">
            <v>50.537999999999997</v>
          </cell>
          <cell r="K27">
            <v>189.26999999999998</v>
          </cell>
          <cell r="M27">
            <v>47.344000000000001</v>
          </cell>
          <cell r="O27">
            <v>49.643000000000001</v>
          </cell>
          <cell r="Q27">
            <v>51.817999999999998</v>
          </cell>
          <cell r="S27">
            <v>58.436</v>
          </cell>
          <cell r="U27">
            <v>207.24100000000001</v>
          </cell>
          <cell r="W27">
            <v>74.631</v>
          </cell>
          <cell r="Y27">
            <v>52.445999999999998</v>
          </cell>
          <cell r="AA27">
            <v>66.051000000000002</v>
          </cell>
          <cell r="AC27">
            <v>71.346000000000004</v>
          </cell>
          <cell r="AE27">
            <v>264.47399999999999</v>
          </cell>
          <cell r="AG27">
            <v>81.843000000000004</v>
          </cell>
          <cell r="AI27">
            <v>85.534999999999997</v>
          </cell>
          <cell r="AK27">
            <v>85.081999999999994</v>
          </cell>
          <cell r="AM27">
            <v>113.09</v>
          </cell>
          <cell r="AO27">
            <v>365.54999999999995</v>
          </cell>
          <cell r="AQ27">
            <v>113.27500000000001</v>
          </cell>
          <cell r="AS27">
            <v>122.786</v>
          </cell>
          <cell r="AU27">
            <v>116.5</v>
          </cell>
          <cell r="AW27">
            <v>148.30699999999999</v>
          </cell>
          <cell r="AY27">
            <v>500.86800000000005</v>
          </cell>
          <cell r="BA27">
            <v>154.09700000000001</v>
          </cell>
          <cell r="BB27">
            <v>0.36037960715073947</v>
          </cell>
          <cell r="BC27">
            <v>151.86000000000001</v>
          </cell>
          <cell r="BD27">
            <v>0.23678595279592152</v>
          </cell>
          <cell r="BE27">
            <v>153.9</v>
          </cell>
          <cell r="BF27">
            <v>0.32103004291845494</v>
          </cell>
          <cell r="BG27">
            <v>181.24300000000002</v>
          </cell>
          <cell r="BH27">
            <v>0.2220798748541879</v>
          </cell>
          <cell r="BI27">
            <v>641.1</v>
          </cell>
          <cell r="BJ27">
            <v>0.27997795826445282</v>
          </cell>
          <cell r="BL27">
            <v>231.9</v>
          </cell>
          <cell r="BM27">
            <v>0.50489626663724785</v>
          </cell>
          <cell r="BN27">
            <v>200.321</v>
          </cell>
          <cell r="BO27">
            <v>0.31911629132095332</v>
          </cell>
          <cell r="BP27">
            <v>237.77699999999999</v>
          </cell>
          <cell r="BQ27">
            <v>0.54500974658869383</v>
          </cell>
          <cell r="BR27">
            <v>265.09899999999999</v>
          </cell>
          <cell r="BS27">
            <v>0.46267166180211072</v>
          </cell>
          <cell r="BT27">
            <v>935.09699999999998</v>
          </cell>
          <cell r="BU27">
            <v>0.45858212447356106</v>
          </cell>
          <cell r="BW27">
            <v>286</v>
          </cell>
          <cell r="BX27">
            <v>0.23329021129797334</v>
          </cell>
          <cell r="BY27">
            <v>299.89999999999998</v>
          </cell>
          <cell r="BZ27">
            <v>0.49709715905970908</v>
          </cell>
          <cell r="CA27">
            <v>325.3</v>
          </cell>
          <cell r="CB27">
            <v>0.36808858720565918</v>
          </cell>
          <cell r="CC27">
            <v>346.8</v>
          </cell>
          <cell r="CD27">
            <v>0.30819052504913258</v>
          </cell>
          <cell r="CE27">
            <v>1258</v>
          </cell>
          <cell r="CF27">
            <v>0.34531497801832334</v>
          </cell>
        </row>
        <row r="28">
          <cell r="B28" t="str">
            <v>Contract and Other</v>
          </cell>
          <cell r="C28">
            <v>19.265999999999998</v>
          </cell>
          <cell r="E28">
            <v>37.578000000000003</v>
          </cell>
          <cell r="G28">
            <v>7.5030000000000001</v>
          </cell>
          <cell r="I28">
            <v>18.895</v>
          </cell>
          <cell r="K28">
            <v>83.242000000000004</v>
          </cell>
          <cell r="M28">
            <v>33.695999999999998</v>
          </cell>
          <cell r="O28">
            <v>32.348999999999997</v>
          </cell>
          <cell r="Q28">
            <v>33.478999999999999</v>
          </cell>
          <cell r="S28">
            <v>54.363999999999997</v>
          </cell>
          <cell r="U28">
            <v>151.72999999999999</v>
          </cell>
          <cell r="W28">
            <v>28.478999999999999</v>
          </cell>
          <cell r="Y28">
            <v>20.934999999999999</v>
          </cell>
          <cell r="AA28">
            <v>8.9410000000000007</v>
          </cell>
          <cell r="AC28">
            <v>6.0019999999999998</v>
          </cell>
          <cell r="AE28">
            <v>62.198999999999998</v>
          </cell>
          <cell r="AG28">
            <v>9.6999999999999993</v>
          </cell>
          <cell r="AI28">
            <v>13.2</v>
          </cell>
          <cell r="AK28">
            <v>13.22</v>
          </cell>
          <cell r="AM28">
            <v>18.3</v>
          </cell>
          <cell r="AO28">
            <v>54.42</v>
          </cell>
          <cell r="AQ28">
            <v>37.914999999999999</v>
          </cell>
          <cell r="AS28">
            <v>32.601999999999997</v>
          </cell>
          <cell r="AU28">
            <v>45.6</v>
          </cell>
          <cell r="AW28">
            <v>61.756</v>
          </cell>
          <cell r="AY28">
            <v>177.87299999999999</v>
          </cell>
          <cell r="BA28">
            <v>57.338000000000001</v>
          </cell>
          <cell r="BB28">
            <v>0.51227746274561525</v>
          </cell>
          <cell r="BC28">
            <v>62.851999999999997</v>
          </cell>
          <cell r="BD28">
            <v>0.92785718667566419</v>
          </cell>
          <cell r="BE28">
            <v>43.2</v>
          </cell>
          <cell r="BF28">
            <v>-5.2631578947368363E-2</v>
          </cell>
          <cell r="BG28">
            <v>67.809999999999988</v>
          </cell>
          <cell r="BH28">
            <v>9.8030960554439828E-2</v>
          </cell>
          <cell r="BI28">
            <v>231.2</v>
          </cell>
          <cell r="BJ28">
            <v>0.29980379259359213</v>
          </cell>
          <cell r="BL28">
            <v>43.7</v>
          </cell>
          <cell r="BM28">
            <v>-0.23785273291708808</v>
          </cell>
          <cell r="BN28">
            <v>52.442999999999998</v>
          </cell>
          <cell r="BO28">
            <v>-0.16561127728632341</v>
          </cell>
          <cell r="BP28">
            <v>63.066000000000003</v>
          </cell>
          <cell r="BQ28">
            <v>0.45986111111111105</v>
          </cell>
          <cell r="BR28">
            <v>51.031999999999996</v>
          </cell>
          <cell r="BS28">
            <v>-0.24742663323993508</v>
          </cell>
          <cell r="BT28">
            <v>210.24099999999999</v>
          </cell>
          <cell r="BU28">
            <v>-9.065311418685118E-2</v>
          </cell>
          <cell r="BW28">
            <v>56</v>
          </cell>
          <cell r="BX28">
            <v>0.28146453089244838</v>
          </cell>
          <cell r="BY28">
            <v>52</v>
          </cell>
          <cell r="BZ28">
            <v>-8.4472665560703097E-3</v>
          </cell>
          <cell r="CA28">
            <v>52</v>
          </cell>
          <cell r="CB28">
            <v>-0.17546697110963116</v>
          </cell>
          <cell r="CC28">
            <v>55</v>
          </cell>
          <cell r="CD28">
            <v>7.7755134033547613E-2</v>
          </cell>
          <cell r="CE28">
            <v>215</v>
          </cell>
          <cell r="CF28">
            <v>2.2635927340528328E-2</v>
          </cell>
        </row>
        <row r="29">
          <cell r="B29" t="str">
            <v>Total Operating Revenue</v>
          </cell>
          <cell r="C29">
            <v>339.88399999700005</v>
          </cell>
          <cell r="E29">
            <v>399.06400000200006</v>
          </cell>
          <cell r="G29">
            <v>368.53100000099994</v>
          </cell>
          <cell r="I29">
            <v>392.5329999999999</v>
          </cell>
          <cell r="K29">
            <v>1500.0120000000002</v>
          </cell>
          <cell r="M29">
            <v>459.43006622616554</v>
          </cell>
          <cell r="O29">
            <v>467.14277262893148</v>
          </cell>
          <cell r="Q29">
            <v>510.86079690849226</v>
          </cell>
          <cell r="S29">
            <v>536.05275938289833</v>
          </cell>
          <cell r="U29">
            <v>1973.4863951464877</v>
          </cell>
          <cell r="W29">
            <v>603.20999999700007</v>
          </cell>
          <cell r="Y29">
            <v>594.40099999899996</v>
          </cell>
          <cell r="AA29">
            <v>647.87199999999996</v>
          </cell>
          <cell r="AC29">
            <v>716.40606880999997</v>
          </cell>
          <cell r="AE29">
            <v>2561.8890688059996</v>
          </cell>
          <cell r="AG29">
            <v>568.08060687772502</v>
          </cell>
          <cell r="AI29">
            <v>622.27684124299253</v>
          </cell>
          <cell r="AK29">
            <v>650.10200000000009</v>
          </cell>
          <cell r="AM29">
            <v>743.13911154892992</v>
          </cell>
          <cell r="AO29">
            <v>2583.5985596696473</v>
          </cell>
          <cell r="AQ29">
            <v>749.68999999999994</v>
          </cell>
          <cell r="AS29">
            <v>799.68799999999999</v>
          </cell>
          <cell r="AU29">
            <v>817.02200000000016</v>
          </cell>
          <cell r="AW29">
            <v>933.86299999999994</v>
          </cell>
          <cell r="AY29">
            <v>3300.2629999999999</v>
          </cell>
          <cell r="BA29">
            <v>975.13499999999999</v>
          </cell>
          <cell r="BB29">
            <v>0.30071762995371421</v>
          </cell>
          <cell r="BC29">
            <v>1128.0780000000002</v>
          </cell>
          <cell r="BD29">
            <v>0.41064765258450819</v>
          </cell>
          <cell r="BE29">
            <v>1202.6000000000001</v>
          </cell>
          <cell r="BF29">
            <v>0.47193098839443715</v>
          </cell>
          <cell r="BG29">
            <v>1315.3530000000001</v>
          </cell>
          <cell r="BH29">
            <v>0.40850745773202291</v>
          </cell>
          <cell r="BI29">
            <v>4621.2</v>
          </cell>
          <cell r="BJ29">
            <v>0.40025204051919494</v>
          </cell>
          <cell r="BL29">
            <v>1461.6020000000003</v>
          </cell>
          <cell r="BM29">
            <v>0.49887143831366965</v>
          </cell>
          <cell r="BN29">
            <v>1526.913</v>
          </cell>
          <cell r="BO29">
            <v>0.35355267986788119</v>
          </cell>
          <cell r="BP29">
            <v>1751.8119999999999</v>
          </cell>
          <cell r="BQ29">
            <v>0.45668717778147316</v>
          </cell>
          <cell r="BR29">
            <v>1893.096</v>
          </cell>
          <cell r="BS29">
            <v>0.43923038150215188</v>
          </cell>
          <cell r="BT29">
            <v>6633.4230000000007</v>
          </cell>
          <cell r="BU29">
            <v>0.43543300441443811</v>
          </cell>
          <cell r="BW29">
            <v>1986</v>
          </cell>
          <cell r="BX29">
            <v>0.35878303395862865</v>
          </cell>
          <cell r="BY29">
            <v>2185.58</v>
          </cell>
          <cell r="BZ29">
            <v>0.43137166295656648</v>
          </cell>
          <cell r="CA29">
            <v>2366.7000000000003</v>
          </cell>
          <cell r="CB29">
            <v>0.35100113482496997</v>
          </cell>
          <cell r="CC29">
            <v>2582.0800000000004</v>
          </cell>
          <cell r="CD29">
            <v>0.36394562135253583</v>
          </cell>
          <cell r="CE29">
            <v>9120.36</v>
          </cell>
          <cell r="CF29">
            <v>0.37491005774846564</v>
          </cell>
        </row>
        <row r="30">
          <cell r="B30" t="str">
            <v>Cost of Sales</v>
          </cell>
          <cell r="C30">
            <v>45.722999999999999</v>
          </cell>
          <cell r="E30">
            <v>52.680999999999997</v>
          </cell>
          <cell r="G30">
            <v>45.936</v>
          </cell>
          <cell r="I30">
            <v>47.850999999999999</v>
          </cell>
          <cell r="K30">
            <v>192.191</v>
          </cell>
          <cell r="M30">
            <v>62.856999999999999</v>
          </cell>
          <cell r="O30">
            <v>66.283000000000001</v>
          </cell>
          <cell r="Q30">
            <v>75.584000000000003</v>
          </cell>
          <cell r="S30">
            <v>67.343999999999994</v>
          </cell>
          <cell r="U30">
            <v>272.06799999999998</v>
          </cell>
          <cell r="W30">
            <v>83.796000000000006</v>
          </cell>
          <cell r="Y30">
            <v>76.188000000000002</v>
          </cell>
          <cell r="AA30">
            <v>96.03</v>
          </cell>
          <cell r="AC30">
            <v>98.427999999999997</v>
          </cell>
          <cell r="AE30">
            <v>354.44200000000001</v>
          </cell>
          <cell r="AG30">
            <v>102.444</v>
          </cell>
          <cell r="AI30">
            <v>106.867</v>
          </cell>
          <cell r="AK30">
            <v>112.48099999999999</v>
          </cell>
          <cell r="AM30">
            <v>119.83799999999999</v>
          </cell>
          <cell r="AO30">
            <v>441.63</v>
          </cell>
          <cell r="AQ30">
            <v>114.842</v>
          </cell>
          <cell r="AS30">
            <v>123.407</v>
          </cell>
          <cell r="AU30">
            <v>115.7</v>
          </cell>
          <cell r="AW30">
            <v>126.202</v>
          </cell>
          <cell r="AY30">
            <v>480.15100000000001</v>
          </cell>
          <cell r="BA30">
            <v>114.48</v>
          </cell>
          <cell r="BB30">
            <v>-3.152156876404022E-3</v>
          </cell>
          <cell r="BC30">
            <v>186.68299999999999</v>
          </cell>
          <cell r="BD30">
            <v>0.51274238900548585</v>
          </cell>
          <cell r="BE30">
            <v>165.99</v>
          </cell>
          <cell r="BF30">
            <v>0.43465859982713928</v>
          </cell>
          <cell r="BG30">
            <v>205.34699999999998</v>
          </cell>
          <cell r="BH30">
            <v>0.62712952251152898</v>
          </cell>
          <cell r="BI30">
            <v>672.5</v>
          </cell>
          <cell r="BJ30">
            <v>0.40060106091625336</v>
          </cell>
          <cell r="BL30">
            <v>251.041</v>
          </cell>
          <cell r="BM30">
            <v>1.1928808525506636</v>
          </cell>
          <cell r="BN30">
            <v>269.48099999999999</v>
          </cell>
          <cell r="BO30">
            <v>0.44352190611892883</v>
          </cell>
          <cell r="BP30">
            <v>245.62700000000001</v>
          </cell>
          <cell r="BQ30">
            <v>0.47976986565455748</v>
          </cell>
          <cell r="BR30">
            <v>244.91399999999999</v>
          </cell>
          <cell r="BS30">
            <v>0.19268360385104244</v>
          </cell>
          <cell r="BT30">
            <v>1011.0629999999999</v>
          </cell>
          <cell r="BU30">
            <v>0.50343940520446084</v>
          </cell>
          <cell r="BW30">
            <v>262</v>
          </cell>
          <cell r="BX30">
            <v>4.3654223812046755E-2</v>
          </cell>
          <cell r="BY30">
            <v>293.3888</v>
          </cell>
          <cell r="BZ30">
            <v>8.8717943008969069E-2</v>
          </cell>
          <cell r="CA30">
            <v>318.30400000000003</v>
          </cell>
          <cell r="CB30">
            <v>0.29588359585876156</v>
          </cell>
          <cell r="CC30">
            <v>348.84480000000002</v>
          </cell>
          <cell r="CD30">
            <v>0.42435630466204488</v>
          </cell>
          <cell r="CE30">
            <v>1222.5376000000001</v>
          </cell>
          <cell r="CF30">
            <v>0.20916065566636322</v>
          </cell>
        </row>
        <row r="31">
          <cell r="B31" t="str">
            <v>% of Product Sales</v>
          </cell>
          <cell r="C31">
            <v>0.19589974293310924</v>
          </cell>
          <cell r="E31">
            <v>0.19613179448848747</v>
          </cell>
          <cell r="G31">
            <v>0.17230307576829593</v>
          </cell>
          <cell r="I31">
            <v>0.17868185212845411</v>
          </cell>
          <cell r="K31">
            <v>0.18544094944037051</v>
          </cell>
          <cell r="M31">
            <v>0.22195268361503551</v>
          </cell>
          <cell r="O31">
            <v>0.21485575364528459</v>
          </cell>
          <cell r="Q31">
            <v>0.22745711706357946</v>
          </cell>
          <cell r="S31">
            <v>0.19208214489391873</v>
          </cell>
          <cell r="U31">
            <v>0.21345363251165828</v>
          </cell>
          <cell r="W31">
            <v>0.2143120204620024</v>
          </cell>
          <cell r="Y31">
            <v>0.18641546366573625</v>
          </cell>
          <cell r="AA31">
            <v>0.21541049798115744</v>
          </cell>
          <cell r="AC31">
            <v>0.20089886103170068</v>
          </cell>
          <cell r="AE31">
            <v>0.20423776933962265</v>
          </cell>
          <cell r="AG31">
            <v>0.21497568821737537</v>
          </cell>
          <cell r="AI31">
            <v>0.20412313129792353</v>
          </cell>
          <cell r="AK31">
            <v>0.20384378397970276</v>
          </cell>
          <cell r="AM31">
            <v>0.1958940319448505</v>
          </cell>
          <cell r="AO31">
            <v>0.2041154421013143</v>
          </cell>
          <cell r="AQ31">
            <v>0.19188304093567252</v>
          </cell>
          <cell r="AS31">
            <v>0.19153655129598013</v>
          </cell>
          <cell r="AT31" t="e">
            <v>#DIV/0!</v>
          </cell>
          <cell r="AU31">
            <v>0.17666225901710431</v>
          </cell>
          <cell r="AW31">
            <v>0.1743603205305333</v>
          </cell>
          <cell r="AY31">
            <v>0.18315734142227302</v>
          </cell>
          <cell r="BA31">
            <v>0.14990179389812752</v>
          </cell>
          <cell r="BC31">
            <v>0.20439013495137764</v>
          </cell>
          <cell r="BE31">
            <v>0.16508204873197416</v>
          </cell>
          <cell r="BG31">
            <v>0.19257901153521517</v>
          </cell>
          <cell r="BI31">
            <v>0.17938595321294246</v>
          </cell>
          <cell r="BL31">
            <v>0.21166996345705991</v>
          </cell>
          <cell r="BN31">
            <v>0.21149881214834371</v>
          </cell>
          <cell r="BP31">
            <v>0.16928480208743263</v>
          </cell>
          <cell r="BR31">
            <v>0.15530718817475339</v>
          </cell>
          <cell r="BT31">
            <v>0.18422874281283907</v>
          </cell>
          <cell r="BW31">
            <v>0.15936739659367397</v>
          </cell>
          <cell r="BY31">
            <v>0.16</v>
          </cell>
          <cell r="CA31">
            <v>0.16</v>
          </cell>
          <cell r="CC31">
            <v>0.16</v>
          </cell>
          <cell r="CE31">
            <v>0.15986400535609674</v>
          </cell>
        </row>
        <row r="32">
          <cell r="B32" t="str">
            <v>Research and Development</v>
          </cell>
          <cell r="C32">
            <v>90.74</v>
          </cell>
          <cell r="E32">
            <v>94.210999999999999</v>
          </cell>
          <cell r="G32">
            <v>84.629000000000005</v>
          </cell>
          <cell r="I32">
            <v>96.572999999999993</v>
          </cell>
          <cell r="K32">
            <v>367.29099999999994</v>
          </cell>
          <cell r="M32">
            <v>111.40600000000001</v>
          </cell>
          <cell r="O32">
            <v>115.563</v>
          </cell>
          <cell r="Q32">
            <v>113.636</v>
          </cell>
          <cell r="S32">
            <v>149.274</v>
          </cell>
          <cell r="U32">
            <v>489.87900000000002</v>
          </cell>
          <cell r="W32">
            <v>136.34</v>
          </cell>
          <cell r="Y32">
            <v>123.44799999999999</v>
          </cell>
          <cell r="AA32">
            <v>128.19499999999999</v>
          </cell>
          <cell r="AC32">
            <v>138.24700000000001</v>
          </cell>
          <cell r="AE32">
            <v>526.23</v>
          </cell>
          <cell r="AG32">
            <v>146.691</v>
          </cell>
          <cell r="AI32">
            <v>147.922</v>
          </cell>
          <cell r="AK32">
            <v>143.65899999999999</v>
          </cell>
          <cell r="AM32">
            <v>185.21</v>
          </cell>
          <cell r="AO32">
            <v>623.48199999999997</v>
          </cell>
          <cell r="AQ32">
            <v>157.43299999999999</v>
          </cell>
          <cell r="AS32">
            <v>180.203</v>
          </cell>
          <cell r="AU32">
            <v>168.7</v>
          </cell>
          <cell r="AW32">
            <v>215.62700000000001</v>
          </cell>
          <cell r="AY32">
            <v>721.96299999999997</v>
          </cell>
          <cell r="BA32">
            <v>190.345</v>
          </cell>
          <cell r="BB32">
            <v>0.2090540102773879</v>
          </cell>
          <cell r="BC32">
            <v>212.886</v>
          </cell>
          <cell r="BD32">
            <v>0.18136767978335544</v>
          </cell>
          <cell r="BE32">
            <v>234.08600000000001</v>
          </cell>
          <cell r="BF32">
            <v>0.38758743331357448</v>
          </cell>
          <cell r="BG32">
            <v>310.18299999999999</v>
          </cell>
          <cell r="BH32">
            <v>0.43851651231061028</v>
          </cell>
          <cell r="BI32">
            <v>947.5</v>
          </cell>
          <cell r="BJ32">
            <v>0.3123941254607232</v>
          </cell>
          <cell r="BL32">
            <v>243.24</v>
          </cell>
          <cell r="BM32">
            <v>0.27789014683863522</v>
          </cell>
          <cell r="BN32">
            <v>278.12400000000002</v>
          </cell>
          <cell r="BO32">
            <v>0.30644570333417898</v>
          </cell>
          <cell r="BP32">
            <v>328.85</v>
          </cell>
          <cell r="BQ32">
            <v>0.40482557692471999</v>
          </cell>
          <cell r="BR32">
            <v>411.61</v>
          </cell>
          <cell r="BS32">
            <v>0.32699084089070007</v>
          </cell>
          <cell r="BT32">
            <v>1261.8240000000001</v>
          </cell>
          <cell r="BU32">
            <v>0.33174036939314</v>
          </cell>
          <cell r="BW32">
            <v>341</v>
          </cell>
          <cell r="BX32">
            <v>0.40190758098996859</v>
          </cell>
          <cell r="BY32">
            <v>399.96114</v>
          </cell>
          <cell r="BZ32">
            <v>0.438067696423178</v>
          </cell>
          <cell r="CA32">
            <v>437.83950000000004</v>
          </cell>
          <cell r="CB32">
            <v>0.33142618214991648</v>
          </cell>
          <cell r="CC32">
            <v>498.34144000000009</v>
          </cell>
          <cell r="CD32">
            <v>0.21071266490124163</v>
          </cell>
          <cell r="CE32">
            <v>1677.1420800000001</v>
          </cell>
          <cell r="CF32">
            <v>0.3291410529519172</v>
          </cell>
        </row>
        <row r="33">
          <cell r="BA33">
            <v>0.19519861352530676</v>
          </cell>
          <cell r="BC33">
            <v>0.215</v>
          </cell>
          <cell r="BE33">
            <v>0.22</v>
          </cell>
          <cell r="BG33">
            <v>0.24</v>
          </cell>
          <cell r="BI33">
            <v>0.20503332467757293</v>
          </cell>
          <cell r="BL33">
            <v>0.16642013352472149</v>
          </cell>
          <cell r="BN33">
            <v>0.18214790233628245</v>
          </cell>
          <cell r="BP33">
            <v>0.18771991515071254</v>
          </cell>
          <cell r="BR33">
            <v>0.21742690280894367</v>
          </cell>
          <cell r="BT33">
            <v>0.19022215227341902</v>
          </cell>
          <cell r="BW33">
            <v>0.17170191339375629</v>
          </cell>
          <cell r="BY33">
            <v>0.183</v>
          </cell>
          <cell r="CA33">
            <v>0.185</v>
          </cell>
          <cell r="CC33">
            <v>0.193</v>
          </cell>
          <cell r="CE33">
            <v>0.18388989908293094</v>
          </cell>
        </row>
        <row r="34">
          <cell r="B34" t="str">
            <v>Selling, General &amp; Administrative</v>
          </cell>
          <cell r="C34">
            <v>97.200999999999993</v>
          </cell>
          <cell r="E34">
            <v>117.372</v>
          </cell>
          <cell r="G34">
            <v>113.613</v>
          </cell>
          <cell r="I34">
            <v>140.928</v>
          </cell>
          <cell r="K34">
            <v>467.94299999999998</v>
          </cell>
          <cell r="M34">
            <v>101.946</v>
          </cell>
          <cell r="O34">
            <v>117.15600000000001</v>
          </cell>
          <cell r="Q34">
            <v>131.726</v>
          </cell>
          <cell r="S34">
            <v>146.208</v>
          </cell>
          <cell r="U34">
            <v>497.03599999999994</v>
          </cell>
          <cell r="W34">
            <v>127.92</v>
          </cell>
          <cell r="Y34">
            <v>107.8</v>
          </cell>
          <cell r="AA34">
            <v>109.36499999999999</v>
          </cell>
          <cell r="AC34">
            <v>129.32499999999999</v>
          </cell>
          <cell r="AE34">
            <v>474.40999999999997</v>
          </cell>
          <cell r="AG34">
            <v>115.4</v>
          </cell>
          <cell r="AI34">
            <v>125.7</v>
          </cell>
          <cell r="AK34">
            <v>135.55000000000001</v>
          </cell>
          <cell r="AM34">
            <v>169.6</v>
          </cell>
          <cell r="AO34">
            <v>546.25</v>
          </cell>
          <cell r="AQ34">
            <v>137.22200000000001</v>
          </cell>
          <cell r="AS34">
            <v>184.25800000000001</v>
          </cell>
          <cell r="AU34">
            <v>209.9</v>
          </cell>
          <cell r="AW34">
            <v>263.505</v>
          </cell>
          <cell r="AY34">
            <v>794.88499999999999</v>
          </cell>
          <cell r="BA34">
            <v>247.31399999999999</v>
          </cell>
          <cell r="BB34">
            <v>0.80229117779947812</v>
          </cell>
          <cell r="BC34">
            <v>276.654</v>
          </cell>
          <cell r="BD34">
            <v>0.50144905512922078</v>
          </cell>
          <cell r="BE34">
            <v>264.64800000000002</v>
          </cell>
          <cell r="BF34">
            <v>0.26082896617436879</v>
          </cell>
          <cell r="BG34">
            <v>299.58400000000006</v>
          </cell>
          <cell r="BH34">
            <v>0.13691960304358575</v>
          </cell>
          <cell r="BI34">
            <v>1088.2</v>
          </cell>
          <cell r="BJ34">
            <v>0.36900306333620603</v>
          </cell>
          <cell r="BL34">
            <v>315.214</v>
          </cell>
          <cell r="BM34">
            <v>0.27454976264991071</v>
          </cell>
          <cell r="BN34">
            <v>356.63799999999998</v>
          </cell>
          <cell r="BO34">
            <v>0.28911203163518318</v>
          </cell>
          <cell r="BP34">
            <v>333.82299999999998</v>
          </cell>
          <cell r="BQ34">
            <v>0.2613849339500014</v>
          </cell>
          <cell r="BR34">
            <v>429.35700000000003</v>
          </cell>
          <cell r="BS34">
            <v>0.43317733924375124</v>
          </cell>
          <cell r="BT34">
            <v>1435.0319999999999</v>
          </cell>
          <cell r="BU34">
            <v>0.31872082337805541</v>
          </cell>
          <cell r="BW34">
            <v>400</v>
          </cell>
          <cell r="BX34">
            <v>0.26897916970692926</v>
          </cell>
          <cell r="BY34">
            <v>475.36365000000001</v>
          </cell>
          <cell r="BZ34">
            <v>0.33290241084797478</v>
          </cell>
          <cell r="CA34">
            <v>491.09025000000003</v>
          </cell>
          <cell r="CB34">
            <v>0.47110968986558754</v>
          </cell>
          <cell r="CC34">
            <v>561.6024000000001</v>
          </cell>
          <cell r="CD34">
            <v>0.30800802129696292</v>
          </cell>
          <cell r="CE34">
            <v>1928.0563000000002</v>
          </cell>
          <cell r="CF34">
            <v>0.34356327942512799</v>
          </cell>
        </row>
        <row r="35">
          <cell r="BA35">
            <v>0.25362026796289744</v>
          </cell>
          <cell r="BC35">
            <v>0.24</v>
          </cell>
          <cell r="BE35">
            <v>0.23300000000000001</v>
          </cell>
          <cell r="BG35">
            <v>0.24</v>
          </cell>
          <cell r="BI35">
            <v>0.23547996191465423</v>
          </cell>
          <cell r="BL35">
            <v>0.21566336116124632</v>
          </cell>
          <cell r="BN35">
            <v>0.23356798979378654</v>
          </cell>
          <cell r="BP35">
            <v>0.19055869008774914</v>
          </cell>
          <cell r="BR35">
            <v>0.22680149342664083</v>
          </cell>
          <cell r="BT35">
            <v>0.2163335581041643</v>
          </cell>
          <cell r="BW35">
            <v>0.2014098690835851</v>
          </cell>
          <cell r="BY35">
            <v>0.2175</v>
          </cell>
          <cell r="CA35">
            <v>0.20749999999999999</v>
          </cell>
          <cell r="CC35">
            <v>0.2175</v>
          </cell>
          <cell r="CE35">
            <v>0.21140133722791646</v>
          </cell>
        </row>
        <row r="36">
          <cell r="B36" t="str">
            <v>Collaborative Profit Split</v>
          </cell>
          <cell r="C36">
            <v>0</v>
          </cell>
          <cell r="E36">
            <v>0</v>
          </cell>
          <cell r="G36">
            <v>0</v>
          </cell>
          <cell r="I36">
            <v>0</v>
          </cell>
          <cell r="K36">
            <v>0</v>
          </cell>
          <cell r="M36">
            <v>0</v>
          </cell>
          <cell r="O36">
            <v>0</v>
          </cell>
          <cell r="Q36">
            <v>0</v>
          </cell>
          <cell r="S36">
            <v>0</v>
          </cell>
          <cell r="U36">
            <v>0</v>
          </cell>
          <cell r="W36">
            <v>46.372999999999998</v>
          </cell>
          <cell r="Y36">
            <v>57.908000000000001</v>
          </cell>
          <cell r="AA36">
            <v>65.796000000000006</v>
          </cell>
          <cell r="AC36">
            <v>76.581000000000003</v>
          </cell>
          <cell r="AE36">
            <v>246.65800000000002</v>
          </cell>
          <cell r="AG36">
            <v>72.076999999999998</v>
          </cell>
          <cell r="AI36">
            <v>84.09</v>
          </cell>
          <cell r="AK36">
            <v>90.048000000000002</v>
          </cell>
          <cell r="AM36">
            <v>104.51</v>
          </cell>
          <cell r="AO36">
            <v>350.72500000000002</v>
          </cell>
          <cell r="AQ36">
            <v>96.6</v>
          </cell>
          <cell r="AS36">
            <v>107.307</v>
          </cell>
          <cell r="AU36">
            <v>119.7</v>
          </cell>
          <cell r="AW36">
            <v>133.92699999999999</v>
          </cell>
          <cell r="AY36">
            <v>457.53399999999999</v>
          </cell>
          <cell r="BA36">
            <v>126.43</v>
          </cell>
          <cell r="BB36">
            <v>0.30879917184265016</v>
          </cell>
          <cell r="BC36">
            <v>145.221</v>
          </cell>
          <cell r="BD36">
            <v>0.35332270960887913</v>
          </cell>
          <cell r="BE36">
            <v>151.89400000000001</v>
          </cell>
          <cell r="BF36">
            <v>0.26895572263993328</v>
          </cell>
          <cell r="BG36">
            <v>170.05500000000001</v>
          </cell>
          <cell r="BH36">
            <v>0.26975889850440926</v>
          </cell>
          <cell r="BI36">
            <v>593.6</v>
          </cell>
          <cell r="BJ36">
            <v>0.29738992074905912</v>
          </cell>
          <cell r="BL36">
            <v>176.27699999999999</v>
          </cell>
          <cell r="BM36">
            <v>0.39426560151862677</v>
          </cell>
          <cell r="BN36">
            <v>198.798</v>
          </cell>
          <cell r="BO36">
            <v>0.36893424504720396</v>
          </cell>
          <cell r="BP36">
            <v>219.59100000000001</v>
          </cell>
          <cell r="BQ36">
            <v>0.44568580720765794</v>
          </cell>
          <cell r="BR36">
            <v>228.417</v>
          </cell>
          <cell r="BS36">
            <v>0.34319484872541239</v>
          </cell>
          <cell r="BT36">
            <v>823.08299999999997</v>
          </cell>
          <cell r="BU36">
            <v>0.38659535040431248</v>
          </cell>
          <cell r="BW36">
            <v>226</v>
          </cell>
          <cell r="BX36">
            <v>0.28207310085830839</v>
          </cell>
          <cell r="BY36">
            <v>255</v>
          </cell>
          <cell r="BZ36">
            <v>0.28270908158029751</v>
          </cell>
          <cell r="CA36">
            <v>275</v>
          </cell>
          <cell r="CB36">
            <v>0.25232819195686518</v>
          </cell>
          <cell r="CC36">
            <v>285</v>
          </cell>
          <cell r="CD36">
            <v>0.24771798946663348</v>
          </cell>
          <cell r="CE36">
            <v>1041</v>
          </cell>
          <cell r="CF36">
            <v>0.26475701721454592</v>
          </cell>
        </row>
        <row r="37">
          <cell r="B37" t="str">
            <v>Total Operating Expenses</v>
          </cell>
          <cell r="C37">
            <v>233.66399999999999</v>
          </cell>
          <cell r="D37" t="e">
            <v>#REF!</v>
          </cell>
          <cell r="E37">
            <v>264.26400000000001</v>
          </cell>
          <cell r="F37" t="e">
            <v>#REF!</v>
          </cell>
          <cell r="G37">
            <v>244.17800000000003</v>
          </cell>
          <cell r="H37" t="e">
            <v>#REF!</v>
          </cell>
          <cell r="I37">
            <v>285.35199999999998</v>
          </cell>
          <cell r="J37" t="e">
            <v>#REF!</v>
          </cell>
          <cell r="K37">
            <v>1027.4580000000001</v>
          </cell>
          <cell r="M37">
            <v>276.209</v>
          </cell>
          <cell r="N37" t="e">
            <v>#REF!</v>
          </cell>
          <cell r="O37">
            <v>299.00200000000001</v>
          </cell>
          <cell r="P37" t="e">
            <v>#REF!</v>
          </cell>
          <cell r="Q37">
            <v>320.94600000000003</v>
          </cell>
          <cell r="R37" t="e">
            <v>#REF!</v>
          </cell>
          <cell r="S37">
            <v>362.82599999999996</v>
          </cell>
          <cell r="T37" t="e">
            <v>#REF!</v>
          </cell>
          <cell r="U37">
            <v>1258.9829999999999</v>
          </cell>
          <cell r="W37">
            <v>394.42900000000003</v>
          </cell>
          <cell r="X37" t="e">
            <v>#REF!</v>
          </cell>
          <cell r="Y37">
            <v>365.34399999999999</v>
          </cell>
          <cell r="Z37" t="e">
            <v>#REF!</v>
          </cell>
          <cell r="AA37">
            <v>399.38599999999997</v>
          </cell>
          <cell r="AB37" t="e">
            <v>#REF!</v>
          </cell>
          <cell r="AC37">
            <v>442.58100000000002</v>
          </cell>
          <cell r="AD37" t="e">
            <v>#REF!</v>
          </cell>
          <cell r="AE37">
            <v>1601.7400000000002</v>
          </cell>
          <cell r="AG37">
            <v>436.61200000000002</v>
          </cell>
          <cell r="AI37">
            <v>464.57900000000001</v>
          </cell>
          <cell r="AK37">
            <v>481.738</v>
          </cell>
          <cell r="AM37">
            <v>579.15800000000002</v>
          </cell>
          <cell r="AO37">
            <v>1962.087</v>
          </cell>
          <cell r="AQ37">
            <v>506.09699999999998</v>
          </cell>
          <cell r="AS37">
            <v>595.17500000000007</v>
          </cell>
          <cell r="AU37">
            <v>614</v>
          </cell>
          <cell r="AW37">
            <v>739.26099999999997</v>
          </cell>
          <cell r="AY37">
            <v>2454.7161573414223</v>
          </cell>
          <cell r="BA37">
            <v>678.56900000000007</v>
          </cell>
          <cell r="BB37">
            <v>0.34078842593415914</v>
          </cell>
          <cell r="BC37">
            <v>821.44399999999996</v>
          </cell>
          <cell r="BD37">
            <v>0.38017221825513481</v>
          </cell>
          <cell r="BE37">
            <v>816.61800000000005</v>
          </cell>
          <cell r="BF37">
            <v>0.32999674267100976</v>
          </cell>
          <cell r="BG37">
            <v>985.1690000000001</v>
          </cell>
          <cell r="BH37">
            <v>0.33264029889308389</v>
          </cell>
          <cell r="BI37">
            <v>3301.8</v>
          </cell>
          <cell r="BJ37">
            <v>0.34508423310987246</v>
          </cell>
          <cell r="BL37">
            <v>985.77200000000005</v>
          </cell>
          <cell r="BM37">
            <v>0.4527218307939207</v>
          </cell>
          <cell r="BN37">
            <v>1103.0409999999999</v>
          </cell>
          <cell r="BO37">
            <v>0.34280730031505491</v>
          </cell>
          <cell r="BP37">
            <v>1127.8910000000001</v>
          </cell>
          <cell r="BQ37">
            <v>0.38117332706357199</v>
          </cell>
          <cell r="BR37">
            <v>1314.298</v>
          </cell>
          <cell r="BS37">
            <v>0.33408379679019529</v>
          </cell>
          <cell r="BT37">
            <v>4531.0020000000004</v>
          </cell>
          <cell r="BU37">
            <v>0.37228239142286035</v>
          </cell>
          <cell r="BW37">
            <v>1229</v>
          </cell>
          <cell r="BX37">
            <v>0.24673859675462473</v>
          </cell>
          <cell r="BY37">
            <v>1423.7135900000001</v>
          </cell>
          <cell r="BZ37">
            <v>0.29071683645485535</v>
          </cell>
          <cell r="CA37">
            <v>1522.2337500000001</v>
          </cell>
          <cell r="CB37">
            <v>0.34962842154073392</v>
          </cell>
          <cell r="CC37">
            <v>1693.7886400000002</v>
          </cell>
          <cell r="CD37">
            <v>0.28874017916789052</v>
          </cell>
          <cell r="CE37">
            <v>5868.7359800000013</v>
          </cell>
          <cell r="CF37">
            <v>0.29524020956071095</v>
          </cell>
        </row>
        <row r="38">
          <cell r="B38" t="str">
            <v>Operating Income (Loss)</v>
          </cell>
          <cell r="C38">
            <v>106.21999999700006</v>
          </cell>
          <cell r="D38" t="e">
            <v>#REF!</v>
          </cell>
          <cell r="E38">
            <v>134.80000000200005</v>
          </cell>
          <cell r="F38" t="e">
            <v>#REF!</v>
          </cell>
          <cell r="G38">
            <v>124.35300000099991</v>
          </cell>
          <cell r="H38" t="e">
            <v>#REF!</v>
          </cell>
          <cell r="I38">
            <v>107.18099999999993</v>
          </cell>
          <cell r="J38" t="e">
            <v>#REF!</v>
          </cell>
          <cell r="K38">
            <v>472.55400000000009</v>
          </cell>
          <cell r="M38">
            <v>183.22106622616553</v>
          </cell>
          <cell r="N38" t="e">
            <v>#REF!</v>
          </cell>
          <cell r="O38">
            <v>168.14077262893147</v>
          </cell>
          <cell r="P38" t="e">
            <v>#REF!</v>
          </cell>
          <cell r="Q38">
            <v>189.91479690849224</v>
          </cell>
          <cell r="R38" t="e">
            <v>#REF!</v>
          </cell>
          <cell r="S38">
            <v>173.22675938289836</v>
          </cell>
          <cell r="T38" t="e">
            <v>#REF!</v>
          </cell>
          <cell r="U38">
            <v>714.50339514648749</v>
          </cell>
          <cell r="W38">
            <v>208.78099999700004</v>
          </cell>
          <cell r="X38" t="e">
            <v>#REF!</v>
          </cell>
          <cell r="Y38">
            <v>229.05699999899997</v>
          </cell>
          <cell r="Z38" t="e">
            <v>#REF!</v>
          </cell>
          <cell r="AA38">
            <v>248.48599999999999</v>
          </cell>
          <cell r="AB38" t="e">
            <v>#REF!</v>
          </cell>
          <cell r="AC38">
            <v>273.82506880999995</v>
          </cell>
          <cell r="AD38" t="e">
            <v>#REF!</v>
          </cell>
          <cell r="AE38">
            <v>960.14906880599995</v>
          </cell>
          <cell r="AG38">
            <v>131.46860687772499</v>
          </cell>
          <cell r="AI38">
            <v>157.69784124299252</v>
          </cell>
          <cell r="AK38">
            <v>168.36400000000009</v>
          </cell>
          <cell r="AM38">
            <v>163.9811115489299</v>
          </cell>
          <cell r="AO38">
            <v>621.51155966964757</v>
          </cell>
          <cell r="AQ38">
            <v>243.59299999999996</v>
          </cell>
          <cell r="AS38">
            <v>204.51299999999992</v>
          </cell>
          <cell r="AU38">
            <v>203.02200000000016</v>
          </cell>
          <cell r="AW38">
            <v>194.60199999999998</v>
          </cell>
          <cell r="AY38">
            <v>845.54684265857759</v>
          </cell>
          <cell r="BA38">
            <v>296.56599999999992</v>
          </cell>
          <cell r="BB38">
            <v>0.21746519809682541</v>
          </cell>
          <cell r="BC38">
            <v>306.63400000000024</v>
          </cell>
          <cell r="BD38">
            <v>0.49933745043102573</v>
          </cell>
          <cell r="BE38">
            <v>385.98200000000008</v>
          </cell>
          <cell r="BF38">
            <v>0.9011831230112981</v>
          </cell>
          <cell r="BG38">
            <v>330.18399999999997</v>
          </cell>
          <cell r="BH38">
            <v>0.69671431948284201</v>
          </cell>
          <cell r="BI38">
            <v>1319.3999999999996</v>
          </cell>
          <cell r="BJ38">
            <v>0.56041029714158452</v>
          </cell>
          <cell r="BL38">
            <v>475.83000000000027</v>
          </cell>
          <cell r="BM38">
            <v>0.60446578501918768</v>
          </cell>
          <cell r="BN38">
            <v>423.87200000000007</v>
          </cell>
          <cell r="BO38">
            <v>0.38233855345460621</v>
          </cell>
          <cell r="BP38">
            <v>623.92099999999982</v>
          </cell>
          <cell r="BQ38">
            <v>0.61645102621365688</v>
          </cell>
          <cell r="BR38">
            <v>578.798</v>
          </cell>
          <cell r="BS38">
            <v>0.75295592760400276</v>
          </cell>
          <cell r="BT38">
            <v>2102.4210000000003</v>
          </cell>
          <cell r="BU38">
            <v>0.59346748522055548</v>
          </cell>
          <cell r="BW38">
            <v>757</v>
          </cell>
          <cell r="BX38">
            <v>0.59090431456612569</v>
          </cell>
          <cell r="BY38">
            <v>761.86640999999986</v>
          </cell>
          <cell r="BZ38">
            <v>0.79739735108711995</v>
          </cell>
          <cell r="CA38">
            <v>844.46625000000017</v>
          </cell>
          <cell r="CB38">
            <v>0.35348265245119248</v>
          </cell>
          <cell r="CC38">
            <v>888.29136000000017</v>
          </cell>
          <cell r="CD38">
            <v>0.53471739708844912</v>
          </cell>
          <cell r="CE38">
            <v>3251.6240200000002</v>
          </cell>
          <cell r="CF38">
            <v>0.54660937081583549</v>
          </cell>
        </row>
        <row r="39">
          <cell r="B39" t="str">
            <v>Interest and other Income net</v>
          </cell>
          <cell r="C39">
            <v>22.399000000000001</v>
          </cell>
          <cell r="E39">
            <v>21.986000000000001</v>
          </cell>
          <cell r="G39">
            <v>24.728999999999999</v>
          </cell>
          <cell r="I39">
            <v>20.32</v>
          </cell>
          <cell r="K39">
            <v>89.433999999999997</v>
          </cell>
          <cell r="M39">
            <v>21.474</v>
          </cell>
          <cell r="O39">
            <v>22.262</v>
          </cell>
          <cell r="Q39">
            <v>25.712</v>
          </cell>
          <cell r="S39">
            <v>20.96</v>
          </cell>
          <cell r="U39">
            <v>90.408000000000015</v>
          </cell>
          <cell r="W39">
            <v>35.064</v>
          </cell>
          <cell r="Y39">
            <v>32.234999999999999</v>
          </cell>
          <cell r="AA39">
            <v>32.472999999999999</v>
          </cell>
          <cell r="AC39">
            <v>30.771999999999998</v>
          </cell>
          <cell r="AE39">
            <v>130.54400000000001</v>
          </cell>
          <cell r="AG39">
            <v>36.4</v>
          </cell>
          <cell r="AI39">
            <v>28.8</v>
          </cell>
          <cell r="AK39">
            <v>15.2</v>
          </cell>
          <cell r="AM39">
            <v>27.4</v>
          </cell>
          <cell r="AO39">
            <v>107.80000000000001</v>
          </cell>
          <cell r="AQ39">
            <v>15.702999999999999</v>
          </cell>
          <cell r="AS39">
            <v>40.869999999999997</v>
          </cell>
          <cell r="AU39">
            <v>15.9</v>
          </cell>
          <cell r="AW39">
            <v>20.334</v>
          </cell>
          <cell r="AY39">
            <v>92.807000000000002</v>
          </cell>
          <cell r="BA39">
            <v>22.32</v>
          </cell>
          <cell r="BB39">
            <v>0.42138444883143356</v>
          </cell>
          <cell r="BC39">
            <v>15.444000000000001</v>
          </cell>
          <cell r="BD39">
            <v>-0.6221189136285783</v>
          </cell>
          <cell r="BE39">
            <v>23.51</v>
          </cell>
          <cell r="BF39">
            <v>0.47861635220125787</v>
          </cell>
          <cell r="BG39">
            <v>21.323</v>
          </cell>
          <cell r="BH39">
            <v>4.8637749581980971E-2</v>
          </cell>
          <cell r="BI39">
            <v>82.597000000000008</v>
          </cell>
          <cell r="BJ39">
            <v>-0.11001325331063383</v>
          </cell>
          <cell r="BL39">
            <v>16.396000000000001</v>
          </cell>
          <cell r="BM39">
            <v>-0.26541218637992825</v>
          </cell>
          <cell r="BN39">
            <v>31.501999999999999</v>
          </cell>
          <cell r="BO39">
            <v>1.0397565397565396</v>
          </cell>
          <cell r="BP39">
            <v>47.390999999999998</v>
          </cell>
          <cell r="BQ39">
            <v>1.0157805189281155</v>
          </cell>
          <cell r="BR39">
            <v>43.743000000000002</v>
          </cell>
          <cell r="BS39">
            <v>1.0514467945411061</v>
          </cell>
          <cell r="BT39">
            <v>140.9</v>
          </cell>
          <cell r="BU39">
            <v>0.70587309466445491</v>
          </cell>
          <cell r="BW39">
            <v>53</v>
          </cell>
          <cell r="BX39">
            <v>2.2324957306660158</v>
          </cell>
          <cell r="BY39">
            <v>80</v>
          </cell>
          <cell r="BZ39">
            <v>1.539521300234906</v>
          </cell>
          <cell r="CA39">
            <v>50</v>
          </cell>
          <cell r="CB39">
            <v>5.5052647127091792E-2</v>
          </cell>
          <cell r="CC39">
            <v>45</v>
          </cell>
          <cell r="CD39">
            <v>2.8736026335642206E-2</v>
          </cell>
          <cell r="CE39">
            <v>228</v>
          </cell>
          <cell r="CF39">
            <v>0.61816891412349184</v>
          </cell>
        </row>
        <row r="40">
          <cell r="B40" t="str">
            <v>Interest Expense</v>
          </cell>
          <cell r="C40">
            <v>-1.363</v>
          </cell>
          <cell r="E40">
            <v>-1.3560000000000001</v>
          </cell>
          <cell r="G40">
            <v>-1.3260000000000001</v>
          </cell>
          <cell r="I40">
            <v>-1.3149999999999999</v>
          </cell>
          <cell r="K40">
            <v>-5.3599999999999994</v>
          </cell>
          <cell r="M40">
            <v>-1.2869999999999999</v>
          </cell>
          <cell r="O40">
            <v>-1.24</v>
          </cell>
          <cell r="Q40">
            <v>-1.175</v>
          </cell>
          <cell r="S40">
            <v>-1.5760000000000001</v>
          </cell>
          <cell r="U40">
            <v>-5.2780000000000005</v>
          </cell>
          <cell r="W40">
            <v>-1.4910000000000001</v>
          </cell>
          <cell r="Y40">
            <v>-1.345</v>
          </cell>
          <cell r="AA40">
            <v>-1.7190000000000001</v>
          </cell>
          <cell r="AC40">
            <v>-1.1819999999999999</v>
          </cell>
          <cell r="AE40">
            <v>-5.7370000000000001</v>
          </cell>
          <cell r="AG40">
            <v>0</v>
          </cell>
          <cell r="AI40">
            <v>0</v>
          </cell>
          <cell r="AK40">
            <v>0</v>
          </cell>
          <cell r="AM40">
            <v>0</v>
          </cell>
          <cell r="AO40">
            <v>0</v>
          </cell>
          <cell r="AQ40">
            <v>0</v>
          </cell>
          <cell r="AS40">
            <v>0</v>
          </cell>
          <cell r="AU40">
            <v>0</v>
          </cell>
          <cell r="AW40">
            <v>0</v>
          </cell>
          <cell r="AY40">
            <v>0</v>
          </cell>
          <cell r="BA40">
            <v>0</v>
          </cell>
          <cell r="BB40" t="str">
            <v>NM</v>
          </cell>
          <cell r="BC40">
            <v>0</v>
          </cell>
          <cell r="BD40" t="str">
            <v>NM</v>
          </cell>
          <cell r="BE40">
            <v>0</v>
          </cell>
          <cell r="BF40" t="str">
            <v>NM</v>
          </cell>
          <cell r="BG40">
            <v>0</v>
          </cell>
          <cell r="BH40" t="str">
            <v>NM</v>
          </cell>
          <cell r="BI40">
            <v>0</v>
          </cell>
          <cell r="BJ40" t="str">
            <v>NM</v>
          </cell>
          <cell r="BL40">
            <v>0</v>
          </cell>
          <cell r="BM40" t="str">
            <v>NM</v>
          </cell>
          <cell r="BN40">
            <v>0</v>
          </cell>
          <cell r="BO40" t="str">
            <v>NM</v>
          </cell>
          <cell r="BP40">
            <v>-25</v>
          </cell>
          <cell r="BQ40" t="str">
            <v>NM</v>
          </cell>
          <cell r="BR40">
            <v>-23.035</v>
          </cell>
          <cell r="BS40" t="str">
            <v>NM</v>
          </cell>
          <cell r="BT40">
            <v>-49.9</v>
          </cell>
          <cell r="BU40" t="str">
            <v>NM</v>
          </cell>
          <cell r="BW40">
            <v>-19</v>
          </cell>
          <cell r="BX40" t="str">
            <v>NM</v>
          </cell>
          <cell r="BY40">
            <v>-24</v>
          </cell>
          <cell r="BZ40" t="str">
            <v>NM</v>
          </cell>
          <cell r="CA40">
            <v>-24</v>
          </cell>
          <cell r="CB40" t="str">
            <v>NM</v>
          </cell>
          <cell r="CC40">
            <v>-24</v>
          </cell>
          <cell r="CD40" t="str">
            <v>NM</v>
          </cell>
          <cell r="CE40">
            <v>-91</v>
          </cell>
          <cell r="CF40" t="str">
            <v>NM</v>
          </cell>
        </row>
        <row r="41">
          <cell r="B41" t="str">
            <v>Other</v>
          </cell>
          <cell r="C41">
            <v>-50</v>
          </cell>
          <cell r="E41">
            <v>0</v>
          </cell>
          <cell r="G41">
            <v>0</v>
          </cell>
          <cell r="I41">
            <v>0</v>
          </cell>
          <cell r="K41">
            <v>-50</v>
          </cell>
          <cell r="M41">
            <v>0</v>
          </cell>
          <cell r="O41">
            <v>0</v>
          </cell>
          <cell r="Q41">
            <v>0</v>
          </cell>
          <cell r="S41">
            <v>0</v>
          </cell>
          <cell r="U41">
            <v>0</v>
          </cell>
          <cell r="W41">
            <v>0</v>
          </cell>
          <cell r="Y41">
            <v>0</v>
          </cell>
          <cell r="AA41">
            <v>0</v>
          </cell>
          <cell r="AC41">
            <v>0</v>
          </cell>
          <cell r="AE41">
            <v>0</v>
          </cell>
          <cell r="AG41">
            <v>0</v>
          </cell>
          <cell r="AI41">
            <v>0</v>
          </cell>
          <cell r="AK41">
            <v>0</v>
          </cell>
          <cell r="AM41">
            <v>0</v>
          </cell>
          <cell r="AO41">
            <v>0</v>
          </cell>
          <cell r="AQ41">
            <v>0</v>
          </cell>
          <cell r="AS41">
            <v>0</v>
          </cell>
          <cell r="AU41">
            <v>0</v>
          </cell>
          <cell r="AW41">
            <v>0</v>
          </cell>
          <cell r="AY41">
            <v>0</v>
          </cell>
          <cell r="BA41">
            <v>0</v>
          </cell>
          <cell r="BB41" t="str">
            <v>NM</v>
          </cell>
          <cell r="BC41">
            <v>0</v>
          </cell>
          <cell r="BD41" t="str">
            <v>NM</v>
          </cell>
          <cell r="BE41">
            <v>0</v>
          </cell>
          <cell r="BF41" t="str">
            <v>NM</v>
          </cell>
          <cell r="BG41">
            <v>0</v>
          </cell>
          <cell r="BH41" t="str">
            <v>NM</v>
          </cell>
          <cell r="BI41">
            <v>0</v>
          </cell>
          <cell r="BJ41" t="str">
            <v>NM</v>
          </cell>
          <cell r="BL41">
            <v>0</v>
          </cell>
          <cell r="BM41" t="str">
            <v>NM</v>
          </cell>
          <cell r="BN41">
            <v>0</v>
          </cell>
          <cell r="BO41" t="str">
            <v>NM</v>
          </cell>
          <cell r="BP41">
            <v>0</v>
          </cell>
          <cell r="BQ41" t="str">
            <v>NM</v>
          </cell>
          <cell r="BR41">
            <v>0</v>
          </cell>
          <cell r="BS41" t="str">
            <v>NM</v>
          </cell>
          <cell r="BT41">
            <v>0</v>
          </cell>
          <cell r="BU41" t="str">
            <v>NM</v>
          </cell>
          <cell r="BW41">
            <v>0</v>
          </cell>
          <cell r="BX41" t="str">
            <v>NM</v>
          </cell>
          <cell r="BY41">
            <v>0</v>
          </cell>
          <cell r="BZ41" t="str">
            <v>NM</v>
          </cell>
          <cell r="CA41">
            <v>0</v>
          </cell>
          <cell r="CB41" t="str">
            <v>NM</v>
          </cell>
          <cell r="CC41">
            <v>0</v>
          </cell>
          <cell r="CD41" t="str">
            <v>NM</v>
          </cell>
          <cell r="CE41">
            <v>0</v>
          </cell>
          <cell r="CF41" t="str">
            <v>NM</v>
          </cell>
        </row>
        <row r="42">
          <cell r="B42" t="str">
            <v>Income (Loss) Before Taxes</v>
          </cell>
          <cell r="C42">
            <v>77.25599999700006</v>
          </cell>
          <cell r="D42" t="e">
            <v>#REF!</v>
          </cell>
          <cell r="E42">
            <v>155.43000000200004</v>
          </cell>
          <cell r="F42" t="e">
            <v>#REF!</v>
          </cell>
          <cell r="G42">
            <v>147.75600000099993</v>
          </cell>
          <cell r="H42" t="e">
            <v>#REF!</v>
          </cell>
          <cell r="I42">
            <v>126.18599999999992</v>
          </cell>
          <cell r="J42" t="e">
            <v>#REF!</v>
          </cell>
          <cell r="K42">
            <v>556.62800000000004</v>
          </cell>
          <cell r="M42">
            <v>203.40806622616552</v>
          </cell>
          <cell r="N42" t="e">
            <v>#REF!</v>
          </cell>
          <cell r="O42">
            <v>189.16277262893146</v>
          </cell>
          <cell r="P42" t="e">
            <v>#REF!</v>
          </cell>
          <cell r="Q42">
            <v>214.45179690849221</v>
          </cell>
          <cell r="R42" t="e">
            <v>#REF!</v>
          </cell>
          <cell r="S42">
            <v>192.61075938289838</v>
          </cell>
          <cell r="T42" t="e">
            <v>#REF!</v>
          </cell>
          <cell r="U42">
            <v>799.6333951464876</v>
          </cell>
          <cell r="W42">
            <v>242.35399999700002</v>
          </cell>
          <cell r="X42" t="e">
            <v>#REF!</v>
          </cell>
          <cell r="Y42">
            <v>259.94699999899996</v>
          </cell>
          <cell r="Z42" t="e">
            <v>#REF!</v>
          </cell>
          <cell r="AA42">
            <v>279.24</v>
          </cell>
          <cell r="AB42" t="e">
            <v>#REF!</v>
          </cell>
          <cell r="AC42">
            <v>303.41506880999992</v>
          </cell>
          <cell r="AD42" t="e">
            <v>#REF!</v>
          </cell>
          <cell r="AE42">
            <v>1084.9560688059998</v>
          </cell>
          <cell r="AG42">
            <v>167.868606877725</v>
          </cell>
          <cell r="AI42">
            <v>186.49784124299254</v>
          </cell>
          <cell r="AK42">
            <v>183.56400000000008</v>
          </cell>
          <cell r="AM42">
            <v>191.38111154892991</v>
          </cell>
          <cell r="AO42">
            <v>729.31155966964752</v>
          </cell>
          <cell r="AQ42">
            <v>259.29599999999994</v>
          </cell>
          <cell r="AS42">
            <v>245.38299999999992</v>
          </cell>
          <cell r="AU42">
            <v>218.92200000000017</v>
          </cell>
          <cell r="AW42">
            <v>214.93599999999998</v>
          </cell>
          <cell r="AY42">
            <v>938.35384265857761</v>
          </cell>
          <cell r="BA42">
            <v>318.88599999999991</v>
          </cell>
          <cell r="BB42">
            <v>0.2298145748488214</v>
          </cell>
          <cell r="BC42">
            <v>322.07800000000026</v>
          </cell>
          <cell r="BD42">
            <v>0.31255221429357527</v>
          </cell>
          <cell r="BE42">
            <v>409.49200000000008</v>
          </cell>
          <cell r="BF42">
            <v>0.8704926868930476</v>
          </cell>
          <cell r="BG42">
            <v>351.50699999999995</v>
          </cell>
          <cell r="BH42">
            <v>0.63540309673577244</v>
          </cell>
          <cell r="BI42">
            <v>1401.9969999999996</v>
          </cell>
          <cell r="BJ42">
            <v>0.4941026894799212</v>
          </cell>
          <cell r="BL42">
            <v>492.22600000000028</v>
          </cell>
          <cell r="BM42">
            <v>0.54357983730863202</v>
          </cell>
          <cell r="BN42">
            <v>455.37400000000008</v>
          </cell>
          <cell r="BO42">
            <v>0.41386248051714092</v>
          </cell>
          <cell r="BP42">
            <v>646.31199999999978</v>
          </cell>
          <cell r="BQ42">
            <v>0.57832631650923494</v>
          </cell>
          <cell r="BR42">
            <v>599.50600000000009</v>
          </cell>
          <cell r="BS42">
            <v>0.70553075756670625</v>
          </cell>
          <cell r="BT42">
            <v>2193.4180000000006</v>
          </cell>
          <cell r="BU42">
            <v>0.56449550177354246</v>
          </cell>
          <cell r="BW42">
            <v>791</v>
          </cell>
          <cell r="BX42">
            <v>0.60698540914132848</v>
          </cell>
          <cell r="BY42">
            <v>817.86640999999986</v>
          </cell>
          <cell r="BZ42">
            <v>0.79603229433388756</v>
          </cell>
          <cell r="CA42">
            <v>870.46625000000017</v>
          </cell>
          <cell r="CB42">
            <v>0.34682049845894936</v>
          </cell>
          <cell r="CC42">
            <v>909.29136000000017</v>
          </cell>
          <cell r="CD42">
            <v>0.51673437797119637</v>
          </cell>
          <cell r="CE42">
            <v>3388.6240200000002</v>
          </cell>
          <cell r="CF42">
            <v>0.54490572248426861</v>
          </cell>
        </row>
        <row r="43">
          <cell r="B43" t="str">
            <v>Income Tax (Benefit)</v>
          </cell>
          <cell r="C43">
            <v>22.91</v>
          </cell>
          <cell r="E43">
            <v>36.084000000000003</v>
          </cell>
          <cell r="G43">
            <v>32.942</v>
          </cell>
          <cell r="I43">
            <v>23.69</v>
          </cell>
          <cell r="K43">
            <v>121.56800000000001</v>
          </cell>
          <cell r="M43">
            <v>33.540999999999997</v>
          </cell>
          <cell r="O43">
            <v>35.161999999999999</v>
          </cell>
          <cell r="Q43">
            <v>38.149000000000001</v>
          </cell>
          <cell r="S43">
            <v>37.49</v>
          </cell>
          <cell r="U43">
            <v>143.67400000000001</v>
          </cell>
          <cell r="W43">
            <v>42.930999999999997</v>
          </cell>
          <cell r="Y43">
            <v>47.738999999999997</v>
          </cell>
          <cell r="AA43">
            <v>49.619</v>
          </cell>
          <cell r="AC43">
            <v>50.045000000000002</v>
          </cell>
          <cell r="AE43">
            <v>190.334</v>
          </cell>
          <cell r="AG43">
            <v>49.2</v>
          </cell>
          <cell r="AI43">
            <v>66.009</v>
          </cell>
          <cell r="AK43">
            <v>63.384999999999998</v>
          </cell>
          <cell r="AM43">
            <v>67.203000000000003</v>
          </cell>
          <cell r="AO43">
            <v>245.797</v>
          </cell>
          <cell r="AQ43">
            <v>76.762</v>
          </cell>
          <cell r="AS43">
            <v>81.891999999999996</v>
          </cell>
          <cell r="AU43">
            <v>75.099999999999994</v>
          </cell>
          <cell r="AW43">
            <v>69.944000000000003</v>
          </cell>
          <cell r="AY43">
            <v>303.69799999999998</v>
          </cell>
          <cell r="BA43">
            <v>111.33499999999999</v>
          </cell>
          <cell r="BB43">
            <v>0.45039212110158666</v>
          </cell>
          <cell r="BC43">
            <v>120.306</v>
          </cell>
          <cell r="BD43">
            <v>0.46908122893567139</v>
          </cell>
          <cell r="BE43">
            <v>149.88999999999999</v>
          </cell>
          <cell r="BF43">
            <v>0.99587217043941401</v>
          </cell>
          <cell r="BG43">
            <v>126.1</v>
          </cell>
          <cell r="BH43">
            <v>0.80287086812306963</v>
          </cell>
          <cell r="BI43">
            <v>507.63099999999997</v>
          </cell>
          <cell r="BJ43">
            <v>0.67149931840183341</v>
          </cell>
          <cell r="BL43">
            <v>180.58500000000001</v>
          </cell>
          <cell r="BM43">
            <v>0.62199667669645686</v>
          </cell>
          <cell r="BN43">
            <v>126.8</v>
          </cell>
          <cell r="BO43">
            <v>5.3979020165245251E-2</v>
          </cell>
          <cell r="BP43">
            <v>262.49099999999999</v>
          </cell>
          <cell r="BQ43">
            <v>0.75122423110280878</v>
          </cell>
          <cell r="BR43">
            <v>236.221</v>
          </cell>
          <cell r="BS43">
            <v>0.87328310864393344</v>
          </cell>
          <cell r="BT43">
            <v>806.09699999999998</v>
          </cell>
          <cell r="BU43">
            <v>0.5879585762098849</v>
          </cell>
          <cell r="BW43">
            <v>300</v>
          </cell>
          <cell r="BX43">
            <v>0.66126754713846658</v>
          </cell>
          <cell r="BY43">
            <v>303.42843810999995</v>
          </cell>
          <cell r="BZ43">
            <v>1.3929687548107252</v>
          </cell>
          <cell r="CA43">
            <v>322.94297875000007</v>
          </cell>
          <cell r="CB43">
            <v>0.23030114842032701</v>
          </cell>
          <cell r="CC43">
            <v>337.34709456000007</v>
          </cell>
          <cell r="CD43">
            <v>0.42809951088175935</v>
          </cell>
          <cell r="CE43">
            <v>1263.7185114200001</v>
          </cell>
          <cell r="CF43">
            <v>0.567700303338184</v>
          </cell>
        </row>
        <row r="44">
          <cell r="B44" t="str">
            <v>Tax Rate</v>
          </cell>
          <cell r="C44">
            <v>0.29654654655806179</v>
          </cell>
          <cell r="E44">
            <v>0.23215595444596077</v>
          </cell>
          <cell r="G44">
            <v>0.22294864506197423</v>
          </cell>
          <cell r="I44">
            <v>0.18773873488342618</v>
          </cell>
          <cell r="K44">
            <v>0.21840079909742235</v>
          </cell>
          <cell r="M44">
            <v>0.31057618156261746</v>
          </cell>
          <cell r="O44">
            <v>0.31062449585915947</v>
          </cell>
          <cell r="Q44">
            <v>0.31050325499576703</v>
          </cell>
          <cell r="S44">
            <v>0.31069126943984371</v>
          </cell>
          <cell r="U44">
            <v>0.17967483708416138</v>
          </cell>
          <cell r="W44">
            <v>0.320523684181443</v>
          </cell>
          <cell r="Y44">
            <v>0.32030716534990089</v>
          </cell>
          <cell r="AA44">
            <v>0.32044099205704007</v>
          </cell>
          <cell r="AC44">
            <v>0.32039990406928232</v>
          </cell>
          <cell r="AE44">
            <v>0.17543014456747877</v>
          </cell>
          <cell r="AG44">
            <v>0.29349894260372089</v>
          </cell>
          <cell r="AI44">
            <v>0.35428459719400968</v>
          </cell>
          <cell r="AK44">
            <v>0.345725382990834</v>
          </cell>
          <cell r="AM44">
            <v>0.35148524883632459</v>
          </cell>
          <cell r="AO44">
            <v>0.33702605798725771</v>
          </cell>
          <cell r="AQ44">
            <v>0.29619869560489492</v>
          </cell>
          <cell r="AS44">
            <v>0.33376329644768415</v>
          </cell>
          <cell r="AU44">
            <v>0.3432807897415317</v>
          </cell>
          <cell r="AW44">
            <v>0.32563596409549711</v>
          </cell>
          <cell r="AY44">
            <v>0.32364976429312847</v>
          </cell>
          <cell r="BA44">
            <v>0.34913730925785397</v>
          </cell>
          <cell r="BC44">
            <v>0.37353063543613629</v>
          </cell>
          <cell r="BE44">
            <v>0.3660388969747882</v>
          </cell>
          <cell r="BG44">
            <v>0.35874107770257779</v>
          </cell>
          <cell r="BI44">
            <v>0.36207709431617907</v>
          </cell>
          <cell r="BJ44">
            <v>0.11873121584679147</v>
          </cell>
          <cell r="BL44">
            <v>0.36687415943083035</v>
          </cell>
          <cell r="BN44">
            <v>0.27845243689802224</v>
          </cell>
          <cell r="BP44">
            <v>0.40613666464493942</v>
          </cell>
          <cell r="BR44">
            <v>0.39402608147374668</v>
          </cell>
          <cell r="BT44">
            <v>0.36750724212165659</v>
          </cell>
          <cell r="BU44">
            <v>1.4997214379807389E-2</v>
          </cell>
          <cell r="BW44">
            <v>0.37926675094816686</v>
          </cell>
          <cell r="BY44">
            <v>0.371</v>
          </cell>
          <cell r="CA44">
            <v>0.371</v>
          </cell>
          <cell r="CC44">
            <v>0.371</v>
          </cell>
          <cell r="CE44">
            <v>0.3729296918045219</v>
          </cell>
          <cell r="CF44">
            <v>1.4754674361139086E-2</v>
          </cell>
        </row>
        <row r="45">
          <cell r="B45" t="str">
            <v>Reported Net Income</v>
          </cell>
          <cell r="C45">
            <v>54.345999997000064</v>
          </cell>
          <cell r="D45" t="e">
            <v>#REF!</v>
          </cell>
          <cell r="E45">
            <v>119.34600000200004</v>
          </cell>
          <cell r="F45" t="e">
            <v>#REF!</v>
          </cell>
          <cell r="G45">
            <v>114.81400000099993</v>
          </cell>
          <cell r="H45" t="e">
            <v>#REF!</v>
          </cell>
          <cell r="I45">
            <v>102.49599999999992</v>
          </cell>
          <cell r="J45" t="e">
            <v>#REF!</v>
          </cell>
          <cell r="K45">
            <v>435.06000000000006</v>
          </cell>
          <cell r="M45">
            <v>169.86706622616552</v>
          </cell>
          <cell r="N45" t="e">
            <v>#REF!</v>
          </cell>
          <cell r="O45">
            <v>154.00077262893146</v>
          </cell>
          <cell r="P45" t="e">
            <v>#REF!</v>
          </cell>
          <cell r="Q45">
            <v>176.30279690849221</v>
          </cell>
          <cell r="R45" t="e">
            <v>#REF!</v>
          </cell>
          <cell r="S45">
            <v>155.12075938289837</v>
          </cell>
          <cell r="T45" t="e">
            <v>#REF!</v>
          </cell>
          <cell r="U45">
            <v>653.88039514648756</v>
          </cell>
          <cell r="W45">
            <v>199.42299999700003</v>
          </cell>
          <cell r="X45" t="e">
            <v>#REF!</v>
          </cell>
          <cell r="Y45">
            <v>212.20799999899995</v>
          </cell>
          <cell r="Z45" t="e">
            <v>#REF!</v>
          </cell>
          <cell r="AA45">
            <v>229.62100000000001</v>
          </cell>
          <cell r="AB45" t="e">
            <v>#REF!</v>
          </cell>
          <cell r="AC45">
            <v>253.37006880999991</v>
          </cell>
          <cell r="AD45" t="e">
            <v>#REF!</v>
          </cell>
          <cell r="AE45">
            <v>893.21106880599996</v>
          </cell>
          <cell r="AG45">
            <v>118.668606877725</v>
          </cell>
          <cell r="AI45">
            <v>120.48884124299254</v>
          </cell>
          <cell r="AK45">
            <v>120.17900000000009</v>
          </cell>
          <cell r="AM45">
            <v>124.17811154892991</v>
          </cell>
          <cell r="AO45">
            <v>483.5145596696475</v>
          </cell>
          <cell r="AQ45">
            <v>182.53399999999993</v>
          </cell>
          <cell r="AS45">
            <v>163.49099999999993</v>
          </cell>
          <cell r="AU45">
            <v>143.82200000000017</v>
          </cell>
          <cell r="AW45">
            <v>144.99199999999996</v>
          </cell>
          <cell r="AY45">
            <v>634.65584265857763</v>
          </cell>
          <cell r="BA45">
            <v>207.55099999999993</v>
          </cell>
          <cell r="BB45">
            <v>0.13705391872199146</v>
          </cell>
          <cell r="BC45">
            <v>201.77200000000028</v>
          </cell>
          <cell r="BD45">
            <v>0.23414744542513266</v>
          </cell>
          <cell r="BE45">
            <v>259.60200000000009</v>
          </cell>
          <cell r="BF45">
            <v>0.80502287549887908</v>
          </cell>
          <cell r="BG45">
            <v>225.40699999999995</v>
          </cell>
          <cell r="BH45">
            <v>0.55461680644449363</v>
          </cell>
          <cell r="BI45">
            <v>894.36599999999964</v>
          </cell>
          <cell r="BJ45">
            <v>0.4092141596829777</v>
          </cell>
          <cell r="BL45">
            <v>311.6410000000003</v>
          </cell>
          <cell r="BM45">
            <v>0.50151529021782792</v>
          </cell>
          <cell r="BN45">
            <v>328.57400000000007</v>
          </cell>
          <cell r="BO45">
            <v>0.6284420038459233</v>
          </cell>
          <cell r="BP45">
            <v>383.8209999999998</v>
          </cell>
          <cell r="BQ45">
            <v>0.47849785440789994</v>
          </cell>
          <cell r="BR45">
            <v>363.28500000000008</v>
          </cell>
          <cell r="BS45">
            <v>0.61168464155949076</v>
          </cell>
          <cell r="BT45">
            <v>1387.3210000000001</v>
          </cell>
          <cell r="BU45">
            <v>0.55117815301565654</v>
          </cell>
          <cell r="BW45">
            <v>491</v>
          </cell>
          <cell r="BX45">
            <v>0.57553081911558346</v>
          </cell>
          <cell r="BY45">
            <v>514.43797188999997</v>
          </cell>
          <cell r="BZ45">
            <v>0.56566853095497471</v>
          </cell>
          <cell r="CA45">
            <v>547.52327125000011</v>
          </cell>
          <cell r="CB45">
            <v>0.42650681242037414</v>
          </cell>
          <cell r="CC45">
            <v>571.94426544000009</v>
          </cell>
          <cell r="CD45">
            <v>0.57436796300425286</v>
          </cell>
          <cell r="CE45">
            <v>2124.9055085800001</v>
          </cell>
          <cell r="CF45">
            <v>0.53166102767852563</v>
          </cell>
        </row>
        <row r="46">
          <cell r="B46" t="str">
            <v>EPS, basic</v>
          </cell>
          <cell r="C46">
            <v>5.3195279706391409E-2</v>
          </cell>
          <cell r="D46" t="e">
            <v>#REF!</v>
          </cell>
          <cell r="E46">
            <v>0.1161134028662049</v>
          </cell>
          <cell r="F46" t="e">
            <v>#REF!</v>
          </cell>
          <cell r="G46">
            <v>0.11225174174395246</v>
          </cell>
          <cell r="H46" t="e">
            <v>#REF!</v>
          </cell>
          <cell r="I46">
            <v>9.9454483000867386E-2</v>
          </cell>
          <cell r="J46" t="e">
            <v>#REF!</v>
          </cell>
          <cell r="K46">
            <v>0.84830168077058077</v>
          </cell>
          <cell r="M46">
            <v>0.15719058841409891</v>
          </cell>
          <cell r="N46" t="e">
            <v>#REF!</v>
          </cell>
          <cell r="O46">
            <v>0.14772766505983081</v>
          </cell>
          <cell r="P46" t="e">
            <v>#REF!</v>
          </cell>
          <cell r="Q46">
            <v>0.16857272598569231</v>
          </cell>
          <cell r="R46" t="e">
            <v>#REF!</v>
          </cell>
          <cell r="S46">
            <v>0.14771576793625393</v>
          </cell>
          <cell r="T46" t="e">
            <v>#REF!</v>
          </cell>
          <cell r="U46">
            <v>0.62610751786886065</v>
          </cell>
          <cell r="W46">
            <v>0.18963949828069879</v>
          </cell>
          <cell r="X46" t="e">
            <v>#REF!</v>
          </cell>
          <cell r="Y46">
            <v>0.201336627462533</v>
          </cell>
          <cell r="Z46" t="e">
            <v>#REF!</v>
          </cell>
          <cell r="AA46">
            <v>0.21772122853328479</v>
          </cell>
          <cell r="AB46" t="e">
            <v>#REF!</v>
          </cell>
          <cell r="AC46">
            <v>0.23995422792662244</v>
          </cell>
          <cell r="AD46" t="e">
            <v>#REF!</v>
          </cell>
          <cell r="AE46">
            <v>0.84741827980205642</v>
          </cell>
          <cell r="AG46">
            <v>0.11262407288593676</v>
          </cell>
          <cell r="AI46">
            <v>0.11585443224435389</v>
          </cell>
          <cell r="AK46">
            <v>0.11644687757376106</v>
          </cell>
          <cell r="AM46">
            <v>0.12075917770961529</v>
          </cell>
          <cell r="AO46">
            <v>0.46558555820163972</v>
          </cell>
          <cell r="AQ46">
            <v>0.17828754720077195</v>
          </cell>
          <cell r="AS46">
            <v>0.15937622463243961</v>
          </cell>
          <cell r="AU46">
            <v>0.13818408916218311</v>
          </cell>
          <cell r="AW46">
            <v>0.13843172075349197</v>
          </cell>
          <cell r="AY46">
            <v>0.61351622099003444</v>
          </cell>
          <cell r="BA46">
            <v>0.19669389062526646</v>
          </cell>
          <cell r="BB46">
            <v>0.10323964692703358</v>
          </cell>
          <cell r="BC46">
            <v>0.19023985050239559</v>
          </cell>
          <cell r="BD46">
            <v>0.19365263508490682</v>
          </cell>
          <cell r="BE46">
            <v>0.24603559717193932</v>
          </cell>
          <cell r="BF46">
            <v>0.78049150711681192</v>
          </cell>
          <cell r="BG46">
            <v>0.21473468610079066</v>
          </cell>
          <cell r="BH46">
            <v>0.55119567200333264</v>
          </cell>
          <cell r="BI46">
            <v>0.84760772011960184</v>
          </cell>
          <cell r="BJ46">
            <v>0.38155714734292223</v>
          </cell>
          <cell r="BL46">
            <v>0.29769915325477275</v>
          </cell>
          <cell r="BM46">
            <v>0.51351499687368318</v>
          </cell>
          <cell r="BN46">
            <v>0.31068947127549734</v>
          </cell>
          <cell r="BO46">
            <v>0.6331461071642559</v>
          </cell>
          <cell r="BP46">
            <v>0.36191125456018103</v>
          </cell>
          <cell r="BQ46">
            <v>0.47097110629590433</v>
          </cell>
          <cell r="BR46">
            <v>0.3444360799602551</v>
          </cell>
          <cell r="BS46">
            <v>0.60400765341928087</v>
          </cell>
          <cell r="BT46">
            <v>1.3150560404644005</v>
          </cell>
          <cell r="BU46">
            <v>0.5514913435177764</v>
          </cell>
          <cell r="BW46">
            <v>0.46584440227703983</v>
          </cell>
          <cell r="BX46">
            <v>0.56481601369677836</v>
          </cell>
          <cell r="BY46">
            <v>0.48808156725806451</v>
          </cell>
          <cell r="BZ46">
            <v>0.57096268906154357</v>
          </cell>
          <cell r="CA46">
            <v>0.51947179435483881</v>
          </cell>
          <cell r="CB46">
            <v>0.43535683902987765</v>
          </cell>
          <cell r="CC46">
            <v>0.54264161806451627</v>
          </cell>
          <cell r="CD46">
            <v>0.57544940741147776</v>
          </cell>
          <cell r="CE46">
            <v>2.0160393819544593</v>
          </cell>
          <cell r="CF46">
            <v>0.53304446344546097</v>
          </cell>
        </row>
        <row r="47">
          <cell r="B47" t="str">
            <v>EPS, diluted</v>
          </cell>
          <cell r="C47">
            <v>5.1261300007734628E-2</v>
          </cell>
          <cell r="D47" t="e">
            <v>#REF!</v>
          </cell>
          <cell r="E47">
            <v>0.11182173883900132</v>
          </cell>
          <cell r="F47" t="e">
            <v>#REF!</v>
          </cell>
          <cell r="G47">
            <v>0.10948743622848416</v>
          </cell>
          <cell r="H47" t="e">
            <v>#REF!</v>
          </cell>
          <cell r="I47">
            <v>9.672335662963033E-2</v>
          </cell>
          <cell r="J47" t="e">
            <v>#REF!</v>
          </cell>
          <cell r="K47">
            <v>0.82168185466735921</v>
          </cell>
          <cell r="M47">
            <v>0.16360744536644534</v>
          </cell>
          <cell r="N47" t="e">
            <v>#REF!</v>
          </cell>
          <cell r="O47">
            <v>0.14302396905211939</v>
          </cell>
          <cell r="P47" t="e">
            <v>#REF!</v>
          </cell>
          <cell r="Q47">
            <v>0.16279624374956575</v>
          </cell>
          <cell r="R47" t="e">
            <v>#REF!</v>
          </cell>
          <cell r="S47">
            <v>0.1442675142833611</v>
          </cell>
          <cell r="T47" t="e">
            <v>#REF!</v>
          </cell>
          <cell r="U47">
            <v>0.60987544247047309</v>
          </cell>
          <cell r="W47">
            <v>0.18630385512668887</v>
          </cell>
          <cell r="X47" t="e">
            <v>#REF!</v>
          </cell>
          <cell r="Y47">
            <v>0.19827260801712437</v>
          </cell>
          <cell r="Z47" t="e">
            <v>#REF!</v>
          </cell>
          <cell r="AA47">
            <v>0.21513388423557631</v>
          </cell>
          <cell r="AB47" t="e">
            <v>#REF!</v>
          </cell>
          <cell r="AC47">
            <v>0.23597362148675347</v>
          </cell>
          <cell r="AD47" t="e">
            <v>#REF!</v>
          </cell>
          <cell r="AE47">
            <v>0.83443278873473636</v>
          </cell>
          <cell r="AG47">
            <v>0.11091602069521243</v>
          </cell>
          <cell r="AI47">
            <v>0.11486526747781373</v>
          </cell>
          <cell r="AK47">
            <v>0.11568376043694142</v>
          </cell>
          <cell r="AM47">
            <v>0.11963762442668824</v>
          </cell>
          <cell r="AO47">
            <v>0.46096594929398294</v>
          </cell>
          <cell r="AQ47">
            <v>0.17644113473531989</v>
          </cell>
          <cell r="AS47">
            <v>0.15632685298156096</v>
          </cell>
          <cell r="AU47">
            <v>0.13499342969776626</v>
          </cell>
          <cell r="AW47">
            <v>0.13531330959153653</v>
          </cell>
          <cell r="AY47">
            <v>0.60195636879300407</v>
          </cell>
          <cell r="BA47">
            <v>0.19188759906363365</v>
          </cell>
          <cell r="BB47">
            <v>8.7544575994056517E-2</v>
          </cell>
          <cell r="BC47">
            <v>0.1856079596205274</v>
          </cell>
          <cell r="BD47">
            <v>0.18730695386300766</v>
          </cell>
          <cell r="BE47">
            <v>0.24102097033403808</v>
          </cell>
          <cell r="BF47">
            <v>0.78542741579093511</v>
          </cell>
          <cell r="BG47">
            <v>0.21052144935874201</v>
          </cell>
          <cell r="BH47">
            <v>0.55580740722573774</v>
          </cell>
          <cell r="BI47">
            <v>0.82872362999196592</v>
          </cell>
          <cell r="BJ47">
            <v>0.37671710601493902</v>
          </cell>
          <cell r="BL47">
            <v>0.29205273126155645</v>
          </cell>
          <cell r="BM47">
            <v>0.52199898631649511</v>
          </cell>
          <cell r="BN47">
            <v>0.30315701288288605</v>
          </cell>
          <cell r="BO47">
            <v>0.63331903169824111</v>
          </cell>
          <cell r="BP47">
            <v>0.35311289058331263</v>
          </cell>
          <cell r="BQ47">
            <v>0.46507123464785272</v>
          </cell>
          <cell r="BR47">
            <v>0.33632766499529704</v>
          </cell>
          <cell r="BS47">
            <v>0.59759333796991476</v>
          </cell>
          <cell r="BT47">
            <v>1.2834287279048318</v>
          </cell>
          <cell r="BU47">
            <v>0.54868122671640718</v>
          </cell>
          <cell r="BW47">
            <v>0.45674418604651162</v>
          </cell>
          <cell r="BX47">
            <v>0.56390999691579968</v>
          </cell>
          <cell r="BY47">
            <v>0.4785469505953488</v>
          </cell>
          <cell r="BZ47">
            <v>0.57854488024071671</v>
          </cell>
          <cell r="CA47">
            <v>0.50932397325581402</v>
          </cell>
          <cell r="CB47">
            <v>0.44238283800530165</v>
          </cell>
          <cell r="CC47">
            <v>0.53204117715348842</v>
          </cell>
          <cell r="CD47">
            <v>0.58191321299997156</v>
          </cell>
          <cell r="CE47">
            <v>1.9766562870511628</v>
          </cell>
          <cell r="CF47">
            <v>0.54013716856565086</v>
          </cell>
        </row>
        <row r="49">
          <cell r="B49" t="str">
            <v>Option expense</v>
          </cell>
          <cell r="BW49">
            <v>74</v>
          </cell>
          <cell r="BY49">
            <v>78.304247450000005</v>
          </cell>
          <cell r="CA49">
            <v>83.722856250000007</v>
          </cell>
          <cell r="CC49">
            <v>93.158375200000009</v>
          </cell>
          <cell r="CE49">
            <v>329.18547890000002</v>
          </cell>
        </row>
        <row r="50">
          <cell r="B50" t="str">
            <v>Net Income (incl options exp)</v>
          </cell>
          <cell r="BW50">
            <v>417</v>
          </cell>
          <cell r="BY50">
            <v>436.13372443999998</v>
          </cell>
          <cell r="CA50">
            <v>463.8004150000001</v>
          </cell>
          <cell r="CC50">
            <v>478.78589024000007</v>
          </cell>
          <cell r="CE50">
            <v>1795.7200296800002</v>
          </cell>
        </row>
        <row r="52">
          <cell r="B52" t="str">
            <v>EPS, diluted (incl option exp)</v>
          </cell>
          <cell r="BW52">
            <v>0.38790697674418606</v>
          </cell>
          <cell r="BY52">
            <v>0.40570579017674419</v>
          </cell>
          <cell r="CA52">
            <v>0.43144224651162799</v>
          </cell>
          <cell r="CC52">
            <v>0.44538222347906986</v>
          </cell>
          <cell r="CE52">
            <v>1.670437236911628</v>
          </cell>
        </row>
        <row r="53">
          <cell r="B53" t="str">
            <v>EPS, GAAP, diluted (incl option exp)</v>
          </cell>
          <cell r="BW53">
            <v>0.39162790697674421</v>
          </cell>
          <cell r="BY53">
            <v>0.38464160413023252</v>
          </cell>
          <cell r="CA53">
            <v>0.41037806046511638</v>
          </cell>
          <cell r="CC53">
            <v>0.42431803743255819</v>
          </cell>
          <cell r="CE53">
            <v>1.6109656090046514</v>
          </cell>
        </row>
        <row r="54">
          <cell r="B54" t="str">
            <v>Shares Outstanding (Basic)</v>
          </cell>
          <cell r="C54">
            <v>1021.6319999999999</v>
          </cell>
          <cell r="D54">
            <v>0</v>
          </cell>
          <cell r="E54">
            <v>1027.8399999999999</v>
          </cell>
          <cell r="F54">
            <v>0</v>
          </cell>
          <cell r="G54">
            <v>1022.826</v>
          </cell>
          <cell r="H54">
            <v>0</v>
          </cell>
          <cell r="I54">
            <v>1030.5820000000001</v>
          </cell>
          <cell r="K54">
            <v>512.86</v>
          </cell>
          <cell r="M54">
            <v>1080.644</v>
          </cell>
          <cell r="N54">
            <v>0</v>
          </cell>
          <cell r="O54">
            <v>1042.4639999999999</v>
          </cell>
          <cell r="P54">
            <v>0</v>
          </cell>
          <cell r="Q54">
            <v>1045.856</v>
          </cell>
          <cell r="R54">
            <v>0</v>
          </cell>
          <cell r="S54">
            <v>1050.1300000000001</v>
          </cell>
          <cell r="T54">
            <v>0</v>
          </cell>
          <cell r="U54">
            <v>1044.3579999999999</v>
          </cell>
          <cell r="W54">
            <v>1051.5899999999999</v>
          </cell>
          <cell r="X54">
            <v>0</v>
          </cell>
          <cell r="Y54">
            <v>1053.9960000000001</v>
          </cell>
          <cell r="Z54">
            <v>0</v>
          </cell>
          <cell r="AA54">
            <v>1054.6559999999999</v>
          </cell>
          <cell r="AB54">
            <v>0</v>
          </cell>
          <cell r="AC54">
            <v>1055.9100000000001</v>
          </cell>
          <cell r="AD54">
            <v>0</v>
          </cell>
          <cell r="AE54">
            <v>1054.038</v>
          </cell>
          <cell r="AG54">
            <v>1053.67</v>
          </cell>
          <cell r="AH54">
            <v>0</v>
          </cell>
          <cell r="AI54">
            <v>1040.002</v>
          </cell>
          <cell r="AJ54">
            <v>0</v>
          </cell>
          <cell r="AK54">
            <v>1032.05</v>
          </cell>
          <cell r="AL54">
            <v>0</v>
          </cell>
          <cell r="AM54">
            <v>1028.3119999999999</v>
          </cell>
          <cell r="AN54">
            <v>0</v>
          </cell>
          <cell r="AO54">
            <v>1038.5084999999999</v>
          </cell>
          <cell r="AQ54">
            <v>1023.818</v>
          </cell>
          <cell r="AR54">
            <v>0</v>
          </cell>
          <cell r="AS54">
            <v>1025.818</v>
          </cell>
          <cell r="AT54">
            <v>0</v>
          </cell>
          <cell r="AU54">
            <v>1040.8</v>
          </cell>
          <cell r="AV54">
            <v>0</v>
          </cell>
          <cell r="AW54">
            <v>1047.3900000000001</v>
          </cell>
          <cell r="AY54">
            <v>1034.4565</v>
          </cell>
          <cell r="BA54">
            <v>1055.1980000000001</v>
          </cell>
          <cell r="BB54">
            <v>3.0649978804826672E-2</v>
          </cell>
          <cell r="BC54">
            <v>1060.6189999999999</v>
          </cell>
          <cell r="BD54">
            <v>3.392512122033331E-2</v>
          </cell>
          <cell r="BE54">
            <v>1055.1400000000001</v>
          </cell>
          <cell r="BF54">
            <v>1.3777863182167671E-2</v>
          </cell>
          <cell r="BG54">
            <v>1049.7</v>
          </cell>
          <cell r="BH54">
            <v>2.2054821986079443E-3</v>
          </cell>
          <cell r="BI54">
            <v>1055.165</v>
          </cell>
          <cell r="BJ54">
            <v>2.0018724808631427E-2</v>
          </cell>
          <cell r="BL54">
            <v>1046.8320000000001</v>
          </cell>
          <cell r="BM54">
            <v>-7.9283698414894799E-3</v>
          </cell>
          <cell r="BN54">
            <v>1057.5640000000001</v>
          </cell>
          <cell r="BO54">
            <v>-2.8803934306285139E-3</v>
          </cell>
          <cell r="BP54">
            <v>1060.539</v>
          </cell>
          <cell r="BQ54">
            <v>5.1168565308867819E-3</v>
          </cell>
          <cell r="BR54">
            <v>1054.7239999999999</v>
          </cell>
          <cell r="BS54">
            <v>4.7861293702962104E-3</v>
          </cell>
          <cell r="BT54">
            <v>1054.952</v>
          </cell>
          <cell r="BU54">
            <v>-2.0186416342460323E-4</v>
          </cell>
          <cell r="BW54">
            <v>1054</v>
          </cell>
          <cell r="BY54">
            <v>1054</v>
          </cell>
          <cell r="CA54">
            <v>1054</v>
          </cell>
          <cell r="CC54">
            <v>1054</v>
          </cell>
          <cell r="CE54">
            <v>1054</v>
          </cell>
          <cell r="CF54">
            <v>-9.0241072579599901E-4</v>
          </cell>
        </row>
        <row r="55">
          <cell r="B55" t="str">
            <v>Shares Outstanding (Diluted)</v>
          </cell>
          <cell r="C55">
            <v>1060.1759999999999</v>
          </cell>
          <cell r="D55">
            <v>0</v>
          </cell>
          <cell r="E55">
            <v>1067.288</v>
          </cell>
          <cell r="F55">
            <v>0</v>
          </cell>
          <cell r="G55">
            <v>1048.6500000000001</v>
          </cell>
          <cell r="H55">
            <v>0</v>
          </cell>
          <cell r="I55">
            <v>1059.682</v>
          </cell>
          <cell r="K55">
            <v>529.47500000000002</v>
          </cell>
          <cell r="M55">
            <v>1038.26</v>
          </cell>
          <cell r="N55">
            <v>0</v>
          </cell>
          <cell r="O55">
            <v>1076.748</v>
          </cell>
          <cell r="P55">
            <v>0</v>
          </cell>
          <cell r="Q55">
            <v>1082.9659999999999</v>
          </cell>
          <cell r="R55">
            <v>0</v>
          </cell>
          <cell r="S55">
            <v>1075.23</v>
          </cell>
          <cell r="T55">
            <v>0</v>
          </cell>
          <cell r="U55">
            <v>1072.154</v>
          </cell>
          <cell r="W55">
            <v>1070.4179999999999</v>
          </cell>
          <cell r="X55">
            <v>0</v>
          </cell>
          <cell r="Y55">
            <v>1070.2840000000001</v>
          </cell>
          <cell r="Z55">
            <v>0</v>
          </cell>
          <cell r="AA55">
            <v>1067.3399999999999</v>
          </cell>
          <cell r="AB55">
            <v>0</v>
          </cell>
          <cell r="AC55">
            <v>1073.722</v>
          </cell>
          <cell r="AD55">
            <v>0</v>
          </cell>
          <cell r="AE55">
            <v>1070.441</v>
          </cell>
          <cell r="AG55">
            <v>1069.896</v>
          </cell>
          <cell r="AH55">
            <v>0</v>
          </cell>
          <cell r="AI55">
            <v>1048.9580000000001</v>
          </cell>
          <cell r="AJ55">
            <v>0</v>
          </cell>
          <cell r="AK55">
            <v>1038.8579999999999</v>
          </cell>
          <cell r="AL55">
            <v>0</v>
          </cell>
          <cell r="AM55">
            <v>1037.952</v>
          </cell>
          <cell r="AN55">
            <v>0</v>
          </cell>
          <cell r="AO55">
            <v>1048.9160000000002</v>
          </cell>
          <cell r="AQ55">
            <v>1034.5319999999999</v>
          </cell>
          <cell r="AR55">
            <v>0</v>
          </cell>
          <cell r="AS55">
            <v>1045.828</v>
          </cell>
          <cell r="AT55">
            <v>0</v>
          </cell>
          <cell r="AU55">
            <v>1065.4000000000001</v>
          </cell>
          <cell r="AV55">
            <v>0</v>
          </cell>
          <cell r="AW55">
            <v>1071.528</v>
          </cell>
          <cell r="AY55">
            <v>1054.3219999999999</v>
          </cell>
          <cell r="BA55">
            <v>1081.6279999999999</v>
          </cell>
          <cell r="BB55">
            <v>4.5523966392533088E-2</v>
          </cell>
          <cell r="BC55">
            <v>1087.087</v>
          </cell>
          <cell r="BD55">
            <v>3.9451037837962E-2</v>
          </cell>
          <cell r="BE55">
            <v>1077.0930000000001</v>
          </cell>
          <cell r="BF55">
            <v>1.0975220574432232E-2</v>
          </cell>
          <cell r="BG55">
            <v>1070.7080000000001</v>
          </cell>
          <cell r="BH55">
            <v>-7.6526231699025615E-4</v>
          </cell>
          <cell r="BI55">
            <v>1079.2090000000001</v>
          </cell>
          <cell r="BJ55">
            <v>2.3604743142986884E-2</v>
          </cell>
          <cell r="BL55">
            <v>1067.0709999999999</v>
          </cell>
          <cell r="BM55">
            <v>-1.345841638714973E-2</v>
          </cell>
          <cell r="BN55">
            <v>1083.8409999999999</v>
          </cell>
          <cell r="BO55">
            <v>-2.9859615651738336E-3</v>
          </cell>
          <cell r="BP55">
            <v>1086.9639999999999</v>
          </cell>
          <cell r="BQ55">
            <v>9.1644825470036384E-3</v>
          </cell>
          <cell r="BR55">
            <v>1080.152</v>
          </cell>
          <cell r="BS55">
            <v>8.8203319672590652E-3</v>
          </cell>
          <cell r="BT55">
            <v>1080.9490000000001</v>
          </cell>
          <cell r="BU55">
            <v>1.6122919656897938E-3</v>
          </cell>
          <cell r="BW55">
            <v>1075</v>
          </cell>
          <cell r="BY55">
            <v>1075</v>
          </cell>
          <cell r="CA55">
            <v>1075</v>
          </cell>
          <cell r="CC55">
            <v>1075</v>
          </cell>
          <cell r="CE55">
            <v>1075</v>
          </cell>
          <cell r="CF55">
            <v>-5.5034973897936101E-3</v>
          </cell>
        </row>
        <row r="58">
          <cell r="B58" t="str">
            <v>GAAP Adjustments</v>
          </cell>
        </row>
        <row r="59">
          <cell r="B59" t="str">
            <v>Charges related to Redemption</v>
          </cell>
          <cell r="AG59">
            <v>-38.9</v>
          </cell>
          <cell r="AI59">
            <v>-38.9</v>
          </cell>
          <cell r="AK59">
            <v>-38.9</v>
          </cell>
          <cell r="AM59">
            <v>-38.9</v>
          </cell>
          <cell r="AO59">
            <v>-155.6</v>
          </cell>
          <cell r="AQ59">
            <v>-38.6</v>
          </cell>
          <cell r="AS59">
            <v>-38.6</v>
          </cell>
          <cell r="AU59">
            <v>-38.6</v>
          </cell>
          <cell r="BA59">
            <v>-38.209000000000003</v>
          </cell>
          <cell r="BC59">
            <v>-38.209000000000003</v>
          </cell>
          <cell r="BE59">
            <v>-30</v>
          </cell>
          <cell r="BG59">
            <v>-34.533999999999999</v>
          </cell>
          <cell r="BI59">
            <v>-140.952</v>
          </cell>
          <cell r="BL59">
            <v>-34.481999999999999</v>
          </cell>
          <cell r="BN59">
            <v>-34.481999999999999</v>
          </cell>
          <cell r="BP59">
            <v>-27.190999999999999</v>
          </cell>
          <cell r="BR59">
            <v>-25</v>
          </cell>
          <cell r="BT59">
            <v>-122.7</v>
          </cell>
          <cell r="BW59">
            <v>-26</v>
          </cell>
          <cell r="BY59">
            <v>-23</v>
          </cell>
          <cell r="CA59">
            <v>-23</v>
          </cell>
          <cell r="CC59">
            <v>-23</v>
          </cell>
          <cell r="CE59">
            <v>-95</v>
          </cell>
        </row>
        <row r="60">
          <cell r="B60" t="str">
            <v>Litigation related charges</v>
          </cell>
          <cell r="AG60">
            <v>0</v>
          </cell>
          <cell r="AI60">
            <v>-518</v>
          </cell>
          <cell r="AK60">
            <v>-12.5</v>
          </cell>
          <cell r="AM60">
            <v>-13.5</v>
          </cell>
          <cell r="AO60">
            <v>-544</v>
          </cell>
          <cell r="AQ60">
            <v>-13.2</v>
          </cell>
          <cell r="AS60">
            <v>-13.4</v>
          </cell>
          <cell r="AU60">
            <v>131.61699999999999</v>
          </cell>
          <cell r="BA60">
            <v>-13.398999999999999</v>
          </cell>
          <cell r="BC60">
            <v>-13.458</v>
          </cell>
          <cell r="BE60">
            <v>-13</v>
          </cell>
          <cell r="BG60">
            <v>3.1890000000000001</v>
          </cell>
          <cell r="BI60">
            <v>-36.667999999999999</v>
          </cell>
          <cell r="BL60">
            <v>-11.256</v>
          </cell>
          <cell r="BN60">
            <v>-19.527000000000001</v>
          </cell>
          <cell r="BP60">
            <v>-13.507</v>
          </cell>
          <cell r="BR60">
            <v>-13</v>
          </cell>
          <cell r="BT60">
            <v>-57.8</v>
          </cell>
          <cell r="BW60">
            <v>-13</v>
          </cell>
          <cell r="BY60">
            <v>-13</v>
          </cell>
          <cell r="CA60">
            <v>-13</v>
          </cell>
          <cell r="CC60">
            <v>-13</v>
          </cell>
          <cell r="CE60">
            <v>-52</v>
          </cell>
        </row>
        <row r="61">
          <cell r="B61" t="str">
            <v>Tax Effect</v>
          </cell>
          <cell r="AG61">
            <v>15.600000000000001</v>
          </cell>
          <cell r="AI61">
            <v>222.709</v>
          </cell>
          <cell r="AK61">
            <v>20.585000000000001</v>
          </cell>
          <cell r="AM61">
            <v>21.203000000000003</v>
          </cell>
          <cell r="AO61">
            <v>280.09699999999998</v>
          </cell>
          <cell r="AQ61">
            <v>20.762</v>
          </cell>
          <cell r="AS61">
            <v>20.791999999999994</v>
          </cell>
          <cell r="AU61">
            <v>-37.300000000000011</v>
          </cell>
          <cell r="BA61">
            <v>20.643999999999998</v>
          </cell>
          <cell r="BC61">
            <v>20.666</v>
          </cell>
          <cell r="BE61">
            <v>15.739672569915893</v>
          </cell>
          <cell r="BG61">
            <v>11.244739080587301</v>
          </cell>
          <cell r="BI61">
            <v>68.294411650503207</v>
          </cell>
          <cell r="BL61">
            <v>18.295000000000002</v>
          </cell>
          <cell r="BN61">
            <v>15.038937664425283</v>
          </cell>
          <cell r="BP61">
            <v>16.28</v>
          </cell>
          <cell r="BR61">
            <v>14.972991096002374</v>
          </cell>
          <cell r="BT61">
            <v>72.2</v>
          </cell>
          <cell r="BW61">
            <v>43</v>
          </cell>
          <cell r="BY61">
            <v>13.356</v>
          </cell>
          <cell r="CA61">
            <v>13.356</v>
          </cell>
          <cell r="CC61">
            <v>13.356</v>
          </cell>
          <cell r="CE61">
            <v>83.067999999999998</v>
          </cell>
        </row>
        <row r="62">
          <cell r="B62" t="str">
            <v>Total Adjustments</v>
          </cell>
          <cell r="AG62">
            <v>-23.299999999999997</v>
          </cell>
          <cell r="AI62">
            <v>-334.19099999999997</v>
          </cell>
          <cell r="AK62">
            <v>-30.814999999999998</v>
          </cell>
          <cell r="AM62">
            <v>-31.196999999999996</v>
          </cell>
          <cell r="AO62">
            <v>-419.50300000000004</v>
          </cell>
          <cell r="AQ62">
            <v>-31.037999999999997</v>
          </cell>
          <cell r="AS62">
            <v>-31.208000000000006</v>
          </cell>
          <cell r="AU62">
            <v>55.716999999999985</v>
          </cell>
          <cell r="BA62">
            <v>-30.964000000000006</v>
          </cell>
          <cell r="BC62">
            <v>-31.001000000000001</v>
          </cell>
          <cell r="BE62">
            <v>-27.260327430084107</v>
          </cell>
          <cell r="BG62">
            <v>-20.100260919412698</v>
          </cell>
          <cell r="BI62">
            <v>-109.3255883494968</v>
          </cell>
          <cell r="BL62">
            <v>-27.442999999999998</v>
          </cell>
          <cell r="BN62">
            <v>-38.970062335574717</v>
          </cell>
          <cell r="BP62">
            <v>-24.417999999999999</v>
          </cell>
          <cell r="BR62">
            <v>-23.027008903997626</v>
          </cell>
          <cell r="BT62">
            <v>-108.3</v>
          </cell>
          <cell r="BW62">
            <v>4</v>
          </cell>
          <cell r="BY62">
            <v>-22.643999999999998</v>
          </cell>
          <cell r="CA62">
            <v>-22.643999999999998</v>
          </cell>
          <cell r="CC62">
            <v>-22.643999999999998</v>
          </cell>
          <cell r="CE62">
            <v>-63.932000000000002</v>
          </cell>
        </row>
        <row r="63">
          <cell r="B63" t="str">
            <v>GAAP Net Income</v>
          </cell>
          <cell r="AG63">
            <v>95.368606877725</v>
          </cell>
          <cell r="AI63">
            <v>-213.70215875700745</v>
          </cell>
          <cell r="AK63">
            <v>89.36400000000009</v>
          </cell>
          <cell r="AM63">
            <v>92.981111548929903</v>
          </cell>
          <cell r="AO63">
            <v>64.011559669647454</v>
          </cell>
          <cell r="AQ63">
            <v>151.49599999999992</v>
          </cell>
          <cell r="AS63">
            <v>132.28299999999993</v>
          </cell>
          <cell r="AU63">
            <v>199.53900000000016</v>
          </cell>
          <cell r="BA63">
            <v>176.58699999999993</v>
          </cell>
          <cell r="BC63">
            <v>170.77100000000027</v>
          </cell>
          <cell r="BE63">
            <v>232.34167256991597</v>
          </cell>
          <cell r="BG63">
            <v>205.30673908058725</v>
          </cell>
          <cell r="BI63">
            <v>785.04041165050285</v>
          </cell>
          <cell r="BL63">
            <v>284.19800000000032</v>
          </cell>
          <cell r="BN63">
            <v>289.60393766442536</v>
          </cell>
          <cell r="BP63">
            <v>359.40299999999979</v>
          </cell>
          <cell r="BR63">
            <v>340.25799109600246</v>
          </cell>
          <cell r="BT63">
            <v>1279.0210000000002</v>
          </cell>
          <cell r="BW63">
            <v>421</v>
          </cell>
          <cell r="BY63">
            <v>413.48972443999997</v>
          </cell>
          <cell r="CA63">
            <v>441.1564150000001</v>
          </cell>
          <cell r="CC63">
            <v>456.14189024000007</v>
          </cell>
          <cell r="CE63">
            <v>1731.7880296800001</v>
          </cell>
        </row>
        <row r="64">
          <cell r="B64" t="str">
            <v>GAAP EPS - Basic</v>
          </cell>
          <cell r="AG64">
            <v>9.0510887543277296E-2</v>
          </cell>
          <cell r="AI64">
            <v>-0.20548244980010372</v>
          </cell>
          <cell r="AK64">
            <v>8.658882806065607E-2</v>
          </cell>
          <cell r="AM64">
            <v>9.042110910786795E-2</v>
          </cell>
          <cell r="AO64">
            <v>6.1637973757217641E-2</v>
          </cell>
          <cell r="AQ64">
            <v>0.14797161214200172</v>
          </cell>
          <cell r="AS64">
            <v>0.12895367404354371</v>
          </cell>
          <cell r="AU64">
            <v>0.19171694850115312</v>
          </cell>
          <cell r="BA64">
            <v>0.1673496348552593</v>
          </cell>
          <cell r="BC64">
            <v>0.1610106928124051</v>
          </cell>
          <cell r="BE64">
            <v>0.22019985269245404</v>
          </cell>
          <cell r="BG64">
            <v>0.19558610944135205</v>
          </cell>
          <cell r="BI64">
            <v>0.74399777442438186</v>
          </cell>
          <cell r="BL64">
            <v>0.27148386751646902</v>
          </cell>
          <cell r="BN64">
            <v>0.27384057859800953</v>
          </cell>
          <cell r="BP64">
            <v>0.33888711306232</v>
          </cell>
          <cell r="BR64">
            <v>0.32260381966846535</v>
          </cell>
          <cell r="BT64">
            <v>1.2123973413008367</v>
          </cell>
          <cell r="BW64">
            <v>0.39943074003795065</v>
          </cell>
          <cell r="BY64">
            <v>0.39230524140417455</v>
          </cell>
          <cell r="CA64">
            <v>0.41855447343453517</v>
          </cell>
          <cell r="CC64">
            <v>0.43277219187855792</v>
          </cell>
          <cell r="CE64">
            <v>1.6430626467552183</v>
          </cell>
        </row>
        <row r="65">
          <cell r="B65" t="str">
            <v>GAAP EPS - Diluted</v>
          </cell>
          <cell r="AG65">
            <v>8.9138203038169134E-2</v>
          </cell>
          <cell r="AI65">
            <v>-0.20372804131052666</v>
          </cell>
          <cell r="AK65">
            <v>8.6021381170477668E-2</v>
          </cell>
          <cell r="AM65">
            <v>8.9581321245038217E-2</v>
          </cell>
          <cell r="AO65">
            <v>6.1026392646930203E-2</v>
          </cell>
          <cell r="AQ65">
            <v>0.1464391628291826</v>
          </cell>
          <cell r="AS65">
            <v>0.1264863820819484</v>
          </cell>
          <cell r="AU65">
            <v>0.18729021963581766</v>
          </cell>
          <cell r="BA65">
            <v>0.16326038157296219</v>
          </cell>
          <cell r="BC65">
            <v>0.15709046286083844</v>
          </cell>
          <cell r="BE65">
            <v>0.21571180257407294</v>
          </cell>
          <cell r="BG65">
            <v>0.19174858045385598</v>
          </cell>
          <cell r="BI65">
            <v>0.72742203933668348</v>
          </cell>
          <cell r="BL65">
            <v>0.26633466751509538</v>
          </cell>
          <cell r="BN65">
            <v>0.26720149695797207</v>
          </cell>
          <cell r="BP65">
            <v>0.3306484851384221</v>
          </cell>
          <cell r="BR65">
            <v>0.31500936080848108</v>
          </cell>
          <cell r="BT65">
            <v>1.183238987223264</v>
          </cell>
          <cell r="BW65">
            <v>0.39162790697674421</v>
          </cell>
          <cell r="BY65">
            <v>0.38464160413023252</v>
          </cell>
          <cell r="CA65">
            <v>0.41037806046511638</v>
          </cell>
          <cell r="CC65">
            <v>0.42431803743255819</v>
          </cell>
          <cell r="CE65">
            <v>1.6109656090046514</v>
          </cell>
        </row>
      </sheetData>
      <sheetData sheetId="6" refreshError="1"/>
      <sheetData sheetId="7" refreshError="1">
        <row r="1">
          <cell r="B1" t="str">
            <v>Genentech Annual Income Statement</v>
          </cell>
          <cell r="AB1" t="str">
            <v>ElementName</v>
          </cell>
          <cell r="AC1" t="str">
            <v>ScaleOverride</v>
          </cell>
          <cell r="AD1" t="str">
            <v>UnitOverride</v>
          </cell>
          <cell r="AE1" t="str">
            <v>ReverseSign</v>
          </cell>
          <cell r="AF1" t="str">
            <v>IsDrivingAssumption</v>
          </cell>
          <cell r="AG1" t="str">
            <v>SegmentID</v>
          </cell>
        </row>
        <row r="2">
          <cell r="B2" t="str">
            <v>(Dollars in thousands except per-share data)</v>
          </cell>
        </row>
        <row r="3">
          <cell r="C3" t="str">
            <v>1999</v>
          </cell>
          <cell r="D3" t="str">
            <v>2000</v>
          </cell>
          <cell r="E3" t="str">
            <v>2001A</v>
          </cell>
          <cell r="F3" t="str">
            <v>2002A</v>
          </cell>
          <cell r="H3" t="str">
            <v>2003A</v>
          </cell>
          <cell r="I3" t="str">
            <v>% chg</v>
          </cell>
          <cell r="J3" t="str">
            <v>2004A</v>
          </cell>
          <cell r="K3" t="str">
            <v>% chg</v>
          </cell>
          <cell r="L3" t="str">
            <v>2005A</v>
          </cell>
          <cell r="M3" t="str">
            <v>% chg</v>
          </cell>
          <cell r="N3" t="str">
            <v>2006E</v>
          </cell>
          <cell r="O3" t="str">
            <v>% chg</v>
          </cell>
          <cell r="P3" t="str">
            <v>2007E</v>
          </cell>
          <cell r="Q3" t="str">
            <v>% chg</v>
          </cell>
          <cell r="R3" t="str">
            <v>2008E</v>
          </cell>
          <cell r="S3" t="str">
            <v>% chg</v>
          </cell>
          <cell r="T3" t="str">
            <v>2009E</v>
          </cell>
          <cell r="U3" t="str">
            <v>% chg</v>
          </cell>
          <cell r="V3" t="str">
            <v>2010E</v>
          </cell>
          <cell r="W3" t="str">
            <v>% chg</v>
          </cell>
        </row>
        <row r="4">
          <cell r="B4" t="str">
            <v>Rituxan - US</v>
          </cell>
          <cell r="C4">
            <v>262.7</v>
          </cell>
          <cell r="D4">
            <v>424.2</v>
          </cell>
          <cell r="E4">
            <v>779</v>
          </cell>
          <cell r="F4">
            <v>1080.2</v>
          </cell>
          <cell r="H4">
            <v>1360.2</v>
          </cell>
          <cell r="I4">
            <v>0.25921125717459725</v>
          </cell>
          <cell r="J4">
            <v>1574</v>
          </cell>
          <cell r="K4">
            <v>0.15718276724011182</v>
          </cell>
          <cell r="L4">
            <v>1831.481</v>
          </cell>
          <cell r="M4">
            <v>0.1635838627700128</v>
          </cell>
          <cell r="N4">
            <v>2097</v>
          </cell>
          <cell r="O4">
            <v>0.14497502294591103</v>
          </cell>
          <cell r="P4">
            <v>2430.2807564833265</v>
          </cell>
          <cell r="Q4">
            <v>0.15893216808933075</v>
          </cell>
          <cell r="R4">
            <v>2695.0166005063993</v>
          </cell>
          <cell r="S4">
            <v>0.10893220600822762</v>
          </cell>
          <cell r="T4">
            <v>2950.119381396431</v>
          </cell>
          <cell r="U4">
            <v>9.465722060565307E-2</v>
          </cell>
          <cell r="V4">
            <v>3220</v>
          </cell>
          <cell r="W4">
            <v>9.1481253370777837E-2</v>
          </cell>
        </row>
        <row r="5">
          <cell r="B5" t="str">
            <v>Rituxan - Ex-US</v>
          </cell>
          <cell r="F5">
            <v>449.90000000000015</v>
          </cell>
          <cell r="H5">
            <v>649.59999999999991</v>
          </cell>
          <cell r="I5">
            <v>0.44387641698155078</v>
          </cell>
          <cell r="J5">
            <v>1149</v>
          </cell>
          <cell r="K5">
            <v>0.76878078817734008</v>
          </cell>
          <cell r="L5">
            <v>1411</v>
          </cell>
          <cell r="M5">
            <v>0.22802436901653622</v>
          </cell>
          <cell r="N5">
            <v>1865</v>
          </cell>
          <cell r="O5">
            <v>0.15</v>
          </cell>
          <cell r="P5">
            <v>2144.75</v>
          </cell>
          <cell r="Q5">
            <v>0.15</v>
          </cell>
          <cell r="R5">
            <v>2316.33</v>
          </cell>
          <cell r="S5">
            <v>0.08</v>
          </cell>
          <cell r="T5">
            <v>2478.4731000000002</v>
          </cell>
          <cell r="U5">
            <v>7.0000000000000007E-2</v>
          </cell>
          <cell r="V5">
            <v>2627.1814860000004</v>
          </cell>
          <cell r="W5">
            <v>0.06</v>
          </cell>
        </row>
        <row r="6">
          <cell r="B6" t="str">
            <v xml:space="preserve">Rituxan - Transfer to Roche </v>
          </cell>
          <cell r="C6">
            <v>16.7</v>
          </cell>
          <cell r="D6">
            <v>19.899999999999999</v>
          </cell>
          <cell r="E6">
            <v>39.6</v>
          </cell>
          <cell r="F6">
            <v>82.7</v>
          </cell>
          <cell r="H6">
            <v>128.9</v>
          </cell>
          <cell r="I6">
            <v>0.55864570737605801</v>
          </cell>
          <cell r="J6">
            <v>137.19999999999999</v>
          </cell>
          <cell r="K6">
            <v>6.4391000775795071E-2</v>
          </cell>
          <cell r="L6">
            <v>157.94999999999999</v>
          </cell>
          <cell r="M6">
            <v>0.12</v>
          </cell>
          <cell r="N6">
            <v>260</v>
          </cell>
          <cell r="O6">
            <v>0.12</v>
          </cell>
          <cell r="P6">
            <v>280.8</v>
          </cell>
          <cell r="Q6">
            <v>0.08</v>
          </cell>
          <cell r="R6">
            <v>238.68</v>
          </cell>
          <cell r="S6">
            <v>-0.15</v>
          </cell>
          <cell r="T6">
            <v>159.91559999999998</v>
          </cell>
          <cell r="U6">
            <v>-0.33</v>
          </cell>
          <cell r="V6">
            <v>79.957799999999992</v>
          </cell>
          <cell r="W6">
            <v>-0.5</v>
          </cell>
        </row>
        <row r="7">
          <cell r="B7" t="str">
            <v>Rituxan - US &amp; Sales to Roche</v>
          </cell>
          <cell r="C7">
            <v>279.39999999999998</v>
          </cell>
          <cell r="D7">
            <v>444.09999999999997</v>
          </cell>
          <cell r="E7">
            <v>818.6</v>
          </cell>
          <cell r="F7">
            <v>1162.9000000000001</v>
          </cell>
          <cell r="H7">
            <v>1489.1000000000001</v>
          </cell>
          <cell r="I7">
            <v>0.28050563247054772</v>
          </cell>
          <cell r="J7">
            <v>1711.2</v>
          </cell>
          <cell r="K7">
            <v>0.14915049358673027</v>
          </cell>
          <cell r="L7">
            <v>1989.431</v>
          </cell>
          <cell r="M7">
            <v>0.16259408602150538</v>
          </cell>
          <cell r="N7">
            <v>2357</v>
          </cell>
          <cell r="O7">
            <v>0.18476086881123299</v>
          </cell>
          <cell r="P7">
            <v>2711.0807564833267</v>
          </cell>
          <cell r="Q7">
            <v>0.15022518306462729</v>
          </cell>
          <cell r="R7">
            <v>2933.6966005063991</v>
          </cell>
          <cell r="S7">
            <v>8.2113320855789595E-2</v>
          </cell>
          <cell r="T7">
            <v>3110.0349813964308</v>
          </cell>
          <cell r="U7">
            <v>6.0107913292599235E-2</v>
          </cell>
          <cell r="V7">
            <v>3299.9578000000001</v>
          </cell>
          <cell r="W7">
            <v>6.1067743526888707E-2</v>
          </cell>
        </row>
        <row r="8">
          <cell r="B8" t="str">
            <v>Avastin - US</v>
          </cell>
          <cell r="E8">
            <v>0</v>
          </cell>
          <cell r="F8">
            <v>0</v>
          </cell>
          <cell r="H8">
            <v>0</v>
          </cell>
          <cell r="J8">
            <v>552.34</v>
          </cell>
          <cell r="K8" t="str">
            <v>NM</v>
          </cell>
          <cell r="L8">
            <v>1132.721</v>
          </cell>
          <cell r="M8">
            <v>1.0507676431183688</v>
          </cell>
          <cell r="N8">
            <v>1876</v>
          </cell>
          <cell r="O8">
            <v>0.6561889467927231</v>
          </cell>
          <cell r="P8">
            <v>2817.9611602894643</v>
          </cell>
          <cell r="Q8">
            <v>0.50211149269161215</v>
          </cell>
          <cell r="R8">
            <v>3802.1294573955038</v>
          </cell>
          <cell r="S8">
            <v>0.34924835408481814</v>
          </cell>
          <cell r="T8">
            <v>4624.6783247655285</v>
          </cell>
          <cell r="U8">
            <v>0.21633899544637769</v>
          </cell>
          <cell r="V8">
            <v>5307.1770570587933</v>
          </cell>
          <cell r="W8">
            <v>0.14757755769486258</v>
          </cell>
        </row>
        <row r="9">
          <cell r="B9" t="str">
            <v>Avastin - Ex-US</v>
          </cell>
          <cell r="F9">
            <v>0</v>
          </cell>
          <cell r="H9">
            <v>0</v>
          </cell>
          <cell r="J9">
            <v>10</v>
          </cell>
          <cell r="K9" t="str">
            <v>NM</v>
          </cell>
          <cell r="L9">
            <v>200</v>
          </cell>
          <cell r="M9" t="str">
            <v>NM</v>
          </cell>
          <cell r="N9">
            <v>565</v>
          </cell>
          <cell r="O9">
            <v>1.8250000000000002</v>
          </cell>
          <cell r="P9">
            <v>1000</v>
          </cell>
          <cell r="Q9">
            <v>0.76991150442477885</v>
          </cell>
          <cell r="R9">
            <v>1850</v>
          </cell>
          <cell r="S9">
            <v>0.85000000000000009</v>
          </cell>
          <cell r="T9">
            <v>2500</v>
          </cell>
          <cell r="U9">
            <v>0.35135135135135132</v>
          </cell>
          <cell r="V9">
            <v>2900</v>
          </cell>
          <cell r="W9">
            <v>0.15999999999999992</v>
          </cell>
        </row>
        <row r="10">
          <cell r="B10" t="str">
            <v xml:space="preserve">Avastin - Transfer to Roche </v>
          </cell>
          <cell r="J10">
            <v>2.16</v>
          </cell>
          <cell r="K10" t="str">
            <v>NM</v>
          </cell>
          <cell r="L10">
            <v>84.031999999999996</v>
          </cell>
          <cell r="M10" t="str">
            <v>NM</v>
          </cell>
          <cell r="N10">
            <v>117.35999999999999</v>
          </cell>
          <cell r="O10">
            <v>0.3966108149276466</v>
          </cell>
          <cell r="P10">
            <v>108</v>
          </cell>
          <cell r="Q10">
            <v>-7.9754601226993738E-2</v>
          </cell>
          <cell r="R10">
            <v>79.92</v>
          </cell>
          <cell r="S10">
            <v>-0.26</v>
          </cell>
          <cell r="T10">
            <v>54</v>
          </cell>
          <cell r="U10">
            <v>-0.32432432432432434</v>
          </cell>
          <cell r="V10">
            <v>31.32</v>
          </cell>
          <cell r="W10">
            <v>-0.42000000000000004</v>
          </cell>
        </row>
        <row r="11">
          <cell r="B11" t="str">
            <v>Avastin -  US &amp; Sales to Roche</v>
          </cell>
          <cell r="F11">
            <v>0</v>
          </cell>
          <cell r="H11">
            <v>0</v>
          </cell>
          <cell r="I11" t="str">
            <v>NM</v>
          </cell>
          <cell r="J11">
            <v>554.5</v>
          </cell>
          <cell r="K11" t="str">
            <v>NM</v>
          </cell>
          <cell r="L11">
            <v>1216.7529999999999</v>
          </cell>
          <cell r="M11" t="str">
            <v>NM</v>
          </cell>
          <cell r="N11">
            <v>1993.36</v>
          </cell>
          <cell r="O11">
            <v>0.63826183292747163</v>
          </cell>
          <cell r="P11">
            <v>2925.9611602894643</v>
          </cell>
          <cell r="Q11">
            <v>0.46785385494314347</v>
          </cell>
          <cell r="R11">
            <v>3882.0494573955039</v>
          </cell>
          <cell r="S11">
            <v>0.32676041981755288</v>
          </cell>
          <cell r="T11">
            <v>4678.6783247655285</v>
          </cell>
          <cell r="U11">
            <v>0.20520832516762644</v>
          </cell>
          <cell r="V11">
            <v>5338.497057058793</v>
          </cell>
          <cell r="W11">
            <v>0.14102673586270353</v>
          </cell>
        </row>
        <row r="12">
          <cell r="B12" t="str">
            <v>Herceptin - US</v>
          </cell>
          <cell r="C12">
            <v>183.7</v>
          </cell>
          <cell r="D12">
            <v>249.7</v>
          </cell>
          <cell r="E12">
            <v>315.39999999999998</v>
          </cell>
          <cell r="F12">
            <v>344.9</v>
          </cell>
          <cell r="H12">
            <v>406</v>
          </cell>
          <cell r="I12">
            <v>0.17715279791243854</v>
          </cell>
          <cell r="J12">
            <v>466.4</v>
          </cell>
          <cell r="K12">
            <v>0.14876847290640383</v>
          </cell>
          <cell r="L12">
            <v>747.24699999999996</v>
          </cell>
          <cell r="M12">
            <v>0.60215909090909081</v>
          </cell>
          <cell r="N12">
            <v>1375</v>
          </cell>
          <cell r="O12">
            <v>0.84008768185084737</v>
          </cell>
          <cell r="P12">
            <v>1566.9607618585742</v>
          </cell>
          <cell r="Q12">
            <v>0.13960782680623574</v>
          </cell>
          <cell r="R12">
            <v>1676.8953104490511</v>
          </cell>
          <cell r="S12">
            <v>7.0157818412812878E-2</v>
          </cell>
          <cell r="T12">
            <v>1772.633441089682</v>
          </cell>
          <cell r="U12">
            <v>5.7092491131717438E-2</v>
          </cell>
          <cell r="V12">
            <v>1873.880898727371</v>
          </cell>
          <cell r="W12">
            <v>5.7116973701821561E-2</v>
          </cell>
        </row>
        <row r="13">
          <cell r="B13" t="str">
            <v>Herceptin - Ex-US</v>
          </cell>
          <cell r="F13">
            <v>315.84000000000003</v>
          </cell>
          <cell r="H13">
            <v>445.79999999999995</v>
          </cell>
          <cell r="I13">
            <v>0.41147416413373827</v>
          </cell>
          <cell r="J13">
            <v>590.14</v>
          </cell>
          <cell r="K13">
            <v>0.32377747868999562</v>
          </cell>
          <cell r="L13">
            <v>948</v>
          </cell>
          <cell r="M13">
            <v>0.60639848171620292</v>
          </cell>
          <cell r="N13">
            <v>1175</v>
          </cell>
          <cell r="O13">
            <v>0.2</v>
          </cell>
          <cell r="P13">
            <v>1468.75</v>
          </cell>
          <cell r="Q13">
            <v>0.25</v>
          </cell>
          <cell r="R13">
            <v>1586.25</v>
          </cell>
          <cell r="S13">
            <v>0.08</v>
          </cell>
          <cell r="T13">
            <v>1665.5625</v>
          </cell>
          <cell r="U13">
            <v>0.05</v>
          </cell>
          <cell r="V13">
            <v>1732.1849999999999</v>
          </cell>
          <cell r="W13">
            <v>0.04</v>
          </cell>
        </row>
        <row r="14">
          <cell r="B14" t="str">
            <v xml:space="preserve">Herceptin - Transfer to Roche </v>
          </cell>
          <cell r="C14">
            <v>4.7</v>
          </cell>
          <cell r="D14">
            <v>26.3</v>
          </cell>
          <cell r="E14">
            <v>31.3</v>
          </cell>
          <cell r="F14">
            <v>40.299999999999997</v>
          </cell>
          <cell r="H14">
            <v>18.8</v>
          </cell>
          <cell r="I14">
            <v>-0.53349875930521085</v>
          </cell>
          <cell r="J14">
            <v>15.875</v>
          </cell>
          <cell r="K14">
            <v>-0.15558510638297873</v>
          </cell>
          <cell r="L14">
            <v>16.621000000000002</v>
          </cell>
          <cell r="M14">
            <v>4.6992125984252064E-2</v>
          </cell>
          <cell r="N14">
            <v>5</v>
          </cell>
          <cell r="P14">
            <v>14.6875</v>
          </cell>
          <cell r="R14">
            <v>0</v>
          </cell>
          <cell r="T14">
            <v>0</v>
          </cell>
          <cell r="V14">
            <v>0</v>
          </cell>
        </row>
        <row r="15">
          <cell r="B15" t="str">
            <v>Herceptin- US &amp; Sales to Roche</v>
          </cell>
          <cell r="C15">
            <v>188.39999999999998</v>
          </cell>
          <cell r="D15">
            <v>276</v>
          </cell>
          <cell r="E15">
            <v>346.7</v>
          </cell>
          <cell r="F15">
            <v>385.2</v>
          </cell>
          <cell r="H15">
            <v>424.8</v>
          </cell>
          <cell r="I15">
            <v>0.10280373831775713</v>
          </cell>
          <cell r="J15">
            <v>482.27499999999998</v>
          </cell>
          <cell r="K15">
            <v>0.13529896421845566</v>
          </cell>
          <cell r="L15">
            <v>763.86799999999994</v>
          </cell>
          <cell r="M15">
            <v>0.58388471307863776</v>
          </cell>
          <cell r="N15">
            <v>1380</v>
          </cell>
          <cell r="O15">
            <v>0.8065948567029908</v>
          </cell>
          <cell r="P15">
            <v>1581.6482618585742</v>
          </cell>
          <cell r="Q15">
            <v>0.14612192888302467</v>
          </cell>
          <cell r="R15">
            <v>1676.8953104490511</v>
          </cell>
          <cell r="S15">
            <v>6.0220120293088097E-2</v>
          </cell>
          <cell r="T15">
            <v>1772.633441089682</v>
          </cell>
          <cell r="U15">
            <v>5.7092491131717438E-2</v>
          </cell>
          <cell r="V15">
            <v>1873.880898727371</v>
          </cell>
          <cell r="W15">
            <v>5.7116973701821561E-2</v>
          </cell>
        </row>
        <row r="16">
          <cell r="B16" t="str">
            <v>Xolair - US &amp; Sales to Novartis</v>
          </cell>
          <cell r="E16">
            <v>0</v>
          </cell>
          <cell r="F16">
            <v>0</v>
          </cell>
          <cell r="H16">
            <v>25.3</v>
          </cell>
          <cell r="I16" t="str">
            <v>NM</v>
          </cell>
          <cell r="J16">
            <v>188.5</v>
          </cell>
          <cell r="K16" t="str">
            <v>NM</v>
          </cell>
          <cell r="L16">
            <v>323.79700000000003</v>
          </cell>
          <cell r="M16">
            <v>0.71775596816976139</v>
          </cell>
          <cell r="N16">
            <v>423</v>
          </cell>
          <cell r="O16">
            <v>0.30637405534949358</v>
          </cell>
          <cell r="P16">
            <v>496.67639851943272</v>
          </cell>
          <cell r="Q16">
            <v>0.17417588302466358</v>
          </cell>
          <cell r="R16">
            <v>549.18117450569844</v>
          </cell>
          <cell r="S16">
            <v>0.10571224270527013</v>
          </cell>
          <cell r="T16">
            <v>609.0179751523707</v>
          </cell>
          <cell r="U16">
            <v>0.10895639440031712</v>
          </cell>
          <cell r="V16">
            <v>656.42413544863268</v>
          </cell>
          <cell r="W16">
            <v>7.7840330220797505E-2</v>
          </cell>
        </row>
        <row r="17">
          <cell r="B17" t="str">
            <v>Raptiva -US &amp; Sales to Serono</v>
          </cell>
          <cell r="E17">
            <v>0</v>
          </cell>
          <cell r="F17">
            <v>0</v>
          </cell>
          <cell r="H17">
            <v>1.4</v>
          </cell>
          <cell r="I17" t="str">
            <v>NM</v>
          </cell>
          <cell r="J17">
            <v>56.300000000000004</v>
          </cell>
          <cell r="K17" t="str">
            <v>NM</v>
          </cell>
          <cell r="L17">
            <v>86.754999999999995</v>
          </cell>
          <cell r="M17">
            <v>0.54094138543516856</v>
          </cell>
          <cell r="N17">
            <v>93</v>
          </cell>
          <cell r="O17">
            <v>7.1984323670105432E-2</v>
          </cell>
          <cell r="P17">
            <v>114.74883545485645</v>
          </cell>
          <cell r="Q17">
            <v>0.23385844575114456</v>
          </cell>
          <cell r="R17">
            <v>111.02507700089812</v>
          </cell>
          <cell r="S17">
            <v>-3.2451383399209277E-2</v>
          </cell>
          <cell r="T17">
            <v>116.64294589714356</v>
          </cell>
          <cell r="U17">
            <v>5.0599999999999978E-2</v>
          </cell>
          <cell r="V17">
            <v>122.54507895953904</v>
          </cell>
          <cell r="W17">
            <v>5.06000000000002E-2</v>
          </cell>
        </row>
        <row r="18">
          <cell r="B18" t="str">
            <v>Tarceva -US</v>
          </cell>
          <cell r="E18">
            <v>0</v>
          </cell>
          <cell r="F18">
            <v>0</v>
          </cell>
          <cell r="H18">
            <v>0</v>
          </cell>
          <cell r="I18" t="str">
            <v>NM</v>
          </cell>
          <cell r="J18">
            <v>13.3</v>
          </cell>
          <cell r="K18" t="str">
            <v>NM</v>
          </cell>
          <cell r="L18">
            <v>274.89600000000002</v>
          </cell>
          <cell r="M18" t="str">
            <v>NM</v>
          </cell>
          <cell r="N18">
            <v>424</v>
          </cell>
          <cell r="O18">
            <v>0.54240149001804316</v>
          </cell>
          <cell r="P18">
            <v>557.72266843795683</v>
          </cell>
          <cell r="Q18">
            <v>0.31538365197631335</v>
          </cell>
          <cell r="R18">
            <v>627.16500409829609</v>
          </cell>
          <cell r="S18">
            <v>0.12451051318181139</v>
          </cell>
          <cell r="T18">
            <v>709.46249058838214</v>
          </cell>
          <cell r="U18">
            <v>0.13122142650227886</v>
          </cell>
          <cell r="V18">
            <v>774.76330842001289</v>
          </cell>
          <cell r="W18">
            <v>9.2042664267528052E-2</v>
          </cell>
        </row>
        <row r="19">
          <cell r="B19" t="str">
            <v>Lucentis - US</v>
          </cell>
          <cell r="E19">
            <v>0</v>
          </cell>
          <cell r="F19">
            <v>0</v>
          </cell>
          <cell r="H19">
            <v>0</v>
          </cell>
          <cell r="I19" t="str">
            <v>NM</v>
          </cell>
          <cell r="J19">
            <v>0</v>
          </cell>
          <cell r="K19" t="str">
            <v>NM</v>
          </cell>
          <cell r="L19">
            <v>0</v>
          </cell>
          <cell r="M19" t="str">
            <v>NM</v>
          </cell>
          <cell r="N19">
            <v>135</v>
          </cell>
          <cell r="O19" t="str">
            <v>NM</v>
          </cell>
          <cell r="P19">
            <v>450</v>
          </cell>
          <cell r="Q19">
            <v>2.3333333333333335</v>
          </cell>
          <cell r="R19">
            <v>550</v>
          </cell>
          <cell r="S19">
            <v>0.22222222222222232</v>
          </cell>
          <cell r="T19">
            <v>600</v>
          </cell>
          <cell r="U19">
            <v>9.0909090909090828E-2</v>
          </cell>
          <cell r="V19">
            <v>650</v>
          </cell>
          <cell r="W19">
            <v>8.3333333333333259E-2</v>
          </cell>
        </row>
        <row r="20">
          <cell r="B20" t="str">
            <v>Lucentis - Ex-US</v>
          </cell>
          <cell r="F20">
            <v>0</v>
          </cell>
          <cell r="H20">
            <v>0</v>
          </cell>
          <cell r="I20" t="str">
            <v>NM</v>
          </cell>
          <cell r="J20">
            <v>0</v>
          </cell>
          <cell r="K20" t="str">
            <v>NM</v>
          </cell>
          <cell r="L20">
            <v>0</v>
          </cell>
          <cell r="M20" t="str">
            <v>NM</v>
          </cell>
          <cell r="N20">
            <v>0</v>
          </cell>
          <cell r="O20" t="str">
            <v>NM</v>
          </cell>
          <cell r="P20">
            <v>100</v>
          </cell>
          <cell r="Q20" t="str">
            <v>NM</v>
          </cell>
          <cell r="R20">
            <v>300</v>
          </cell>
          <cell r="S20">
            <v>2</v>
          </cell>
          <cell r="T20">
            <v>450</v>
          </cell>
          <cell r="U20">
            <v>0.5</v>
          </cell>
          <cell r="V20">
            <v>550</v>
          </cell>
          <cell r="W20">
            <v>0.22222222222222232</v>
          </cell>
        </row>
        <row r="21">
          <cell r="B21" t="str">
            <v>Growth Hormone Products</v>
          </cell>
          <cell r="C21">
            <v>221.20000000099998</v>
          </cell>
          <cell r="D21">
            <v>226.6</v>
          </cell>
          <cell r="E21">
            <v>250.229999999</v>
          </cell>
          <cell r="F21">
            <v>297.2</v>
          </cell>
          <cell r="H21">
            <v>321.89999999999998</v>
          </cell>
          <cell r="I21">
            <v>8.3109017496635129E-2</v>
          </cell>
          <cell r="J21">
            <v>353.6</v>
          </cell>
          <cell r="K21">
            <v>9.8477788132960598E-2</v>
          </cell>
          <cell r="L21">
            <v>372.68</v>
          </cell>
          <cell r="M21">
            <v>0.05</v>
          </cell>
          <cell r="N21">
            <v>378</v>
          </cell>
          <cell r="O21">
            <v>0.03</v>
          </cell>
          <cell r="P21">
            <v>378</v>
          </cell>
          <cell r="Q21">
            <v>0</v>
          </cell>
          <cell r="R21">
            <v>366.65999999999997</v>
          </cell>
          <cell r="S21">
            <v>-0.03</v>
          </cell>
          <cell r="T21">
            <v>348.32699999999994</v>
          </cell>
          <cell r="U21">
            <v>-0.05</v>
          </cell>
          <cell r="V21">
            <v>330.91064999999992</v>
          </cell>
          <cell r="W21">
            <v>-0.05</v>
          </cell>
        </row>
        <row r="22">
          <cell r="B22" t="str">
            <v>Thrombolytics</v>
          </cell>
          <cell r="C22">
            <v>236.00000000099999</v>
          </cell>
          <cell r="D22">
            <v>206.2</v>
          </cell>
          <cell r="E22">
            <v>197.10559324899998</v>
          </cell>
          <cell r="F22">
            <v>180.2</v>
          </cell>
          <cell r="H22">
            <v>185.2</v>
          </cell>
          <cell r="I22">
            <v>2.7746947835738167E-2</v>
          </cell>
          <cell r="J22">
            <v>200</v>
          </cell>
          <cell r="K22">
            <v>7.9913606911447221E-2</v>
          </cell>
          <cell r="L22">
            <v>221.46200000000002</v>
          </cell>
          <cell r="M22">
            <v>0.01</v>
          </cell>
          <cell r="N22">
            <v>239</v>
          </cell>
          <cell r="O22">
            <v>0.01</v>
          </cell>
          <cell r="P22">
            <v>241.39000000000001</v>
          </cell>
          <cell r="Q22">
            <v>0.01</v>
          </cell>
          <cell r="R22">
            <v>243.80390000000003</v>
          </cell>
          <cell r="S22">
            <v>0.01</v>
          </cell>
          <cell r="T22">
            <v>246.24193900000003</v>
          </cell>
          <cell r="U22">
            <v>0.01</v>
          </cell>
          <cell r="V22">
            <v>248.70435839000004</v>
          </cell>
          <cell r="W22">
            <v>0.01</v>
          </cell>
        </row>
        <row r="23">
          <cell r="B23" t="str">
            <v>Pulmozyme</v>
          </cell>
          <cell r="C23">
            <v>111.399999998</v>
          </cell>
          <cell r="D23">
            <v>121.80000000099999</v>
          </cell>
          <cell r="E23">
            <v>122.87749999900001</v>
          </cell>
          <cell r="F23">
            <v>138.1</v>
          </cell>
          <cell r="H23">
            <v>167.2</v>
          </cell>
          <cell r="I23">
            <v>0.21071687183200583</v>
          </cell>
          <cell r="J23">
            <v>177.70000000000002</v>
          </cell>
          <cell r="K23">
            <v>6.2799043062201187E-2</v>
          </cell>
          <cell r="L23">
            <v>194.24699999999999</v>
          </cell>
          <cell r="M23">
            <v>0.05</v>
          </cell>
          <cell r="N23">
            <v>205</v>
          </cell>
          <cell r="O23">
            <v>0.04</v>
          </cell>
          <cell r="P23">
            <v>211.15</v>
          </cell>
          <cell r="Q23">
            <v>0.03</v>
          </cell>
          <cell r="R23">
            <v>215.37300000000002</v>
          </cell>
          <cell r="S23">
            <v>0.02</v>
          </cell>
          <cell r="T23">
            <v>219.68046000000001</v>
          </cell>
          <cell r="U23">
            <v>0.02</v>
          </cell>
          <cell r="V23">
            <v>224.07406920000003</v>
          </cell>
          <cell r="W23">
            <v>0.02</v>
          </cell>
        </row>
        <row r="24">
          <cell r="B24" t="str">
            <v>Actimmune</v>
          </cell>
          <cell r="C24">
            <v>2.7</v>
          </cell>
          <cell r="D24">
            <v>3.7</v>
          </cell>
          <cell r="E24">
            <v>6.9</v>
          </cell>
          <cell r="F24">
            <v>0</v>
          </cell>
          <cell r="H24">
            <v>0</v>
          </cell>
          <cell r="I24" t="str">
            <v>NM</v>
          </cell>
          <cell r="J24">
            <v>0</v>
          </cell>
          <cell r="K24" t="str">
            <v>NM</v>
          </cell>
          <cell r="L24">
            <v>0</v>
          </cell>
          <cell r="N24">
            <v>0</v>
          </cell>
          <cell r="P24">
            <v>0</v>
          </cell>
          <cell r="R24">
            <v>0</v>
          </cell>
          <cell r="T24">
            <v>0</v>
          </cell>
          <cell r="V24">
            <v>0</v>
          </cell>
        </row>
        <row r="25">
          <cell r="B25" t="str">
            <v>Other</v>
          </cell>
          <cell r="E25">
            <v>0</v>
          </cell>
          <cell r="F25">
            <v>0</v>
          </cell>
          <cell r="H25">
            <v>6.622000000000094</v>
          </cell>
          <cell r="J25">
            <v>10.6</v>
          </cell>
          <cell r="K25" t="str">
            <v>NM</v>
          </cell>
          <cell r="L25">
            <v>44.195999999999998</v>
          </cell>
          <cell r="M25">
            <v>0</v>
          </cell>
          <cell r="N25">
            <v>20</v>
          </cell>
          <cell r="O25">
            <v>0</v>
          </cell>
          <cell r="P25">
            <v>20</v>
          </cell>
          <cell r="Q25">
            <v>0</v>
          </cell>
          <cell r="R25">
            <v>0</v>
          </cell>
          <cell r="S25">
            <v>0</v>
          </cell>
          <cell r="T25">
            <v>50</v>
          </cell>
          <cell r="U25">
            <v>0</v>
          </cell>
          <cell r="V25">
            <v>100</v>
          </cell>
          <cell r="W25">
            <v>0</v>
          </cell>
        </row>
        <row r="26">
          <cell r="B26" t="str">
            <v>Total Product Sales</v>
          </cell>
          <cell r="C26">
            <v>1039.1000000000001</v>
          </cell>
          <cell r="D26">
            <v>1278.4000000009999</v>
          </cell>
          <cell r="E26">
            <v>1742.8969999999999</v>
          </cell>
          <cell r="F26">
            <v>2163.6285596696475</v>
          </cell>
          <cell r="H26">
            <v>2621.5219999999999</v>
          </cell>
          <cell r="I26">
            <v>0.21163218533234085</v>
          </cell>
          <cell r="J26">
            <v>3748.9</v>
          </cell>
          <cell r="K26">
            <v>0.43004712529591593</v>
          </cell>
          <cell r="L26">
            <v>5488.0850000000009</v>
          </cell>
          <cell r="M26">
            <v>0.46391874949985357</v>
          </cell>
          <cell r="N26">
            <v>7647.36</v>
          </cell>
          <cell r="O26">
            <v>0.39344780556423564</v>
          </cell>
          <cell r="P26">
            <v>9688.378081043611</v>
          </cell>
          <cell r="Q26">
            <v>0.26689185301118434</v>
          </cell>
          <cell r="R26">
            <v>11155.849523955847</v>
          </cell>
          <cell r="S26">
            <v>0.15146719405836429</v>
          </cell>
          <cell r="T26">
            <v>12460.719557889535</v>
          </cell>
          <cell r="U26">
            <v>0.11696733907459378</v>
          </cell>
          <cell r="V26">
            <v>13619.757356204351</v>
          </cell>
          <cell r="W26">
            <v>9.3015318491857624E-2</v>
          </cell>
        </row>
        <row r="27">
          <cell r="B27" t="str">
            <v>Royalties</v>
          </cell>
          <cell r="C27">
            <v>189.27</v>
          </cell>
          <cell r="D27">
            <v>207.24100000000001</v>
          </cell>
          <cell r="E27">
            <v>264.47500000000002</v>
          </cell>
          <cell r="F27">
            <v>365.55</v>
          </cell>
          <cell r="H27">
            <v>500.86800000000005</v>
          </cell>
          <cell r="I27">
            <v>0.37017644645055414</v>
          </cell>
          <cell r="J27">
            <v>641.1</v>
          </cell>
          <cell r="K27">
            <v>0.27997795826445282</v>
          </cell>
          <cell r="L27">
            <v>935.09699999999998</v>
          </cell>
          <cell r="M27">
            <v>0.45858212447356106</v>
          </cell>
          <cell r="N27">
            <v>1258</v>
          </cell>
          <cell r="O27">
            <v>0.34531497801832334</v>
          </cell>
          <cell r="P27">
            <v>1354.247040639616</v>
          </cell>
          <cell r="Q27">
            <v>7.6507981430537386E-2</v>
          </cell>
          <cell r="R27">
            <v>1688.1867871459806</v>
          </cell>
          <cell r="S27">
            <v>0.24658702325732507</v>
          </cell>
          <cell r="T27">
            <v>1891.1844200255673</v>
          </cell>
          <cell r="U27">
            <v>0.12024595526113013</v>
          </cell>
          <cell r="V27">
            <v>1947.6307931733611</v>
          </cell>
          <cell r="W27">
            <v>2.9847101398514431E-2</v>
          </cell>
        </row>
        <row r="28">
          <cell r="B28" t="str">
            <v>Contract and Other</v>
          </cell>
          <cell r="C28">
            <v>83.242000000000004</v>
          </cell>
          <cell r="D28">
            <v>151.72999999999999</v>
          </cell>
          <cell r="E28">
            <v>36.659999999999997</v>
          </cell>
          <cell r="F28">
            <v>54.442999999999998</v>
          </cell>
          <cell r="H28">
            <v>177.87299999999999</v>
          </cell>
          <cell r="I28">
            <v>2.2671417813125654</v>
          </cell>
          <cell r="J28">
            <v>231.2</v>
          </cell>
          <cell r="K28">
            <v>0.29980379259359213</v>
          </cell>
          <cell r="L28">
            <v>210.24099999999999</v>
          </cell>
          <cell r="M28">
            <v>-9.0653114186851236E-2</v>
          </cell>
          <cell r="N28">
            <v>215</v>
          </cell>
          <cell r="O28">
            <v>0.12</v>
          </cell>
          <cell r="P28">
            <v>236.50000000000003</v>
          </cell>
          <cell r="Q28">
            <v>0.1</v>
          </cell>
          <cell r="R28">
            <v>260.15000000000003</v>
          </cell>
          <cell r="S28">
            <v>0.1</v>
          </cell>
          <cell r="T28">
            <v>234.13500000000005</v>
          </cell>
          <cell r="U28">
            <v>-0.1</v>
          </cell>
          <cell r="V28">
            <v>210.72150000000005</v>
          </cell>
          <cell r="W28">
            <v>-0.1</v>
          </cell>
        </row>
        <row r="29">
          <cell r="B29" t="str">
            <v>Total Revenues</v>
          </cell>
          <cell r="C29">
            <v>1311.6120000000001</v>
          </cell>
          <cell r="D29">
            <v>1637.3710000009999</v>
          </cell>
          <cell r="E29">
            <v>2044.0319999999999</v>
          </cell>
          <cell r="F29">
            <v>2583.6215596696479</v>
          </cell>
          <cell r="H29">
            <v>3300.2629999999999</v>
          </cell>
          <cell r="I29">
            <v>0.27737864225826647</v>
          </cell>
          <cell r="J29">
            <v>4621.2</v>
          </cell>
          <cell r="K29">
            <v>0.40025204051919494</v>
          </cell>
          <cell r="L29">
            <v>6633.4230000000007</v>
          </cell>
          <cell r="M29">
            <v>0.43543300441443811</v>
          </cell>
          <cell r="N29">
            <v>9120.36</v>
          </cell>
          <cell r="O29">
            <v>0.37491005774846564</v>
          </cell>
          <cell r="P29">
            <v>11279.125121683228</v>
          </cell>
          <cell r="Q29">
            <v>0.23669735862216257</v>
          </cell>
          <cell r="R29">
            <v>13104.186311101828</v>
          </cell>
          <cell r="S29">
            <v>0.16180875464445954</v>
          </cell>
          <cell r="T29">
            <v>14586.038977915103</v>
          </cell>
          <cell r="U29">
            <v>0.11308238692835526</v>
          </cell>
          <cell r="V29">
            <v>15778.109649377711</v>
          </cell>
          <cell r="W29">
            <v>8.1726826129255414E-2</v>
          </cell>
          <cell r="AB29" t="str">
            <v>mstag:revenueNet</v>
          </cell>
          <cell r="AC29">
            <v>6</v>
          </cell>
          <cell r="AD29" t="str">
            <v>ISO4217:USD</v>
          </cell>
          <cell r="AE29" t="b">
            <v>0</v>
          </cell>
          <cell r="AF29" t="b">
            <v>0</v>
          </cell>
        </row>
        <row r="30">
          <cell r="B30" t="str">
            <v>Operating Expenses:</v>
          </cell>
        </row>
        <row r="31">
          <cell r="B31" t="str">
            <v xml:space="preserve">   Cost of Sales</v>
          </cell>
          <cell r="C31">
            <v>192.191</v>
          </cell>
          <cell r="D31">
            <v>272.06799999999998</v>
          </cell>
          <cell r="E31">
            <v>354.44200000000001</v>
          </cell>
          <cell r="F31">
            <v>441.63</v>
          </cell>
          <cell r="H31">
            <v>480.15100000000001</v>
          </cell>
          <cell r="I31">
            <v>8.7224599778094714E-2</v>
          </cell>
          <cell r="J31">
            <v>672.5</v>
          </cell>
          <cell r="K31">
            <v>0.40060106091625336</v>
          </cell>
          <cell r="L31">
            <v>1011.0629999999999</v>
          </cell>
          <cell r="M31">
            <v>0.50343940520446084</v>
          </cell>
          <cell r="N31">
            <v>1222.5376000000001</v>
          </cell>
          <cell r="O31">
            <v>0.20916065566636322</v>
          </cell>
          <cell r="P31">
            <v>1506.7599287814626</v>
          </cell>
          <cell r="Q31">
            <v>0.23248555200385046</v>
          </cell>
          <cell r="R31">
            <v>1619.0699996815897</v>
          </cell>
          <cell r="S31">
            <v>7.453746861383137E-2</v>
          </cell>
          <cell r="T31">
            <v>1702.8029601920346</v>
          </cell>
          <cell r="U31">
            <v>5.1716701888684158E-2</v>
          </cell>
          <cell r="V31">
            <v>1774.5598005138277</v>
          </cell>
          <cell r="W31">
            <v>4.2140424934251186E-2</v>
          </cell>
          <cell r="AB31" t="str">
            <v>mstag:costOfSalesWithDepreciation</v>
          </cell>
          <cell r="AC31">
            <v>6</v>
          </cell>
          <cell r="AD31" t="str">
            <v>ISO4217:USD</v>
          </cell>
          <cell r="AE31" t="b">
            <v>0</v>
          </cell>
          <cell r="AF31" t="b">
            <v>0</v>
          </cell>
        </row>
        <row r="32">
          <cell r="B32" t="str">
            <v xml:space="preserve">   % of Total Product Sales</v>
          </cell>
          <cell r="C32">
            <v>0.18544094944037054</v>
          </cell>
          <cell r="D32">
            <v>0.21343688711052525</v>
          </cell>
          <cell r="E32">
            <v>0.20422894035150643</v>
          </cell>
          <cell r="F32">
            <v>0.20411813643926785</v>
          </cell>
          <cell r="H32">
            <v>0.18315734142227302</v>
          </cell>
          <cell r="J32">
            <v>0.17938595321294246</v>
          </cell>
          <cell r="L32">
            <v>0.18422874281283902</v>
          </cell>
          <cell r="N32">
            <v>0.15986400535609677</v>
          </cell>
          <cell r="P32">
            <v>0.15552241212898224</v>
          </cell>
          <cell r="R32">
            <v>0.1575</v>
          </cell>
          <cell r="T32">
            <v>0.158</v>
          </cell>
          <cell r="V32">
            <v>0.16</v>
          </cell>
        </row>
        <row r="33">
          <cell r="B33" t="str">
            <v xml:space="preserve">   R&amp;D</v>
          </cell>
          <cell r="C33">
            <v>367.29099999999994</v>
          </cell>
          <cell r="D33">
            <v>489.87900000000002</v>
          </cell>
          <cell r="E33">
            <v>526.23</v>
          </cell>
          <cell r="F33">
            <v>623.48199999999997</v>
          </cell>
          <cell r="H33">
            <v>721.96299999999997</v>
          </cell>
          <cell r="I33">
            <v>0.15795323682159235</v>
          </cell>
          <cell r="J33">
            <v>947.5</v>
          </cell>
          <cell r="K33">
            <v>0.3123941254607232</v>
          </cell>
          <cell r="L33">
            <v>1261.8240000000001</v>
          </cell>
          <cell r="M33">
            <v>0.33174036939314</v>
          </cell>
          <cell r="N33">
            <v>1677.1420800000001</v>
          </cell>
          <cell r="O33">
            <v>0.3291410529519172</v>
          </cell>
          <cell r="P33">
            <v>2058.4403347071889</v>
          </cell>
          <cell r="Q33">
            <v>0.22735000168094799</v>
          </cell>
          <cell r="R33">
            <v>2384.9619086205325</v>
          </cell>
          <cell r="S33">
            <v>0.15862571696050209</v>
          </cell>
          <cell r="T33">
            <v>2654.6590939805487</v>
          </cell>
          <cell r="U33">
            <v>0.11308238692835548</v>
          </cell>
          <cell r="V33">
            <v>2871.6159561867435</v>
          </cell>
          <cell r="W33">
            <v>8.1726826129255414E-2</v>
          </cell>
          <cell r="AB33" t="str">
            <v>mstag:researchAndDevelopment</v>
          </cell>
          <cell r="AC33">
            <v>6</v>
          </cell>
          <cell r="AD33" t="str">
            <v>ISO4217:USD</v>
          </cell>
          <cell r="AE33" t="b">
            <v>0</v>
          </cell>
          <cell r="AF33" t="b">
            <v>0</v>
          </cell>
        </row>
        <row r="34">
          <cell r="B34" t="str">
            <v xml:space="preserve">   % of Revenue</v>
          </cell>
          <cell r="C34">
            <v>0.28003022235234193</v>
          </cell>
          <cell r="D34">
            <v>0.29918631757842351</v>
          </cell>
          <cell r="E34">
            <v>0.25744704583881273</v>
          </cell>
          <cell r="F34">
            <v>0.24132094643138094</v>
          </cell>
          <cell r="H34">
            <v>0.21875923221876559</v>
          </cell>
          <cell r="J34">
            <v>0.20503332467757293</v>
          </cell>
          <cell r="L34">
            <v>0.19022215227341902</v>
          </cell>
          <cell r="N34">
            <v>0.18388989908293094</v>
          </cell>
          <cell r="P34">
            <v>0.1825</v>
          </cell>
          <cell r="R34">
            <v>0.182</v>
          </cell>
          <cell r="T34">
            <v>0.182</v>
          </cell>
          <cell r="V34">
            <v>0.182</v>
          </cell>
        </row>
        <row r="35">
          <cell r="B35" t="str">
            <v xml:space="preserve">   SG&amp;A</v>
          </cell>
          <cell r="C35">
            <v>467.94299999999998</v>
          </cell>
          <cell r="D35">
            <v>497.03599999999994</v>
          </cell>
          <cell r="E35">
            <v>446.90600000000001</v>
          </cell>
          <cell r="F35">
            <v>546.27599999999995</v>
          </cell>
          <cell r="H35">
            <v>794.88499999999999</v>
          </cell>
          <cell r="I35">
            <v>0.45509778939583656</v>
          </cell>
          <cell r="J35">
            <v>1088.2</v>
          </cell>
          <cell r="K35">
            <v>0.36900306333620603</v>
          </cell>
          <cell r="L35">
            <v>1435.0319999999999</v>
          </cell>
          <cell r="M35">
            <v>0.31872082337805541</v>
          </cell>
          <cell r="N35">
            <v>1928.0563000000002</v>
          </cell>
          <cell r="O35">
            <v>0.34356327942512799</v>
          </cell>
          <cell r="P35">
            <v>2114.835960315605</v>
          </cell>
          <cell r="Q35">
            <v>9.6874588317573895E-2</v>
          </cell>
          <cell r="R35">
            <v>2293.2326044428196</v>
          </cell>
          <cell r="S35">
            <v>8.4354837668162208E-2</v>
          </cell>
          <cell r="T35">
            <v>2406.696431355992</v>
          </cell>
          <cell r="U35">
            <v>4.9477679103878014E-2</v>
          </cell>
          <cell r="V35">
            <v>2406.1617215301007</v>
          </cell>
          <cell r="W35">
            <v>-2.2217585023387443E-4</v>
          </cell>
          <cell r="AB35" t="str">
            <v>mstag:sellingGeneralAndAdministrativeExpenses</v>
          </cell>
          <cell r="AC35">
            <v>6</v>
          </cell>
          <cell r="AD35" t="str">
            <v>ISO4217:USD</v>
          </cell>
          <cell r="AE35" t="b">
            <v>0</v>
          </cell>
          <cell r="AF35" t="b">
            <v>0</v>
          </cell>
        </row>
        <row r="36">
          <cell r="B36" t="str">
            <v xml:space="preserve">   % of Sales</v>
          </cell>
          <cell r="C36">
            <v>0.35676937996907621</v>
          </cell>
          <cell r="D36">
            <v>0.30355734894516662</v>
          </cell>
          <cell r="E36">
            <v>0.21863943421629409</v>
          </cell>
          <cell r="F36">
            <v>0.21143808695800206</v>
          </cell>
          <cell r="H36">
            <v>0.24085504700685975</v>
          </cell>
          <cell r="J36">
            <v>0.23547996191465423</v>
          </cell>
          <cell r="L36">
            <v>0.2163335581041643</v>
          </cell>
          <cell r="N36">
            <v>0.21140133722791646</v>
          </cell>
          <cell r="P36">
            <v>0.1875</v>
          </cell>
          <cell r="R36">
            <v>0.17499999999999999</v>
          </cell>
          <cell r="T36">
            <v>0.16500000000000001</v>
          </cell>
          <cell r="V36">
            <v>0.1525</v>
          </cell>
        </row>
        <row r="37">
          <cell r="B37" t="str">
            <v xml:space="preserve">  Collaborative payments</v>
          </cell>
          <cell r="C37">
            <v>0</v>
          </cell>
          <cell r="D37">
            <v>0</v>
          </cell>
          <cell r="E37">
            <v>246.65700000000001</v>
          </cell>
          <cell r="F37">
            <v>350.72500000000002</v>
          </cell>
          <cell r="H37">
            <v>457.53399999999999</v>
          </cell>
          <cell r="I37">
            <v>0.30453774324613292</v>
          </cell>
          <cell r="J37">
            <v>593.6</v>
          </cell>
          <cell r="K37">
            <v>0.29738992074905912</v>
          </cell>
          <cell r="L37">
            <v>823.08299999999997</v>
          </cell>
          <cell r="M37">
            <v>0.38659535040431248</v>
          </cell>
          <cell r="N37">
            <v>1041</v>
          </cell>
          <cell r="O37">
            <v>0.26475701721454592</v>
          </cell>
          <cell r="P37">
            <v>1191.2653338930295</v>
          </cell>
          <cell r="Q37">
            <v>0.14434710268302542</v>
          </cell>
          <cell r="R37">
            <v>1349.1657134442321</v>
          </cell>
          <cell r="S37">
            <v>0.1325484550408158</v>
          </cell>
          <cell r="T37">
            <v>1488.0617722997738</v>
          </cell>
          <cell r="U37">
            <v>0.1029495913448315</v>
          </cell>
          <cell r="V37">
            <v>1622.2236210060237</v>
          </cell>
          <cell r="W37">
            <v>9.0158789912938353E-2</v>
          </cell>
          <cell r="AB37" t="str">
            <v>mstag:otherOperatingExpense</v>
          </cell>
          <cell r="AC37">
            <v>6</v>
          </cell>
          <cell r="AD37" t="str">
            <v>ISO4217:USD</v>
          </cell>
          <cell r="AE37" t="b">
            <v>0</v>
          </cell>
          <cell r="AF37" t="b">
            <v>0</v>
          </cell>
        </row>
        <row r="38">
          <cell r="B38" t="str">
            <v>Total Operating Expenses</v>
          </cell>
          <cell r="C38">
            <v>1027.425</v>
          </cell>
          <cell r="D38">
            <v>1258.9829999999999</v>
          </cell>
          <cell r="E38">
            <v>1574.2349999999999</v>
          </cell>
          <cell r="F38">
            <v>1962.1129999999998</v>
          </cell>
          <cell r="H38">
            <v>2454.7161573414223</v>
          </cell>
          <cell r="I38">
            <v>0.25105748615977896</v>
          </cell>
          <cell r="J38">
            <v>3301.8</v>
          </cell>
          <cell r="K38">
            <v>0.34508423310987246</v>
          </cell>
          <cell r="L38">
            <v>4531.0019999999995</v>
          </cell>
          <cell r="M38">
            <v>0.37228239142286013</v>
          </cell>
          <cell r="N38">
            <v>5868.7359800000004</v>
          </cell>
          <cell r="O38">
            <v>0.29524020956071118</v>
          </cell>
          <cell r="P38">
            <v>6871.3015576972857</v>
          </cell>
          <cell r="Q38">
            <v>0.17083160345156401</v>
          </cell>
          <cell r="R38">
            <v>7646.4302261891735</v>
          </cell>
          <cell r="S38">
            <v>0.11280667308562276</v>
          </cell>
          <cell r="T38">
            <v>8252.2202578283486</v>
          </cell>
          <cell r="U38">
            <v>7.9225208851619655E-2</v>
          </cell>
          <cell r="V38">
            <v>8674.5610992366965</v>
          </cell>
          <cell r="W38">
            <v>5.117905584351079E-2</v>
          </cell>
        </row>
        <row r="39">
          <cell r="B39" t="str">
            <v xml:space="preserve">Operating Income (Loss) </v>
          </cell>
          <cell r="C39">
            <v>284.18700000000013</v>
          </cell>
          <cell r="D39">
            <v>378.38800000099991</v>
          </cell>
          <cell r="E39">
            <v>469.79700000000003</v>
          </cell>
          <cell r="F39">
            <v>621.50855966964809</v>
          </cell>
          <cell r="H39">
            <v>845.54684265857759</v>
          </cell>
          <cell r="I39">
            <v>0.36047497577187526</v>
          </cell>
          <cell r="J39">
            <v>1319.3999999999996</v>
          </cell>
          <cell r="K39">
            <v>0.56041029714158452</v>
          </cell>
          <cell r="L39">
            <v>2102.4210000000012</v>
          </cell>
          <cell r="M39">
            <v>0.59346748522055615</v>
          </cell>
          <cell r="N39">
            <v>3251.6240200000002</v>
          </cell>
          <cell r="O39">
            <v>0.54660937081583483</v>
          </cell>
          <cell r="P39">
            <v>4407.8235639859422</v>
          </cell>
          <cell r="Q39">
            <v>0.35557602504915131</v>
          </cell>
          <cell r="R39">
            <v>5457.7560849126548</v>
          </cell>
          <cell r="S39">
            <v>0.23819749263676759</v>
          </cell>
          <cell r="T39">
            <v>6333.8187200867542</v>
          </cell>
          <cell r="U39">
            <v>0.16051700031004956</v>
          </cell>
          <cell r="V39">
            <v>7103.5485501410149</v>
          </cell>
          <cell r="W39">
            <v>0.12152697512689747</v>
          </cell>
        </row>
        <row r="40">
          <cell r="B40" t="str">
            <v xml:space="preserve">        Operating Margin</v>
          </cell>
          <cell r="D40">
            <v>0.23109484655632037</v>
          </cell>
          <cell r="E40">
            <v>0.22983837826413678</v>
          </cell>
          <cell r="F40">
            <v>0.24055711926676934</v>
          </cell>
          <cell r="H40">
            <v>0.25620589712352548</v>
          </cell>
          <cell r="J40">
            <v>0.28551025707608407</v>
          </cell>
          <cell r="L40">
            <v>0.31694360513418202</v>
          </cell>
          <cell r="N40">
            <v>0.35652364818932586</v>
          </cell>
          <cell r="P40">
            <v>0.39079481045141073</v>
          </cell>
          <cell r="R40">
            <v>0.41648950612743196</v>
          </cell>
          <cell r="T40">
            <v>0.43423843372946319</v>
          </cell>
          <cell r="V40">
            <v>0.45021543822400667</v>
          </cell>
        </row>
        <row r="41">
          <cell r="B41" t="str">
            <v xml:space="preserve">   Interest, Other Income</v>
          </cell>
          <cell r="C41">
            <v>89.433999999999997</v>
          </cell>
          <cell r="D41">
            <v>90.4</v>
          </cell>
          <cell r="E41">
            <v>135.005</v>
          </cell>
          <cell r="F41">
            <v>107.822</v>
          </cell>
          <cell r="H41">
            <v>92.807000000000002</v>
          </cell>
          <cell r="J41">
            <v>82.597000000000008</v>
          </cell>
          <cell r="L41">
            <v>140.9</v>
          </cell>
          <cell r="N41">
            <v>228</v>
          </cell>
          <cell r="P41">
            <v>158.27981570681379</v>
          </cell>
          <cell r="R41">
            <v>214.14721389467866</v>
          </cell>
          <cell r="T41">
            <v>298.9218808473185</v>
          </cell>
          <cell r="V41">
            <v>424.04459975088002</v>
          </cell>
          <cell r="AB41" t="str">
            <v>mstag:interestAndDividendIncome</v>
          </cell>
          <cell r="AC41">
            <v>6</v>
          </cell>
          <cell r="AD41" t="str">
            <v>ISO4217:USD</v>
          </cell>
          <cell r="AE41" t="b">
            <v>0</v>
          </cell>
          <cell r="AF41" t="b">
            <v>0</v>
          </cell>
        </row>
        <row r="42">
          <cell r="B42" t="str">
            <v xml:space="preserve">   Interest, Other Expense</v>
          </cell>
          <cell r="C42">
            <v>-5.36</v>
          </cell>
          <cell r="D42">
            <v>-5.2780000000000005</v>
          </cell>
          <cell r="E42">
            <v>0</v>
          </cell>
          <cell r="F42">
            <v>0</v>
          </cell>
          <cell r="H42">
            <v>0</v>
          </cell>
          <cell r="J42">
            <v>0</v>
          </cell>
          <cell r="L42">
            <v>-49.9</v>
          </cell>
          <cell r="N42">
            <v>-91</v>
          </cell>
          <cell r="P42">
            <v>-99.403055999999992</v>
          </cell>
          <cell r="R42">
            <v>-99.403055999999992</v>
          </cell>
          <cell r="T42">
            <v>-99.403055999999992</v>
          </cell>
          <cell r="V42">
            <v>-77.403055999999992</v>
          </cell>
          <cell r="AB42" t="str">
            <v>mstag:interestAndDividendIncome</v>
          </cell>
          <cell r="AC42">
            <v>6</v>
          </cell>
          <cell r="AD42" t="str">
            <v>ISO4217:USD</v>
          </cell>
          <cell r="AE42" t="b">
            <v>0</v>
          </cell>
          <cell r="AF42" t="b">
            <v>0</v>
          </cell>
        </row>
        <row r="43">
          <cell r="B43" t="str">
            <v xml:space="preserve">Pretax Income (Loss) </v>
          </cell>
          <cell r="C43">
            <v>368.26100000000008</v>
          </cell>
          <cell r="D43">
            <v>463.51000000099987</v>
          </cell>
          <cell r="E43">
            <v>604.80200000000002</v>
          </cell>
          <cell r="F43">
            <v>729.3305596696481</v>
          </cell>
          <cell r="H43">
            <v>938.35384265857761</v>
          </cell>
          <cell r="I43">
            <v>0.28659608488585353</v>
          </cell>
          <cell r="J43">
            <v>1401.9969999999996</v>
          </cell>
          <cell r="K43">
            <v>0.4941026894799212</v>
          </cell>
          <cell r="L43">
            <v>2193.4210000000012</v>
          </cell>
          <cell r="M43">
            <v>0.56449764157840687</v>
          </cell>
          <cell r="N43">
            <v>3388.6240200000002</v>
          </cell>
          <cell r="O43">
            <v>0.54490360947579064</v>
          </cell>
          <cell r="P43">
            <v>4466.7003236927558</v>
          </cell>
          <cell r="Q43">
            <v>0.31814574214484725</v>
          </cell>
          <cell r="R43">
            <v>5572.5002428073331</v>
          </cell>
          <cell r="S43">
            <v>0.24756528062764227</v>
          </cell>
          <cell r="T43">
            <v>6533.3375449340729</v>
          </cell>
          <cell r="U43">
            <v>0.17242481117285435</v>
          </cell>
          <cell r="V43">
            <v>7450.1900938918943</v>
          </cell>
          <cell r="W43">
            <v>0.1403344833558684</v>
          </cell>
        </row>
        <row r="44">
          <cell r="B44" t="str">
            <v xml:space="preserve">   Provision For Income Taxes</v>
          </cell>
          <cell r="C44">
            <v>121.56800000000001</v>
          </cell>
          <cell r="D44">
            <v>143.67400000000001</v>
          </cell>
          <cell r="E44">
            <v>127.11199999999999</v>
          </cell>
          <cell r="F44">
            <v>245.797</v>
          </cell>
          <cell r="H44">
            <v>303.69799999999998</v>
          </cell>
          <cell r="J44">
            <v>507.63099999999997</v>
          </cell>
          <cell r="L44">
            <v>806.09699999999998</v>
          </cell>
          <cell r="N44">
            <v>1263.7185114200001</v>
          </cell>
          <cell r="P44">
            <v>1666.0792207373979</v>
          </cell>
          <cell r="R44">
            <v>2078.542590567135</v>
          </cell>
          <cell r="T44">
            <v>2436.934904260409</v>
          </cell>
          <cell r="V44">
            <v>2778.9209050216764</v>
          </cell>
          <cell r="AB44" t="str">
            <v>mstag:taxExpenseIncome</v>
          </cell>
          <cell r="AC44">
            <v>6</v>
          </cell>
          <cell r="AD44" t="str">
            <v>ISO4217:USD</v>
          </cell>
          <cell r="AE44" t="b">
            <v>0</v>
          </cell>
          <cell r="AF44" t="b">
            <v>0</v>
          </cell>
        </row>
        <row r="45">
          <cell r="B45" t="str">
            <v xml:space="preserve">   Effective Tax Rate</v>
          </cell>
          <cell r="C45">
            <v>0.21840079909742235</v>
          </cell>
          <cell r="D45">
            <v>0.17967483708416138</v>
          </cell>
          <cell r="E45">
            <v>0.17543014456747877</v>
          </cell>
          <cell r="F45">
            <v>0.33702605798725771</v>
          </cell>
          <cell r="H45">
            <v>0.32364976429312847</v>
          </cell>
          <cell r="J45">
            <v>0.36207709431617907</v>
          </cell>
          <cell r="L45">
            <v>0.36750724212165659</v>
          </cell>
          <cell r="N45">
            <v>0.3729296918045219</v>
          </cell>
          <cell r="P45">
            <v>0.373</v>
          </cell>
          <cell r="R45">
            <v>0.373</v>
          </cell>
          <cell r="T45">
            <v>0.373</v>
          </cell>
          <cell r="V45">
            <v>0.373</v>
          </cell>
        </row>
        <row r="46">
          <cell r="B46" t="str">
            <v>Net Income (Loss)</v>
          </cell>
          <cell r="C46">
            <v>246.69300000000007</v>
          </cell>
          <cell r="D46">
            <v>319.83600000099989</v>
          </cell>
          <cell r="E46">
            <v>477.69000000000005</v>
          </cell>
          <cell r="F46">
            <v>483.53355966964807</v>
          </cell>
          <cell r="H46">
            <v>634.65584265857763</v>
          </cell>
          <cell r="I46">
            <v>0.31253732024758918</v>
          </cell>
          <cell r="J46">
            <v>894.36599999999964</v>
          </cell>
          <cell r="K46">
            <v>0.4092141596829777</v>
          </cell>
          <cell r="L46">
            <v>1387.3240000000012</v>
          </cell>
          <cell r="M46">
            <v>0.55118150734710603</v>
          </cell>
          <cell r="N46">
            <v>2124.9055085800001</v>
          </cell>
          <cell r="O46">
            <v>0.53165771555887331</v>
          </cell>
          <cell r="P46">
            <v>2800.6211029553579</v>
          </cell>
          <cell r="Q46">
            <v>0.31799794938971893</v>
          </cell>
          <cell r="R46">
            <v>3493.9576522401981</v>
          </cell>
          <cell r="S46">
            <v>0.24756528062764227</v>
          </cell>
          <cell r="T46">
            <v>4096.4026406736639</v>
          </cell>
          <cell r="U46">
            <v>0.17242481117285435</v>
          </cell>
          <cell r="V46">
            <v>4671.2691888702175</v>
          </cell>
          <cell r="W46">
            <v>0.1403344833558684</v>
          </cell>
        </row>
        <row r="48">
          <cell r="B48" t="str">
            <v>EPS, basic</v>
          </cell>
          <cell r="C48">
            <v>0.240507155948992</v>
          </cell>
          <cell r="D48">
            <v>0.30625130463021294</v>
          </cell>
          <cell r="E48">
            <v>0.84741827980205642</v>
          </cell>
          <cell r="F48">
            <v>0.46558555820163972</v>
          </cell>
          <cell r="H48">
            <v>0.61351622099003444</v>
          </cell>
          <cell r="I48">
            <v>0.31773035091506774</v>
          </cell>
          <cell r="J48">
            <v>0.84760772011960184</v>
          </cell>
          <cell r="K48">
            <v>0.38155714734292223</v>
          </cell>
          <cell r="L48">
            <v>1.3150588841956803</v>
          </cell>
          <cell r="M48">
            <v>0.55149469852648192</v>
          </cell>
          <cell r="N48">
            <v>2.0160393819544593</v>
          </cell>
          <cell r="O48">
            <v>0.53304114833421656</v>
          </cell>
          <cell r="P48">
            <v>2.6578594958545239</v>
          </cell>
          <cell r="Q48">
            <v>0.31835693272908627</v>
          </cell>
          <cell r="R48">
            <v>3.3158532278145931</v>
          </cell>
          <cell r="S48">
            <v>0.24756528062764227</v>
          </cell>
          <cell r="T48">
            <v>3.8875885944974238</v>
          </cell>
          <cell r="U48">
            <v>0.17242481117285435</v>
          </cell>
          <cell r="V48">
            <v>4.4331513314063864</v>
          </cell>
          <cell r="W48">
            <v>0.1403344833558684</v>
          </cell>
          <cell r="Y48" t="str">
            <v>Growth</v>
          </cell>
          <cell r="Z48" t="str">
            <v>3 year</v>
          </cell>
          <cell r="AA48" t="str">
            <v>4 year</v>
          </cell>
        </row>
        <row r="49">
          <cell r="B49" t="str">
            <v>EPS, diluted</v>
          </cell>
          <cell r="C49">
            <v>0.23296000755465324</v>
          </cell>
          <cell r="D49">
            <v>0.29831162314462278</v>
          </cell>
          <cell r="E49">
            <v>0.83443278873473636</v>
          </cell>
          <cell r="F49">
            <v>0.46096594929398294</v>
          </cell>
          <cell r="H49">
            <v>0.60195636879300407</v>
          </cell>
          <cell r="I49">
            <v>0.30585864252004424</v>
          </cell>
          <cell r="J49">
            <v>0.82872362999196592</v>
          </cell>
          <cell r="K49">
            <v>0.37671710601493902</v>
          </cell>
          <cell r="L49">
            <v>1.2834315032439099</v>
          </cell>
          <cell r="M49">
            <v>0.54868457564840067</v>
          </cell>
          <cell r="N49">
            <v>1.9766562870511628</v>
          </cell>
          <cell r="O49">
            <v>0.54013383811688231</v>
          </cell>
          <cell r="P49">
            <v>2.6131703146035923</v>
          </cell>
          <cell r="Q49">
            <v>0.32201553285826989</v>
          </cell>
          <cell r="R49">
            <v>3.2657035401917991</v>
          </cell>
          <cell r="S49">
            <v>0.24970941309931183</v>
          </cell>
          <cell r="T49">
            <v>3.8441841959191563</v>
          </cell>
          <cell r="U49">
            <v>0.17713814147789497</v>
          </cell>
          <cell r="V49">
            <v>4.4101388095141756</v>
          </cell>
          <cell r="W49">
            <v>0.14722359407122476</v>
          </cell>
          <cell r="Z49">
            <v>0.36521595109433186</v>
          </cell>
          <cell r="AA49">
            <v>0.28001751631721422</v>
          </cell>
          <cell r="AB49" t="str">
            <v>mstag:adjEpsForConsensus</v>
          </cell>
          <cell r="AC49">
            <v>0</v>
          </cell>
          <cell r="AD49" t="str">
            <v>ISO4217:USD</v>
          </cell>
          <cell r="AE49" t="b">
            <v>0</v>
          </cell>
          <cell r="AF49" t="b">
            <v>0</v>
          </cell>
        </row>
        <row r="51">
          <cell r="B51" t="str">
            <v xml:space="preserve">  Options expense</v>
          </cell>
          <cell r="N51">
            <v>329.18547890000002</v>
          </cell>
          <cell r="P51">
            <v>377.92158567335071</v>
          </cell>
          <cell r="R51">
            <v>420.55366244040454</v>
          </cell>
          <cell r="T51">
            <v>453.87211418055915</v>
          </cell>
          <cell r="V51">
            <v>477.1008604580183</v>
          </cell>
          <cell r="AB51" t="str">
            <v>mstag:stockCompensation</v>
          </cell>
          <cell r="AC51">
            <v>6</v>
          </cell>
          <cell r="AD51" t="str">
            <v>ISO4217:USD</v>
          </cell>
          <cell r="AE51" t="b">
            <v>0</v>
          </cell>
          <cell r="AF51" t="b">
            <v>0</v>
          </cell>
        </row>
        <row r="52">
          <cell r="B52" t="str">
            <v>Net Income (incl options exp)</v>
          </cell>
          <cell r="N52">
            <v>1795.7200296800002</v>
          </cell>
          <cell r="P52">
            <v>2422.699517282007</v>
          </cell>
          <cell r="R52">
            <v>3073.4039897997936</v>
          </cell>
          <cell r="T52">
            <v>3642.5305264931048</v>
          </cell>
          <cell r="V52">
            <v>4194.1683284121991</v>
          </cell>
        </row>
        <row r="54">
          <cell r="B54" t="str">
            <v>EPS, diluted (incl option exp)</v>
          </cell>
          <cell r="N54">
            <v>1.670437236911628</v>
          </cell>
          <cell r="P54">
            <v>2.2605437247777207</v>
          </cell>
          <cell r="R54">
            <v>2.8726239093062675</v>
          </cell>
          <cell r="T54">
            <v>3.4182573129078739</v>
          </cell>
          <cell r="V54">
            <v>3.9597085440583326</v>
          </cell>
          <cell r="AA54">
            <v>22.250639386189256</v>
          </cell>
        </row>
        <row r="55">
          <cell r="B55" t="str">
            <v>EPS, GAAP, Diluted (incl option exp)</v>
          </cell>
          <cell r="N55">
            <v>1.6109656090046514</v>
          </cell>
          <cell r="P55">
            <v>2.1891696107162537</v>
          </cell>
          <cell r="R55">
            <v>2.8134339509056185</v>
          </cell>
          <cell r="T55">
            <v>3.3588294016576903</v>
          </cell>
          <cell r="V55">
            <v>3.8999216105509422</v>
          </cell>
          <cell r="AA55">
            <v>19.727270219320825</v>
          </cell>
        </row>
        <row r="56">
          <cell r="B56" t="str">
            <v xml:space="preserve">Basic Shares Outstanding </v>
          </cell>
          <cell r="C56">
            <v>1025.72</v>
          </cell>
          <cell r="D56">
            <v>1044.3579999999999</v>
          </cell>
          <cell r="E56">
            <v>1054.038</v>
          </cell>
          <cell r="F56">
            <v>1038.5084999999999</v>
          </cell>
          <cell r="H56">
            <v>1034.4565</v>
          </cell>
          <cell r="I56">
            <v>-3.901749480143768E-3</v>
          </cell>
          <cell r="J56">
            <v>1055.165</v>
          </cell>
          <cell r="K56">
            <v>2.0018724808631427E-2</v>
          </cell>
          <cell r="L56">
            <v>1054.952</v>
          </cell>
          <cell r="M56">
            <v>-2.0186416342460323E-4</v>
          </cell>
          <cell r="N56">
            <v>1054</v>
          </cell>
          <cell r="O56">
            <v>-9.0241072579599901E-4</v>
          </cell>
          <cell r="P56">
            <v>1053.713</v>
          </cell>
          <cell r="Q56">
            <v>-2.7229601518030666E-4</v>
          </cell>
          <cell r="R56">
            <v>1053.713</v>
          </cell>
          <cell r="S56">
            <v>0</v>
          </cell>
          <cell r="T56">
            <v>1053.713</v>
          </cell>
          <cell r="U56">
            <v>0</v>
          </cell>
          <cell r="V56">
            <v>1053.713</v>
          </cell>
          <cell r="W56">
            <v>0</v>
          </cell>
          <cell r="AB56" t="str">
            <v>mstag:averageBasicSharesOutstanding</v>
          </cell>
          <cell r="AC56">
            <v>6</v>
          </cell>
          <cell r="AD56" t="str">
            <v>ms_eqr_gcim_Decimal:ms_eqr_gcim_decimal</v>
          </cell>
          <cell r="AE56" t="b">
            <v>0</v>
          </cell>
          <cell r="AF56" t="b">
            <v>0</v>
          </cell>
        </row>
        <row r="57">
          <cell r="B57" t="str">
            <v>Diluted Shares Outstanding</v>
          </cell>
          <cell r="C57">
            <v>1058.95</v>
          </cell>
          <cell r="D57">
            <v>1072.154</v>
          </cell>
          <cell r="E57">
            <v>1070.441</v>
          </cell>
          <cell r="F57">
            <v>1048.9160000000002</v>
          </cell>
          <cell r="H57">
            <v>1054.3219999999999</v>
          </cell>
          <cell r="I57">
            <v>5.1538922087179806E-3</v>
          </cell>
          <cell r="J57">
            <v>1079.2090000000001</v>
          </cell>
          <cell r="K57">
            <v>2.3604743142986884E-2</v>
          </cell>
          <cell r="L57">
            <v>1080.9490000000001</v>
          </cell>
          <cell r="M57">
            <v>1.6122919656897938E-3</v>
          </cell>
          <cell r="N57">
            <v>1075</v>
          </cell>
          <cell r="O57">
            <v>-5.5034973897936101E-3</v>
          </cell>
          <cell r="P57">
            <v>1071.7330926745205</v>
          </cell>
          <cell r="Q57">
            <v>-3.0389835585855618E-3</v>
          </cell>
          <cell r="R57">
            <v>1069.8943150347914</v>
          </cell>
          <cell r="S57">
            <v>-1.7157048264139219E-3</v>
          </cell>
          <cell r="T57">
            <v>1065.6103953141094</v>
          </cell>
          <cell r="U57">
            <v>-4.0040587752283585E-3</v>
          </cell>
          <cell r="V57">
            <v>1059.2113742072459</v>
          </cell>
          <cell r="W57">
            <v>-6.0050287938279157E-3</v>
          </cell>
          <cell r="AB57" t="str">
            <v>mstag:averageDilutedSharesOutstanding</v>
          </cell>
          <cell r="AC57">
            <v>6</v>
          </cell>
          <cell r="AD57" t="str">
            <v>ms_eqr_gcim_Decimal:ms_eqr_gcim_decimal</v>
          </cell>
          <cell r="AE57" t="b">
            <v>0</v>
          </cell>
          <cell r="AF57" t="b">
            <v>0</v>
          </cell>
        </row>
        <row r="59">
          <cell r="H59" t="str">
            <v>2003-FY</v>
          </cell>
          <cell r="J59" t="str">
            <v>2004-FY</v>
          </cell>
          <cell r="L59" t="str">
            <v>2005-FY</v>
          </cell>
          <cell r="N59" t="str">
            <v>2006-FY</v>
          </cell>
          <cell r="P59" t="str">
            <v>2007-FY</v>
          </cell>
          <cell r="R59" t="str">
            <v>2008-FY</v>
          </cell>
          <cell r="T59" t="str">
            <v>2009-FY</v>
          </cell>
          <cell r="V59" t="str">
            <v>2010-FY</v>
          </cell>
        </row>
        <row r="60">
          <cell r="B60" t="str">
            <v>Reconciliation to GAAP earnings/loss</v>
          </cell>
          <cell r="E60">
            <v>-3.0000000001564331E-3</v>
          </cell>
        </row>
        <row r="61">
          <cell r="B61" t="str">
            <v>Adjustments:</v>
          </cell>
        </row>
        <row r="62">
          <cell r="B62" t="str">
            <v xml:space="preserve">   Contract revenue</v>
          </cell>
          <cell r="C62">
            <v>-19.399999999999999</v>
          </cell>
          <cell r="D62">
            <v>-125.1</v>
          </cell>
          <cell r="E62">
            <v>0</v>
          </cell>
          <cell r="AB62" t="str">
            <v>mstag:otherProvisionsOneTimeGrossOfTax</v>
          </cell>
          <cell r="AC62">
            <v>6</v>
          </cell>
          <cell r="AD62" t="str">
            <v>ISO4217:USD</v>
          </cell>
          <cell r="AE62" t="b">
            <v>0</v>
          </cell>
          <cell r="AF62" t="b">
            <v>0</v>
          </cell>
        </row>
        <row r="63">
          <cell r="B63" t="str">
            <v xml:space="preserve">   Cost of sales</v>
          </cell>
          <cell r="C63">
            <v>93.4</v>
          </cell>
          <cell r="D63">
            <v>92.9</v>
          </cell>
          <cell r="AB63" t="str">
            <v>mstag:otherProvisionsOneTimeGrossOfTax</v>
          </cell>
          <cell r="AC63">
            <v>6</v>
          </cell>
          <cell r="AD63" t="str">
            <v>ISO4217:USD</v>
          </cell>
          <cell r="AE63" t="b">
            <v>0</v>
          </cell>
          <cell r="AF63" t="b">
            <v>0</v>
          </cell>
        </row>
        <row r="64">
          <cell r="B64" t="str">
            <v>Recurring charges related to redemption</v>
          </cell>
          <cell r="C64">
            <v>197.7</v>
          </cell>
          <cell r="D64">
            <v>375.3</v>
          </cell>
          <cell r="E64">
            <v>321.81599999999997</v>
          </cell>
          <cell r="F64">
            <v>155.71299999999999</v>
          </cell>
          <cell r="H64">
            <v>154.30000000000001</v>
          </cell>
          <cell r="J64">
            <v>145.48500000000001</v>
          </cell>
          <cell r="L64">
            <v>122.7</v>
          </cell>
          <cell r="N64">
            <v>95</v>
          </cell>
          <cell r="P64">
            <v>70</v>
          </cell>
          <cell r="R64">
            <v>49</v>
          </cell>
          <cell r="T64">
            <v>49</v>
          </cell>
          <cell r="V64">
            <v>49</v>
          </cell>
          <cell r="AB64" t="str">
            <v>mstag:amortizationOfIntangiblesAssumedToHaveIndefiniteLifeIncomeStatement</v>
          </cell>
          <cell r="AC64">
            <v>6</v>
          </cell>
          <cell r="AD64" t="str">
            <v>ISO4217:USD</v>
          </cell>
          <cell r="AE64" t="b">
            <v>0</v>
          </cell>
          <cell r="AF64" t="b">
            <v>0</v>
          </cell>
        </row>
        <row r="65">
          <cell r="B65" t="str">
            <v>Litagation and other charges</v>
          </cell>
          <cell r="C65">
            <v>1437.7</v>
          </cell>
          <cell r="D65">
            <v>0</v>
          </cell>
          <cell r="E65">
            <v>0</v>
          </cell>
          <cell r="F65">
            <v>543.90499999999997</v>
          </cell>
          <cell r="J65">
            <v>37.1</v>
          </cell>
          <cell r="L65">
            <v>57.8</v>
          </cell>
          <cell r="N65">
            <v>52</v>
          </cell>
          <cell r="P65">
            <v>52</v>
          </cell>
          <cell r="R65">
            <v>52</v>
          </cell>
          <cell r="T65">
            <v>52</v>
          </cell>
          <cell r="V65">
            <v>52</v>
          </cell>
          <cell r="AB65" t="str">
            <v>mstag:restructuringCostsOneTime</v>
          </cell>
          <cell r="AC65">
            <v>6</v>
          </cell>
          <cell r="AD65" t="str">
            <v>ISO4217:USD</v>
          </cell>
          <cell r="AE65" t="b">
            <v>0</v>
          </cell>
          <cell r="AF65" t="b">
            <v>0</v>
          </cell>
        </row>
        <row r="66">
          <cell r="B66" t="str">
            <v xml:space="preserve">   Other</v>
          </cell>
          <cell r="C66">
            <v>32.299999999999997</v>
          </cell>
          <cell r="D66">
            <v>4.9000000000000004</v>
          </cell>
          <cell r="E66">
            <v>0</v>
          </cell>
          <cell r="H66">
            <v>115.8</v>
          </cell>
          <cell r="AB66" t="str">
            <v>mstag:otherProvisionsOneTimeGrossOfTax</v>
          </cell>
          <cell r="AC66">
            <v>6</v>
          </cell>
          <cell r="AD66" t="str">
            <v>ISO4217:USD</v>
          </cell>
          <cell r="AE66" t="b">
            <v>1</v>
          </cell>
          <cell r="AF66" t="b">
            <v>0</v>
          </cell>
        </row>
        <row r="67">
          <cell r="B67" t="str">
            <v xml:space="preserve">   Other income, net (adjustment)</v>
          </cell>
          <cell r="C67">
            <v>-12.933999999999997</v>
          </cell>
          <cell r="D67">
            <v>125.69999999999999</v>
          </cell>
          <cell r="E67">
            <v>0</v>
          </cell>
          <cell r="H67">
            <v>0</v>
          </cell>
          <cell r="J67">
            <v>0</v>
          </cell>
          <cell r="L67">
            <v>0</v>
          </cell>
          <cell r="N67">
            <v>0</v>
          </cell>
          <cell r="P67">
            <v>0</v>
          </cell>
          <cell r="R67">
            <v>0</v>
          </cell>
          <cell r="T67">
            <v>0</v>
          </cell>
          <cell r="V67">
            <v>0</v>
          </cell>
          <cell r="AB67" t="str">
            <v>mstag:otherOperatingExpense</v>
          </cell>
          <cell r="AC67">
            <v>6</v>
          </cell>
          <cell r="AD67" t="str">
            <v>ISO4217:USD</v>
          </cell>
          <cell r="AE67" t="b">
            <v>1</v>
          </cell>
          <cell r="AF67" t="b">
            <v>0</v>
          </cell>
        </row>
        <row r="68">
          <cell r="B68" t="str">
            <v xml:space="preserve">   Income tax (benefit) provision adjustment</v>
          </cell>
          <cell r="C68">
            <v>324.60000000000002</v>
          </cell>
          <cell r="D68">
            <v>126.7</v>
          </cell>
          <cell r="E68">
            <v>0</v>
          </cell>
          <cell r="H68">
            <v>13.3</v>
          </cell>
          <cell r="J68">
            <v>73.031000000000006</v>
          </cell>
          <cell r="L68">
            <v>72.2</v>
          </cell>
          <cell r="N68">
            <v>83.067999999999998</v>
          </cell>
          <cell r="P68">
            <v>45.506</v>
          </cell>
          <cell r="R68">
            <v>37.673000000000002</v>
          </cell>
          <cell r="T68">
            <v>37.673000000000002</v>
          </cell>
          <cell r="V68">
            <v>37.673000000000002</v>
          </cell>
          <cell r="AB68" t="str">
            <v>mstag:taxOnOtherProvisionsOneTime</v>
          </cell>
          <cell r="AC68">
            <v>6</v>
          </cell>
          <cell r="AD68" t="str">
            <v>ISO4217:USD</v>
          </cell>
          <cell r="AE68" t="b">
            <v>0</v>
          </cell>
          <cell r="AF68" t="b">
            <v>0</v>
          </cell>
        </row>
        <row r="69">
          <cell r="B69" t="str">
            <v xml:space="preserve">   Effect of accounting change</v>
          </cell>
          <cell r="C69">
            <v>0</v>
          </cell>
          <cell r="D69">
            <v>-57.8</v>
          </cell>
          <cell r="E69">
            <v>-5.6</v>
          </cell>
          <cell r="H69">
            <v>-47</v>
          </cell>
          <cell r="AB69" t="str">
            <v>mstag:cumulativeEffectOfChangeInAccountingPrincipleNetOfTax</v>
          </cell>
          <cell r="AC69">
            <v>6</v>
          </cell>
          <cell r="AD69" t="str">
            <v>ISO4217:USD</v>
          </cell>
          <cell r="AE69" t="b">
            <v>0</v>
          </cell>
          <cell r="AF69" t="b">
            <v>0</v>
          </cell>
        </row>
        <row r="70">
          <cell r="B70" t="str">
            <v xml:space="preserve">  GAAP Net income (loss)</v>
          </cell>
          <cell r="C70">
            <v>-1157.5410000000002</v>
          </cell>
          <cell r="D70">
            <v>-73.963999999000151</v>
          </cell>
          <cell r="E70">
            <v>150.27400000000009</v>
          </cell>
          <cell r="F70">
            <v>-216.08444033035187</v>
          </cell>
          <cell r="H70">
            <v>562.45584265857758</v>
          </cell>
          <cell r="J70">
            <v>784.81199999999967</v>
          </cell>
          <cell r="L70">
            <v>1279.0240000000013</v>
          </cell>
          <cell r="N70">
            <v>1731.7880296800001</v>
          </cell>
          <cell r="P70">
            <v>2346.2055172820069</v>
          </cell>
          <cell r="R70">
            <v>3010.0769897997934</v>
          </cell>
          <cell r="T70">
            <v>3579.2035264931046</v>
          </cell>
          <cell r="V70">
            <v>4130.8413284121989</v>
          </cell>
        </row>
        <row r="71">
          <cell r="B71" t="str">
            <v>EARNINGS (LOSS) PER SHARE</v>
          </cell>
          <cell r="F71">
            <v>699.61799999999994</v>
          </cell>
          <cell r="H71">
            <v>457.53399999999999</v>
          </cell>
          <cell r="L71">
            <v>1139.4573944602898</v>
          </cell>
        </row>
        <row r="72">
          <cell r="B72" t="str">
            <v xml:space="preserve">   Basic</v>
          </cell>
          <cell r="C72">
            <v>-1.128515579300394</v>
          </cell>
          <cell r="D72">
            <v>-7.0822457432221667E-2</v>
          </cell>
          <cell r="E72">
            <v>0.14256981247355416</v>
          </cell>
          <cell r="F72">
            <v>-0.20807190343685381</v>
          </cell>
          <cell r="H72">
            <v>0.54372111602428674</v>
          </cell>
          <cell r="J72">
            <v>0.7437813043457655</v>
          </cell>
          <cell r="L72">
            <v>1.2124001850321164</v>
          </cell>
          <cell r="N72">
            <v>1.6430626467552183</v>
          </cell>
          <cell r="P72">
            <v>2.2266077359603678</v>
          </cell>
          <cell r="R72">
            <v>2.8566383728774283</v>
          </cell>
          <cell r="T72">
            <v>3.3967536952596245</v>
          </cell>
          <cell r="V72">
            <v>3.92027177078787</v>
          </cell>
        </row>
        <row r="73">
          <cell r="B73" t="str">
            <v xml:space="preserve">   Diluted</v>
          </cell>
          <cell r="C73">
            <v>-1.0931026016336938</v>
          </cell>
          <cell r="D73">
            <v>-6.898635830207242E-2</v>
          </cell>
          <cell r="E73">
            <v>0.14038513098806948</v>
          </cell>
          <cell r="F73">
            <v>-0.20600738317496523</v>
          </cell>
          <cell r="H73">
            <v>0.53347634086984586</v>
          </cell>
          <cell r="J73">
            <v>0.72721039205566262</v>
          </cell>
          <cell r="L73">
            <v>1.1832417625623421</v>
          </cell>
          <cell r="N73">
            <v>1.6109656090046514</v>
          </cell>
          <cell r="P73">
            <v>2.1891696107162537</v>
          </cell>
          <cell r="R73">
            <v>2.8134339509056185</v>
          </cell>
          <cell r="T73">
            <v>3.3588294016576903</v>
          </cell>
          <cell r="V73">
            <v>3.8999216105509422</v>
          </cell>
        </row>
        <row r="74">
          <cell r="B74" t="str">
            <v>Period End Basic Shares</v>
          </cell>
          <cell r="D74">
            <v>0</v>
          </cell>
          <cell r="E74">
            <v>527.79422299999999</v>
          </cell>
          <cell r="F74">
            <v>1025.155974</v>
          </cell>
          <cell r="H74">
            <v>1047.3900000000001</v>
          </cell>
          <cell r="J74">
            <v>1047.127</v>
          </cell>
          <cell r="L74">
            <v>1053.713</v>
          </cell>
          <cell r="N74">
            <v>1053.713</v>
          </cell>
          <cell r="P74">
            <v>1053.713</v>
          </cell>
          <cell r="R74">
            <v>1053.713</v>
          </cell>
          <cell r="T74">
            <v>1053.713</v>
          </cell>
          <cell r="V74">
            <v>0</v>
          </cell>
        </row>
        <row r="75">
          <cell r="B75" t="str">
            <v>Federal tax rate</v>
          </cell>
          <cell r="C75">
            <v>0.35</v>
          </cell>
          <cell r="D75">
            <v>0.35</v>
          </cell>
          <cell r="E75">
            <v>0.35</v>
          </cell>
          <cell r="F75">
            <v>0.35</v>
          </cell>
          <cell r="H75">
            <v>0.35</v>
          </cell>
          <cell r="J75">
            <v>0.35</v>
          </cell>
          <cell r="L75">
            <v>0.35</v>
          </cell>
          <cell r="N75">
            <v>0.35</v>
          </cell>
          <cell r="P75">
            <v>0.35</v>
          </cell>
          <cell r="R75">
            <v>0.35</v>
          </cell>
          <cell r="T75">
            <v>0.35</v>
          </cell>
          <cell r="V75">
            <v>0.35</v>
          </cell>
        </row>
        <row r="76">
          <cell r="B76" t="str">
            <v xml:space="preserve">     Federal taxes</v>
          </cell>
          <cell r="C76">
            <v>-527.51800000000003</v>
          </cell>
          <cell r="D76">
            <v>1.391</v>
          </cell>
          <cell r="E76">
            <v>99.045000000000002</v>
          </cell>
          <cell r="F76">
            <v>10.412000000000001</v>
          </cell>
        </row>
        <row r="77">
          <cell r="B77" t="str">
            <v>Statutory tax rate</v>
          </cell>
          <cell r="C77">
            <v>0.36520971796223067</v>
          </cell>
          <cell r="D77">
            <v>0.5913012221423436</v>
          </cell>
          <cell r="E77">
            <v>0.40731384724115299</v>
          </cell>
          <cell r="F77">
            <v>0.37813580484056852</v>
          </cell>
          <cell r="H77">
            <v>0.32364976429312847</v>
          </cell>
          <cell r="J77">
            <v>0.36207709431617907</v>
          </cell>
          <cell r="L77">
            <v>0.36750724212165659</v>
          </cell>
          <cell r="N77">
            <v>0.3729296918045219</v>
          </cell>
          <cell r="P77">
            <v>0.373</v>
          </cell>
          <cell r="R77">
            <v>0.373</v>
          </cell>
          <cell r="T77">
            <v>0.373</v>
          </cell>
          <cell r="V77">
            <v>0.373</v>
          </cell>
          <cell r="AB77" t="str">
            <v>mstag:statutoryTaxRate</v>
          </cell>
          <cell r="AC77">
            <v>0</v>
          </cell>
          <cell r="AD77" t="str">
            <v>ms_eqr_gcim_Decimal:ms_eqr_gcim_decimal</v>
          </cell>
          <cell r="AE77" t="b">
            <v>0</v>
          </cell>
          <cell r="AF77" t="b">
            <v>0</v>
          </cell>
        </row>
        <row r="78">
          <cell r="B78" t="str">
            <v xml:space="preserve">     State taxes</v>
          </cell>
          <cell r="C78">
            <v>-22.923999999999999</v>
          </cell>
          <cell r="D78">
            <v>0.95899999999999996</v>
          </cell>
          <cell r="E78">
            <v>16.219000000000001</v>
          </cell>
          <cell r="F78">
            <v>0.83699999999999997</v>
          </cell>
        </row>
        <row r="79">
          <cell r="B79" t="str">
            <v>Unrecorded Goodwill</v>
          </cell>
          <cell r="D79">
            <v>0</v>
          </cell>
          <cell r="E79">
            <v>0</v>
          </cell>
          <cell r="F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AB79" t="str">
            <v>mstag:unrecordedGoodwillFromPoolingAndAmortizedOrWrittenOffGoodwill</v>
          </cell>
          <cell r="AC79">
            <v>6</v>
          </cell>
          <cell r="AD79" t="str">
            <v>ISO4217:USD</v>
          </cell>
          <cell r="AE79" t="b">
            <v>0</v>
          </cell>
          <cell r="AF79" t="b">
            <v>0</v>
          </cell>
        </row>
        <row r="80">
          <cell r="B80" t="str">
            <v>Common Dividends</v>
          </cell>
          <cell r="D80">
            <v>0</v>
          </cell>
          <cell r="E80">
            <v>0</v>
          </cell>
          <cell r="F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AB80" t="str">
            <v>mstag:commonDividends</v>
          </cell>
          <cell r="AC80">
            <v>6</v>
          </cell>
          <cell r="AD80" t="str">
            <v>ISO4217:USD</v>
          </cell>
          <cell r="AE80" t="b">
            <v>0</v>
          </cell>
          <cell r="AF80" t="b">
            <v>0</v>
          </cell>
        </row>
        <row r="82">
          <cell r="B82" t="str">
            <v>ROYALTIES</v>
          </cell>
        </row>
        <row r="83">
          <cell r="B83" t="str">
            <v>Rituxan Ex-US Royalty ($M)</v>
          </cell>
          <cell r="N83">
            <v>186.5</v>
          </cell>
          <cell r="P83">
            <v>214.47500000000002</v>
          </cell>
          <cell r="R83">
            <v>231.63300000000001</v>
          </cell>
          <cell r="T83">
            <v>247.84731000000002</v>
          </cell>
          <cell r="V83">
            <v>315.26177832000002</v>
          </cell>
        </row>
        <row r="84">
          <cell r="B84" t="str">
            <v>Rituxan Royalty Rate (%)</v>
          </cell>
          <cell r="N84">
            <v>0.1</v>
          </cell>
          <cell r="P84">
            <v>0.1</v>
          </cell>
          <cell r="R84">
            <v>0.1</v>
          </cell>
          <cell r="T84">
            <v>0.1</v>
          </cell>
          <cell r="V84">
            <v>0.12</v>
          </cell>
        </row>
        <row r="85">
          <cell r="B85" t="str">
            <v>Avastin Ex-US Royalty ($M)</v>
          </cell>
          <cell r="N85">
            <v>84.75</v>
          </cell>
          <cell r="P85">
            <v>150</v>
          </cell>
          <cell r="R85">
            <v>277.5</v>
          </cell>
          <cell r="T85">
            <v>375</v>
          </cell>
          <cell r="V85">
            <v>435</v>
          </cell>
        </row>
        <row r="86">
          <cell r="B86" t="str">
            <v>Avastin Royalty Rate (%)</v>
          </cell>
          <cell r="N86">
            <v>0.15</v>
          </cell>
          <cell r="P86">
            <v>0.15</v>
          </cell>
          <cell r="R86">
            <v>0.15</v>
          </cell>
          <cell r="T86">
            <v>0.15</v>
          </cell>
          <cell r="V86">
            <v>0.15</v>
          </cell>
        </row>
        <row r="87">
          <cell r="B87" t="str">
            <v>Herceptin Ex-US Royalty ($M)</v>
          </cell>
          <cell r="N87">
            <v>341.875</v>
          </cell>
          <cell r="P87">
            <v>407.96875</v>
          </cell>
          <cell r="R87">
            <v>434.40625</v>
          </cell>
          <cell r="T87">
            <v>452.25156250000003</v>
          </cell>
          <cell r="V87">
            <v>467.241625</v>
          </cell>
        </row>
        <row r="88">
          <cell r="B88" t="str">
            <v>Herceptin Ex-US Sales ($M)</v>
          </cell>
          <cell r="N88">
            <v>1175</v>
          </cell>
          <cell r="P88">
            <v>1468.75</v>
          </cell>
          <cell r="R88">
            <v>1586.25</v>
          </cell>
          <cell r="T88">
            <v>1665.5625</v>
          </cell>
          <cell r="V88">
            <v>1732.1849999999999</v>
          </cell>
        </row>
        <row r="89">
          <cell r="B89" t="str">
            <v>Royalty - $500M</v>
          </cell>
          <cell r="N89">
            <v>100</v>
          </cell>
          <cell r="P89">
            <v>100</v>
          </cell>
          <cell r="R89">
            <v>100</v>
          </cell>
          <cell r="T89">
            <v>100</v>
          </cell>
          <cell r="V89">
            <v>100</v>
          </cell>
        </row>
        <row r="90">
          <cell r="B90" t="str">
            <v>Royalty rate (%)</v>
          </cell>
          <cell r="N90">
            <v>0.2</v>
          </cell>
          <cell r="P90">
            <v>0.2</v>
          </cell>
          <cell r="R90">
            <v>0.2</v>
          </cell>
          <cell r="T90">
            <v>0.2</v>
          </cell>
          <cell r="V90">
            <v>0.2</v>
          </cell>
        </row>
        <row r="91">
          <cell r="B91" t="str">
            <v>Royalty - After $500M</v>
          </cell>
          <cell r="N91">
            <v>241.875</v>
          </cell>
          <cell r="P91">
            <v>307.96875</v>
          </cell>
          <cell r="R91">
            <v>334.40625</v>
          </cell>
          <cell r="T91">
            <v>352.25156250000003</v>
          </cell>
          <cell r="V91">
            <v>367.241625</v>
          </cell>
        </row>
        <row r="92">
          <cell r="B92" t="str">
            <v>Royalty rate (%)</v>
          </cell>
          <cell r="N92">
            <v>0.22500000000000001</v>
          </cell>
          <cell r="P92">
            <v>0.22500000000000001</v>
          </cell>
          <cell r="R92">
            <v>0.22500000000000001</v>
          </cell>
          <cell r="T92">
            <v>0.22500000000000001</v>
          </cell>
          <cell r="V92">
            <v>0.22500000000000001</v>
          </cell>
        </row>
        <row r="93">
          <cell r="B93" t="str">
            <v>Lucentis Ex-US Royalty ($M)</v>
          </cell>
          <cell r="N93">
            <v>0</v>
          </cell>
          <cell r="P93">
            <v>25</v>
          </cell>
          <cell r="R93">
            <v>75</v>
          </cell>
          <cell r="T93">
            <v>112.5</v>
          </cell>
          <cell r="V93">
            <v>137.5</v>
          </cell>
        </row>
        <row r="94">
          <cell r="B94" t="str">
            <v>Lucentis COGS (%)</v>
          </cell>
          <cell r="N94">
            <v>0.25</v>
          </cell>
          <cell r="P94">
            <v>0.25</v>
          </cell>
          <cell r="R94">
            <v>0.25</v>
          </cell>
          <cell r="T94">
            <v>0.25</v>
          </cell>
          <cell r="V94">
            <v>0.25</v>
          </cell>
        </row>
        <row r="95">
          <cell r="B95" t="str">
            <v>Raptiva Ex-US Royalty ($M)</v>
          </cell>
          <cell r="N95">
            <v>6.4756240620749992</v>
          </cell>
          <cell r="P95">
            <v>6.8032906396159953</v>
          </cell>
          <cell r="R95">
            <v>7.1475371459805652</v>
          </cell>
          <cell r="T95">
            <v>7.5092025255671828</v>
          </cell>
          <cell r="V95">
            <v>7.8891681733608801</v>
          </cell>
        </row>
        <row r="96">
          <cell r="B96" t="str">
            <v>Cabilly Royalty ($M)</v>
          </cell>
          <cell r="L96">
            <v>70</v>
          </cell>
          <cell r="N96">
            <v>80.5</v>
          </cell>
          <cell r="O96">
            <v>0.15</v>
          </cell>
          <cell r="P96">
            <v>92.574999999999989</v>
          </cell>
          <cell r="Q96">
            <v>0.15</v>
          </cell>
          <cell r="R96">
            <v>109.23849999999999</v>
          </cell>
          <cell r="S96">
            <v>0.18</v>
          </cell>
          <cell r="T96">
            <v>131.08619999999999</v>
          </cell>
          <cell r="U96">
            <v>0.2</v>
          </cell>
          <cell r="V96">
            <v>163.85774999999998</v>
          </cell>
          <cell r="W96">
            <v>0.25</v>
          </cell>
        </row>
        <row r="97">
          <cell r="B97" t="str">
            <v>Other Royalties ($M)</v>
          </cell>
          <cell r="N97">
            <v>440</v>
          </cell>
          <cell r="P97">
            <v>484.00000000000006</v>
          </cell>
          <cell r="Q97">
            <v>0.1</v>
          </cell>
          <cell r="R97">
            <v>532.40000000000009</v>
          </cell>
          <cell r="S97">
            <v>0.1</v>
          </cell>
          <cell r="T97">
            <v>585.6400000000001</v>
          </cell>
          <cell r="U97">
            <v>0.1</v>
          </cell>
          <cell r="V97">
            <v>644.20400000000018</v>
          </cell>
          <cell r="W97">
            <v>0.1</v>
          </cell>
        </row>
        <row r="98">
          <cell r="B98" t="str">
            <v>TOTAL ROYALTIES</v>
          </cell>
          <cell r="N98">
            <v>1140.100624062075</v>
          </cell>
          <cell r="P98">
            <v>1380.8220406396158</v>
          </cell>
          <cell r="R98">
            <v>1667.3252871459806</v>
          </cell>
          <cell r="T98">
            <v>1911.8342750255674</v>
          </cell>
          <cell r="V98">
            <v>2170.954321493361</v>
          </cell>
        </row>
        <row r="100">
          <cell r="B100" t="str">
            <v>COGS</v>
          </cell>
        </row>
        <row r="101">
          <cell r="B101" t="str">
            <v>Rituxan US COGS ($M)</v>
          </cell>
          <cell r="P101">
            <v>297.70939266920749</v>
          </cell>
          <cell r="R101">
            <v>330.13953356203393</v>
          </cell>
          <cell r="T101">
            <v>361.38962422106277</v>
          </cell>
          <cell r="V101">
            <v>394.45</v>
          </cell>
        </row>
        <row r="102">
          <cell r="B102" t="str">
            <v>Rituxan US COGS (%)</v>
          </cell>
          <cell r="P102">
            <v>0.1225</v>
          </cell>
          <cell r="R102">
            <v>0.1225</v>
          </cell>
          <cell r="T102">
            <v>0.1225</v>
          </cell>
          <cell r="V102">
            <v>0.1225</v>
          </cell>
        </row>
        <row r="103">
          <cell r="B103" t="str">
            <v>Avastin US COGS ($M)</v>
          </cell>
          <cell r="P103">
            <v>338.15533923473572</v>
          </cell>
          <cell r="R103">
            <v>456.25553488746044</v>
          </cell>
          <cell r="T103">
            <v>554.96139897186345</v>
          </cell>
          <cell r="V103">
            <v>636.86124684705521</v>
          </cell>
        </row>
        <row r="104">
          <cell r="B104" t="str">
            <v>Avastin US COGS (%)</v>
          </cell>
          <cell r="P104">
            <v>0.12</v>
          </cell>
          <cell r="R104">
            <v>0.12</v>
          </cell>
          <cell r="T104">
            <v>0.12</v>
          </cell>
          <cell r="V104">
            <v>0.12</v>
          </cell>
        </row>
        <row r="105">
          <cell r="B105" t="str">
            <v>Herceptin US COGS ($M)</v>
          </cell>
          <cell r="P105">
            <v>188.03529142302889</v>
          </cell>
          <cell r="R105">
            <v>201.22743725388611</v>
          </cell>
          <cell r="T105">
            <v>212.71601293076185</v>
          </cell>
          <cell r="V105">
            <v>224.86570784728451</v>
          </cell>
        </row>
        <row r="106">
          <cell r="B106" t="str">
            <v>Herceptin US COGS (%)</v>
          </cell>
          <cell r="P106">
            <v>0.12</v>
          </cell>
          <cell r="R106">
            <v>0.12</v>
          </cell>
          <cell r="T106">
            <v>0.12</v>
          </cell>
          <cell r="V106">
            <v>0.12</v>
          </cell>
        </row>
        <row r="107">
          <cell r="B107" t="str">
            <v>Lucentis COGS ($M)</v>
          </cell>
          <cell r="P107">
            <v>36</v>
          </cell>
          <cell r="R107">
            <v>44</v>
          </cell>
          <cell r="T107">
            <v>48</v>
          </cell>
          <cell r="V107">
            <v>52</v>
          </cell>
        </row>
        <row r="108">
          <cell r="B108" t="str">
            <v>Lucentis COGS (%)</v>
          </cell>
          <cell r="P108">
            <v>0.08</v>
          </cell>
          <cell r="R108">
            <v>0.08</v>
          </cell>
          <cell r="T108">
            <v>0.08</v>
          </cell>
          <cell r="V108">
            <v>0.08</v>
          </cell>
        </row>
        <row r="109">
          <cell r="B109" t="str">
            <v>Tarceva COGS ($M)</v>
          </cell>
          <cell r="P109">
            <v>27.886133421897846</v>
          </cell>
          <cell r="R109">
            <v>31.358250204914803</v>
          </cell>
          <cell r="T109">
            <v>35.47312452941911</v>
          </cell>
          <cell r="V109">
            <v>38.738165421000645</v>
          </cell>
        </row>
        <row r="110">
          <cell r="B110" t="str">
            <v>Xolair COGS ($M)</v>
          </cell>
          <cell r="P110">
            <v>162.55170346477431</v>
          </cell>
          <cell r="R110">
            <v>171.61265728377725</v>
          </cell>
          <cell r="T110">
            <v>183.38112754984081</v>
          </cell>
          <cell r="V110">
            <v>196.51930021468087</v>
          </cell>
        </row>
        <row r="111">
          <cell r="B111" t="str">
            <v>Xolair US COGS ($M))</v>
          </cell>
          <cell r="P111">
            <v>142.32963792903627</v>
          </cell>
          <cell r="R111">
            <v>145.82952372571125</v>
          </cell>
          <cell r="T111">
            <v>148.31606591087103</v>
          </cell>
          <cell r="V111">
            <v>151.8113466249944</v>
          </cell>
        </row>
        <row r="112">
          <cell r="B112" t="str">
            <v>Xolair EU COGS ($M))</v>
          </cell>
          <cell r="P112">
            <v>20.222065535738043</v>
          </cell>
          <cell r="R112">
            <v>25.783133558066002</v>
          </cell>
          <cell r="T112">
            <v>35.065061638969773</v>
          </cell>
          <cell r="V112">
            <v>44.707953589686461</v>
          </cell>
        </row>
        <row r="113">
          <cell r="B113" t="str">
            <v>Raptiva COGS ($M)</v>
          </cell>
          <cell r="P113">
            <v>31.567268567818218</v>
          </cell>
          <cell r="R113">
            <v>30.496158489517082</v>
          </cell>
          <cell r="T113">
            <v>32.039264109086645</v>
          </cell>
          <cell r="V113">
            <v>33.660450873006425</v>
          </cell>
        </row>
        <row r="114">
          <cell r="B114" t="str">
            <v>Raptiva US COGS ($M))</v>
          </cell>
          <cell r="P114">
            <v>17.960687288586225</v>
          </cell>
          <cell r="R114">
            <v>16.20108419755595</v>
          </cell>
          <cell r="T114">
            <v>17.020859057952279</v>
          </cell>
          <cell r="V114">
            <v>17.882114526284667</v>
          </cell>
        </row>
        <row r="115">
          <cell r="B115" t="str">
            <v>Raptiva EU COGS ($M))</v>
          </cell>
          <cell r="P115">
            <v>13.606581279231992</v>
          </cell>
          <cell r="R115">
            <v>14.295074291961132</v>
          </cell>
          <cell r="T115">
            <v>15.018405051134366</v>
          </cell>
          <cell r="V115">
            <v>15.778336346721762</v>
          </cell>
        </row>
        <row r="116">
          <cell r="B116" t="str">
            <v>Other Products COGS ($M)</v>
          </cell>
          <cell r="P116">
            <v>102.06479999999999</v>
          </cell>
          <cell r="R116">
            <v>99.100427999999994</v>
          </cell>
          <cell r="T116">
            <v>103.70992788</v>
          </cell>
          <cell r="V116">
            <v>108.44268931079999</v>
          </cell>
        </row>
        <row r="117">
          <cell r="B117" t="str">
            <v>Other Products COGS (%)</v>
          </cell>
          <cell r="P117">
            <v>0.12</v>
          </cell>
          <cell r="R117">
            <v>0.12</v>
          </cell>
          <cell r="T117">
            <v>0.12</v>
          </cell>
          <cell r="V117">
            <v>0.12</v>
          </cell>
        </row>
        <row r="118">
          <cell r="B118" t="str">
            <v>COGS on Roche Transfer ($M)</v>
          </cell>
          <cell r="P118">
            <v>322.79000000000002</v>
          </cell>
          <cell r="R118">
            <v>254.88000000000002</v>
          </cell>
          <cell r="T118">
            <v>171.13247999999999</v>
          </cell>
          <cell r="V118">
            <v>89.022239999999996</v>
          </cell>
        </row>
        <row r="119">
          <cell r="B119" t="str">
            <v>Roche Transfer COGS (%)</v>
          </cell>
          <cell r="P119">
            <v>0.8</v>
          </cell>
          <cell r="R119">
            <v>0.8</v>
          </cell>
          <cell r="T119">
            <v>0.8</v>
          </cell>
          <cell r="V119">
            <v>0.8</v>
          </cell>
        </row>
        <row r="120">
          <cell r="B120" t="str">
            <v>TOTAL COGS</v>
          </cell>
          <cell r="P120">
            <v>1506.7599287814626</v>
          </cell>
          <cell r="R120">
            <v>1619.0699996815897</v>
          </cell>
          <cell r="T120">
            <v>1702.8029601920346</v>
          </cell>
          <cell r="V120">
            <v>1774.5598005138277</v>
          </cell>
        </row>
        <row r="122">
          <cell r="B122" t="str">
            <v>COLLABORATIVE</v>
          </cell>
        </row>
        <row r="123">
          <cell r="B123" t="str">
            <v>Rituxan Payment ($M)</v>
          </cell>
          <cell r="P123">
            <v>777.68984207466451</v>
          </cell>
          <cell r="R123">
            <v>862.40531216204784</v>
          </cell>
          <cell r="T123">
            <v>944.03820204685792</v>
          </cell>
          <cell r="V123">
            <v>1030.4000000000001</v>
          </cell>
        </row>
        <row r="124">
          <cell r="B124" t="str">
            <v>Rituxan payment (%)</v>
          </cell>
          <cell r="P124">
            <v>0.32</v>
          </cell>
          <cell r="R124">
            <v>0.32</v>
          </cell>
          <cell r="T124">
            <v>0.32</v>
          </cell>
          <cell r="V124">
            <v>0.32</v>
          </cell>
        </row>
        <row r="125">
          <cell r="B125" t="str">
            <v>Tarceva Payment ($M)</v>
          </cell>
          <cell r="P125">
            <v>266.36815092992731</v>
          </cell>
          <cell r="R125">
            <v>327.82412715160547</v>
          </cell>
          <cell r="T125">
            <v>371.21780755890063</v>
          </cell>
          <cell r="V125">
            <v>409.91598848300674</v>
          </cell>
        </row>
        <row r="126">
          <cell r="B126" t="str">
            <v>Xolair Payment ($M)</v>
          </cell>
          <cell r="P126">
            <v>138.81661576624447</v>
          </cell>
          <cell r="R126">
            <v>148.69147088800673</v>
          </cell>
          <cell r="T126">
            <v>162.04257240736885</v>
          </cell>
          <cell r="V126">
            <v>170.5998248078663</v>
          </cell>
        </row>
        <row r="127">
          <cell r="B127" t="str">
            <v>Payment to Genentech ($M)</v>
          </cell>
          <cell r="P127">
            <v>147.07395919333749</v>
          </cell>
          <cell r="R127">
            <v>169.2664114673434</v>
          </cell>
          <cell r="T127">
            <v>193.95177849883135</v>
          </cell>
          <cell r="V127">
            <v>212.53588527499218</v>
          </cell>
        </row>
        <row r="128">
          <cell r="B128" t="str">
            <v>DNA Ex-US Profit ($M)</v>
          </cell>
          <cell r="P128">
            <v>-8.2573434270930335</v>
          </cell>
          <cell r="R128">
            <v>-20.574940579336669</v>
          </cell>
          <cell r="T128">
            <v>-31.909206091462487</v>
          </cell>
          <cell r="V128">
            <v>-41.936060467125898</v>
          </cell>
        </row>
        <row r="129">
          <cell r="B129" t="str">
            <v>Raptiva Payment ($M)</v>
          </cell>
          <cell r="P129">
            <v>8.3907251221930608</v>
          </cell>
          <cell r="R129">
            <v>10.244803242572145</v>
          </cell>
          <cell r="T129">
            <v>10.763190286646296</v>
          </cell>
          <cell r="V129">
            <v>11.307807715150599</v>
          </cell>
        </row>
        <row r="130">
          <cell r="B130" t="str">
            <v>TOTAL PAYMENTS</v>
          </cell>
          <cell r="P130">
            <v>1191.2653338930295</v>
          </cell>
          <cell r="R130">
            <v>1349.1657134442321</v>
          </cell>
          <cell r="T130">
            <v>1488.0617722997738</v>
          </cell>
          <cell r="V130">
            <v>1622.2236210060237</v>
          </cell>
        </row>
        <row r="132">
          <cell r="B132" t="str">
            <v>Current Basic Shares Outstanding</v>
          </cell>
          <cell r="H132">
            <v>1060.6189999999999</v>
          </cell>
          <cell r="AB132" t="str">
            <v>mstag:currentBasicSharesOutstanding</v>
          </cell>
          <cell r="AC132">
            <v>6</v>
          </cell>
          <cell r="AD132" t="str">
            <v>ms_eqr_gcim_Decimal:ms_eqr_gcim_decimal</v>
          </cell>
          <cell r="AE132" t="b">
            <v>0</v>
          </cell>
          <cell r="AF132" t="b">
            <v>0</v>
          </cell>
        </row>
        <row r="133">
          <cell r="B133" t="str">
            <v>Current Diluted Shares Outstanding</v>
          </cell>
          <cell r="H133">
            <v>1087.087</v>
          </cell>
          <cell r="AB133" t="str">
            <v>mstag:currentDilutedSharesOutstanding</v>
          </cell>
          <cell r="AC133">
            <v>6</v>
          </cell>
          <cell r="AD133" t="str">
            <v>ms_eqr_gcim_Decimal:ms_eqr_gcim_decimal</v>
          </cell>
          <cell r="AE133" t="b">
            <v>0</v>
          </cell>
          <cell r="AF133" t="b">
            <v>0</v>
          </cell>
        </row>
        <row r="134">
          <cell r="B134" t="str">
            <v>INTEREST CALCULATIONS</v>
          </cell>
        </row>
        <row r="135">
          <cell r="B135" t="str">
            <v>Cash and Equivalents</v>
          </cell>
          <cell r="E135">
            <v>2662.1325000000002</v>
          </cell>
          <cell r="F135">
            <v>2233.3744999999999</v>
          </cell>
          <cell r="H135">
            <v>2268.1279213292892</v>
          </cell>
          <cell r="J135">
            <v>2857.4149213292885</v>
          </cell>
          <cell r="L135">
            <v>3297.1620000000003</v>
          </cell>
          <cell r="N135">
            <v>3702.1018822259666</v>
          </cell>
          <cell r="P135">
            <v>3956.9953926703447</v>
          </cell>
          <cell r="R135">
            <v>5353.6803473669661</v>
          </cell>
          <cell r="T135">
            <v>7971.2501559284938</v>
          </cell>
          <cell r="V135">
            <v>11307.855993356801</v>
          </cell>
        </row>
        <row r="136">
          <cell r="B136" t="str">
            <v>Return on assets</v>
          </cell>
          <cell r="E136">
            <v>5.071310312315408E-2</v>
          </cell>
          <cell r="F136">
            <v>4.8277617569288091E-2</v>
          </cell>
          <cell r="H136">
            <v>4.0917886124169002E-2</v>
          </cell>
          <cell r="J136">
            <v>2.8906197480614865E-2</v>
          </cell>
          <cell r="L136">
            <v>4.2733720696768916E-2</v>
          </cell>
          <cell r="N136">
            <v>3.5000000000000003E-2</v>
          </cell>
          <cell r="P136">
            <v>0.04</v>
          </cell>
          <cell r="R136">
            <v>0.04</v>
          </cell>
          <cell r="T136">
            <v>3.7499999999999999E-2</v>
          </cell>
          <cell r="V136">
            <v>3.7499999999999999E-2</v>
          </cell>
        </row>
        <row r="137">
          <cell r="B137" t="str">
            <v>Interest Income</v>
          </cell>
          <cell r="E137">
            <v>135.005</v>
          </cell>
          <cell r="F137">
            <v>107.822</v>
          </cell>
          <cell r="H137">
            <v>92.807000000000002</v>
          </cell>
          <cell r="J137">
            <v>82.597000000000008</v>
          </cell>
          <cell r="L137">
            <v>140.9</v>
          </cell>
          <cell r="N137">
            <v>129.57356587790883</v>
          </cell>
          <cell r="P137">
            <v>158.27981570681379</v>
          </cell>
          <cell r="R137">
            <v>214.14721389467866</v>
          </cell>
          <cell r="T137">
            <v>298.9218808473185</v>
          </cell>
          <cell r="V137">
            <v>424.04459975088002</v>
          </cell>
        </row>
        <row r="138">
          <cell r="B138" t="str">
            <v>Test</v>
          </cell>
          <cell r="J138">
            <v>82.597000000000008</v>
          </cell>
          <cell r="L138">
            <v>140.9</v>
          </cell>
          <cell r="N138">
            <v>228</v>
          </cell>
          <cell r="P138">
            <v>158.27981570681379</v>
          </cell>
          <cell r="R138">
            <v>214.14721389467866</v>
          </cell>
          <cell r="T138">
            <v>298.9218808473185</v>
          </cell>
          <cell r="V138">
            <v>424.04459975088002</v>
          </cell>
        </row>
        <row r="140">
          <cell r="B140" t="str">
            <v>Interest Bearing Obligations</v>
          </cell>
          <cell r="F140">
            <v>0</v>
          </cell>
          <cell r="H140">
            <v>412.25</v>
          </cell>
          <cell r="J140">
            <v>412.25</v>
          </cell>
          <cell r="L140">
            <v>2083.0239999999999</v>
          </cell>
          <cell r="N140">
            <v>2083.0239999999999</v>
          </cell>
          <cell r="P140">
            <v>2083.0239999999999</v>
          </cell>
          <cell r="R140">
            <v>2083.0239999999999</v>
          </cell>
          <cell r="T140">
            <v>2083.0239999999999</v>
          </cell>
          <cell r="V140">
            <v>1583.0239999999999</v>
          </cell>
        </row>
        <row r="141">
          <cell r="B141" t="str">
            <v>Interest Rate</v>
          </cell>
          <cell r="F141">
            <v>9.3300000000000005E-5</v>
          </cell>
          <cell r="L141">
            <v>-4.7720552427624449E-2</v>
          </cell>
          <cell r="N141">
            <v>-4.7720552427624449E-2</v>
          </cell>
          <cell r="P141">
            <v>-4.7720552427624449E-2</v>
          </cell>
          <cell r="R141">
            <v>-4.7720552427624449E-2</v>
          </cell>
          <cell r="T141">
            <v>-4.7720552427624449E-2</v>
          </cell>
          <cell r="V141">
            <v>-4.8895693305976408E-2</v>
          </cell>
        </row>
        <row r="142">
          <cell r="B142" t="str">
            <v>Interest Expense</v>
          </cell>
          <cell r="F142">
            <v>0</v>
          </cell>
          <cell r="L142">
            <v>-99.403055999999992</v>
          </cell>
          <cell r="N142">
            <v>-99.403055999999992</v>
          </cell>
          <cell r="P142">
            <v>-99.403055999999992</v>
          </cell>
          <cell r="R142">
            <v>-99.403055999999992</v>
          </cell>
          <cell r="T142">
            <v>-99.403055999999992</v>
          </cell>
          <cell r="V142">
            <v>-77.403055999999992</v>
          </cell>
        </row>
        <row r="143">
          <cell r="B143" t="str">
            <v>Debt #1</v>
          </cell>
          <cell r="F143">
            <v>554.72799999999995</v>
          </cell>
          <cell r="H143">
            <v>623.29</v>
          </cell>
          <cell r="J143">
            <v>703.12</v>
          </cell>
          <cell r="L143">
            <v>583.02399999999989</v>
          </cell>
          <cell r="N143">
            <v>583.02399999999989</v>
          </cell>
          <cell r="P143">
            <v>583.02399999999989</v>
          </cell>
          <cell r="R143">
            <v>583.02399999999989</v>
          </cell>
          <cell r="T143">
            <v>583.02399999999989</v>
          </cell>
          <cell r="V143">
            <v>83.023999999999887</v>
          </cell>
        </row>
        <row r="144">
          <cell r="B144" t="str">
            <v>Interest Rate</v>
          </cell>
          <cell r="F144">
            <v>9.3300000000000005E-5</v>
          </cell>
          <cell r="H144">
            <v>9.3300000000000005E-5</v>
          </cell>
          <cell r="J144">
            <v>9.3300000000000005E-5</v>
          </cell>
          <cell r="L144">
            <v>4.3999999999999997E-2</v>
          </cell>
          <cell r="N144">
            <v>4.3999999999999997E-2</v>
          </cell>
          <cell r="P144">
            <v>4.3999999999999997E-2</v>
          </cell>
          <cell r="R144">
            <v>4.3999999999999997E-2</v>
          </cell>
          <cell r="T144">
            <v>4.3999999999999997E-2</v>
          </cell>
          <cell r="V144">
            <v>4.3999999999999997E-2</v>
          </cell>
        </row>
        <row r="145">
          <cell r="B145" t="str">
            <v>Interest Expense</v>
          </cell>
          <cell r="F145">
            <v>5.17561224E-2</v>
          </cell>
          <cell r="H145">
            <v>5.8152956999999998E-2</v>
          </cell>
          <cell r="J145">
            <v>6.5601095999999998E-2</v>
          </cell>
          <cell r="L145">
            <v>25.653055999999992</v>
          </cell>
          <cell r="N145">
            <v>25.653055999999992</v>
          </cell>
          <cell r="P145">
            <v>25.653055999999992</v>
          </cell>
          <cell r="R145">
            <v>25.653055999999992</v>
          </cell>
          <cell r="T145">
            <v>25.653055999999992</v>
          </cell>
          <cell r="V145">
            <v>3.653055999999995</v>
          </cell>
        </row>
        <row r="146">
          <cell r="B146" t="str">
            <v>Debt #2</v>
          </cell>
          <cell r="F146">
            <v>0</v>
          </cell>
          <cell r="H146">
            <v>0</v>
          </cell>
          <cell r="J146">
            <v>0</v>
          </cell>
          <cell r="L146">
            <v>1000</v>
          </cell>
          <cell r="N146">
            <v>1000</v>
          </cell>
          <cell r="P146">
            <v>1000</v>
          </cell>
          <cell r="R146">
            <v>1000</v>
          </cell>
          <cell r="T146">
            <v>1000</v>
          </cell>
          <cell r="V146">
            <v>1000</v>
          </cell>
        </row>
        <row r="147">
          <cell r="B147" t="str">
            <v>Interest Rate</v>
          </cell>
          <cell r="F147">
            <v>9.3300000000000005E-5</v>
          </cell>
          <cell r="H147">
            <v>0</v>
          </cell>
          <cell r="J147">
            <v>0</v>
          </cell>
          <cell r="L147">
            <v>4.7500000000000001E-2</v>
          </cell>
          <cell r="N147">
            <v>4.7500000000000001E-2</v>
          </cell>
          <cell r="P147">
            <v>4.7500000000000001E-2</v>
          </cell>
          <cell r="R147">
            <v>4.7500000000000001E-2</v>
          </cell>
          <cell r="T147">
            <v>4.7500000000000001E-2</v>
          </cell>
          <cell r="V147">
            <v>4.7500000000000001E-2</v>
          </cell>
        </row>
        <row r="148">
          <cell r="B148" t="str">
            <v>Interest Expense</v>
          </cell>
          <cell r="F148">
            <v>0</v>
          </cell>
          <cell r="H148">
            <v>0</v>
          </cell>
          <cell r="J148">
            <v>0</v>
          </cell>
          <cell r="L148">
            <v>47.5</v>
          </cell>
          <cell r="N148">
            <v>47.5</v>
          </cell>
          <cell r="P148">
            <v>47.5</v>
          </cell>
          <cell r="R148">
            <v>47.5</v>
          </cell>
          <cell r="T148">
            <v>47.5</v>
          </cell>
          <cell r="V148">
            <v>47.5</v>
          </cell>
        </row>
        <row r="149">
          <cell r="B149" t="str">
            <v>Debt #3</v>
          </cell>
          <cell r="F149">
            <v>-1590.366</v>
          </cell>
          <cell r="H149">
            <v>0</v>
          </cell>
          <cell r="J149">
            <v>0</v>
          </cell>
          <cell r="L149">
            <v>500</v>
          </cell>
          <cell r="N149">
            <v>500</v>
          </cell>
          <cell r="P149">
            <v>500</v>
          </cell>
          <cell r="R149">
            <v>500</v>
          </cell>
          <cell r="T149">
            <v>500</v>
          </cell>
          <cell r="V149">
            <v>500</v>
          </cell>
        </row>
        <row r="150">
          <cell r="B150" t="str">
            <v>Interest Rate</v>
          </cell>
          <cell r="F150">
            <v>9.3300000000000005E-5</v>
          </cell>
          <cell r="H150">
            <v>0</v>
          </cell>
          <cell r="J150">
            <v>0</v>
          </cell>
          <cell r="L150">
            <v>5.2499999999999998E-2</v>
          </cell>
          <cell r="N150">
            <v>5.2499999999999998E-2</v>
          </cell>
          <cell r="P150">
            <v>5.2499999999999998E-2</v>
          </cell>
          <cell r="R150">
            <v>5.2499999999999998E-2</v>
          </cell>
          <cell r="T150">
            <v>5.2499999999999998E-2</v>
          </cell>
          <cell r="V150">
            <v>5.2499999999999998E-2</v>
          </cell>
        </row>
        <row r="151">
          <cell r="B151" t="str">
            <v>Interest Expense</v>
          </cell>
          <cell r="F151">
            <v>-0.1483811478</v>
          </cell>
          <cell r="H151">
            <v>0</v>
          </cell>
          <cell r="J151">
            <v>0</v>
          </cell>
          <cell r="L151">
            <v>26.25</v>
          </cell>
          <cell r="N151">
            <v>26.25</v>
          </cell>
          <cell r="P151">
            <v>26.25</v>
          </cell>
          <cell r="R151">
            <v>26.25</v>
          </cell>
          <cell r="T151">
            <v>26.25</v>
          </cell>
          <cell r="V151">
            <v>26.25</v>
          </cell>
        </row>
        <row r="152">
          <cell r="D152" t="str">
            <v>2000A</v>
          </cell>
          <cell r="E152" t="str">
            <v>2001A</v>
          </cell>
          <cell r="F152" t="str">
            <v>2002A</v>
          </cell>
          <cell r="H152" t="str">
            <v>2003A</v>
          </cell>
          <cell r="I152" t="str">
            <v>2004E</v>
          </cell>
          <cell r="J152" t="str">
            <v>2005E</v>
          </cell>
          <cell r="K152" t="str">
            <v>2006E</v>
          </cell>
          <cell r="L152" t="str">
            <v>2007E</v>
          </cell>
          <cell r="M152" t="str">
            <v>2008E</v>
          </cell>
          <cell r="N152" t="str">
            <v>2009E</v>
          </cell>
          <cell r="O152" t="str">
            <v>2010E</v>
          </cell>
        </row>
        <row r="153">
          <cell r="B153" t="str">
            <v>RNOA</v>
          </cell>
        </row>
        <row r="154">
          <cell r="B154" t="str">
            <v>ROE</v>
          </cell>
        </row>
        <row r="155">
          <cell r="B155" t="str">
            <v>Operating Margin</v>
          </cell>
          <cell r="D155">
            <v>0.23109484655632037</v>
          </cell>
          <cell r="E155">
            <v>0.22983837826413678</v>
          </cell>
          <cell r="F155">
            <v>0.24055711926676934</v>
          </cell>
          <cell r="H155">
            <v>0.25620589712352548</v>
          </cell>
          <cell r="I155">
            <v>0.28551025707608407</v>
          </cell>
          <cell r="J155">
            <v>0.31694360513418202</v>
          </cell>
          <cell r="K155">
            <v>0.35652364818932586</v>
          </cell>
          <cell r="L155">
            <v>0.39079481045141073</v>
          </cell>
          <cell r="M155">
            <v>0.41648950612743196</v>
          </cell>
          <cell r="N155">
            <v>0.43423843372946319</v>
          </cell>
          <cell r="O155">
            <v>0.45021543822400667</v>
          </cell>
        </row>
        <row r="193">
          <cell r="N193">
            <v>44.013721844271316</v>
          </cell>
          <cell r="P193">
            <v>33.29289312441832</v>
          </cell>
          <cell r="R193">
            <v>26.640507605564949</v>
          </cell>
          <cell r="T193">
            <v>22.631589842223477</v>
          </cell>
          <cell r="V193">
            <v>19.727270219320825</v>
          </cell>
        </row>
      </sheetData>
      <sheetData sheetId="8" refreshError="1">
        <row r="1">
          <cell r="B1" t="str">
            <v>Genentech Balance Sheet</v>
          </cell>
          <cell r="Y1" t="str">
            <v>ElementName</v>
          </cell>
          <cell r="Z1" t="str">
            <v>ScaleOverride</v>
          </cell>
          <cell r="AA1" t="str">
            <v>UnitOverride</v>
          </cell>
          <cell r="AB1" t="str">
            <v>ReverseSign</v>
          </cell>
          <cell r="AC1" t="str">
            <v>IsDrivingAssumption</v>
          </cell>
          <cell r="AD1" t="str">
            <v>SegmentID</v>
          </cell>
        </row>
        <row r="2">
          <cell r="B2" t="str">
            <v>(Dollars in millions)</v>
          </cell>
        </row>
        <row r="4">
          <cell r="C4" t="str">
            <v>1999A</v>
          </cell>
          <cell r="D4" t="str">
            <v>2000A</v>
          </cell>
          <cell r="E4" t="str">
            <v>2001A</v>
          </cell>
          <cell r="F4" t="str">
            <v>2002A</v>
          </cell>
          <cell r="H4" t="str">
            <v>2003A</v>
          </cell>
          <cell r="J4" t="str">
            <v>2004A</v>
          </cell>
          <cell r="L4" t="str">
            <v>2005A</v>
          </cell>
          <cell r="N4" t="str">
            <v>2006E</v>
          </cell>
          <cell r="P4" t="str">
            <v>2007E</v>
          </cell>
          <cell r="R4" t="str">
            <v>2008E</v>
          </cell>
          <cell r="T4" t="str">
            <v>2009E</v>
          </cell>
          <cell r="V4" t="str">
            <v>2010E</v>
          </cell>
        </row>
        <row r="6">
          <cell r="B6" t="str">
            <v>Cash and Equivalents</v>
          </cell>
          <cell r="D6">
            <v>551.38400000000001</v>
          </cell>
          <cell r="E6">
            <v>395.20299999999997</v>
          </cell>
          <cell r="F6">
            <v>208.13</v>
          </cell>
          <cell r="H6">
            <v>371.87784265857772</v>
          </cell>
          <cell r="J6">
            <v>270.12299999999999</v>
          </cell>
          <cell r="L6">
            <v>1225.511</v>
          </cell>
          <cell r="N6">
            <v>1001.9307644519329</v>
          </cell>
          <cell r="P6">
            <v>1235.2980208887568</v>
          </cell>
          <cell r="R6">
            <v>2295.300673845175</v>
          </cell>
          <cell r="T6">
            <v>3470.4376380118142</v>
          </cell>
          <cell r="V6">
            <v>4968.5123487017881</v>
          </cell>
          <cell r="Y6" t="str">
            <v>mstag:cashAndCashEquivalents</v>
          </cell>
          <cell r="Z6">
            <v>6</v>
          </cell>
          <cell r="AA6" t="str">
            <v>ISO4217:USD</v>
          </cell>
          <cell r="AB6" t="b">
            <v>0</v>
          </cell>
          <cell r="AC6" t="b">
            <v>0</v>
          </cell>
        </row>
        <row r="7">
          <cell r="B7" t="str">
            <v>Short-term investments</v>
          </cell>
          <cell r="D7">
            <v>642.47500000000002</v>
          </cell>
          <cell r="E7">
            <v>952.875</v>
          </cell>
          <cell r="F7">
            <v>826.44200000000001</v>
          </cell>
          <cell r="H7">
            <v>1139.6199999999999</v>
          </cell>
          <cell r="J7">
            <v>1394.982</v>
          </cell>
          <cell r="L7">
            <v>1139.6500000000001</v>
          </cell>
          <cell r="N7">
            <v>1139.6500000000001</v>
          </cell>
          <cell r="P7">
            <v>1264.6500000000001</v>
          </cell>
          <cell r="R7">
            <v>1514.65</v>
          </cell>
          <cell r="T7">
            <v>2014.65</v>
          </cell>
          <cell r="V7">
            <v>2514.65</v>
          </cell>
          <cell r="Y7" t="str">
            <v>mstag:shortTermInvestments</v>
          </cell>
          <cell r="Z7">
            <v>6</v>
          </cell>
          <cell r="AA7" t="str">
            <v>ISO4217:USD</v>
          </cell>
          <cell r="AB7" t="b">
            <v>0</v>
          </cell>
          <cell r="AC7" t="b">
            <v>0</v>
          </cell>
        </row>
        <row r="8">
          <cell r="B8" t="str">
            <v>Receivables, trade</v>
          </cell>
          <cell r="D8">
            <v>162.12100000000001</v>
          </cell>
          <cell r="E8">
            <v>193.203</v>
          </cell>
          <cell r="F8">
            <v>224.34299999999999</v>
          </cell>
          <cell r="H8">
            <v>299.10000000000002</v>
          </cell>
          <cell r="J8">
            <v>599.05200000000002</v>
          </cell>
          <cell r="L8">
            <v>554.45500000000004</v>
          </cell>
          <cell r="N8">
            <v>760.03000000000009</v>
          </cell>
          <cell r="P8">
            <v>939.92709347360233</v>
          </cell>
          <cell r="R8">
            <v>1092.0155259251524</v>
          </cell>
          <cell r="T8">
            <v>1122.0029983011618</v>
          </cell>
          <cell r="V8">
            <v>1051.8739766251808</v>
          </cell>
          <cell r="Y8" t="str">
            <v>mstag:tradeReceivables</v>
          </cell>
          <cell r="Z8">
            <v>6</v>
          </cell>
          <cell r="AA8" t="str">
            <v>ISO4217:USD</v>
          </cell>
          <cell r="AB8" t="b">
            <v>0</v>
          </cell>
          <cell r="AC8" t="b">
            <v>0</v>
          </cell>
        </row>
        <row r="9">
          <cell r="B9" t="str">
            <v>Receivables, other</v>
          </cell>
          <cell r="D9">
            <v>63.262</v>
          </cell>
          <cell r="E9">
            <v>77.837000000000003</v>
          </cell>
          <cell r="F9">
            <v>87.244</v>
          </cell>
          <cell r="H9">
            <v>73.400000000000006</v>
          </cell>
          <cell r="J9">
            <v>140.83799999999999</v>
          </cell>
          <cell r="L9">
            <v>232.297</v>
          </cell>
          <cell r="N9">
            <v>228.00900000000001</v>
          </cell>
          <cell r="P9">
            <v>281.9781280420807</v>
          </cell>
          <cell r="R9">
            <v>327.6046577775457</v>
          </cell>
          <cell r="T9">
            <v>336.60089949034852</v>
          </cell>
          <cell r="V9">
            <v>315.56219298755423</v>
          </cell>
          <cell r="Y9" t="str">
            <v>mstag:tradeReceivables</v>
          </cell>
          <cell r="Z9">
            <v>6</v>
          </cell>
          <cell r="AA9" t="str">
            <v>ISO4217:USD</v>
          </cell>
          <cell r="AB9" t="b">
            <v>0</v>
          </cell>
          <cell r="AC9" t="b">
            <v>0</v>
          </cell>
        </row>
        <row r="10">
          <cell r="B10" t="str">
            <v>Receivables, related party</v>
          </cell>
          <cell r="D10">
            <v>36.298999999999999</v>
          </cell>
          <cell r="E10">
            <v>66.867000000000004</v>
          </cell>
          <cell r="F10">
            <v>106.89400000000001</v>
          </cell>
          <cell r="H10">
            <v>201.6</v>
          </cell>
          <cell r="J10">
            <v>217.482</v>
          </cell>
          <cell r="L10">
            <v>296.66399999999999</v>
          </cell>
          <cell r="N10">
            <v>532.02100000000007</v>
          </cell>
          <cell r="P10">
            <v>657.94896543152163</v>
          </cell>
          <cell r="R10">
            <v>764.41086814760661</v>
          </cell>
          <cell r="T10">
            <v>785.40209881081319</v>
          </cell>
          <cell r="V10">
            <v>736.31178363762649</v>
          </cell>
          <cell r="Y10" t="str">
            <v>mstag:tradeReceivables</v>
          </cell>
          <cell r="Z10">
            <v>6</v>
          </cell>
          <cell r="AA10" t="str">
            <v>ISO4217:USD</v>
          </cell>
          <cell r="AB10" t="b">
            <v>0</v>
          </cell>
          <cell r="AC10" t="b">
            <v>0</v>
          </cell>
        </row>
        <row r="11">
          <cell r="B11" t="str">
            <v>Inventories</v>
          </cell>
          <cell r="D11">
            <v>265.83</v>
          </cell>
          <cell r="E11">
            <v>356.94600000000003</v>
          </cell>
          <cell r="F11">
            <v>393.54199999999997</v>
          </cell>
          <cell r="H11">
            <v>469.64</v>
          </cell>
          <cell r="J11">
            <v>590.34299999999996</v>
          </cell>
          <cell r="L11">
            <v>702.51499999999999</v>
          </cell>
          <cell r="N11">
            <v>905.58340740740744</v>
          </cell>
          <cell r="P11">
            <v>1076.257091986759</v>
          </cell>
          <cell r="R11">
            <v>1156.4785712011355</v>
          </cell>
          <cell r="T11">
            <v>1216.2878287085962</v>
          </cell>
          <cell r="V11">
            <v>1267.542714652734</v>
          </cell>
          <cell r="Y11" t="str">
            <v>mstag:inventories</v>
          </cell>
          <cell r="Z11">
            <v>6</v>
          </cell>
          <cell r="AA11" t="str">
            <v>ISO4217:USD</v>
          </cell>
          <cell r="AB11" t="b">
            <v>0</v>
          </cell>
          <cell r="AC11" t="b">
            <v>0</v>
          </cell>
        </row>
        <row r="12">
          <cell r="B12" t="str">
            <v>Deferred Tax assets, Net</v>
          </cell>
          <cell r="D12">
            <v>40.619</v>
          </cell>
          <cell r="E12">
            <v>139.56700000000001</v>
          </cell>
          <cell r="F12">
            <v>82.299000000000007</v>
          </cell>
          <cell r="H12">
            <v>121.88500000000001</v>
          </cell>
          <cell r="J12">
            <v>148.37</v>
          </cell>
          <cell r="L12">
            <v>166.56100000000001</v>
          </cell>
          <cell r="N12">
            <v>166.56100000000001</v>
          </cell>
          <cell r="P12">
            <v>166.56100000000001</v>
          </cell>
          <cell r="R12">
            <v>166.56100000000001</v>
          </cell>
          <cell r="T12">
            <v>166.56100000000001</v>
          </cell>
          <cell r="V12">
            <v>166.56100000000001</v>
          </cell>
          <cell r="Y12" t="str">
            <v>mstag:deferredTaxAssets</v>
          </cell>
          <cell r="Z12">
            <v>6</v>
          </cell>
          <cell r="AA12" t="str">
            <v>ISO4217:USD</v>
          </cell>
          <cell r="AB12" t="b">
            <v>0</v>
          </cell>
          <cell r="AC12" t="b">
            <v>0</v>
          </cell>
        </row>
        <row r="13">
          <cell r="B13" t="str">
            <v>Prepaid expenses and other current assets</v>
          </cell>
          <cell r="D13">
            <v>31.431999999999999</v>
          </cell>
          <cell r="E13">
            <v>38.896000000000001</v>
          </cell>
          <cell r="F13">
            <v>153.88999999999999</v>
          </cell>
          <cell r="H13">
            <v>79.44</v>
          </cell>
          <cell r="J13">
            <v>61.567</v>
          </cell>
          <cell r="L13">
            <v>101.126</v>
          </cell>
          <cell r="N13">
            <v>146.7183995</v>
          </cell>
          <cell r="P13">
            <v>206.13904673091855</v>
          </cell>
          <cell r="R13">
            <v>229.39290678567519</v>
          </cell>
          <cell r="T13">
            <v>247.56660773485044</v>
          </cell>
          <cell r="V13">
            <v>260.2368329771009</v>
          </cell>
          <cell r="Y13" t="str">
            <v>mstag:prepaidExpenses</v>
          </cell>
          <cell r="Z13">
            <v>6</v>
          </cell>
          <cell r="AA13" t="str">
            <v>ISO4217:USD</v>
          </cell>
          <cell r="AB13" t="b">
            <v>0</v>
          </cell>
          <cell r="AC13" t="b">
            <v>0</v>
          </cell>
        </row>
        <row r="14">
          <cell r="B14" t="str">
            <v>Total current assets</v>
          </cell>
          <cell r="D14">
            <v>1793.4219999999998</v>
          </cell>
          <cell r="E14">
            <v>2221.3940000000002</v>
          </cell>
          <cell r="F14">
            <v>2082.7840000000001</v>
          </cell>
          <cell r="H14">
            <v>2756.5628426585777</v>
          </cell>
          <cell r="J14">
            <v>3422.7570000000001</v>
          </cell>
          <cell r="L14">
            <v>4418.7790000000005</v>
          </cell>
          <cell r="N14">
            <v>4880.5035713593397</v>
          </cell>
          <cell r="P14">
            <v>5828.7593465536384</v>
          </cell>
          <cell r="R14">
            <v>7546.4142036822905</v>
          </cell>
          <cell r="T14">
            <v>9359.5090710575842</v>
          </cell>
          <cell r="V14">
            <v>11281.250849581984</v>
          </cell>
        </row>
        <row r="16">
          <cell r="B16" t="str">
            <v>Long-term marketable securities</v>
          </cell>
          <cell r="D16">
            <v>1265.5150000000001</v>
          </cell>
          <cell r="E16">
            <v>1516.8130000000001</v>
          </cell>
          <cell r="F16">
            <v>567.28599999999994</v>
          </cell>
          <cell r="H16">
            <v>1422.9</v>
          </cell>
          <cell r="J16">
            <v>1115.327</v>
          </cell>
          <cell r="L16">
            <v>1448.731</v>
          </cell>
          <cell r="N16">
            <v>1448.731</v>
          </cell>
          <cell r="P16">
            <v>1823.731</v>
          </cell>
          <cell r="R16">
            <v>2573.7309999999998</v>
          </cell>
          <cell r="T16">
            <v>4073.7309999999998</v>
          </cell>
          <cell r="V16">
            <v>5573.7309999999998</v>
          </cell>
          <cell r="Y16" t="str">
            <v>mstag:longTermInvestmentsNonOperating</v>
          </cell>
          <cell r="Z16">
            <v>6</v>
          </cell>
          <cell r="AA16" t="str">
            <v>ISO4217:USD</v>
          </cell>
          <cell r="AB16" t="b">
            <v>0</v>
          </cell>
          <cell r="AC16" t="b">
            <v>0</v>
          </cell>
        </row>
        <row r="17">
          <cell r="B17" t="str">
            <v>Property, Plant &amp; Equipment, Net</v>
          </cell>
          <cell r="D17">
            <v>752.89200000000005</v>
          </cell>
          <cell r="E17">
            <v>865.66800000000001</v>
          </cell>
          <cell r="F17">
            <v>1068.7339999999999</v>
          </cell>
          <cell r="H17">
            <v>1617.9</v>
          </cell>
          <cell r="J17">
            <v>2091.404</v>
          </cell>
          <cell r="L17">
            <v>3349.3519999999999</v>
          </cell>
          <cell r="N17">
            <v>4554.0653750000001</v>
          </cell>
          <cell r="P17">
            <v>5783.2955411838693</v>
          </cell>
          <cell r="R17">
            <v>6559.6626049312927</v>
          </cell>
          <cell r="T17">
            <v>6993.2829589207122</v>
          </cell>
          <cell r="V17">
            <v>7343.3774458479393</v>
          </cell>
          <cell r="Y17" t="str">
            <v>mstag:propertyPlantAndEquipmentNet</v>
          </cell>
          <cell r="Z17">
            <v>6</v>
          </cell>
          <cell r="AA17" t="str">
            <v>ISO4217:USD</v>
          </cell>
          <cell r="AB17" t="b">
            <v>0</v>
          </cell>
          <cell r="AC17" t="b">
            <v>0</v>
          </cell>
        </row>
        <row r="18">
          <cell r="B18" t="str">
            <v>Goodwill</v>
          </cell>
          <cell r="D18">
            <v>1280.3589999999999</v>
          </cell>
          <cell r="E18">
            <v>1302.4929999999999</v>
          </cell>
          <cell r="F18">
            <v>1315.09</v>
          </cell>
          <cell r="H18">
            <v>1315.09</v>
          </cell>
          <cell r="J18">
            <v>1315.019</v>
          </cell>
          <cell r="L18">
            <v>1315.019</v>
          </cell>
          <cell r="N18">
            <v>1315.019</v>
          </cell>
          <cell r="P18">
            <v>1315.019</v>
          </cell>
          <cell r="R18">
            <v>1315.019</v>
          </cell>
          <cell r="T18">
            <v>1315.019</v>
          </cell>
          <cell r="V18">
            <v>1315.019</v>
          </cell>
          <cell r="Y18" t="str">
            <v>mstag:goodwill</v>
          </cell>
          <cell r="Z18">
            <v>6</v>
          </cell>
          <cell r="AA18" t="str">
            <v>ISO4217:USD</v>
          </cell>
          <cell r="AB18" t="b">
            <v>0</v>
          </cell>
          <cell r="AC18" t="b">
            <v>0</v>
          </cell>
        </row>
        <row r="19">
          <cell r="B19" t="str">
            <v>Intangible Assets, net</v>
          </cell>
          <cell r="D19">
            <v>1455.778</v>
          </cell>
          <cell r="E19">
            <v>1113.299</v>
          </cell>
          <cell r="F19">
            <v>927.5</v>
          </cell>
          <cell r="H19">
            <v>810.81</v>
          </cell>
          <cell r="J19">
            <v>668.39099999999996</v>
          </cell>
          <cell r="L19">
            <v>573.779</v>
          </cell>
          <cell r="N19">
            <v>452.07900000000001</v>
          </cell>
          <cell r="P19">
            <v>331.57900000000001</v>
          </cell>
          <cell r="R19">
            <v>213.07900000000001</v>
          </cell>
          <cell r="T19">
            <v>213.07900000000001</v>
          </cell>
          <cell r="V19">
            <v>213.07900000000001</v>
          </cell>
          <cell r="Y19" t="str">
            <v>mstag:otherIntangibleAssets</v>
          </cell>
          <cell r="Z19">
            <v>6</v>
          </cell>
          <cell r="AA19" t="str">
            <v>ISO4217:USD</v>
          </cell>
          <cell r="AB19" t="b">
            <v>0</v>
          </cell>
          <cell r="AC19" t="b">
            <v>0</v>
          </cell>
        </row>
        <row r="20">
          <cell r="B20" t="str">
            <v>Other assets</v>
          </cell>
          <cell r="D20">
            <v>168.458</v>
          </cell>
          <cell r="E20">
            <v>127.22200000000001</v>
          </cell>
          <cell r="F20">
            <v>796.65800000000002</v>
          </cell>
          <cell r="H20">
            <v>812.7</v>
          </cell>
          <cell r="J20">
            <v>790.49700000000007</v>
          </cell>
          <cell r="L20">
            <v>1041.2190000000001</v>
          </cell>
          <cell r="N20">
            <v>1041.2190000000001</v>
          </cell>
          <cell r="P20">
            <v>1041.2190000000001</v>
          </cell>
          <cell r="R20">
            <v>1041.2190000000001</v>
          </cell>
          <cell r="T20">
            <v>1041.2190000000001</v>
          </cell>
          <cell r="V20">
            <v>1041.2190000000001</v>
          </cell>
          <cell r="Y20" t="str">
            <v>mstag:otherAssetsNonOperating</v>
          </cell>
          <cell r="Z20">
            <v>6</v>
          </cell>
          <cell r="AA20" t="str">
            <v>ISO4217:USD</v>
          </cell>
          <cell r="AB20" t="b">
            <v>0</v>
          </cell>
          <cell r="AC20" t="b">
            <v>0</v>
          </cell>
        </row>
        <row r="21">
          <cell r="B21" t="str">
            <v>Total Non-current assets</v>
          </cell>
          <cell r="D21">
            <v>4923.0019999999995</v>
          </cell>
          <cell r="E21">
            <v>4925.4949999999999</v>
          </cell>
          <cell r="F21">
            <v>4675.268</v>
          </cell>
          <cell r="H21">
            <v>5979.4000000000005</v>
          </cell>
          <cell r="J21">
            <v>5980.6379999999999</v>
          </cell>
          <cell r="L21">
            <v>7728.0999999999995</v>
          </cell>
          <cell r="N21">
            <v>8811.1133750000008</v>
          </cell>
          <cell r="P21">
            <v>10294.843541183869</v>
          </cell>
          <cell r="R21">
            <v>11702.710604931293</v>
          </cell>
          <cell r="T21">
            <v>13636.330958920713</v>
          </cell>
          <cell r="V21">
            <v>15486.425445847937</v>
          </cell>
        </row>
        <row r="23">
          <cell r="B23" t="str">
            <v>Total assets</v>
          </cell>
          <cell r="D23">
            <v>6716.4239999999991</v>
          </cell>
          <cell r="E23">
            <v>7146.8890000000001</v>
          </cell>
          <cell r="F23">
            <v>6758.0519999999997</v>
          </cell>
          <cell r="H23">
            <v>8735.9628426585787</v>
          </cell>
          <cell r="J23">
            <v>9403.3950000000004</v>
          </cell>
          <cell r="L23">
            <v>12146.879000000001</v>
          </cell>
          <cell r="N23">
            <v>13691.61694635934</v>
          </cell>
          <cell r="P23">
            <v>16123.602887737507</v>
          </cell>
          <cell r="R23">
            <v>19249.124808613582</v>
          </cell>
          <cell r="T23">
            <v>22995.840029978295</v>
          </cell>
          <cell r="V23">
            <v>26767.676295429919</v>
          </cell>
        </row>
        <row r="25">
          <cell r="B25" t="str">
            <v>Accounts Payable</v>
          </cell>
          <cell r="D25">
            <v>39.113999999999997</v>
          </cell>
          <cell r="E25">
            <v>33.347999999999999</v>
          </cell>
          <cell r="F25">
            <v>51.38</v>
          </cell>
          <cell r="H25">
            <v>59.7</v>
          </cell>
          <cell r="J25">
            <v>104.83199999999999</v>
          </cell>
          <cell r="L25">
            <v>338.97800000000001</v>
          </cell>
          <cell r="N25">
            <v>407.51253333333335</v>
          </cell>
          <cell r="P25">
            <v>456.59391781256443</v>
          </cell>
          <cell r="R25">
            <v>490.62727263078477</v>
          </cell>
          <cell r="T25">
            <v>516.00089702788932</v>
          </cell>
          <cell r="V25">
            <v>537.7453940950993</v>
          </cell>
          <cell r="Y25" t="str">
            <v>mstag:tradeAndOtherPayables</v>
          </cell>
          <cell r="Z25">
            <v>6</v>
          </cell>
          <cell r="AA25" t="str">
            <v>ISO4217:USD</v>
          </cell>
          <cell r="AB25" t="b">
            <v>0</v>
          </cell>
          <cell r="AC25" t="b">
            <v>0</v>
          </cell>
        </row>
        <row r="26">
          <cell r="B26" t="str">
            <v>Accrued liabilities-related parties</v>
          </cell>
          <cell r="D26">
            <v>12.265000000000001</v>
          </cell>
          <cell r="E26">
            <v>45.259</v>
          </cell>
          <cell r="F26">
            <v>51.116</v>
          </cell>
          <cell r="H26">
            <v>58.1</v>
          </cell>
          <cell r="J26">
            <v>108.416</v>
          </cell>
          <cell r="L26">
            <v>131.774</v>
          </cell>
          <cell r="N26">
            <v>123.24345558</v>
          </cell>
          <cell r="P26">
            <v>137.42603115394573</v>
          </cell>
          <cell r="R26">
            <v>145.28217429759431</v>
          </cell>
          <cell r="T26">
            <v>148.53996464091026</v>
          </cell>
          <cell r="V26">
            <v>147.46753868702385</v>
          </cell>
          <cell r="Y26" t="str">
            <v>mstag:accruedExpenses</v>
          </cell>
          <cell r="Z26">
            <v>6</v>
          </cell>
          <cell r="AA26" t="str">
            <v>ISO4217:USD</v>
          </cell>
          <cell r="AB26" t="b">
            <v>0</v>
          </cell>
          <cell r="AC26" t="b">
            <v>0</v>
          </cell>
        </row>
        <row r="27">
          <cell r="B27" t="str">
            <v>Accrued Liabilities</v>
          </cell>
          <cell r="D27">
            <v>386.48</v>
          </cell>
          <cell r="E27">
            <v>415.95499999999998</v>
          </cell>
          <cell r="F27">
            <v>524.12</v>
          </cell>
          <cell r="H27">
            <v>707.75</v>
          </cell>
          <cell r="J27">
            <v>978.79300000000012</v>
          </cell>
          <cell r="L27">
            <v>1144.7530000000002</v>
          </cell>
          <cell r="N27">
            <v>1109.19110022</v>
          </cell>
          <cell r="P27">
            <v>1236.8342803855116</v>
          </cell>
          <cell r="R27">
            <v>1307.5395686783486</v>
          </cell>
          <cell r="T27">
            <v>1336.8596817681923</v>
          </cell>
          <cell r="V27">
            <v>1327.2078481832148</v>
          </cell>
          <cell r="Y27" t="str">
            <v>mstag:accruedExpenses</v>
          </cell>
          <cell r="Z27">
            <v>6</v>
          </cell>
          <cell r="AA27" t="str">
            <v>ISO4217:USD</v>
          </cell>
          <cell r="AB27" t="b">
            <v>0</v>
          </cell>
          <cell r="AC27" t="b">
            <v>0</v>
          </cell>
        </row>
        <row r="28">
          <cell r="B28" t="str">
            <v>Deferred Revenue</v>
          </cell>
          <cell r="D28">
            <v>15.433</v>
          </cell>
          <cell r="E28">
            <v>19.542999999999999</v>
          </cell>
          <cell r="F28">
            <v>20.044</v>
          </cell>
          <cell r="H28">
            <v>47.48</v>
          </cell>
          <cell r="J28">
            <v>45.988999999999997</v>
          </cell>
          <cell r="L28">
            <v>44.326999999999998</v>
          </cell>
          <cell r="N28">
            <v>68.402699999999996</v>
          </cell>
          <cell r="P28">
            <v>84.593438412624209</v>
          </cell>
          <cell r="R28">
            <v>98.281397333263726</v>
          </cell>
          <cell r="T28">
            <v>109.39529233436328</v>
          </cell>
          <cell r="V28">
            <v>118.33582237033283</v>
          </cell>
          <cell r="Y28" t="str">
            <v>mstag:deferredRevenue</v>
          </cell>
          <cell r="Z28">
            <v>6</v>
          </cell>
          <cell r="AA28" t="str">
            <v>ISO4217:USD</v>
          </cell>
          <cell r="AB28" t="b">
            <v>0</v>
          </cell>
          <cell r="AC28" t="b">
            <v>0</v>
          </cell>
        </row>
        <row r="29">
          <cell r="B29" t="str">
            <v>Total current liabilities</v>
          </cell>
          <cell r="D29">
            <v>453.29200000000003</v>
          </cell>
          <cell r="E29">
            <v>514.10500000000002</v>
          </cell>
          <cell r="F29">
            <v>646.66</v>
          </cell>
          <cell r="H29">
            <v>873.03</v>
          </cell>
          <cell r="J29">
            <v>1238.0300000000002</v>
          </cell>
          <cell r="L29">
            <v>1659.8320000000001</v>
          </cell>
          <cell r="N29">
            <v>1708.3497891333334</v>
          </cell>
          <cell r="P29">
            <v>1915.447667764646</v>
          </cell>
          <cell r="R29">
            <v>2041.7304129399913</v>
          </cell>
          <cell r="T29">
            <v>2110.7958357713551</v>
          </cell>
          <cell r="V29">
            <v>2130.7566033356707</v>
          </cell>
        </row>
        <row r="31">
          <cell r="B31" t="str">
            <v xml:space="preserve">Long-Term Debt </v>
          </cell>
          <cell r="D31">
            <v>149.69200000000001</v>
          </cell>
          <cell r="E31">
            <v>149.69200000000001</v>
          </cell>
          <cell r="F31">
            <v>0</v>
          </cell>
          <cell r="H31">
            <v>412.25</v>
          </cell>
          <cell r="J31">
            <v>412.25</v>
          </cell>
          <cell r="L31">
            <v>2083.0239999999999</v>
          </cell>
          <cell r="N31">
            <v>2083.0239999999999</v>
          </cell>
          <cell r="P31">
            <v>2083.0239999999999</v>
          </cell>
          <cell r="R31">
            <v>2083.0239999999999</v>
          </cell>
          <cell r="T31">
            <v>2083.0239999999999</v>
          </cell>
          <cell r="V31">
            <v>1583.0239999999999</v>
          </cell>
          <cell r="Y31" t="str">
            <v>mstag:longTermDebt</v>
          </cell>
          <cell r="Z31">
            <v>6</v>
          </cell>
          <cell r="AA31" t="str">
            <v>ISO4217:USD</v>
          </cell>
          <cell r="AB31" t="b">
            <v>0</v>
          </cell>
          <cell r="AC31" t="b">
            <v>0</v>
          </cell>
        </row>
        <row r="32">
          <cell r="B32" t="str">
            <v>Deferred Tax Liabilities</v>
          </cell>
          <cell r="D32">
            <v>349.84800000000001</v>
          </cell>
          <cell r="E32">
            <v>447.80900000000003</v>
          </cell>
          <cell r="F32">
            <v>148.24700000000001</v>
          </cell>
          <cell r="H32">
            <v>26.056000000000001</v>
          </cell>
          <cell r="J32">
            <v>0</v>
          </cell>
          <cell r="L32">
            <v>0</v>
          </cell>
          <cell r="N32">
            <v>0</v>
          </cell>
          <cell r="P32">
            <v>0</v>
          </cell>
          <cell r="R32">
            <v>0</v>
          </cell>
          <cell r="T32">
            <v>0</v>
          </cell>
          <cell r="V32">
            <v>0</v>
          </cell>
          <cell r="Y32" t="str">
            <v>mstag:deferredTaxLiabilities</v>
          </cell>
          <cell r="Z32">
            <v>6</v>
          </cell>
          <cell r="AA32" t="str">
            <v>ISO4217:USD</v>
          </cell>
          <cell r="AB32" t="b">
            <v>0</v>
          </cell>
          <cell r="AC32" t="b">
            <v>0</v>
          </cell>
        </row>
        <row r="33">
          <cell r="B33" t="str">
            <v>Deferred Revenue</v>
          </cell>
          <cell r="D33">
            <v>87.6</v>
          </cell>
          <cell r="E33">
            <v>68.033000000000001</v>
          </cell>
          <cell r="F33">
            <v>69.533000000000001</v>
          </cell>
          <cell r="H33">
            <v>281.2</v>
          </cell>
          <cell r="J33">
            <v>267.80500000000001</v>
          </cell>
          <cell r="L33">
            <v>220.09299999999999</v>
          </cell>
          <cell r="N33">
            <v>387.61529999999999</v>
          </cell>
          <cell r="P33">
            <v>479.36281767153719</v>
          </cell>
          <cell r="R33">
            <v>556.92791822182778</v>
          </cell>
          <cell r="T33">
            <v>619.90665656139197</v>
          </cell>
          <cell r="V33">
            <v>670.56966009855273</v>
          </cell>
          <cell r="Y33" t="str">
            <v>mstag:deferredRevenue</v>
          </cell>
          <cell r="Z33">
            <v>6</v>
          </cell>
          <cell r="AA33" t="str">
            <v>ISO4217:USD</v>
          </cell>
          <cell r="AB33" t="b">
            <v>0</v>
          </cell>
          <cell r="AC33" t="b">
            <v>0</v>
          </cell>
        </row>
        <row r="34">
          <cell r="B34" t="str">
            <v>Litigation related and other long-term liabilities</v>
          </cell>
          <cell r="D34">
            <v>1.7889999999999999</v>
          </cell>
          <cell r="E34">
            <v>47.430999999999997</v>
          </cell>
          <cell r="F34">
            <v>554.72799999999995</v>
          </cell>
          <cell r="H34">
            <v>623.29</v>
          </cell>
          <cell r="J34">
            <v>703.12</v>
          </cell>
          <cell r="L34">
            <v>714.346</v>
          </cell>
          <cell r="N34">
            <v>766.346</v>
          </cell>
          <cell r="P34">
            <v>818.346</v>
          </cell>
          <cell r="R34">
            <v>870.346</v>
          </cell>
          <cell r="T34">
            <v>922.346</v>
          </cell>
          <cell r="V34">
            <v>974.346</v>
          </cell>
          <cell r="Y34" t="str">
            <v>mstag:otherLiabilitiesNonOperating</v>
          </cell>
          <cell r="Z34">
            <v>6</v>
          </cell>
          <cell r="AA34" t="str">
            <v>ISO4217:USD</v>
          </cell>
          <cell r="AB34" t="b">
            <v>0</v>
          </cell>
          <cell r="AC34" t="b">
            <v>0</v>
          </cell>
        </row>
        <row r="35">
          <cell r="B35" t="str">
            <v>Total liabilities</v>
          </cell>
          <cell r="D35">
            <v>1042.221</v>
          </cell>
          <cell r="E35">
            <v>1227.07</v>
          </cell>
          <cell r="F35">
            <v>1419.1679999999999</v>
          </cell>
          <cell r="H35">
            <v>2215.826</v>
          </cell>
          <cell r="J35">
            <v>2621.2050000000004</v>
          </cell>
          <cell r="L35">
            <v>4677.2950000000001</v>
          </cell>
          <cell r="N35">
            <v>4945.3350891333339</v>
          </cell>
          <cell r="P35">
            <v>5296.1804854361835</v>
          </cell>
          <cell r="R35">
            <v>5552.0283311618186</v>
          </cell>
          <cell r="T35">
            <v>5736.0724923327471</v>
          </cell>
          <cell r="V35">
            <v>5358.6962634342235</v>
          </cell>
        </row>
        <row r="37">
          <cell r="B37" t="str">
            <v>Stockholders' equity:</v>
          </cell>
          <cell r="J37">
            <v>642.94200000000001</v>
          </cell>
        </row>
        <row r="38">
          <cell r="B38" t="str">
            <v xml:space="preserve">Common Stock </v>
          </cell>
          <cell r="D38">
            <v>10.51</v>
          </cell>
          <cell r="E38">
            <v>10.566000000000001</v>
          </cell>
          <cell r="F38">
            <v>10.256</v>
          </cell>
          <cell r="H38">
            <v>10.494999999999999</v>
          </cell>
          <cell r="J38">
            <v>20.943000000000001</v>
          </cell>
          <cell r="L38">
            <v>21.074000000000002</v>
          </cell>
          <cell r="N38">
            <v>21.074000000000002</v>
          </cell>
          <cell r="P38">
            <v>21.074000000000002</v>
          </cell>
          <cell r="R38">
            <v>21.074000000000002</v>
          </cell>
          <cell r="T38">
            <v>21.074000000000002</v>
          </cell>
          <cell r="V38">
            <v>21.074000000000002</v>
          </cell>
          <cell r="Y38" t="str">
            <v>mstag:commonStock</v>
          </cell>
          <cell r="Z38">
            <v>6</v>
          </cell>
          <cell r="AA38" t="str">
            <v>ISO4217:USD</v>
          </cell>
          <cell r="AB38" t="b">
            <v>0</v>
          </cell>
          <cell r="AC38" t="b">
            <v>0</v>
          </cell>
        </row>
        <row r="39">
          <cell r="B39" t="str">
            <v>APIC</v>
          </cell>
          <cell r="D39">
            <v>6651.4279999999999</v>
          </cell>
          <cell r="E39">
            <v>6794.8310000000001</v>
          </cell>
          <cell r="F39">
            <v>6650.3519999999999</v>
          </cell>
          <cell r="H39">
            <v>7370.26</v>
          </cell>
          <cell r="J39">
            <v>8002.7539999999999</v>
          </cell>
          <cell r="L39">
            <v>9262.6790000000001</v>
          </cell>
          <cell r="N39">
            <v>8807.5888275460075</v>
          </cell>
          <cell r="P39">
            <v>8542.5238553393174</v>
          </cell>
          <cell r="R39">
            <v>8402.1209406899634</v>
          </cell>
          <cell r="T39">
            <v>8385.5884743906445</v>
          </cell>
          <cell r="V39">
            <v>8403.9596403285959</v>
          </cell>
          <cell r="Y39" t="str">
            <v>mstag:additionalPaidInCapital</v>
          </cell>
          <cell r="Z39">
            <v>6</v>
          </cell>
          <cell r="AA39" t="str">
            <v>ISO4217:USD</v>
          </cell>
          <cell r="AB39" t="b">
            <v>0</v>
          </cell>
          <cell r="AC39" t="b">
            <v>0</v>
          </cell>
        </row>
        <row r="40">
          <cell r="B40" t="str">
            <v>(Accumulated Deficit) Retained Earnings</v>
          </cell>
          <cell r="D40">
            <v>-1319.3530000000001</v>
          </cell>
          <cell r="E40">
            <v>-1197.3</v>
          </cell>
          <cell r="F40">
            <v>-1590.366</v>
          </cell>
          <cell r="H40">
            <v>-1157.4680000000001</v>
          </cell>
          <cell r="J40">
            <v>-1532.4549999999999</v>
          </cell>
          <cell r="L40">
            <v>-2067.5909999999999</v>
          </cell>
          <cell r="N40">
            <v>-335.80297031999976</v>
          </cell>
          <cell r="P40">
            <v>2010.4025469620071</v>
          </cell>
          <cell r="R40">
            <v>5020.4795367618008</v>
          </cell>
          <cell r="T40">
            <v>8599.6830632549063</v>
          </cell>
          <cell r="V40">
            <v>12730.524391667106</v>
          </cell>
          <cell r="Y40" t="str">
            <v>mstag:retainedEarnings</v>
          </cell>
          <cell r="Z40">
            <v>6</v>
          </cell>
          <cell r="AA40" t="str">
            <v>ISO4217:USD</v>
          </cell>
          <cell r="AB40" t="b">
            <v>0</v>
          </cell>
          <cell r="AC40" t="b">
            <v>0</v>
          </cell>
        </row>
        <row r="41">
          <cell r="B41" t="str">
            <v>Accumulated Other Comprehensive Income</v>
          </cell>
          <cell r="D41">
            <v>331.61799999999999</v>
          </cell>
          <cell r="E41">
            <v>311.72199999999998</v>
          </cell>
          <cell r="F41">
            <v>268.642</v>
          </cell>
          <cell r="H41">
            <v>296.9026437</v>
          </cell>
          <cell r="J41">
            <v>290.94799999999998</v>
          </cell>
          <cell r="L41">
            <v>253.422</v>
          </cell>
          <cell r="N41">
            <v>253.422</v>
          </cell>
          <cell r="P41">
            <v>253.422</v>
          </cell>
          <cell r="R41">
            <v>253.422</v>
          </cell>
          <cell r="T41">
            <v>253.422</v>
          </cell>
          <cell r="V41">
            <v>253.422</v>
          </cell>
          <cell r="Y41" t="str">
            <v>mstag:accumulatedOtherComprehensiveIncomeLossAndReserves</v>
          </cell>
          <cell r="Z41">
            <v>6</v>
          </cell>
          <cell r="AA41" t="str">
            <v>ISO4217:USD</v>
          </cell>
          <cell r="AB41" t="b">
            <v>0</v>
          </cell>
          <cell r="AC41" t="b">
            <v>0</v>
          </cell>
        </row>
        <row r="42">
          <cell r="B42" t="str">
            <v>Total stockholders' equity</v>
          </cell>
          <cell r="D42">
            <v>5674.2030000000004</v>
          </cell>
          <cell r="E42">
            <v>5919.8189999999995</v>
          </cell>
          <cell r="F42">
            <v>5338.884</v>
          </cell>
          <cell r="H42">
            <v>6520.1896437000005</v>
          </cell>
          <cell r="J42">
            <v>6782.1900000000005</v>
          </cell>
          <cell r="L42">
            <v>7469.5839999999998</v>
          </cell>
          <cell r="N42">
            <v>8746.2818572260094</v>
          </cell>
          <cell r="P42">
            <v>10827.422402301325</v>
          </cell>
          <cell r="R42">
            <v>13697.096477451765</v>
          </cell>
          <cell r="T42">
            <v>17259.767537645552</v>
          </cell>
          <cell r="V42">
            <v>21408.980031995699</v>
          </cell>
        </row>
        <row r="44">
          <cell r="B44" t="str">
            <v>Total Liabilities and Equity</v>
          </cell>
          <cell r="D44">
            <v>6716.4240000000009</v>
          </cell>
          <cell r="E44">
            <v>7146.8889999999992</v>
          </cell>
          <cell r="F44">
            <v>6758.0519999999997</v>
          </cell>
          <cell r="H44">
            <v>8736.0156437000005</v>
          </cell>
          <cell r="J44">
            <v>9403.3950000000004</v>
          </cell>
          <cell r="L44">
            <v>12146.879000000001</v>
          </cell>
          <cell r="N44">
            <v>13691.616946359343</v>
          </cell>
          <cell r="P44">
            <v>16123.602887737508</v>
          </cell>
          <cell r="R44">
            <v>19249.124808613582</v>
          </cell>
          <cell r="T44">
            <v>22995.840029978299</v>
          </cell>
          <cell r="V44">
            <v>26767.676295429923</v>
          </cell>
        </row>
        <row r="45">
          <cell r="J45">
            <v>0</v>
          </cell>
          <cell r="L45">
            <v>0</v>
          </cell>
          <cell r="N45">
            <v>0</v>
          </cell>
          <cell r="P45">
            <v>0</v>
          </cell>
          <cell r="R45">
            <v>0</v>
          </cell>
          <cell r="T45">
            <v>0</v>
          </cell>
          <cell r="V45">
            <v>0</v>
          </cell>
        </row>
        <row r="46">
          <cell r="J46">
            <v>0</v>
          </cell>
          <cell r="L46">
            <v>0</v>
          </cell>
          <cell r="N46">
            <v>0</v>
          </cell>
          <cell r="P46">
            <v>0</v>
          </cell>
          <cell r="R46">
            <v>0</v>
          </cell>
          <cell r="T46">
            <v>0</v>
          </cell>
          <cell r="V46">
            <v>0</v>
          </cell>
        </row>
        <row r="48">
          <cell r="B48" t="str">
            <v>change in OCI</v>
          </cell>
          <cell r="E48">
            <v>-13.619999999999948</v>
          </cell>
          <cell r="F48">
            <v>-41.321999999999832</v>
          </cell>
          <cell r="H48">
            <v>28.549801041422199</v>
          </cell>
          <cell r="J48">
            <v>-6.5446836999998368</v>
          </cell>
          <cell r="L48">
            <v>-37.672239999998425</v>
          </cell>
          <cell r="N48">
            <v>0</v>
          </cell>
          <cell r="P48">
            <v>-5.6843418860808015E-13</v>
          </cell>
          <cell r="R48">
            <v>7.9580786405131221E-13</v>
          </cell>
          <cell r="T48">
            <v>-7.3896444519050419E-13</v>
          </cell>
          <cell r="V48">
            <v>-5.1159076974727213E-13</v>
          </cell>
        </row>
        <row r="49">
          <cell r="B49" t="str">
            <v>Related to Common Stock &amp; Apic</v>
          </cell>
          <cell r="H49">
            <v>129.84699999999998</v>
          </cell>
          <cell r="J49">
            <v>1159.2129600000001</v>
          </cell>
          <cell r="L49">
            <v>1813.9807600000015</v>
          </cell>
          <cell r="N49">
            <v>0</v>
          </cell>
          <cell r="P49">
            <v>-5.6843418860808015E-13</v>
          </cell>
          <cell r="R49">
            <v>7.9580786405131221E-13</v>
          </cell>
          <cell r="T49">
            <v>-7.3896444519050419E-13</v>
          </cell>
          <cell r="V49">
            <v>-5.1159076974727213E-13</v>
          </cell>
        </row>
        <row r="50">
          <cell r="B50" t="str">
            <v>Related to Retained Earnings</v>
          </cell>
          <cell r="H50">
            <v>-129.55784265857778</v>
          </cell>
          <cell r="J50">
            <v>-1159.8029999999999</v>
          </cell>
          <cell r="L50">
            <v>-1814.127</v>
          </cell>
          <cell r="N50">
            <v>0</v>
          </cell>
          <cell r="P50">
            <v>0</v>
          </cell>
          <cell r="R50">
            <v>0</v>
          </cell>
          <cell r="T50">
            <v>0</v>
          </cell>
          <cell r="V50">
            <v>0</v>
          </cell>
        </row>
        <row r="51">
          <cell r="B51" t="str">
            <v>Related to OCI</v>
          </cell>
          <cell r="H51">
            <v>28.260643700000003</v>
          </cell>
          <cell r="J51">
            <v>-5.9546437000000196</v>
          </cell>
          <cell r="L51">
            <v>-37.525999999999982</v>
          </cell>
          <cell r="N51">
            <v>0</v>
          </cell>
          <cell r="P51">
            <v>0</v>
          </cell>
          <cell r="R51">
            <v>0</v>
          </cell>
          <cell r="T51">
            <v>0</v>
          </cell>
          <cell r="V51">
            <v>0</v>
          </cell>
        </row>
        <row r="52">
          <cell r="E52" t="e">
            <v>#REF!</v>
          </cell>
        </row>
        <row r="53">
          <cell r="H53" t="str">
            <v>2003-FY</v>
          </cell>
          <cell r="J53" t="str">
            <v>2004-FY</v>
          </cell>
          <cell r="L53" t="str">
            <v>2005-FY</v>
          </cell>
          <cell r="N53" t="str">
            <v>2006-FY</v>
          </cell>
          <cell r="P53" t="str">
            <v>2007-FY</v>
          </cell>
          <cell r="R53" t="str">
            <v>2008-FY</v>
          </cell>
          <cell r="T53" t="str">
            <v>2009-FY</v>
          </cell>
          <cell r="V53" t="str">
            <v>2010-FY</v>
          </cell>
        </row>
        <row r="54">
          <cell r="B54" t="str">
            <v>CALCULATIONS</v>
          </cell>
          <cell r="D54">
            <v>5663.6930000000002</v>
          </cell>
          <cell r="E54">
            <v>5909.2529999999997</v>
          </cell>
          <cell r="F54">
            <v>5328.6279999999997</v>
          </cell>
        </row>
        <row r="55">
          <cell r="C55">
            <v>1999</v>
          </cell>
          <cell r="D55">
            <v>2000</v>
          </cell>
          <cell r="E55" t="str">
            <v>2001</v>
          </cell>
          <cell r="F55" t="str">
            <v>2002</v>
          </cell>
          <cell r="H55" t="str">
            <v>2003A</v>
          </cell>
          <cell r="J55" t="str">
            <v>2004A</v>
          </cell>
          <cell r="L55" t="str">
            <v>2005E</v>
          </cell>
          <cell r="N55" t="str">
            <v>2006E</v>
          </cell>
          <cell r="P55" t="str">
            <v>2007E</v>
          </cell>
          <cell r="R55" t="str">
            <v>2008E</v>
          </cell>
          <cell r="T55" t="str">
            <v>2009E</v>
          </cell>
          <cell r="V55" t="str">
            <v>2010E</v>
          </cell>
        </row>
        <row r="56">
          <cell r="B56" t="str">
            <v>Revenues</v>
          </cell>
          <cell r="D56">
            <v>1637.3710000009999</v>
          </cell>
          <cell r="E56">
            <v>2044.0319999999999</v>
          </cell>
          <cell r="F56">
            <v>2583.6215596696479</v>
          </cell>
          <cell r="H56">
            <v>3300.2629999999999</v>
          </cell>
          <cell r="J56">
            <v>4621.2</v>
          </cell>
          <cell r="L56">
            <v>6633.4230000000007</v>
          </cell>
          <cell r="N56">
            <v>9120.36</v>
          </cell>
          <cell r="P56">
            <v>11279.125121683228</v>
          </cell>
          <cell r="R56">
            <v>13104.186311101828</v>
          </cell>
          <cell r="T56">
            <v>14586.038977915103</v>
          </cell>
          <cell r="V56">
            <v>15778.109649377711</v>
          </cell>
        </row>
        <row r="57">
          <cell r="B57" t="str">
            <v>Operating expenses</v>
          </cell>
          <cell r="D57">
            <v>1258.9829999999999</v>
          </cell>
          <cell r="E57">
            <v>1574.2349999999999</v>
          </cell>
          <cell r="F57">
            <v>1962.1129999999998</v>
          </cell>
          <cell r="H57">
            <v>2454.7161573414223</v>
          </cell>
          <cell r="J57">
            <v>3301.8</v>
          </cell>
          <cell r="L57">
            <v>4531.0019999999995</v>
          </cell>
          <cell r="N57">
            <v>5868.7359800000004</v>
          </cell>
          <cell r="P57">
            <v>6871.3015576972857</v>
          </cell>
          <cell r="R57">
            <v>7646.4302261891735</v>
          </cell>
          <cell r="T57">
            <v>8252.2202578283486</v>
          </cell>
          <cell r="V57">
            <v>8674.5610992366965</v>
          </cell>
        </row>
        <row r="58">
          <cell r="B58" t="str">
            <v>COGS</v>
          </cell>
          <cell r="D58">
            <v>272.06799999999998</v>
          </cell>
          <cell r="E58">
            <v>354.44200000000001</v>
          </cell>
          <cell r="F58">
            <v>441.63</v>
          </cell>
          <cell r="H58">
            <v>480.15100000000001</v>
          </cell>
          <cell r="J58">
            <v>672.5</v>
          </cell>
          <cell r="L58">
            <v>1011.0629999999999</v>
          </cell>
          <cell r="N58">
            <v>1222.5376000000001</v>
          </cell>
          <cell r="P58">
            <v>1506.7599287814626</v>
          </cell>
          <cell r="R58">
            <v>1619.0699996815897</v>
          </cell>
          <cell r="T58">
            <v>1702.8029601920346</v>
          </cell>
          <cell r="V58">
            <v>1774.5598005138277</v>
          </cell>
        </row>
        <row r="59">
          <cell r="B59" t="str">
            <v>Interest and other income</v>
          </cell>
          <cell r="D59">
            <v>90.4</v>
          </cell>
          <cell r="E59">
            <v>135.005</v>
          </cell>
          <cell r="F59">
            <v>107.822</v>
          </cell>
          <cell r="H59">
            <v>92.807000000000002</v>
          </cell>
          <cell r="J59">
            <v>82.597000000000008</v>
          </cell>
          <cell r="L59">
            <v>140.9</v>
          </cell>
          <cell r="N59">
            <v>228</v>
          </cell>
          <cell r="P59">
            <v>158.27981570681379</v>
          </cell>
          <cell r="R59">
            <v>214.14721389467866</v>
          </cell>
          <cell r="T59">
            <v>298.9218808473185</v>
          </cell>
          <cell r="V59">
            <v>424.04459975088002</v>
          </cell>
        </row>
        <row r="61">
          <cell r="B61" t="str">
            <v>Depreciation and Amortization from</v>
          </cell>
        </row>
        <row r="62">
          <cell r="A62" t="str">
            <v xml:space="preserve">Existing PP&amp;E </v>
          </cell>
          <cell r="D62">
            <v>463.00400000000002</v>
          </cell>
          <cell r="E62">
            <v>428.09100000000001</v>
          </cell>
          <cell r="F62">
            <v>88.5</v>
          </cell>
          <cell r="H62">
            <v>88.5</v>
          </cell>
          <cell r="J62">
            <v>79.650000000000006</v>
          </cell>
          <cell r="L62">
            <v>71.685000000000002</v>
          </cell>
          <cell r="N62">
            <v>64.516500000000008</v>
          </cell>
          <cell r="P62">
            <v>58.064850000000007</v>
          </cell>
          <cell r="R62">
            <v>52.258365000000005</v>
          </cell>
          <cell r="T62">
            <v>47.032528500000005</v>
          </cell>
          <cell r="V62">
            <v>42.329275650000007</v>
          </cell>
        </row>
        <row r="63">
          <cell r="A63" t="str">
            <v>2002 capital expenditures</v>
          </cell>
          <cell r="F63">
            <v>16.1416</v>
          </cell>
          <cell r="H63">
            <v>16.1416</v>
          </cell>
          <cell r="J63">
            <v>16.1416</v>
          </cell>
          <cell r="L63">
            <v>16.1416</v>
          </cell>
          <cell r="N63">
            <v>16.1416</v>
          </cell>
          <cell r="P63">
            <v>16.1416</v>
          </cell>
          <cell r="R63">
            <v>16.1416</v>
          </cell>
          <cell r="T63">
            <v>16.1416</v>
          </cell>
          <cell r="V63">
            <v>16.1416</v>
          </cell>
          <cell r="X63">
            <v>20</v>
          </cell>
        </row>
        <row r="64">
          <cell r="A64" t="str">
            <v>2003 capital expenditures</v>
          </cell>
          <cell r="H64">
            <v>20.100000000000001</v>
          </cell>
          <cell r="J64">
            <v>20.100000000000001</v>
          </cell>
          <cell r="L64">
            <v>20.100000000000001</v>
          </cell>
          <cell r="N64">
            <v>20.100000000000001</v>
          </cell>
          <cell r="P64">
            <v>20.100000000000001</v>
          </cell>
          <cell r="R64">
            <v>20.100000000000001</v>
          </cell>
          <cell r="T64">
            <v>20.100000000000001</v>
          </cell>
          <cell r="V64">
            <v>20.100000000000001</v>
          </cell>
        </row>
        <row r="65">
          <cell r="A65" t="str">
            <v>2004 capital expenditures</v>
          </cell>
          <cell r="J65">
            <v>32.492899999999999</v>
          </cell>
          <cell r="L65">
            <v>32.492899999999999</v>
          </cell>
          <cell r="N65">
            <v>32.492899999999999</v>
          </cell>
          <cell r="P65">
            <v>32.492899999999999</v>
          </cell>
          <cell r="R65">
            <v>32.492899999999999</v>
          </cell>
          <cell r="T65">
            <v>32.492899999999999</v>
          </cell>
          <cell r="V65">
            <v>32.492899999999999</v>
          </cell>
        </row>
        <row r="66">
          <cell r="A66" t="str">
            <v>2005 capital expenditures</v>
          </cell>
          <cell r="L66">
            <v>69.991200000000006</v>
          </cell>
          <cell r="N66">
            <v>69.991200000000006</v>
          </cell>
          <cell r="P66">
            <v>69.991200000000006</v>
          </cell>
          <cell r="R66">
            <v>69.991200000000006</v>
          </cell>
          <cell r="T66">
            <v>69.991200000000006</v>
          </cell>
          <cell r="V66">
            <v>69.991200000000006</v>
          </cell>
        </row>
        <row r="67">
          <cell r="A67" t="str">
            <v>2006 capital expenditures</v>
          </cell>
          <cell r="N67">
            <v>74.102924999999999</v>
          </cell>
          <cell r="P67">
            <v>74.102924999999999</v>
          </cell>
          <cell r="R67">
            <v>74.102924999999999</v>
          </cell>
          <cell r="T67">
            <v>74.102924999999999</v>
          </cell>
          <cell r="V67">
            <v>74.102924999999999</v>
          </cell>
        </row>
        <row r="68">
          <cell r="A68" t="str">
            <v>2007 capital expenditures</v>
          </cell>
          <cell r="P68">
            <v>78.953875851782612</v>
          </cell>
          <cell r="R68">
            <v>78.953875851782612</v>
          </cell>
          <cell r="T68">
            <v>78.953875851782612</v>
          </cell>
          <cell r="V68">
            <v>78.953875851782612</v>
          </cell>
        </row>
        <row r="69">
          <cell r="A69" t="str">
            <v>2008 capital expenditures</v>
          </cell>
          <cell r="R69">
            <v>58.968838399958223</v>
          </cell>
          <cell r="T69">
            <v>58.968838399958223</v>
          </cell>
          <cell r="V69">
            <v>58.968838399958223</v>
          </cell>
        </row>
        <row r="70">
          <cell r="A70" t="str">
            <v>2009 capital expenditures</v>
          </cell>
          <cell r="T70">
            <v>43.758116933745306</v>
          </cell>
          <cell r="V70">
            <v>43.758116933745306</v>
          </cell>
        </row>
        <row r="71">
          <cell r="A71" t="str">
            <v>2010 capital expenditures</v>
          </cell>
          <cell r="V71">
            <v>41.417537829616492</v>
          </cell>
        </row>
        <row r="72">
          <cell r="A72" t="str">
            <v>Total depreciation</v>
          </cell>
          <cell r="F72">
            <v>104.55499999999998</v>
          </cell>
          <cell r="H72">
            <v>125</v>
          </cell>
          <cell r="J72">
            <v>171.221</v>
          </cell>
          <cell r="L72">
            <v>210.41070000000002</v>
          </cell>
          <cell r="N72">
            <v>277.34512500000005</v>
          </cell>
          <cell r="P72">
            <v>349.84735085178261</v>
          </cell>
          <cell r="R72">
            <v>403.00970425174086</v>
          </cell>
          <cell r="T72">
            <v>441.54198468548617</v>
          </cell>
          <cell r="V72">
            <v>478.25626966510265</v>
          </cell>
        </row>
        <row r="73">
          <cell r="A73" t="str">
            <v>Amortization of intangibles</v>
          </cell>
          <cell r="F73">
            <v>170.4</v>
          </cell>
          <cell r="H73">
            <v>170.4</v>
          </cell>
          <cell r="J73">
            <v>182</v>
          </cell>
          <cell r="L73">
            <v>159.75529999999998</v>
          </cell>
          <cell r="N73">
            <v>121.7</v>
          </cell>
          <cell r="P73">
            <v>120.5</v>
          </cell>
          <cell r="R73">
            <v>118.5</v>
          </cell>
          <cell r="T73">
            <v>0</v>
          </cell>
          <cell r="V73">
            <v>0</v>
          </cell>
        </row>
        <row r="74">
          <cell r="A74" t="str">
            <v>Total depreciation and amortization</v>
          </cell>
          <cell r="C74" t="e">
            <v>#REF!</v>
          </cell>
          <cell r="D74">
            <v>463.00400000000002</v>
          </cell>
          <cell r="E74">
            <v>428.09100000000001</v>
          </cell>
          <cell r="F74">
            <v>274.95499999999998</v>
          </cell>
          <cell r="H74">
            <v>295.39999999999998</v>
          </cell>
          <cell r="J74">
            <v>353.221</v>
          </cell>
          <cell r="L74">
            <v>370.166</v>
          </cell>
          <cell r="N74">
            <v>399.04512500000004</v>
          </cell>
          <cell r="P74">
            <v>470.34735085178261</v>
          </cell>
          <cell r="R74">
            <v>521.50970425174091</v>
          </cell>
          <cell r="T74">
            <v>441.54198468548617</v>
          </cell>
          <cell r="V74">
            <v>478.25626966510265</v>
          </cell>
        </row>
        <row r="75">
          <cell r="A75" t="str">
            <v xml:space="preserve">     Depreciation as % operating expenses</v>
          </cell>
          <cell r="F75">
            <v>5.3286941170054926E-2</v>
          </cell>
          <cell r="H75">
            <v>5.0922384498980573E-2</v>
          </cell>
          <cell r="J75">
            <v>5.1856865951905022E-2</v>
          </cell>
          <cell r="L75">
            <v>4.6438006427717324E-2</v>
          </cell>
          <cell r="N75">
            <v>4.7258068167517063E-2</v>
          </cell>
          <cell r="P75">
            <v>5.0914276998930558E-2</v>
          </cell>
          <cell r="R75">
            <v>5.27056014807308E-2</v>
          </cell>
          <cell r="T75">
            <v>5.3505840960391696E-2</v>
          </cell>
          <cell r="V75">
            <v>5.513319512006043E-2</v>
          </cell>
        </row>
        <row r="76">
          <cell r="A76" t="str">
            <v xml:space="preserve">    Amortization as % of operating expenses</v>
          </cell>
          <cell r="F76">
            <v>8.6845151120246392E-2</v>
          </cell>
          <cell r="H76">
            <v>6.9417394549010317E-2</v>
          </cell>
          <cell r="J76">
            <v>5.5121448906656975E-2</v>
          </cell>
          <cell r="L76">
            <v>3.5258271790654695E-2</v>
          </cell>
          <cell r="N76">
            <v>2.0737003745736744E-2</v>
          </cell>
          <cell r="P76">
            <v>1.7536706690599972E-2</v>
          </cell>
          <cell r="R76">
            <v>1.5497427753167115E-2</v>
          </cell>
          <cell r="T76">
            <v>0</v>
          </cell>
          <cell r="V76">
            <v>0</v>
          </cell>
        </row>
        <row r="78">
          <cell r="A78" t="str">
            <v>Working Capital</v>
          </cell>
        </row>
        <row r="79">
          <cell r="A79" t="str">
            <v>Receivables and other current assets</v>
          </cell>
          <cell r="D79">
            <v>333.73300000000006</v>
          </cell>
          <cell r="E79">
            <v>516.37</v>
          </cell>
          <cell r="F79">
            <v>418.48099999999999</v>
          </cell>
          <cell r="H79">
            <v>574.1</v>
          </cell>
          <cell r="J79">
            <v>957.37199999999996</v>
          </cell>
          <cell r="L79">
            <v>1083.4160000000002</v>
          </cell>
          <cell r="N79">
            <v>1520.0600000000002</v>
          </cell>
          <cell r="P79">
            <v>1879.8541869472047</v>
          </cell>
          <cell r="R79">
            <v>2184.0310518503047</v>
          </cell>
          <cell r="T79">
            <v>2244.0059966023236</v>
          </cell>
          <cell r="V79">
            <v>2103.7479532503617</v>
          </cell>
        </row>
        <row r="80">
          <cell r="A80" t="str">
            <v>% revenue</v>
          </cell>
          <cell r="D80">
            <v>0.20382246906766779</v>
          </cell>
          <cell r="E80">
            <v>0.25262324660279295</v>
          </cell>
          <cell r="F80">
            <v>0.16197457341759783</v>
          </cell>
          <cell r="H80">
            <v>0.17395583321692848</v>
          </cell>
          <cell r="J80">
            <v>0.20716956634640354</v>
          </cell>
          <cell r="L80">
            <v>0.16332683744124263</v>
          </cell>
          <cell r="N80">
            <v>0.16666666666666669</v>
          </cell>
          <cell r="P80">
            <v>0.16666666666666666</v>
          </cell>
          <cell r="R80">
            <v>0.16666666666666666</v>
          </cell>
          <cell r="T80">
            <v>0.15384615384615385</v>
          </cell>
          <cell r="V80">
            <v>0.13333333333333333</v>
          </cell>
        </row>
        <row r="81">
          <cell r="A81" t="str">
            <v>Days receivables outstanding (CHECK)</v>
          </cell>
          <cell r="D81">
            <v>74.39520120969874</v>
          </cell>
          <cell r="E81">
            <v>92.207485010019411</v>
          </cell>
          <cell r="F81">
            <v>59.120719297423214</v>
          </cell>
          <cell r="H81">
            <v>63.493879124178889</v>
          </cell>
          <cell r="J81">
            <v>75.61689171643728</v>
          </cell>
          <cell r="L81">
            <v>59.614295666053565</v>
          </cell>
          <cell r="N81">
            <v>60.833333333333336</v>
          </cell>
          <cell r="P81">
            <v>60.833333333333336</v>
          </cell>
          <cell r="R81">
            <v>60.833333333333336</v>
          </cell>
          <cell r="T81">
            <v>56.153846153846153</v>
          </cell>
          <cell r="V81">
            <v>48.666666666666671</v>
          </cell>
        </row>
        <row r="82">
          <cell r="A82" t="str">
            <v>Accounts receivable turnover</v>
          </cell>
          <cell r="D82">
            <v>4.906230429717767</v>
          </cell>
          <cell r="E82">
            <v>3.958463892170343</v>
          </cell>
          <cell r="F82">
            <v>6.1738085114250056</v>
          </cell>
          <cell r="H82">
            <v>5.748585612262672</v>
          </cell>
          <cell r="J82">
            <v>4.8269638134392903</v>
          </cell>
          <cell r="L82">
            <v>6.1226924837735455</v>
          </cell>
          <cell r="N82">
            <v>6</v>
          </cell>
          <cell r="P82">
            <v>6</v>
          </cell>
          <cell r="R82">
            <v>6</v>
          </cell>
          <cell r="T82">
            <v>6.5</v>
          </cell>
          <cell r="V82">
            <v>7.5</v>
          </cell>
        </row>
        <row r="83">
          <cell r="A83" t="str">
            <v>Prepaid Expenses and Other</v>
          </cell>
          <cell r="D83">
            <v>31.431999999999999</v>
          </cell>
          <cell r="E83">
            <v>38.896000000000001</v>
          </cell>
          <cell r="F83">
            <v>153.88999999999999</v>
          </cell>
          <cell r="H83">
            <v>79.44</v>
          </cell>
          <cell r="J83">
            <v>61.567</v>
          </cell>
          <cell r="L83">
            <v>101.126</v>
          </cell>
          <cell r="N83">
            <v>146.7183995</v>
          </cell>
          <cell r="P83">
            <v>206.13904673091855</v>
          </cell>
          <cell r="R83">
            <v>229.39290678567519</v>
          </cell>
          <cell r="T83">
            <v>247.56660773485044</v>
          </cell>
          <cell r="V83">
            <v>260.2368329771009</v>
          </cell>
        </row>
        <row r="84">
          <cell r="A84" t="str">
            <v>% operating expenses</v>
          </cell>
          <cell r="D84">
            <v>2.496618302232834E-2</v>
          </cell>
          <cell r="E84">
            <v>2.4707873983236303E-2</v>
          </cell>
          <cell r="F84">
            <v>7.8430752968865702E-2</v>
          </cell>
          <cell r="H84">
            <v>3.236219379679213E-2</v>
          </cell>
          <cell r="J84">
            <v>1.8646495850748075E-2</v>
          </cell>
          <cell r="L84">
            <v>2.2318683593606892E-2</v>
          </cell>
          <cell r="N84">
            <v>2.5000000000000001E-2</v>
          </cell>
          <cell r="P84">
            <v>0.03</v>
          </cell>
          <cell r="R84">
            <v>0.03</v>
          </cell>
          <cell r="T84">
            <v>0.03</v>
          </cell>
          <cell r="V84">
            <v>0.03</v>
          </cell>
        </row>
        <row r="85">
          <cell r="A85" t="str">
            <v>Inventories</v>
          </cell>
          <cell r="D85">
            <v>265.83</v>
          </cell>
          <cell r="E85">
            <v>356.94600000000003</v>
          </cell>
          <cell r="F85">
            <v>393.54199999999997</v>
          </cell>
          <cell r="H85">
            <v>469.64</v>
          </cell>
          <cell r="J85">
            <v>590.34299999999996</v>
          </cell>
          <cell r="L85">
            <v>702.51499999999999</v>
          </cell>
          <cell r="N85">
            <v>905.58340740740744</v>
          </cell>
          <cell r="P85">
            <v>1076.257091986759</v>
          </cell>
          <cell r="R85">
            <v>1156.4785712011355</v>
          </cell>
          <cell r="T85">
            <v>1216.2878287085962</v>
          </cell>
          <cell r="V85">
            <v>1267.542714652734</v>
          </cell>
        </row>
        <row r="86">
          <cell r="A86" t="str">
            <v>% revenue</v>
          </cell>
          <cell r="D86">
            <v>0.16235172114312374</v>
          </cell>
          <cell r="E86">
            <v>0.17462838155175656</v>
          </cell>
          <cell r="F86">
            <v>0.15232184393534778</v>
          </cell>
          <cell r="H86">
            <v>0.14230381033269165</v>
          </cell>
          <cell r="J86">
            <v>0.12774668917164372</v>
          </cell>
          <cell r="L86">
            <v>0.10590535233468451</v>
          </cell>
          <cell r="N86">
            <v>9.9292506809753933E-2</v>
          </cell>
          <cell r="P86">
            <v>9.5420263573257086E-2</v>
          </cell>
          <cell r="R86">
            <v>8.8252604453690514E-2</v>
          </cell>
          <cell r="T86">
            <v>8.3387123162785473E-2</v>
          </cell>
          <cell r="V86">
            <v>8.033552452227545E-2</v>
          </cell>
        </row>
        <row r="87">
          <cell r="A87" t="str">
            <v>Days inventory outstanding (CHECK)</v>
          </cell>
          <cell r="D87">
            <v>356.63124660011465</v>
          </cell>
          <cell r="E87">
            <v>367.57858831628306</v>
          </cell>
          <cell r="F87">
            <v>325.25605144578043</v>
          </cell>
          <cell r="H87">
            <v>357.00977400859313</v>
          </cell>
          <cell r="J87">
            <v>320.4092118959108</v>
          </cell>
          <cell r="L87">
            <v>253.61226253952526</v>
          </cell>
          <cell r="N87">
            <v>270.37037037037038</v>
          </cell>
          <cell r="P87">
            <v>260.71428571428567</v>
          </cell>
          <cell r="R87">
            <v>260.71428571428572</v>
          </cell>
          <cell r="T87">
            <v>260.71428571428572</v>
          </cell>
          <cell r="V87">
            <v>260.71428571428572</v>
          </cell>
        </row>
        <row r="88">
          <cell r="A88" t="str">
            <v>Inventory Turnover</v>
          </cell>
          <cell r="D88">
            <v>1.0234661249670842</v>
          </cell>
          <cell r="E88">
            <v>0.9929849332952323</v>
          </cell>
          <cell r="F88">
            <v>1.1221928028012258</v>
          </cell>
          <cell r="H88">
            <v>1.0223809726599098</v>
          </cell>
          <cell r="J88">
            <v>1.1391682462568371</v>
          </cell>
          <cell r="L88">
            <v>1.4392048568357969</v>
          </cell>
          <cell r="N88">
            <v>1.35</v>
          </cell>
          <cell r="P88">
            <v>1.4</v>
          </cell>
          <cell r="R88">
            <v>1.4</v>
          </cell>
          <cell r="T88">
            <v>1.4</v>
          </cell>
          <cell r="V88">
            <v>1.4</v>
          </cell>
        </row>
        <row r="89">
          <cell r="A89" t="str">
            <v>Accounts payable</v>
          </cell>
          <cell r="D89">
            <v>39.113999999999997</v>
          </cell>
          <cell r="E89">
            <v>33.347999999999999</v>
          </cell>
          <cell r="F89">
            <v>51.38</v>
          </cell>
          <cell r="H89">
            <v>59.7</v>
          </cell>
          <cell r="J89">
            <v>104.83199999999999</v>
          </cell>
          <cell r="L89">
            <v>338.97800000000001</v>
          </cell>
          <cell r="N89">
            <v>407.51253333333335</v>
          </cell>
          <cell r="P89">
            <v>456.59391781256443</v>
          </cell>
          <cell r="R89">
            <v>490.62727263078477</v>
          </cell>
          <cell r="T89">
            <v>516.00089702788932</v>
          </cell>
          <cell r="V89">
            <v>537.7453940950993</v>
          </cell>
        </row>
        <row r="90">
          <cell r="A90" t="str">
            <v>% operating expenses</v>
          </cell>
          <cell r="D90">
            <v>3.1067933403389879E-2</v>
          </cell>
          <cell r="E90">
            <v>2.1183622521415164E-2</v>
          </cell>
          <cell r="F90">
            <v>2.6186055543182277E-2</v>
          </cell>
          <cell r="H90">
            <v>2.4320530836713122E-2</v>
          </cell>
          <cell r="J90">
            <v>3.1749954570234412E-2</v>
          </cell>
          <cell r="L90">
            <v>7.4813032525697418E-2</v>
          </cell>
          <cell r="N90">
            <v>6.943787124213642E-2</v>
          </cell>
          <cell r="P90">
            <v>6.6449407580007072E-2</v>
          </cell>
          <cell r="R90">
            <v>6.4164225412059184E-2</v>
          </cell>
          <cell r="T90">
            <v>6.2528735407709535E-2</v>
          </cell>
          <cell r="V90">
            <v>6.1991078043408712E-2</v>
          </cell>
        </row>
        <row r="91">
          <cell r="A91" t="str">
            <v>Days payable outstanding (CHECK)</v>
          </cell>
          <cell r="D91">
            <v>52.47441816016584</v>
          </cell>
          <cell r="E91">
            <v>34.34135909401256</v>
          </cell>
          <cell r="F91">
            <v>42.46473292122365</v>
          </cell>
          <cell r="H91">
            <v>45.382598390922858</v>
          </cell>
          <cell r="J91">
            <v>56.897665427509295</v>
          </cell>
          <cell r="L91">
            <v>122.37315577763206</v>
          </cell>
          <cell r="N91">
            <v>121.66666666666667</v>
          </cell>
          <cell r="P91">
            <v>110.60606060606061</v>
          </cell>
          <cell r="R91">
            <v>110.60606060606061</v>
          </cell>
          <cell r="T91">
            <v>110.60606060606061</v>
          </cell>
          <cell r="V91">
            <v>110.60606060606061</v>
          </cell>
        </row>
        <row r="92">
          <cell r="A92" t="str">
            <v>Accounts payable turnover</v>
          </cell>
          <cell r="D92">
            <v>5.1847740201630499</v>
          </cell>
          <cell r="E92">
            <v>10.32114072799749</v>
          </cell>
          <cell r="F92">
            <v>10.399924116307714</v>
          </cell>
          <cell r="H92">
            <v>10.580068506964043</v>
          </cell>
          <cell r="J92">
            <v>11.819465613344038</v>
          </cell>
          <cell r="L92">
            <v>8.2621306411124422</v>
          </cell>
          <cell r="N92">
            <v>3</v>
          </cell>
          <cell r="P92">
            <v>3.3</v>
          </cell>
          <cell r="R92">
            <v>3.3</v>
          </cell>
          <cell r="S92">
            <v>3</v>
          </cell>
          <cell r="T92">
            <v>3.3</v>
          </cell>
          <cell r="V92">
            <v>3.3</v>
          </cell>
        </row>
        <row r="93">
          <cell r="A93" t="str">
            <v>Accrued Liabilites and Other</v>
          </cell>
          <cell r="D93">
            <v>398.745</v>
          </cell>
          <cell r="E93">
            <v>461.214</v>
          </cell>
          <cell r="F93">
            <v>575.23599999999999</v>
          </cell>
          <cell r="H93">
            <v>765.85</v>
          </cell>
          <cell r="J93">
            <v>1087.2090000000001</v>
          </cell>
          <cell r="L93">
            <v>1276.527</v>
          </cell>
          <cell r="N93">
            <v>1232.4345558</v>
          </cell>
          <cell r="P93">
            <v>1374.2603115394572</v>
          </cell>
          <cell r="R93">
            <v>1452.8217429759429</v>
          </cell>
          <cell r="T93">
            <v>1485.3996464091026</v>
          </cell>
          <cell r="V93">
            <v>1474.6753868702385</v>
          </cell>
        </row>
        <row r="94">
          <cell r="A94" t="str">
            <v>% operating expenses</v>
          </cell>
          <cell r="D94">
            <v>0.31671992393860759</v>
          </cell>
          <cell r="E94">
            <v>0.29297658862876258</v>
          </cell>
          <cell r="F94">
            <v>0.29317169806224208</v>
          </cell>
          <cell r="H94">
            <v>0.3119912653483542</v>
          </cell>
          <cell r="J94">
            <v>0.32927766672723968</v>
          </cell>
          <cell r="L94">
            <v>0.28173172291691778</v>
          </cell>
          <cell r="N94">
            <v>0.21</v>
          </cell>
          <cell r="P94">
            <v>0.2</v>
          </cell>
          <cell r="R94">
            <v>0.19</v>
          </cell>
          <cell r="T94">
            <v>0.18</v>
          </cell>
          <cell r="V94">
            <v>0.17</v>
          </cell>
        </row>
        <row r="95">
          <cell r="A95" t="str">
            <v>Deferred Revenues</v>
          </cell>
          <cell r="D95">
            <v>468.72500000000002</v>
          </cell>
          <cell r="E95">
            <v>87.575999999999993</v>
          </cell>
          <cell r="F95">
            <v>89.576999999999998</v>
          </cell>
          <cell r="H95">
            <v>328.68</v>
          </cell>
          <cell r="J95">
            <v>313.79399999999998</v>
          </cell>
          <cell r="L95">
            <v>264.41999999999996</v>
          </cell>
          <cell r="N95">
            <v>456.01800000000003</v>
          </cell>
          <cell r="P95">
            <v>563.9562560841614</v>
          </cell>
          <cell r="R95">
            <v>655.20931555509151</v>
          </cell>
          <cell r="T95">
            <v>729.30194889575523</v>
          </cell>
          <cell r="V95">
            <v>788.90548246888557</v>
          </cell>
        </row>
        <row r="96">
          <cell r="A96" t="str">
            <v>% operating expenses</v>
          </cell>
          <cell r="D96">
            <v>5.185011061946903</v>
          </cell>
          <cell r="E96">
            <v>4.2844730415179409E-2</v>
          </cell>
          <cell r="F96">
            <v>3.4671099435883972E-2</v>
          </cell>
          <cell r="H96">
            <v>9.959206281438783E-2</v>
          </cell>
          <cell r="J96">
            <v>6.7903142041028305E-2</v>
          </cell>
          <cell r="L96">
            <v>3.9861772722770722E-2</v>
          </cell>
          <cell r="N96">
            <v>0.05</v>
          </cell>
          <cell r="P96">
            <v>0.05</v>
          </cell>
          <cell r="R96">
            <v>0.05</v>
          </cell>
          <cell r="T96">
            <v>0.05</v>
          </cell>
          <cell r="V96">
            <v>0.05</v>
          </cell>
        </row>
        <row r="101">
          <cell r="A101" t="str">
            <v>Property and Equipment, Net</v>
          </cell>
        </row>
        <row r="102">
          <cell r="A102" t="str">
            <v>Beginning balance</v>
          </cell>
          <cell r="F102">
            <v>865.66800000000001</v>
          </cell>
          <cell r="H102">
            <v>1068.7339999999999</v>
          </cell>
          <cell r="J102">
            <v>1617.9</v>
          </cell>
          <cell r="L102">
            <v>2091.404</v>
          </cell>
          <cell r="N102">
            <v>3349.3519999999999</v>
          </cell>
          <cell r="P102">
            <v>4554.0653750000001</v>
          </cell>
          <cell r="R102">
            <v>5783.2955411838693</v>
          </cell>
          <cell r="T102">
            <v>6559.6626049312927</v>
          </cell>
          <cell r="V102">
            <v>6993.2829589207122</v>
          </cell>
        </row>
        <row r="103">
          <cell r="A103" t="str">
            <v>Capital expenditures</v>
          </cell>
          <cell r="D103">
            <v>112.681</v>
          </cell>
          <cell r="E103">
            <v>213.351</v>
          </cell>
          <cell r="F103">
            <v>322.83199999999999</v>
          </cell>
          <cell r="H103">
            <v>321.95</v>
          </cell>
          <cell r="J103">
            <v>649.85799999999995</v>
          </cell>
          <cell r="L103">
            <v>1399.8240000000001</v>
          </cell>
          <cell r="N103">
            <v>1482.0585000000001</v>
          </cell>
          <cell r="P103">
            <v>1579.0775170356521</v>
          </cell>
          <cell r="R103">
            <v>1179.3767679991645</v>
          </cell>
          <cell r="T103">
            <v>875.1623386749061</v>
          </cell>
          <cell r="V103">
            <v>828.35075659232984</v>
          </cell>
        </row>
        <row r="104">
          <cell r="A104" t="str">
            <v>% revenue</v>
          </cell>
          <cell r="D104">
            <v>6.8818245834286293E-2</v>
          </cell>
          <cell r="E104">
            <v>0.10437752442231825</v>
          </cell>
          <cell r="F104">
            <v>0.12495328458293194</v>
          </cell>
          <cell r="H104">
            <v>9.7552831395558467E-2</v>
          </cell>
          <cell r="J104">
            <v>0.14062537868951785</v>
          </cell>
          <cell r="L104">
            <v>0.22190900773092165</v>
          </cell>
          <cell r="N104">
            <v>0.16250000000000001</v>
          </cell>
          <cell r="P104">
            <v>0.14000000000000001</v>
          </cell>
          <cell r="R104">
            <v>0.09</v>
          </cell>
          <cell r="T104">
            <v>0.06</v>
          </cell>
          <cell r="V104">
            <v>5.2499999999999998E-2</v>
          </cell>
        </row>
        <row r="105">
          <cell r="A105" t="str">
            <v>Depreciation</v>
          </cell>
          <cell r="F105">
            <v>-104.55499999999998</v>
          </cell>
          <cell r="H105">
            <v>-125</v>
          </cell>
          <cell r="J105">
            <v>-171.221</v>
          </cell>
          <cell r="L105">
            <v>-210.41070000000002</v>
          </cell>
          <cell r="N105">
            <v>-277.34512500000005</v>
          </cell>
          <cell r="P105">
            <v>-349.84735085178261</v>
          </cell>
          <cell r="R105">
            <v>-403.00970425174086</v>
          </cell>
          <cell r="T105">
            <v>-441.54198468548617</v>
          </cell>
          <cell r="V105">
            <v>-478.25626966510265</v>
          </cell>
        </row>
        <row r="106">
          <cell r="A106" t="str">
            <v>Ending balance</v>
          </cell>
          <cell r="E106">
            <v>865.66800000000001</v>
          </cell>
          <cell r="F106">
            <v>1068.7339999999999</v>
          </cell>
          <cell r="H106">
            <v>1617.9</v>
          </cell>
          <cell r="J106">
            <v>2091.404</v>
          </cell>
          <cell r="L106">
            <v>3349.3519999999999</v>
          </cell>
          <cell r="N106">
            <v>4554.0653750000001</v>
          </cell>
          <cell r="P106">
            <v>5783.2955411838693</v>
          </cell>
          <cell r="R106">
            <v>6559.6626049312927</v>
          </cell>
          <cell r="T106">
            <v>6993.2829589207122</v>
          </cell>
          <cell r="V106">
            <v>7343.3774458479393</v>
          </cell>
        </row>
        <row r="108">
          <cell r="A108" t="str">
            <v>Fixed Asset Turnover (CHECK)</v>
          </cell>
          <cell r="E108">
            <v>2.361219312715729</v>
          </cell>
          <cell r="F108">
            <v>2.6712354098782445</v>
          </cell>
          <cell r="H108">
            <v>2.4568013357978793</v>
          </cell>
          <cell r="J108">
            <v>2.4916803799311138</v>
          </cell>
          <cell r="L108">
            <v>2.4384195872779451</v>
          </cell>
          <cell r="N108">
            <v>2.3079535262428172</v>
          </cell>
          <cell r="P108">
            <v>2.1822059253101944</v>
          </cell>
          <cell r="R108">
            <v>2.2658683475164985</v>
          </cell>
          <cell r="T108">
            <v>2.2235959158859635</v>
          </cell>
          <cell r="V108">
            <v>2.2561806439207457</v>
          </cell>
        </row>
        <row r="109">
          <cell r="A109" t="str">
            <v>Employee Stock Option Analysis</v>
          </cell>
        </row>
        <row r="110">
          <cell r="C110">
            <v>1999</v>
          </cell>
          <cell r="D110">
            <v>2000</v>
          </cell>
          <cell r="E110" t="str">
            <v>2001</v>
          </cell>
          <cell r="F110" t="str">
            <v>2002</v>
          </cell>
          <cell r="H110" t="str">
            <v>2003E</v>
          </cell>
          <cell r="J110" t="str">
            <v>2004A</v>
          </cell>
          <cell r="L110" t="str">
            <v>2005A</v>
          </cell>
          <cell r="N110" t="str">
            <v>2006E</v>
          </cell>
          <cell r="P110" t="str">
            <v>2007E</v>
          </cell>
          <cell r="R110" t="str">
            <v>2008E</v>
          </cell>
          <cell r="T110" t="str">
            <v>2009E</v>
          </cell>
          <cell r="V110" t="str">
            <v>2010E</v>
          </cell>
        </row>
        <row r="111">
          <cell r="A111" t="str">
            <v xml:space="preserve">Stock Price (average) </v>
          </cell>
          <cell r="E111">
            <v>81.5</v>
          </cell>
          <cell r="F111">
            <v>33.159999999999997</v>
          </cell>
          <cell r="H111">
            <v>38</v>
          </cell>
          <cell r="J111">
            <v>52.85</v>
          </cell>
          <cell r="L111">
            <v>76.13</v>
          </cell>
          <cell r="N111">
            <v>85</v>
          </cell>
          <cell r="P111">
            <v>92.31</v>
          </cell>
          <cell r="R111">
            <v>100.24866000000002</v>
          </cell>
          <cell r="T111">
            <v>108.87004476000003</v>
          </cell>
          <cell r="V111">
            <v>118.23286860936004</v>
          </cell>
          <cell r="X111">
            <v>8.5999999999999993E-2</v>
          </cell>
        </row>
        <row r="112">
          <cell r="A112" t="str">
            <v>Option Balance (Beginning Year)</v>
          </cell>
          <cell r="E112">
            <v>40.945</v>
          </cell>
          <cell r="F112">
            <v>93.28</v>
          </cell>
          <cell r="H112">
            <v>98.182999999999993</v>
          </cell>
          <cell r="J112">
            <v>96.126000000000005</v>
          </cell>
          <cell r="L112">
            <v>93.766000000000005</v>
          </cell>
          <cell r="N112">
            <v>82.804000000000002</v>
          </cell>
          <cell r="P112">
            <v>74.523600000000002</v>
          </cell>
          <cell r="R112">
            <v>70.052184000000011</v>
          </cell>
          <cell r="T112">
            <v>67.950618480000003</v>
          </cell>
          <cell r="V112">
            <v>67.950618480000003</v>
          </cell>
        </row>
        <row r="113">
          <cell r="A113" t="str">
            <v xml:space="preserve"> Average Options "in the money"</v>
          </cell>
          <cell r="H113">
            <v>38.799999999999997</v>
          </cell>
          <cell r="J113">
            <v>46.338999999999999</v>
          </cell>
          <cell r="L113">
            <v>37.451000000000001</v>
          </cell>
          <cell r="N113">
            <v>39.331900000000005</v>
          </cell>
          <cell r="P113">
            <v>36.143946</v>
          </cell>
          <cell r="R113">
            <v>34.500700620000003</v>
          </cell>
          <cell r="T113">
            <v>27.180247392000002</v>
          </cell>
          <cell r="V113">
            <v>13.590123696000001</v>
          </cell>
        </row>
        <row r="114">
          <cell r="A114" t="str">
            <v xml:space="preserve">   % "in the money"</v>
          </cell>
          <cell r="F114">
            <v>0</v>
          </cell>
          <cell r="H114">
            <v>0.39936389976789544</v>
          </cell>
          <cell r="J114">
            <v>0.48206520608368181</v>
          </cell>
          <cell r="L114">
            <v>0.39940916750207961</v>
          </cell>
          <cell r="N114">
            <v>0.5</v>
          </cell>
          <cell r="P114">
            <v>0.5</v>
          </cell>
          <cell r="R114">
            <v>0.5</v>
          </cell>
          <cell r="T114">
            <v>0.4</v>
          </cell>
          <cell r="V114">
            <v>0.4</v>
          </cell>
        </row>
        <row r="115">
          <cell r="A115" t="str">
            <v>Weighted Average Exercise Price</v>
          </cell>
          <cell r="H115">
            <v>21.418882283745745</v>
          </cell>
          <cell r="J115">
            <v>25</v>
          </cell>
          <cell r="L115">
            <v>35</v>
          </cell>
          <cell r="N115">
            <v>40.25</v>
          </cell>
          <cell r="P115">
            <v>46.287499999999994</v>
          </cell>
          <cell r="R115">
            <v>53.230624999999989</v>
          </cell>
          <cell r="T115">
            <v>61.215218749999984</v>
          </cell>
          <cell r="V115">
            <v>70.397501562499983</v>
          </cell>
          <cell r="X115">
            <v>0.15</v>
          </cell>
        </row>
        <row r="116">
          <cell r="A116" t="str">
            <v>Options Cancelled</v>
          </cell>
          <cell r="E116">
            <v>2.15</v>
          </cell>
          <cell r="F116">
            <v>4.4059999999999997</v>
          </cell>
          <cell r="H116">
            <v>4.4139999999999997</v>
          </cell>
          <cell r="J116">
            <v>1.843</v>
          </cell>
          <cell r="L116">
            <v>1.8140000000000001</v>
          </cell>
          <cell r="N116">
            <v>3.31216</v>
          </cell>
          <cell r="P116">
            <v>2.980944</v>
          </cell>
          <cell r="R116">
            <v>2.8020873600000007</v>
          </cell>
          <cell r="T116">
            <v>2.7180247392000001</v>
          </cell>
          <cell r="V116">
            <v>2.7180247392000001</v>
          </cell>
        </row>
        <row r="117">
          <cell r="A117" t="str">
            <v xml:space="preserve">   % Cancelled </v>
          </cell>
          <cell r="E117">
            <v>5.2509463915007937E-2</v>
          </cell>
          <cell r="F117">
            <v>4.7234133790737563E-2</v>
          </cell>
          <cell r="H117">
            <v>4.4956866259943169E-2</v>
          </cell>
          <cell r="J117">
            <v>0.04</v>
          </cell>
          <cell r="L117">
            <v>0.04</v>
          </cell>
          <cell r="N117">
            <v>0.04</v>
          </cell>
          <cell r="P117">
            <v>0.04</v>
          </cell>
          <cell r="R117">
            <v>0.04</v>
          </cell>
          <cell r="T117">
            <v>0.04</v>
          </cell>
          <cell r="V117">
            <v>0.04</v>
          </cell>
        </row>
        <row r="118">
          <cell r="A118" t="str">
            <v>Options Exercised</v>
          </cell>
          <cell r="E118">
            <v>2.899</v>
          </cell>
          <cell r="F118">
            <v>3.3460000000000001</v>
          </cell>
          <cell r="H118">
            <v>32.078000000000003</v>
          </cell>
          <cell r="J118">
            <v>21.484000000000002</v>
          </cell>
          <cell r="L118">
            <v>28.823</v>
          </cell>
          <cell r="N118">
            <v>23.185120000000001</v>
          </cell>
          <cell r="P118">
            <v>18.6309</v>
          </cell>
          <cell r="R118">
            <v>16.112002320000002</v>
          </cell>
          <cell r="T118">
            <v>13.590123696000001</v>
          </cell>
          <cell r="V118">
            <v>13.590123696000001</v>
          </cell>
        </row>
        <row r="119">
          <cell r="A119" t="str">
            <v xml:space="preserve">     % of Outstanding Options</v>
          </cell>
          <cell r="E119">
            <v>7.080229576260838E-2</v>
          </cell>
          <cell r="F119">
            <v>3.5870497427101203E-2</v>
          </cell>
          <cell r="H119">
            <v>0.32671643767250957</v>
          </cell>
          <cell r="J119">
            <v>0.35</v>
          </cell>
          <cell r="L119">
            <v>0.3</v>
          </cell>
          <cell r="N119">
            <v>0.28000000000000003</v>
          </cell>
          <cell r="P119">
            <v>0.25</v>
          </cell>
          <cell r="R119">
            <v>0.23</v>
          </cell>
          <cell r="T119">
            <v>0.2</v>
          </cell>
          <cell r="V119">
            <v>0.2</v>
          </cell>
        </row>
        <row r="120">
          <cell r="A120" t="str">
            <v>Weighted Average Exercise Price of exercised</v>
          </cell>
          <cell r="E120">
            <v>24.69</v>
          </cell>
          <cell r="F120">
            <v>11.715</v>
          </cell>
          <cell r="H120">
            <v>34.134999999999998</v>
          </cell>
          <cell r="J120">
            <v>20.81</v>
          </cell>
          <cell r="L120">
            <v>25.88</v>
          </cell>
          <cell r="N120">
            <v>31.055999999999997</v>
          </cell>
          <cell r="P120">
            <v>37.267199999999995</v>
          </cell>
          <cell r="R120">
            <v>44.720639999999996</v>
          </cell>
          <cell r="T120">
            <v>53.664767999999995</v>
          </cell>
          <cell r="V120">
            <v>64.397721599999997</v>
          </cell>
          <cell r="X120">
            <v>0.2</v>
          </cell>
        </row>
        <row r="121">
          <cell r="A121" t="str">
            <v xml:space="preserve">     Tax rate</v>
          </cell>
          <cell r="E121">
            <v>0.17543014456747877</v>
          </cell>
          <cell r="F121">
            <v>0.33702605798725771</v>
          </cell>
          <cell r="H121">
            <v>0.32364976429312847</v>
          </cell>
          <cell r="J121">
            <v>0.36207709431617907</v>
          </cell>
          <cell r="L121">
            <v>0.36750724212165659</v>
          </cell>
          <cell r="N121">
            <v>0.3729296918045219</v>
          </cell>
          <cell r="P121">
            <v>0.373</v>
          </cell>
          <cell r="R121">
            <v>0.373</v>
          </cell>
          <cell r="T121">
            <v>0.373</v>
          </cell>
          <cell r="V121">
            <v>0.373</v>
          </cell>
        </row>
        <row r="122">
          <cell r="A122" t="str">
            <v>Proceeds from option</v>
          </cell>
          <cell r="H122">
            <v>1094.98253</v>
          </cell>
          <cell r="J122">
            <v>447.08204000000001</v>
          </cell>
          <cell r="L122">
            <v>745.93923999999993</v>
          </cell>
          <cell r="N122">
            <v>720.03708671999993</v>
          </cell>
          <cell r="P122">
            <v>694.32147647999989</v>
          </cell>
          <cell r="R122">
            <v>720.53905543188478</v>
          </cell>
          <cell r="T122">
            <v>729.31083523714256</v>
          </cell>
          <cell r="V122">
            <v>875.173002284571</v>
          </cell>
        </row>
        <row r="123">
          <cell r="A123" t="str">
            <v>Tax Benefit from Options</v>
          </cell>
          <cell r="H123">
            <v>40.126573542215603</v>
          </cell>
          <cell r="J123">
            <v>329.47</v>
          </cell>
          <cell r="L123">
            <v>641.34799999999996</v>
          </cell>
          <cell r="N123">
            <v>466.42246192600749</v>
          </cell>
          <cell r="P123">
            <v>382.51034463996001</v>
          </cell>
          <cell r="R123">
            <v>333.71100997524758</v>
          </cell>
          <cell r="T123">
            <v>279.84195936043733</v>
          </cell>
          <cell r="V123">
            <v>272.89661252948122</v>
          </cell>
        </row>
        <row r="124">
          <cell r="A124" t="str">
            <v>Options Granted</v>
          </cell>
          <cell r="E124">
            <v>10.74</v>
          </cell>
          <cell r="F124">
            <v>12.654999999999999</v>
          </cell>
          <cell r="H124">
            <v>10.89</v>
          </cell>
          <cell r="J124">
            <v>20.966999999999999</v>
          </cell>
          <cell r="L124">
            <v>19.675000000000001</v>
          </cell>
          <cell r="N124">
            <v>18.21688</v>
          </cell>
          <cell r="P124">
            <v>17.140428</v>
          </cell>
          <cell r="R124">
            <v>16.812524160000002</v>
          </cell>
          <cell r="T124">
            <v>16.3081484352</v>
          </cell>
          <cell r="V124">
            <v>16.3081484352</v>
          </cell>
        </row>
        <row r="125">
          <cell r="A125" t="str">
            <v xml:space="preserve">     % of Outstanding Options</v>
          </cell>
          <cell r="E125">
            <v>0.26230308951031872</v>
          </cell>
          <cell r="F125">
            <v>0.13566680960548885</v>
          </cell>
          <cell r="H125">
            <v>0.11091533157471255</v>
          </cell>
          <cell r="J125">
            <v>0.21811996754260032</v>
          </cell>
          <cell r="L125">
            <v>0.20983085553398886</v>
          </cell>
          <cell r="N125">
            <v>0.22</v>
          </cell>
          <cell r="P125">
            <v>0.23</v>
          </cell>
          <cell r="R125">
            <v>0.24</v>
          </cell>
          <cell r="T125">
            <v>0.24</v>
          </cell>
          <cell r="V125">
            <v>0.24</v>
          </cell>
        </row>
        <row r="126">
          <cell r="A126" t="str">
            <v>Shares Issued</v>
          </cell>
          <cell r="D126">
            <v>0</v>
          </cell>
          <cell r="E126">
            <v>0.83799999999999997</v>
          </cell>
          <cell r="F126">
            <v>2.1320000000000001</v>
          </cell>
          <cell r="H126">
            <v>2.8</v>
          </cell>
          <cell r="J126">
            <v>2.5</v>
          </cell>
          <cell r="L126">
            <v>0.9812163404702483</v>
          </cell>
          <cell r="N126">
            <v>0</v>
          </cell>
          <cell r="P126">
            <v>0</v>
          </cell>
          <cell r="R126">
            <v>0</v>
          </cell>
          <cell r="T126">
            <v>0</v>
          </cell>
          <cell r="V126">
            <v>0</v>
          </cell>
        </row>
        <row r="127">
          <cell r="A127" t="str">
            <v>Proceeds from share issuance</v>
          </cell>
          <cell r="D127">
            <v>0</v>
          </cell>
          <cell r="E127">
            <v>0</v>
          </cell>
          <cell r="F127">
            <v>0</v>
          </cell>
          <cell r="H127">
            <v>0</v>
          </cell>
          <cell r="J127">
            <v>58.86</v>
          </cell>
          <cell r="L127">
            <v>74.7</v>
          </cell>
          <cell r="N127">
            <v>0</v>
          </cell>
          <cell r="P127">
            <v>0</v>
          </cell>
          <cell r="R127">
            <v>0</v>
          </cell>
          <cell r="T127">
            <v>0</v>
          </cell>
          <cell r="V127">
            <v>0</v>
          </cell>
        </row>
        <row r="128">
          <cell r="A128" t="str">
            <v>Shares Repurchased (mm)</v>
          </cell>
          <cell r="E128">
            <v>0.9</v>
          </cell>
          <cell r="F128">
            <v>36.4</v>
          </cell>
          <cell r="H128">
            <v>11</v>
          </cell>
          <cell r="J128">
            <v>25.6</v>
          </cell>
          <cell r="L128">
            <v>26.479863391567058</v>
          </cell>
          <cell r="N128">
            <v>23.185120000000001</v>
          </cell>
          <cell r="P128">
            <v>18.6309</v>
          </cell>
          <cell r="R128">
            <v>16.112002320000002</v>
          </cell>
          <cell r="T128">
            <v>13.590123696000001</v>
          </cell>
          <cell r="V128">
            <v>13.590123696000001</v>
          </cell>
        </row>
        <row r="129">
          <cell r="A129" t="str">
            <v>Share Repurchase Cost</v>
          </cell>
          <cell r="E129">
            <v>39.700000000000003</v>
          </cell>
          <cell r="F129">
            <v>692.8</v>
          </cell>
          <cell r="H129">
            <v>201.34</v>
          </cell>
          <cell r="J129">
            <v>1351.683</v>
          </cell>
          <cell r="L129">
            <v>2015.912</v>
          </cell>
          <cell r="N129">
            <v>1970.7352000000001</v>
          </cell>
          <cell r="P129">
            <v>1719.818379</v>
          </cell>
          <cell r="R129">
            <v>1615.2066424968916</v>
          </cell>
          <cell r="T129">
            <v>1479.5573750774572</v>
          </cell>
          <cell r="V129">
            <v>1606.7993093341186</v>
          </cell>
        </row>
        <row r="130">
          <cell r="B130" t="str">
            <v>Allocated to APIC</v>
          </cell>
          <cell r="F130">
            <v>235.5</v>
          </cell>
          <cell r="H130">
            <v>71.584000000000003</v>
          </cell>
          <cell r="J130">
            <v>191.042</v>
          </cell>
          <cell r="L130">
            <v>806.36480000000006</v>
          </cell>
          <cell r="N130">
            <v>788.29408000000012</v>
          </cell>
          <cell r="P130">
            <v>687.92735160000007</v>
          </cell>
          <cell r="R130">
            <v>646.08265699875665</v>
          </cell>
          <cell r="T130">
            <v>591.82295003098295</v>
          </cell>
          <cell r="V130">
            <v>642.71972373364747</v>
          </cell>
        </row>
        <row r="131">
          <cell r="B131" t="str">
            <v>Allocated to Retained Earnings</v>
          </cell>
          <cell r="F131">
            <v>457.29999999999995</v>
          </cell>
          <cell r="H131">
            <v>129.756</v>
          </cell>
          <cell r="J131">
            <v>1160.6410000000001</v>
          </cell>
          <cell r="L131">
            <v>1209.5472</v>
          </cell>
          <cell r="N131">
            <v>1182.44112</v>
          </cell>
          <cell r="P131">
            <v>1031.8910274</v>
          </cell>
          <cell r="R131">
            <v>969.12398549813497</v>
          </cell>
          <cell r="T131">
            <v>887.73442504647426</v>
          </cell>
          <cell r="V131">
            <v>964.07958560047109</v>
          </cell>
        </row>
        <row r="132">
          <cell r="A132" t="str">
            <v>Stock options expense</v>
          </cell>
          <cell r="N132">
            <v>329.18547890000002</v>
          </cell>
          <cell r="P132">
            <v>377.92158567335071</v>
          </cell>
          <cell r="R132">
            <v>420.55366244040454</v>
          </cell>
          <cell r="T132">
            <v>453.87211418055915</v>
          </cell>
          <cell r="V132">
            <v>477.1008604580183</v>
          </cell>
        </row>
        <row r="133">
          <cell r="A133" t="str">
            <v>Total Change in APIC</v>
          </cell>
          <cell r="D133">
            <v>0</v>
          </cell>
          <cell r="E133">
            <v>109</v>
          </cell>
          <cell r="F133">
            <v>-603.4</v>
          </cell>
          <cell r="H133">
            <v>590.29999999999995</v>
          </cell>
          <cell r="J133">
            <v>-516.27096000000006</v>
          </cell>
          <cell r="L133">
            <v>-553.92476000000011</v>
          </cell>
          <cell r="N133">
            <v>-455.09017245399264</v>
          </cell>
          <cell r="P133">
            <v>-265.0649722066895</v>
          </cell>
          <cell r="R133">
            <v>-140.40291464935478</v>
          </cell>
          <cell r="T133">
            <v>-16.532466299318173</v>
          </cell>
          <cell r="V133">
            <v>18.371165937951957</v>
          </cell>
          <cell r="Y133" t="str">
            <v>mstag:netIssuanceRepurchaseOfCommonStock</v>
          </cell>
          <cell r="Z133">
            <v>6</v>
          </cell>
          <cell r="AA133" t="str">
            <v>ISO4217:USD</v>
          </cell>
          <cell r="AB133" t="b">
            <v>0</v>
          </cell>
          <cell r="AC133" t="b">
            <v>0</v>
          </cell>
        </row>
        <row r="134">
          <cell r="A134" t="str">
            <v>Beginning Period Shares</v>
          </cell>
          <cell r="H134">
            <v>1025.155974</v>
          </cell>
          <cell r="J134">
            <v>1049.5</v>
          </cell>
          <cell r="L134">
            <v>1047.127</v>
          </cell>
          <cell r="N134">
            <v>1053.713</v>
          </cell>
          <cell r="P134">
            <v>1053.713</v>
          </cell>
          <cell r="R134">
            <v>1053.713</v>
          </cell>
          <cell r="T134">
            <v>1053.713</v>
          </cell>
          <cell r="V134">
            <v>1053.713</v>
          </cell>
        </row>
        <row r="135">
          <cell r="A135" t="str">
            <v>End of Period Shares</v>
          </cell>
          <cell r="D135">
            <v>0</v>
          </cell>
          <cell r="E135">
            <v>527.79422299999999</v>
          </cell>
          <cell r="F135">
            <v>1025.155974</v>
          </cell>
          <cell r="H135">
            <v>1047.3900000000001</v>
          </cell>
          <cell r="J135">
            <v>1047.127</v>
          </cell>
          <cell r="L135">
            <v>1053.713</v>
          </cell>
          <cell r="N135">
            <v>1053.713</v>
          </cell>
          <cell r="P135">
            <v>1053.713</v>
          </cell>
          <cell r="R135">
            <v>1053.713</v>
          </cell>
          <cell r="T135">
            <v>1053.713</v>
          </cell>
          <cell r="V135">
            <v>1053.713</v>
          </cell>
          <cell r="Y135" t="str">
            <v>mstag:periodEndBasicSharesOutstanding</v>
          </cell>
          <cell r="Z135">
            <v>6</v>
          </cell>
          <cell r="AA135" t="str">
            <v>ms_eqr_gcim_Decimal:ms_eqr_gcim_decimal</v>
          </cell>
          <cell r="AB135" t="b">
            <v>0</v>
          </cell>
          <cell r="AC135" t="b">
            <v>0</v>
          </cell>
        </row>
        <row r="136">
          <cell r="A136" t="str">
            <v xml:space="preserve">Average Shares Outstanding-basic </v>
          </cell>
          <cell r="D136">
            <v>0</v>
          </cell>
          <cell r="E136">
            <v>1054.038</v>
          </cell>
          <cell r="F136">
            <v>1038.5084999999999</v>
          </cell>
          <cell r="H136">
            <v>1034.4565</v>
          </cell>
          <cell r="J136">
            <v>1055.165</v>
          </cell>
          <cell r="L136">
            <v>1054.952</v>
          </cell>
          <cell r="N136">
            <v>1053.713</v>
          </cell>
          <cell r="P136">
            <v>1053.713</v>
          </cell>
          <cell r="R136">
            <v>1053.713</v>
          </cell>
          <cell r="T136">
            <v>1053.713</v>
          </cell>
          <cell r="V136">
            <v>1053.713</v>
          </cell>
        </row>
        <row r="137">
          <cell r="A137" t="str">
            <v>Average Shares Outstanding-diluted</v>
          </cell>
          <cell r="D137">
            <v>0</v>
          </cell>
          <cell r="E137">
            <v>1070.441</v>
          </cell>
          <cell r="F137">
            <v>1048.9160000000002</v>
          </cell>
          <cell r="H137">
            <v>1054.3219999999999</v>
          </cell>
          <cell r="J137">
            <v>1079.2090000000001</v>
          </cell>
          <cell r="L137">
            <v>1080.9490000000001</v>
          </cell>
          <cell r="N137">
            <v>1074.4200885294117</v>
          </cell>
          <cell r="P137">
            <v>1071.7330926745205</v>
          </cell>
          <cell r="R137">
            <v>1069.8943150347914</v>
          </cell>
          <cell r="T137">
            <v>1065.6103953141094</v>
          </cell>
          <cell r="V137">
            <v>1059.2113742072459</v>
          </cell>
        </row>
        <row r="139">
          <cell r="A139" t="str">
            <v>Option Expense (cash repurchase)</v>
          </cell>
          <cell r="H139">
            <v>-83.854896457784662</v>
          </cell>
          <cell r="J139">
            <v>-688.34736000000021</v>
          </cell>
          <cell r="L139">
            <v>-1448.3557499999999</v>
          </cell>
          <cell r="N139">
            <v>-1250.6981132800001</v>
          </cell>
          <cell r="P139">
            <v>-1025.4969025200003</v>
          </cell>
          <cell r="R139">
            <v>-894.66758706500684</v>
          </cell>
          <cell r="T139">
            <v>-750.24653984031465</v>
          </cell>
          <cell r="V139">
            <v>-731.62630704954756</v>
          </cell>
        </row>
      </sheetData>
      <sheetData sheetId="9" refreshError="1">
        <row r="1">
          <cell r="B1" t="str">
            <v>Genentech Cash Flow Statements</v>
          </cell>
          <cell r="X1" t="str">
            <v>ElementName</v>
          </cell>
          <cell r="Y1" t="str">
            <v>ScaleOverride</v>
          </cell>
          <cell r="Z1" t="str">
            <v>UnitOverride</v>
          </cell>
          <cell r="AA1" t="str">
            <v>ReverseSign</v>
          </cell>
          <cell r="AB1" t="str">
            <v>IsDrivingAssumption</v>
          </cell>
          <cell r="AC1" t="str">
            <v>SegmentID</v>
          </cell>
        </row>
        <row r="2">
          <cell r="B2" t="str">
            <v>(Dollars in thousands)</v>
          </cell>
        </row>
        <row r="3">
          <cell r="C3" t="str">
            <v>2000A</v>
          </cell>
          <cell r="D3" t="str">
            <v>2001A</v>
          </cell>
          <cell r="E3" t="str">
            <v>2002A</v>
          </cell>
          <cell r="G3" t="str">
            <v>2003A</v>
          </cell>
          <cell r="I3" t="str">
            <v>2004A</v>
          </cell>
          <cell r="K3" t="str">
            <v>2005A</v>
          </cell>
          <cell r="M3" t="str">
            <v>2006E</v>
          </cell>
          <cell r="O3" t="str">
            <v>2007E</v>
          </cell>
          <cell r="Q3" t="str">
            <v>2008E</v>
          </cell>
          <cell r="S3" t="str">
            <v>2009E</v>
          </cell>
          <cell r="U3" t="str">
            <v>2010E</v>
          </cell>
        </row>
        <row r="4">
          <cell r="B4" t="str">
            <v>CASH FLOWS FROM OPERATING ACTIVITIES</v>
          </cell>
        </row>
        <row r="5">
          <cell r="B5" t="str">
            <v>Net Income (Loss)</v>
          </cell>
          <cell r="C5">
            <v>-74.241</v>
          </cell>
          <cell r="D5">
            <v>150.23599999999999</v>
          </cell>
          <cell r="E5">
            <v>63.786999999999999</v>
          </cell>
          <cell r="G5">
            <v>562.45584265857758</v>
          </cell>
          <cell r="I5">
            <v>784.81600000000003</v>
          </cell>
          <cell r="K5">
            <v>1278.991</v>
          </cell>
          <cell r="M5">
            <v>1731.7880296800001</v>
          </cell>
          <cell r="O5">
            <v>2346.2055172820069</v>
          </cell>
          <cell r="Q5">
            <v>3010.0769897997934</v>
          </cell>
          <cell r="S5">
            <v>3579.2035264931046</v>
          </cell>
          <cell r="U5">
            <v>4130.8413284121989</v>
          </cell>
          <cell r="X5" t="str">
            <v>mstag:netIncomeReported</v>
          </cell>
          <cell r="Y5">
            <v>6</v>
          </cell>
          <cell r="Z5" t="str">
            <v>ISO4217:USD</v>
          </cell>
          <cell r="AA5" t="b">
            <v>0</v>
          </cell>
          <cell r="AB5" t="b">
            <v>0</v>
          </cell>
        </row>
        <row r="6">
          <cell r="B6" t="str">
            <v>Effect of Acconting Change</v>
          </cell>
          <cell r="C6">
            <v>0</v>
          </cell>
          <cell r="D6">
            <v>5.6</v>
          </cell>
          <cell r="E6">
            <v>0</v>
          </cell>
          <cell r="G6">
            <v>47.655000000000001</v>
          </cell>
          <cell r="I6">
            <v>0</v>
          </cell>
          <cell r="K6">
            <v>0</v>
          </cell>
          <cell r="M6">
            <v>0</v>
          </cell>
          <cell r="O6">
            <v>0</v>
          </cell>
          <cell r="Q6">
            <v>0</v>
          </cell>
          <cell r="S6">
            <v>0</v>
          </cell>
          <cell r="U6">
            <v>0</v>
          </cell>
          <cell r="X6" t="str">
            <v>mstag:otherCashFlow</v>
          </cell>
          <cell r="Y6">
            <v>6</v>
          </cell>
          <cell r="Z6" t="str">
            <v>ISO4217:USD</v>
          </cell>
          <cell r="AA6" t="b">
            <v>0</v>
          </cell>
          <cell r="AB6" t="b">
            <v>0</v>
          </cell>
        </row>
        <row r="7">
          <cell r="B7" t="str">
            <v>Depreciation &amp; Amort.</v>
          </cell>
          <cell r="C7">
            <v>463.00400000000002</v>
          </cell>
          <cell r="D7">
            <v>428.09100000000001</v>
          </cell>
          <cell r="E7">
            <v>274.95499999999998</v>
          </cell>
          <cell r="G7">
            <v>295.39999999999998</v>
          </cell>
          <cell r="I7">
            <v>353.221</v>
          </cell>
          <cell r="K7">
            <v>370.166</v>
          </cell>
          <cell r="M7">
            <v>399.04512500000004</v>
          </cell>
          <cell r="O7">
            <v>470.34735085178261</v>
          </cell>
          <cell r="Q7">
            <v>521.50970425174091</v>
          </cell>
          <cell r="S7">
            <v>441.54198468548617</v>
          </cell>
          <cell r="U7">
            <v>478.25626966510265</v>
          </cell>
        </row>
        <row r="8">
          <cell r="B8" t="str">
            <v xml:space="preserve">     Depreciation</v>
          </cell>
          <cell r="C8">
            <v>0</v>
          </cell>
          <cell r="D8">
            <v>428.09100000000001</v>
          </cell>
          <cell r="E8">
            <v>104.55499999999998</v>
          </cell>
          <cell r="G8">
            <v>125</v>
          </cell>
          <cell r="I8">
            <v>171.221</v>
          </cell>
          <cell r="K8">
            <v>210.41070000000002</v>
          </cell>
          <cell r="M8">
            <v>277.34512500000005</v>
          </cell>
          <cell r="O8">
            <v>349.84735085178261</v>
          </cell>
          <cell r="Q8">
            <v>403.00970425174086</v>
          </cell>
          <cell r="S8">
            <v>441.54198468548617</v>
          </cell>
          <cell r="U8">
            <v>478.25626966510265</v>
          </cell>
          <cell r="X8" t="str">
            <v>mstag:depreciation</v>
          </cell>
          <cell r="Y8">
            <v>6</v>
          </cell>
          <cell r="Z8" t="str">
            <v>ISO4217:USD</v>
          </cell>
          <cell r="AA8" t="b">
            <v>0</v>
          </cell>
          <cell r="AB8" t="b">
            <v>0</v>
          </cell>
        </row>
        <row r="9">
          <cell r="B9" t="str">
            <v xml:space="preserve">     Amortization</v>
          </cell>
          <cell r="C9">
            <v>0</v>
          </cell>
          <cell r="D9">
            <v>0</v>
          </cell>
          <cell r="E9">
            <v>170.4</v>
          </cell>
          <cell r="G9">
            <v>170.4</v>
          </cell>
          <cell r="I9">
            <v>182</v>
          </cell>
          <cell r="K9">
            <v>159.75529999999998</v>
          </cell>
          <cell r="M9">
            <v>121.7</v>
          </cell>
          <cell r="O9">
            <v>120.5</v>
          </cell>
          <cell r="Q9">
            <v>118.5</v>
          </cell>
          <cell r="S9">
            <v>0</v>
          </cell>
          <cell r="U9">
            <v>0</v>
          </cell>
          <cell r="X9" t="str">
            <v>mstag:amortizationOfIntangiblesAssumedToHaveIndefiniteLife</v>
          </cell>
          <cell r="Y9">
            <v>6</v>
          </cell>
          <cell r="Z9" t="str">
            <v>ISO4217:USD</v>
          </cell>
          <cell r="AA9" t="b">
            <v>0</v>
          </cell>
          <cell r="AB9" t="b">
            <v>0</v>
          </cell>
        </row>
        <row r="10">
          <cell r="B10" t="str">
            <v>Tax Benefits Related to Employee Stock Options</v>
          </cell>
          <cell r="C10">
            <v>0</v>
          </cell>
          <cell r="D10">
            <v>0</v>
          </cell>
          <cell r="E10">
            <v>0</v>
          </cell>
          <cell r="G10">
            <v>0</v>
          </cell>
          <cell r="I10">
            <v>329.47</v>
          </cell>
          <cell r="K10">
            <v>632.29999999999995</v>
          </cell>
          <cell r="M10">
            <v>0</v>
          </cell>
          <cell r="O10">
            <v>0</v>
          </cell>
          <cell r="Q10">
            <v>0</v>
          </cell>
          <cell r="S10">
            <v>0</v>
          </cell>
          <cell r="U10">
            <v>0</v>
          </cell>
          <cell r="X10" t="str">
            <v>mstag:taxBenefitFromExerciseOfEsosCashFlowStatement</v>
          </cell>
          <cell r="Y10">
            <v>6</v>
          </cell>
          <cell r="Z10" t="str">
            <v>ISO4217:USD</v>
          </cell>
          <cell r="AA10" t="b">
            <v>0</v>
          </cell>
          <cell r="AB10" t="b">
            <v>0</v>
          </cell>
        </row>
        <row r="11">
          <cell r="B11" t="str">
            <v>Stock Options Expense (add back)</v>
          </cell>
          <cell r="M11">
            <v>329.18547890000002</v>
          </cell>
          <cell r="O11">
            <v>377.92158567335071</v>
          </cell>
          <cell r="Q11">
            <v>420.55366244040454</v>
          </cell>
          <cell r="S11">
            <v>453.87211418055915</v>
          </cell>
          <cell r="U11">
            <v>477.1008604580183</v>
          </cell>
          <cell r="X11" t="str">
            <v>mstag:otherCashFlow</v>
          </cell>
          <cell r="Y11">
            <v>6</v>
          </cell>
          <cell r="Z11" t="str">
            <v>ISO4217:USD</v>
          </cell>
          <cell r="AA11" t="b">
            <v>0</v>
          </cell>
          <cell r="AB11" t="b">
            <v>0</v>
          </cell>
        </row>
        <row r="12">
          <cell r="B12" t="str">
            <v>Write-Off Of In-Process Research and Development</v>
          </cell>
          <cell r="C12">
            <v>0</v>
          </cell>
          <cell r="D12">
            <v>0</v>
          </cell>
          <cell r="E12">
            <v>0</v>
          </cell>
          <cell r="G12">
            <v>0</v>
          </cell>
          <cell r="I12">
            <v>0</v>
          </cell>
          <cell r="K12">
            <v>0</v>
          </cell>
          <cell r="M12">
            <v>0</v>
          </cell>
          <cell r="O12">
            <v>0</v>
          </cell>
          <cell r="Q12">
            <v>0</v>
          </cell>
          <cell r="S12">
            <v>0</v>
          </cell>
          <cell r="U12">
            <v>0</v>
          </cell>
          <cell r="X12" t="str">
            <v>mstag:acquiredInProcessRAndD</v>
          </cell>
          <cell r="Y12">
            <v>6</v>
          </cell>
          <cell r="Z12" t="str">
            <v>ISO4217:USD</v>
          </cell>
          <cell r="AA12" t="b">
            <v>0</v>
          </cell>
          <cell r="AB12" t="b">
            <v>0</v>
          </cell>
        </row>
        <row r="13">
          <cell r="B13" t="str">
            <v>Deferred Income Taxes</v>
          </cell>
          <cell r="C13">
            <v>-235.315</v>
          </cell>
          <cell r="D13">
            <v>29.356999999999999</v>
          </cell>
          <cell r="E13">
            <v>-196.64400000000001</v>
          </cell>
          <cell r="G13">
            <v>-149</v>
          </cell>
          <cell r="I13">
            <v>-73.584999999999994</v>
          </cell>
          <cell r="K13">
            <v>-109.69499999999999</v>
          </cell>
          <cell r="M13">
            <v>0</v>
          </cell>
          <cell r="O13">
            <v>0</v>
          </cell>
          <cell r="Q13">
            <v>0</v>
          </cell>
          <cell r="S13">
            <v>0</v>
          </cell>
          <cell r="U13">
            <v>0</v>
          </cell>
          <cell r="X13" t="str">
            <v>mstag:deferredTax</v>
          </cell>
          <cell r="Y13">
            <v>6</v>
          </cell>
          <cell r="Z13" t="str">
            <v>ISO4217:USD</v>
          </cell>
          <cell r="AA13" t="b">
            <v>0</v>
          </cell>
          <cell r="AB13" t="b">
            <v>0</v>
          </cell>
        </row>
        <row r="14">
          <cell r="B14" t="str">
            <v xml:space="preserve">        Gain on sales of securities available for-sale</v>
          </cell>
          <cell r="C14">
            <v>-132.30699999999999</v>
          </cell>
          <cell r="D14">
            <v>-39.4</v>
          </cell>
          <cell r="E14">
            <v>-53.71</v>
          </cell>
          <cell r="G14">
            <v>-23.1</v>
          </cell>
          <cell r="I14">
            <v>-13.577</v>
          </cell>
          <cell r="K14">
            <v>-11.606</v>
          </cell>
          <cell r="M14">
            <v>0</v>
          </cell>
          <cell r="O14">
            <v>0</v>
          </cell>
          <cell r="Q14">
            <v>0</v>
          </cell>
          <cell r="S14">
            <v>0</v>
          </cell>
          <cell r="U14">
            <v>0</v>
          </cell>
          <cell r="X14" t="str">
            <v>mstag:gainsLossesFromSaleOfOperatingAssetsOneTime</v>
          </cell>
          <cell r="Y14">
            <v>6</v>
          </cell>
          <cell r="Z14" t="str">
            <v>ISO4217:USD</v>
          </cell>
          <cell r="AA14" t="b">
            <v>1</v>
          </cell>
          <cell r="AB14" t="b">
            <v>0</v>
          </cell>
        </row>
        <row r="15">
          <cell r="B15" t="str">
            <v xml:space="preserve">        Loss on sales of securities available for-sale</v>
          </cell>
          <cell r="C15">
            <v>3.9569999999999999</v>
          </cell>
          <cell r="D15">
            <v>2.0110000000000001</v>
          </cell>
          <cell r="E15">
            <v>5.8680000000000003</v>
          </cell>
          <cell r="G15">
            <v>3.1</v>
          </cell>
          <cell r="I15">
            <v>1.839</v>
          </cell>
          <cell r="K15">
            <v>3.1640000000000001</v>
          </cell>
          <cell r="M15">
            <v>0</v>
          </cell>
          <cell r="O15">
            <v>0</v>
          </cell>
          <cell r="Q15">
            <v>0</v>
          </cell>
          <cell r="S15">
            <v>0</v>
          </cell>
          <cell r="U15">
            <v>0</v>
          </cell>
          <cell r="X15" t="str">
            <v>mstag:gainsLossesFromSaleOfOperatingAssetsOneTime</v>
          </cell>
          <cell r="Y15">
            <v>6</v>
          </cell>
          <cell r="Z15" t="str">
            <v>ISO4217:USD</v>
          </cell>
          <cell r="AA15" t="b">
            <v>1</v>
          </cell>
          <cell r="AB15" t="b">
            <v>0</v>
          </cell>
        </row>
        <row r="16">
          <cell r="B16" t="str">
            <v xml:space="preserve">        Write-down of securities available for-sale</v>
          </cell>
          <cell r="C16">
            <v>4.8</v>
          </cell>
          <cell r="D16">
            <v>27.504000000000001</v>
          </cell>
          <cell r="E16">
            <v>40.759</v>
          </cell>
          <cell r="G16">
            <v>3.8</v>
          </cell>
          <cell r="I16">
            <v>12.34</v>
          </cell>
          <cell r="K16">
            <v>10.044</v>
          </cell>
          <cell r="M16">
            <v>0</v>
          </cell>
          <cell r="O16">
            <v>0</v>
          </cell>
          <cell r="Q16">
            <v>0</v>
          </cell>
          <cell r="S16">
            <v>0</v>
          </cell>
          <cell r="U16">
            <v>0</v>
          </cell>
          <cell r="X16" t="str">
            <v>mstag:assetImpairmentNonGoodwillOneTime</v>
          </cell>
          <cell r="Y16">
            <v>6</v>
          </cell>
          <cell r="Z16" t="str">
            <v>ISO4217:USD</v>
          </cell>
          <cell r="AA16" t="b">
            <v>0</v>
          </cell>
          <cell r="AB16" t="b">
            <v>0</v>
          </cell>
        </row>
        <row r="17">
          <cell r="B17" t="str">
            <v xml:space="preserve">        Write-down of nonmarketable securities</v>
          </cell>
          <cell r="C17">
            <v>0</v>
          </cell>
          <cell r="D17">
            <v>0</v>
          </cell>
          <cell r="E17">
            <v>0</v>
          </cell>
          <cell r="G17">
            <v>0</v>
          </cell>
          <cell r="I17">
            <v>0</v>
          </cell>
          <cell r="K17">
            <v>0</v>
          </cell>
          <cell r="M17">
            <v>0</v>
          </cell>
          <cell r="O17">
            <v>0</v>
          </cell>
          <cell r="Q17">
            <v>0</v>
          </cell>
          <cell r="S17">
            <v>0</v>
          </cell>
          <cell r="U17">
            <v>0</v>
          </cell>
          <cell r="X17" t="str">
            <v>mstag:assetImpairmentNonGoodwillOneTime</v>
          </cell>
          <cell r="Y17">
            <v>6</v>
          </cell>
          <cell r="Z17" t="str">
            <v>ISO4217:USD</v>
          </cell>
          <cell r="AA17" t="b">
            <v>0</v>
          </cell>
          <cell r="AB17" t="b">
            <v>0</v>
          </cell>
        </row>
        <row r="18">
          <cell r="B18" t="str">
            <v xml:space="preserve">        Loss (gain) on fixed asset dispositions</v>
          </cell>
          <cell r="C18">
            <v>1.123</v>
          </cell>
          <cell r="D18">
            <v>4.2110000000000003</v>
          </cell>
          <cell r="E18">
            <v>15.882999999999999</v>
          </cell>
          <cell r="G18">
            <v>10.76</v>
          </cell>
          <cell r="I18">
            <v>5.1150000000000002</v>
          </cell>
          <cell r="K18">
            <v>9.65</v>
          </cell>
          <cell r="M18">
            <v>0</v>
          </cell>
          <cell r="O18">
            <v>0</v>
          </cell>
          <cell r="Q18">
            <v>0</v>
          </cell>
          <cell r="S18">
            <v>0</v>
          </cell>
          <cell r="U18">
            <v>0</v>
          </cell>
          <cell r="X18" t="str">
            <v>mstag:gainsLossesFromSaleOfOperatingAssetsRecurring</v>
          </cell>
          <cell r="Y18">
            <v>6</v>
          </cell>
          <cell r="Z18" t="str">
            <v>ISO4217:USD</v>
          </cell>
          <cell r="AA18" t="b">
            <v>1</v>
          </cell>
          <cell r="AB18" t="b">
            <v>0</v>
          </cell>
        </row>
        <row r="19">
          <cell r="B19" t="str">
            <v>Changes in operating assets and liabilities</v>
          </cell>
        </row>
        <row r="20">
          <cell r="B20" t="str">
            <v xml:space="preserve">           Litigation related liability</v>
          </cell>
          <cell r="C20">
            <v>0</v>
          </cell>
          <cell r="D20">
            <v>0</v>
          </cell>
          <cell r="E20">
            <v>552.18499999999995</v>
          </cell>
          <cell r="G20">
            <v>56.1</v>
          </cell>
          <cell r="I20">
            <v>34.722000000000001</v>
          </cell>
          <cell r="K20">
            <v>51.423999999999999</v>
          </cell>
          <cell r="M20">
            <v>52</v>
          </cell>
          <cell r="O20">
            <v>52</v>
          </cell>
          <cell r="Q20">
            <v>52</v>
          </cell>
          <cell r="S20">
            <v>52</v>
          </cell>
          <cell r="U20">
            <v>52</v>
          </cell>
          <cell r="X20" t="str">
            <v>mstag:netIncreaseInOtherLiabilitiesNonOperating</v>
          </cell>
          <cell r="Y20">
            <v>6</v>
          </cell>
          <cell r="Z20" t="str">
            <v>ISO4217:USD</v>
          </cell>
          <cell r="AA20" t="b">
            <v>0</v>
          </cell>
          <cell r="AB20" t="b">
            <v>0</v>
          </cell>
        </row>
        <row r="21">
          <cell r="B21" t="str">
            <v xml:space="preserve">            Receivables and other current assets</v>
          </cell>
          <cell r="C21">
            <v>-65.33</v>
          </cell>
          <cell r="D21">
            <v>-59.5</v>
          </cell>
          <cell r="E21">
            <v>-107.483</v>
          </cell>
          <cell r="G21">
            <v>-146.1</v>
          </cell>
          <cell r="I21">
            <v>-363.80500000000001</v>
          </cell>
          <cell r="K21">
            <v>-129.11799999999999</v>
          </cell>
          <cell r="M21">
            <v>-482.23639950000012</v>
          </cell>
          <cell r="O21">
            <v>-419.21483417812306</v>
          </cell>
          <cell r="Q21">
            <v>-327.43072495785668</v>
          </cell>
          <cell r="S21">
            <v>-78.148645701194113</v>
          </cell>
          <cell r="U21">
            <v>127.58781810971152</v>
          </cell>
          <cell r="X21" t="str">
            <v>mstag:netDecreaseInTradeReceivables</v>
          </cell>
          <cell r="Y21">
            <v>6</v>
          </cell>
          <cell r="Z21" t="str">
            <v>ISO4217:USD</v>
          </cell>
          <cell r="AA21" t="b">
            <v>0</v>
          </cell>
          <cell r="AB21" t="b">
            <v>0</v>
          </cell>
        </row>
        <row r="22">
          <cell r="B22" t="str">
            <v xml:space="preserve">            Inventories, including write-up effects</v>
          </cell>
          <cell r="C22">
            <v>9.4149999999999991</v>
          </cell>
          <cell r="D22">
            <v>-91.116</v>
          </cell>
          <cell r="E22">
            <v>-36.595999999999997</v>
          </cell>
          <cell r="G22">
            <v>-93.26</v>
          </cell>
          <cell r="I22">
            <v>-120.703</v>
          </cell>
          <cell r="K22">
            <v>-112.172</v>
          </cell>
          <cell r="M22">
            <v>-203.06840740740745</v>
          </cell>
          <cell r="O22">
            <v>-170.67368457935152</v>
          </cell>
          <cell r="Q22">
            <v>-80.221479214376586</v>
          </cell>
          <cell r="S22">
            <v>-59.809257507460643</v>
          </cell>
          <cell r="U22">
            <v>-51.254885944137868</v>
          </cell>
          <cell r="X22" t="str">
            <v>mstag:netDecreaseInInventories</v>
          </cell>
          <cell r="Y22">
            <v>6</v>
          </cell>
          <cell r="Z22" t="str">
            <v>ISO4217:USD</v>
          </cell>
          <cell r="AA22" t="b">
            <v>0</v>
          </cell>
          <cell r="AB22" t="b">
            <v>0</v>
          </cell>
        </row>
        <row r="23">
          <cell r="B23" t="str">
            <v xml:space="preserve">            Deferred Revenue</v>
          </cell>
          <cell r="C23">
            <v>0</v>
          </cell>
          <cell r="D23">
            <v>-15.497</v>
          </cell>
          <cell r="E23">
            <v>2</v>
          </cell>
          <cell r="G23">
            <v>239.14500000000001</v>
          </cell>
          <cell r="I23">
            <v>-14.927</v>
          </cell>
          <cell r="K23">
            <v>-49.375</v>
          </cell>
          <cell r="M23">
            <v>191.59800000000001</v>
          </cell>
          <cell r="O23">
            <v>107.93825608416142</v>
          </cell>
          <cell r="Q23">
            <v>91.253059470930111</v>
          </cell>
          <cell r="S23">
            <v>74.092633340663724</v>
          </cell>
          <cell r="U23">
            <v>59.603533573130335</v>
          </cell>
          <cell r="X23" t="str">
            <v>mstag:netIncreaseInDeferredRevenue</v>
          </cell>
          <cell r="Y23">
            <v>6</v>
          </cell>
          <cell r="Z23" t="str">
            <v>ISO4217:USD</v>
          </cell>
          <cell r="AA23" t="b">
            <v>0</v>
          </cell>
          <cell r="AB23" t="b">
            <v>0</v>
          </cell>
        </row>
        <row r="24">
          <cell r="B24" t="str">
            <v xml:space="preserve">            Accounts payable, and other liabilities </v>
          </cell>
          <cell r="C24">
            <v>239.38800000000001</v>
          </cell>
          <cell r="D24">
            <v>124.77</v>
          </cell>
          <cell r="E24">
            <v>148.68199999999999</v>
          </cell>
          <cell r="G24">
            <v>463.6</v>
          </cell>
          <cell r="I24">
            <v>335.54199999999997</v>
          </cell>
          <cell r="K24">
            <v>437.54899999999998</v>
          </cell>
          <cell r="M24">
            <v>24.442089133333141</v>
          </cell>
          <cell r="O24">
            <v>190.90714021868848</v>
          </cell>
          <cell r="Q24">
            <v>112.59478625470587</v>
          </cell>
          <cell r="S24">
            <v>57.95152783026424</v>
          </cell>
          <cell r="U24">
            <v>11.020237528346001</v>
          </cell>
          <cell r="X24" t="str">
            <v>mstag:netIncreaseInTradeAndOtherPayables</v>
          </cell>
          <cell r="Y24">
            <v>6</v>
          </cell>
          <cell r="Z24" t="str">
            <v>ISO4217:USD</v>
          </cell>
          <cell r="AA24" t="b">
            <v>0</v>
          </cell>
          <cell r="AB24" t="b">
            <v>0</v>
          </cell>
        </row>
        <row r="25">
          <cell r="B25" t="str">
            <v>Net cash provided by (used in) operating activities</v>
          </cell>
          <cell r="C25">
            <v>214.49400000000006</v>
          </cell>
          <cell r="D25">
            <v>566.26700000000005</v>
          </cell>
          <cell r="E25">
            <v>709.68599999999981</v>
          </cell>
          <cell r="G25">
            <v>1270.5558426585776</v>
          </cell>
          <cell r="I25">
            <v>1270.4680000000001</v>
          </cell>
          <cell r="K25">
            <v>2381.3220000000001</v>
          </cell>
          <cell r="M25">
            <v>2042.7539158059255</v>
          </cell>
          <cell r="O25">
            <v>2955.4313313525158</v>
          </cell>
          <cell r="Q25">
            <v>3800.3359980453415</v>
          </cell>
          <cell r="S25">
            <v>4520.7038833214228</v>
          </cell>
          <cell r="U25">
            <v>5285.1551618023705</v>
          </cell>
        </row>
        <row r="26">
          <cell r="B26" t="str">
            <v>CASH FLOWS FROM INVESTING ACTIVITIES</v>
          </cell>
        </row>
        <row r="27">
          <cell r="B27" t="str">
            <v xml:space="preserve">       Investment in marketable securities, net of sales</v>
          </cell>
          <cell r="C27">
            <v>-12.960000000000036</v>
          </cell>
          <cell r="D27">
            <v>-566.21399999999994</v>
          </cell>
          <cell r="E27">
            <v>811.46400000000017</v>
          </cell>
          <cell r="G27">
            <v>-1054.1300000000001</v>
          </cell>
          <cell r="I27">
            <v>177.0250000000002</v>
          </cell>
          <cell r="K27">
            <v>-297.928</v>
          </cell>
          <cell r="M27">
            <v>0</v>
          </cell>
          <cell r="O27">
            <v>-500</v>
          </cell>
          <cell r="Q27">
            <v>-1000</v>
          </cell>
          <cell r="S27">
            <v>-2000</v>
          </cell>
          <cell r="U27">
            <v>-2000</v>
          </cell>
          <cell r="X27" t="str">
            <v>mstag:netDecreaseInOtherAssets</v>
          </cell>
          <cell r="Y27">
            <v>6</v>
          </cell>
          <cell r="Z27" t="str">
            <v>ISO4217:USD</v>
          </cell>
          <cell r="AA27" t="b">
            <v>0</v>
          </cell>
          <cell r="AB27" t="b">
            <v>0</v>
          </cell>
        </row>
        <row r="28">
          <cell r="B28" t="str">
            <v xml:space="preserve">        Capital expenditures</v>
          </cell>
          <cell r="C28">
            <v>-112.681</v>
          </cell>
          <cell r="D28">
            <v>-213.351</v>
          </cell>
          <cell r="E28">
            <v>-322.83199999999999</v>
          </cell>
          <cell r="G28">
            <v>-321.95</v>
          </cell>
          <cell r="I28">
            <v>-649.85799999999995</v>
          </cell>
          <cell r="K28">
            <v>-1399.8240000000001</v>
          </cell>
          <cell r="M28">
            <v>-1482.0585000000001</v>
          </cell>
          <cell r="O28">
            <v>-1579.0775170356521</v>
          </cell>
          <cell r="Q28">
            <v>-1179.3767679991645</v>
          </cell>
          <cell r="S28">
            <v>-875.1623386749061</v>
          </cell>
          <cell r="U28">
            <v>-828.35075659232984</v>
          </cell>
          <cell r="X28" t="str">
            <v>mstag:capitalExpenditures</v>
          </cell>
          <cell r="Y28">
            <v>6</v>
          </cell>
          <cell r="Z28" t="str">
            <v>ISO4217:USD</v>
          </cell>
          <cell r="AA28" t="b">
            <v>1</v>
          </cell>
          <cell r="AB28" t="b">
            <v>0</v>
          </cell>
        </row>
        <row r="29">
          <cell r="B29" t="str">
            <v xml:space="preserve">        Change in other assets</v>
          </cell>
          <cell r="C29">
            <v>-55.603999999999999</v>
          </cell>
          <cell r="D29">
            <v>-10.105</v>
          </cell>
          <cell r="E29">
            <v>12.875</v>
          </cell>
          <cell r="G29">
            <v>-56.1</v>
          </cell>
          <cell r="I29">
            <v>-57.954999999999998</v>
          </cell>
          <cell r="K29">
            <v>-42.716000000000001</v>
          </cell>
          <cell r="M29">
            <v>0</v>
          </cell>
          <cell r="O29">
            <v>0</v>
          </cell>
          <cell r="Q29">
            <v>0</v>
          </cell>
          <cell r="S29">
            <v>0</v>
          </cell>
          <cell r="U29">
            <v>0</v>
          </cell>
          <cell r="X29" t="str">
            <v>mstag:netDecreaseInOtherAssets</v>
          </cell>
          <cell r="Y29">
            <v>6</v>
          </cell>
          <cell r="Z29" t="str">
            <v>ISO4217:USD</v>
          </cell>
          <cell r="AA29" t="b">
            <v>0</v>
          </cell>
          <cell r="AB29" t="b">
            <v>0</v>
          </cell>
        </row>
        <row r="30">
          <cell r="B30" t="str">
            <v xml:space="preserve">        Transfer of restricted cash included in other long-term assets</v>
          </cell>
          <cell r="C30">
            <v>0</v>
          </cell>
          <cell r="D30">
            <v>0</v>
          </cell>
          <cell r="E30">
            <v>-630</v>
          </cell>
          <cell r="G30">
            <v>0</v>
          </cell>
          <cell r="I30">
            <v>4.5999999999999996</v>
          </cell>
          <cell r="K30">
            <v>-53</v>
          </cell>
          <cell r="M30">
            <v>0</v>
          </cell>
          <cell r="O30">
            <v>0</v>
          </cell>
          <cell r="Q30">
            <v>0</v>
          </cell>
          <cell r="S30">
            <v>0</v>
          </cell>
          <cell r="U30">
            <v>0</v>
          </cell>
          <cell r="X30" t="str">
            <v>mstag:netDecreaseInOtherAssets</v>
          </cell>
          <cell r="Y30">
            <v>6</v>
          </cell>
          <cell r="Z30" t="str">
            <v>ISO4217:USD</v>
          </cell>
          <cell r="AA30" t="b">
            <v>0</v>
          </cell>
          <cell r="AB30" t="b">
            <v>0</v>
          </cell>
        </row>
        <row r="31">
          <cell r="B31" t="str">
            <v>Net cash used in investing activities</v>
          </cell>
          <cell r="C31">
            <v>-181.24500000000003</v>
          </cell>
          <cell r="D31">
            <v>-789.67</v>
          </cell>
          <cell r="E31">
            <v>-128.49299999999982</v>
          </cell>
          <cell r="G31">
            <v>-1432.18</v>
          </cell>
          <cell r="I31">
            <v>-526.18799999999976</v>
          </cell>
          <cell r="K31">
            <v>-1793.4679999999998</v>
          </cell>
          <cell r="M31">
            <v>-1482.0585000000001</v>
          </cell>
          <cell r="O31">
            <v>-2079.0775170356519</v>
          </cell>
          <cell r="Q31">
            <v>-2179.3767679991643</v>
          </cell>
          <cell r="S31">
            <v>-2875.1623386749061</v>
          </cell>
          <cell r="U31">
            <v>-2828.3507565923301</v>
          </cell>
        </row>
        <row r="32">
          <cell r="B32" t="str">
            <v>CASH FLOWS FROM FINANCING ACTIVITIES</v>
          </cell>
        </row>
        <row r="33">
          <cell r="B33" t="str">
            <v xml:space="preserve">        Stock issuances</v>
          </cell>
          <cell r="C33">
            <v>180.37899999999999</v>
          </cell>
          <cell r="D33">
            <v>106.866</v>
          </cell>
          <cell r="E33">
            <v>74.164000000000001</v>
          </cell>
          <cell r="G33">
            <v>526.86</v>
          </cell>
          <cell r="I33">
            <v>505.37400000000002</v>
          </cell>
          <cell r="K33">
            <v>820.49300000000005</v>
          </cell>
          <cell r="M33">
            <v>720.03708671999993</v>
          </cell>
          <cell r="O33">
            <v>694.32147647999989</v>
          </cell>
          <cell r="Q33">
            <v>720.53905543188478</v>
          </cell>
          <cell r="S33">
            <v>729.31083523714256</v>
          </cell>
          <cell r="U33">
            <v>875.173002284571</v>
          </cell>
          <cell r="X33" t="str">
            <v>mstag:proceedsFromIssuanceFundsUsedToRepurchaseCommonStock</v>
          </cell>
          <cell r="Y33">
            <v>6</v>
          </cell>
          <cell r="Z33" t="str">
            <v>ISO4217:USD</v>
          </cell>
          <cell r="AA33" t="b">
            <v>0</v>
          </cell>
          <cell r="AB33" t="b">
            <v>0</v>
          </cell>
        </row>
        <row r="34">
          <cell r="B34" t="str">
            <v xml:space="preserve">        Stock repurchases</v>
          </cell>
          <cell r="C34">
            <v>0</v>
          </cell>
          <cell r="D34">
            <v>-39.704000000000001</v>
          </cell>
          <cell r="E34">
            <v>-692.75199999999995</v>
          </cell>
          <cell r="G34">
            <v>-201.34</v>
          </cell>
          <cell r="I34">
            <v>-1351.683</v>
          </cell>
          <cell r="K34">
            <v>-2015.912</v>
          </cell>
          <cell r="M34">
            <v>-1970.7352000000001</v>
          </cell>
          <cell r="O34">
            <v>-1719.818379</v>
          </cell>
          <cell r="Q34">
            <v>-1615.2066424968916</v>
          </cell>
          <cell r="S34">
            <v>-1479.5573750774572</v>
          </cell>
          <cell r="U34">
            <v>-1606.7993093341186</v>
          </cell>
          <cell r="X34" t="str">
            <v>mstag:proceedsFromIssuanceFundsUsedToRepurchaseCommonStock</v>
          </cell>
          <cell r="Y34">
            <v>6</v>
          </cell>
          <cell r="Z34" t="str">
            <v>ISO4217:USD</v>
          </cell>
          <cell r="AA34" t="b">
            <v>0</v>
          </cell>
          <cell r="AB34" t="b">
            <v>0</v>
          </cell>
        </row>
        <row r="35">
          <cell r="B35" t="str">
            <v xml:space="preserve">        Tax benefits from stock options</v>
          </cell>
          <cell r="C35">
            <v>0</v>
          </cell>
          <cell r="D35">
            <v>0</v>
          </cell>
          <cell r="E35">
            <v>0</v>
          </cell>
          <cell r="M35">
            <v>466.42246192600749</v>
          </cell>
          <cell r="O35">
            <v>382.51034463996001</v>
          </cell>
          <cell r="Q35">
            <v>333.71100997524758</v>
          </cell>
          <cell r="S35">
            <v>279.84195936043733</v>
          </cell>
          <cell r="U35">
            <v>272.89661252948122</v>
          </cell>
          <cell r="X35" t="str">
            <v>mstag:taxBenefitFromExerciseOfEsosCashFlowStatement</v>
          </cell>
          <cell r="Y35">
            <v>6</v>
          </cell>
          <cell r="Z35" t="str">
            <v>ISO4217:USD</v>
          </cell>
          <cell r="AA35" t="b">
            <v>0</v>
          </cell>
          <cell r="AB35" t="b">
            <v>0</v>
          </cell>
        </row>
        <row r="36">
          <cell r="B36" t="str">
            <v xml:space="preserve">        Debt issuance</v>
          </cell>
          <cell r="C36">
            <v>0</v>
          </cell>
          <cell r="D36">
            <v>0</v>
          </cell>
          <cell r="E36">
            <v>-149.69200000000001</v>
          </cell>
          <cell r="G36">
            <v>0</v>
          </cell>
          <cell r="I36">
            <v>0</v>
          </cell>
          <cell r="K36">
            <v>1562.953</v>
          </cell>
          <cell r="M36">
            <v>0</v>
          </cell>
          <cell r="O36">
            <v>0</v>
          </cell>
          <cell r="Q36">
            <v>0</v>
          </cell>
          <cell r="S36">
            <v>0</v>
          </cell>
          <cell r="U36">
            <v>-500</v>
          </cell>
          <cell r="X36" t="str">
            <v>mstag:proceedsFromIssuanceAndCashUsedToRepayShortTermBorrowings</v>
          </cell>
          <cell r="Y36">
            <v>6</v>
          </cell>
          <cell r="Z36" t="str">
            <v>ISO4217:USD</v>
          </cell>
          <cell r="AA36" t="b">
            <v>0</v>
          </cell>
          <cell r="AB36" t="b">
            <v>0</v>
          </cell>
        </row>
        <row r="37">
          <cell r="B37" t="str">
            <v>Net cash provided by financing activities</v>
          </cell>
          <cell r="C37">
            <v>180.37899999999999</v>
          </cell>
          <cell r="D37">
            <v>67.162000000000006</v>
          </cell>
          <cell r="E37">
            <v>-768.28</v>
          </cell>
          <cell r="G37">
            <v>325.52</v>
          </cell>
          <cell r="I37">
            <v>-846.30899999999997</v>
          </cell>
          <cell r="K37">
            <v>367.53400000000011</v>
          </cell>
          <cell r="M37">
            <v>-784.27565135399266</v>
          </cell>
          <cell r="O37">
            <v>-642.98655788004021</v>
          </cell>
          <cell r="Q37">
            <v>-560.95657708975932</v>
          </cell>
          <cell r="S37">
            <v>-470.40458047987732</v>
          </cell>
          <cell r="U37">
            <v>-958.72969452006635</v>
          </cell>
        </row>
        <row r="38">
          <cell r="B38" t="str">
            <v xml:space="preserve">Change in cash </v>
          </cell>
          <cell r="C38">
            <v>213.62800000000001</v>
          </cell>
          <cell r="D38">
            <v>-156.24099999999987</v>
          </cell>
          <cell r="E38">
            <v>-187.08699999999999</v>
          </cell>
          <cell r="G38">
            <v>163.89584265857752</v>
          </cell>
          <cell r="I38">
            <v>-102.02899999999977</v>
          </cell>
          <cell r="K38">
            <v>955.38800000000037</v>
          </cell>
          <cell r="M38">
            <v>-223.58023554806709</v>
          </cell>
          <cell r="O38">
            <v>233.36725643682394</v>
          </cell>
          <cell r="Q38">
            <v>1060.0026529564179</v>
          </cell>
          <cell r="S38">
            <v>1175.1369641666392</v>
          </cell>
          <cell r="U38">
            <v>1498.0747106899739</v>
          </cell>
        </row>
        <row r="39">
          <cell r="B39" t="str">
            <v>Cash at beginning of year</v>
          </cell>
          <cell r="C39">
            <v>337.68200000000002</v>
          </cell>
          <cell r="D39">
            <v>551.31000000000006</v>
          </cell>
          <cell r="E39">
            <v>395.06900000000019</v>
          </cell>
          <cell r="G39">
            <v>207.9820000000002</v>
          </cell>
          <cell r="I39">
            <v>371.87784265857772</v>
          </cell>
          <cell r="K39">
            <v>270.12299999999999</v>
          </cell>
          <cell r="M39">
            <v>1225.5110000000004</v>
          </cell>
          <cell r="O39">
            <v>1001.9307644519333</v>
          </cell>
          <cell r="Q39">
            <v>1235.2980208887573</v>
          </cell>
          <cell r="S39">
            <v>2295.300673845175</v>
          </cell>
          <cell r="U39">
            <v>3470.4376380118142</v>
          </cell>
        </row>
        <row r="40">
          <cell r="B40" t="str">
            <v>Cash at end of year</v>
          </cell>
          <cell r="C40">
            <v>551.31000000000006</v>
          </cell>
          <cell r="D40">
            <v>395.06900000000019</v>
          </cell>
          <cell r="E40">
            <v>207.9820000000002</v>
          </cell>
          <cell r="G40">
            <v>371.87784265857772</v>
          </cell>
          <cell r="I40">
            <v>270.12299999999999</v>
          </cell>
          <cell r="K40">
            <v>1225.5110000000004</v>
          </cell>
          <cell r="M40">
            <v>1001.9307644519333</v>
          </cell>
          <cell r="O40">
            <v>1235.2980208887573</v>
          </cell>
          <cell r="Q40">
            <v>2295.300673845175</v>
          </cell>
          <cell r="S40">
            <v>3470.4376380118142</v>
          </cell>
          <cell r="U40">
            <v>4968.5123487017881</v>
          </cell>
        </row>
        <row r="41">
          <cell r="B41" t="str">
            <v>Cash and Marketable Securities at end of year</v>
          </cell>
          <cell r="G41">
            <v>2934.3978426585777</v>
          </cell>
          <cell r="I41">
            <v>2780.4319999999998</v>
          </cell>
          <cell r="K41">
            <v>3813.8920000000007</v>
          </cell>
          <cell r="M41">
            <v>3590.3117644519334</v>
          </cell>
          <cell r="O41">
            <v>4323.6790208887569</v>
          </cell>
          <cell r="Q41">
            <v>6383.6816738451744</v>
          </cell>
          <cell r="S41">
            <v>9558.8186380118132</v>
          </cell>
          <cell r="U41">
            <v>13056.893348701788</v>
          </cell>
        </row>
        <row r="45">
          <cell r="G45" t="str">
            <v>2003-FY</v>
          </cell>
          <cell r="I45" t="str">
            <v>2004-FY</v>
          </cell>
          <cell r="K45" t="str">
            <v>2005-FY</v>
          </cell>
          <cell r="M45" t="str">
            <v>2006-FY</v>
          </cell>
          <cell r="O45" t="str">
            <v>2007-FY</v>
          </cell>
          <cell r="Q45" t="str">
            <v>2008-FY</v>
          </cell>
          <cell r="S45" t="str">
            <v>2009-FY</v>
          </cell>
          <cell r="U45" t="str">
            <v>2010-FY</v>
          </cell>
        </row>
        <row r="47">
          <cell r="B47" t="str">
            <v>Free Cash Flow</v>
          </cell>
          <cell r="G47">
            <v>948.60584265857756</v>
          </cell>
          <cell r="I47">
            <v>620.61000000000013</v>
          </cell>
          <cell r="K47">
            <v>981.49800000000005</v>
          </cell>
          <cell r="M47">
            <v>1027.1178777319328</v>
          </cell>
          <cell r="O47">
            <v>1758.8641589568238</v>
          </cell>
          <cell r="Q47">
            <v>2954.6702400214249</v>
          </cell>
          <cell r="S47">
            <v>3925.3835040069539</v>
          </cell>
          <cell r="U47">
            <v>4729.7010177395214</v>
          </cell>
        </row>
      </sheetData>
      <sheetData sheetId="10" refreshError="1"/>
      <sheetData sheetId="11" refreshError="1"/>
      <sheetData sheetId="12" refreshError="1"/>
      <sheetData sheetId="13" refreshError="1"/>
      <sheetData sheetId="14" refreshError="1"/>
      <sheetData sheetId="15" refreshError="1">
        <row r="2">
          <cell r="C2" t="str">
            <v>Patient Growth Rate</v>
          </cell>
          <cell r="D2">
            <v>1.65E-3</v>
          </cell>
        </row>
        <row r="4">
          <cell r="B4" t="str">
            <v>Front - Line</v>
          </cell>
          <cell r="C4">
            <v>38047</v>
          </cell>
          <cell r="D4">
            <v>38078</v>
          </cell>
          <cell r="E4">
            <v>38108</v>
          </cell>
          <cell r="F4">
            <v>38139</v>
          </cell>
          <cell r="G4">
            <v>38169</v>
          </cell>
          <cell r="H4">
            <v>38200</v>
          </cell>
          <cell r="I4">
            <v>38231</v>
          </cell>
          <cell r="J4">
            <v>38261</v>
          </cell>
          <cell r="K4">
            <v>38292</v>
          </cell>
          <cell r="L4">
            <v>38322</v>
          </cell>
          <cell r="M4">
            <v>2004</v>
          </cell>
          <cell r="P4" t="str">
            <v>Front - Line</v>
          </cell>
          <cell r="Q4">
            <v>38353</v>
          </cell>
          <cell r="R4">
            <v>38384</v>
          </cell>
          <cell r="S4">
            <v>38412</v>
          </cell>
          <cell r="T4">
            <v>38443</v>
          </cell>
          <cell r="U4">
            <v>38473</v>
          </cell>
          <cell r="V4">
            <v>38504</v>
          </cell>
          <cell r="W4">
            <v>38534</v>
          </cell>
          <cell r="X4">
            <v>38565</v>
          </cell>
          <cell r="Y4">
            <v>38596</v>
          </cell>
          <cell r="Z4">
            <v>38626</v>
          </cell>
          <cell r="AA4">
            <v>38657</v>
          </cell>
          <cell r="AB4">
            <v>38687</v>
          </cell>
          <cell r="AC4">
            <v>2005</v>
          </cell>
        </row>
        <row r="5">
          <cell r="B5" t="str">
            <v>Previously Diagnosed Patients</v>
          </cell>
          <cell r="C5">
            <v>8000</v>
          </cell>
        </row>
        <row r="6">
          <cell r="B6" t="str">
            <v>New Stage III/IV Diagnoses Per Month</v>
          </cell>
          <cell r="C6">
            <v>3022</v>
          </cell>
          <cell r="D6">
            <v>3026.9862999999996</v>
          </cell>
          <cell r="E6">
            <v>3031.9808273949993</v>
          </cell>
          <cell r="F6">
            <v>3036.9835957602008</v>
          </cell>
          <cell r="G6">
            <v>3041.9946186932048</v>
          </cell>
          <cell r="H6">
            <v>3047.0139098140485</v>
          </cell>
          <cell r="I6">
            <v>3052.0414827652417</v>
          </cell>
          <cell r="J6">
            <v>3057.0773512118039</v>
          </cell>
          <cell r="K6">
            <v>3062.1215288413032</v>
          </cell>
          <cell r="L6">
            <v>3067.1740293638909</v>
          </cell>
          <cell r="M6">
            <v>30445.373643844694</v>
          </cell>
          <cell r="P6" t="str">
            <v>New Stage III/IV Diagnoses Per Month</v>
          </cell>
          <cell r="Q6">
            <v>3072.2348665123409</v>
          </cell>
          <cell r="R6">
            <v>3077.3040540420861</v>
          </cell>
          <cell r="S6">
            <v>3082.3816057312551</v>
          </cell>
          <cell r="T6">
            <v>3087.4675353807115</v>
          </cell>
          <cell r="U6">
            <v>3092.5618568140894</v>
          </cell>
          <cell r="V6">
            <v>3097.6645838778322</v>
          </cell>
          <cell r="W6">
            <v>3102.7757304412303</v>
          </cell>
          <cell r="X6">
            <v>3107.8953103964582</v>
          </cell>
          <cell r="Y6">
            <v>3113.023337658612</v>
          </cell>
          <cell r="Z6">
            <v>3118.1598261657487</v>
          </cell>
          <cell r="AA6">
            <v>3123.3047898789218</v>
          </cell>
          <cell r="AB6">
            <v>3128.458242782222</v>
          </cell>
          <cell r="AC6">
            <v>37203.231739681505</v>
          </cell>
        </row>
        <row r="7">
          <cell r="C7">
            <v>0.40827436037016873</v>
          </cell>
          <cell r="D7">
            <v>0.22</v>
          </cell>
          <cell r="E7">
            <v>0.21</v>
          </cell>
          <cell r="F7">
            <v>0.22</v>
          </cell>
          <cell r="G7">
            <v>0.4</v>
          </cell>
          <cell r="H7">
            <v>0.4</v>
          </cell>
          <cell r="I7">
            <v>0.4</v>
          </cell>
          <cell r="J7">
            <v>0.45</v>
          </cell>
          <cell r="K7">
            <v>0.46</v>
          </cell>
          <cell r="L7">
            <v>0.48</v>
          </cell>
          <cell r="M7">
            <v>0.47244332649680609</v>
          </cell>
          <cell r="Q7">
            <v>0.53</v>
          </cell>
          <cell r="R7">
            <v>0.55000000000000004</v>
          </cell>
          <cell r="S7">
            <v>0.61</v>
          </cell>
          <cell r="T7">
            <v>0.62</v>
          </cell>
          <cell r="U7">
            <v>0.63</v>
          </cell>
          <cell r="V7">
            <v>0.64</v>
          </cell>
          <cell r="W7">
            <v>0.64</v>
          </cell>
          <cell r="X7">
            <v>0.65</v>
          </cell>
          <cell r="Y7">
            <v>0.66</v>
          </cell>
          <cell r="Z7">
            <v>0.67</v>
          </cell>
          <cell r="AA7">
            <v>0.67</v>
          </cell>
          <cell r="AB7">
            <v>0.67</v>
          </cell>
          <cell r="AC7">
            <v>0.62855979730513767</v>
          </cell>
        </row>
        <row r="8">
          <cell r="B8" t="str">
            <v>New Patients Starting Therapy</v>
          </cell>
          <cell r="C8">
            <v>4500</v>
          </cell>
          <cell r="D8">
            <v>665.93698599999993</v>
          </cell>
          <cell r="E8">
            <v>636.71597375294982</v>
          </cell>
          <cell r="F8">
            <v>668.13639106724418</v>
          </cell>
          <cell r="G8">
            <v>1216.7978474772819</v>
          </cell>
          <cell r="H8">
            <v>1218.8055639256195</v>
          </cell>
          <cell r="I8">
            <v>1220.8165931060967</v>
          </cell>
          <cell r="J8">
            <v>1375.6848080453119</v>
          </cell>
          <cell r="K8">
            <v>1408.5759032669996</v>
          </cell>
          <cell r="L8">
            <v>1472.2435340946677</v>
          </cell>
          <cell r="M8">
            <v>14383.713600736173</v>
          </cell>
          <cell r="P8" t="str">
            <v>New Patients Starting Therapy</v>
          </cell>
          <cell r="Q8">
            <v>1628.2844792515407</v>
          </cell>
          <cell r="R8">
            <v>1692.5172297231475</v>
          </cell>
          <cell r="S8">
            <v>1880.2527794960656</v>
          </cell>
          <cell r="T8">
            <v>1914.229871936041</v>
          </cell>
          <cell r="U8">
            <v>1948.3139697928764</v>
          </cell>
          <cell r="V8">
            <v>1982.5053336818128</v>
          </cell>
          <cell r="W8">
            <v>1985.7764674823875</v>
          </cell>
          <cell r="X8">
            <v>2020.1319517576978</v>
          </cell>
          <cell r="Y8">
            <v>2054.5954028546839</v>
          </cell>
          <cell r="Z8">
            <v>2089.1670835310515</v>
          </cell>
          <cell r="AA8">
            <v>2092.6142092188779</v>
          </cell>
          <cell r="AB8">
            <v>2096.0670226640887</v>
          </cell>
          <cell r="AC8">
            <v>23384.455801390272</v>
          </cell>
        </row>
        <row r="9">
          <cell r="B9" t="str">
            <v>Failures</v>
          </cell>
          <cell r="P9" t="str">
            <v>Failures</v>
          </cell>
          <cell r="AE9" t="str">
            <v>Distribution of Failure Timing</v>
          </cell>
        </row>
        <row r="10">
          <cell r="B10" t="str">
            <v>1 Month</v>
          </cell>
          <cell r="C10">
            <v>52.05655526992286</v>
          </cell>
          <cell r="D10">
            <v>7.7036412262210767</v>
          </cell>
          <cell r="E10">
            <v>7.3656089508695972</v>
          </cell>
          <cell r="F10">
            <v>7.7290842154308423</v>
          </cell>
          <cell r="G10">
            <v>14.076067644338734</v>
          </cell>
          <cell r="H10">
            <v>14.099293155951893</v>
          </cell>
          <cell r="I10">
            <v>14.122556989659211</v>
          </cell>
          <cell r="J10">
            <v>15.914091609778668</v>
          </cell>
          <cell r="K10">
            <v>16.294579857844464</v>
          </cell>
          <cell r="L10">
            <v>17.031094867419029</v>
          </cell>
          <cell r="P10" t="str">
            <v>1 Month</v>
          </cell>
          <cell r="Q10">
            <v>18.836195775403421</v>
          </cell>
          <cell r="R10">
            <v>19.579248158751057</v>
          </cell>
          <cell r="S10">
            <v>21.750996163836227</v>
          </cell>
          <cell r="T10">
            <v>22.144047361727974</v>
          </cell>
          <cell r="U10">
            <v>22.538336411485709</v>
          </cell>
          <cell r="V10">
            <v>22.933866327938702</v>
          </cell>
          <cell r="W10">
            <v>22.971707207379797</v>
          </cell>
          <cell r="X10">
            <v>23.369135688713722</v>
          </cell>
          <cell r="Y10">
            <v>23.767813143563174</v>
          </cell>
          <cell r="Z10">
            <v>24.167742611541719</v>
          </cell>
          <cell r="AA10">
            <v>24.207619386850766</v>
          </cell>
          <cell r="AB10">
            <v>24.247561958839064</v>
          </cell>
          <cell r="AE10">
            <v>1</v>
          </cell>
          <cell r="AF10">
            <v>0.9</v>
          </cell>
          <cell r="AG10">
            <v>1.1568123393316192E-2</v>
          </cell>
        </row>
        <row r="11">
          <cell r="B11" t="str">
            <v>2 Months</v>
          </cell>
          <cell r="D11">
            <v>69.408740359897152</v>
          </cell>
          <cell r="E11">
            <v>10.271521634961434</v>
          </cell>
          <cell r="F11">
            <v>9.8208119344927951</v>
          </cell>
          <cell r="G11">
            <v>10.305445620574456</v>
          </cell>
          <cell r="H11">
            <v>18.768090192451641</v>
          </cell>
          <cell r="I11">
            <v>18.799057541269189</v>
          </cell>
          <cell r="J11">
            <v>18.830075986212282</v>
          </cell>
          <cell r="K11">
            <v>21.218788813038223</v>
          </cell>
          <cell r="L11">
            <v>21.726106477125949</v>
          </cell>
          <cell r="P11" t="str">
            <v>2 Months</v>
          </cell>
          <cell r="Q11">
            <v>22.708126489892038</v>
          </cell>
          <cell r="R11">
            <v>25.114927700537894</v>
          </cell>
          <cell r="S11">
            <v>26.105664211668074</v>
          </cell>
          <cell r="T11">
            <v>29.001328218448304</v>
          </cell>
          <cell r="U11">
            <v>29.525396482303965</v>
          </cell>
          <cell r="V11">
            <v>30.05111521531428</v>
          </cell>
          <cell r="W11">
            <v>30.5784884372516</v>
          </cell>
          <cell r="X11">
            <v>30.628942943173062</v>
          </cell>
          <cell r="Y11">
            <v>31.158847584951626</v>
          </cell>
          <cell r="Z11">
            <v>31.690417524750899</v>
          </cell>
          <cell r="AA11">
            <v>32.223656815388956</v>
          </cell>
          <cell r="AB11">
            <v>32.276825849134354</v>
          </cell>
          <cell r="AE11">
            <v>2</v>
          </cell>
          <cell r="AF11">
            <v>1.2</v>
          </cell>
          <cell r="AG11">
            <v>1.5424164524421588E-2</v>
          </cell>
        </row>
        <row r="12">
          <cell r="B12" t="str">
            <v>3 Months</v>
          </cell>
          <cell r="E12">
            <v>86.760925449871436</v>
          </cell>
          <cell r="F12">
            <v>12.839402043701794</v>
          </cell>
          <cell r="G12">
            <v>12.276014918115994</v>
          </cell>
          <cell r="H12">
            <v>12.88180702571807</v>
          </cell>
          <cell r="I12">
            <v>23.460112740564554</v>
          </cell>
          <cell r="J12">
            <v>23.498821926586483</v>
          </cell>
          <cell r="K12">
            <v>23.537594982765352</v>
          </cell>
          <cell r="L12">
            <v>26.523486016297777</v>
          </cell>
          <cell r="P12" t="str">
            <v>3 Months</v>
          </cell>
          <cell r="Q12">
            <v>27.157633096407437</v>
          </cell>
          <cell r="R12">
            <v>28.385158112365048</v>
          </cell>
          <cell r="S12">
            <v>31.393659625672367</v>
          </cell>
          <cell r="T12">
            <v>32.632080264585092</v>
          </cell>
          <cell r="U12">
            <v>36.251660273060381</v>
          </cell>
          <cell r="V12">
            <v>36.906745602879951</v>
          </cell>
          <cell r="W12">
            <v>37.563894019142843</v>
          </cell>
          <cell r="X12">
            <v>38.223110546564499</v>
          </cell>
          <cell r="Y12">
            <v>38.286178678966323</v>
          </cell>
          <cell r="Z12">
            <v>38.948559481189534</v>
          </cell>
          <cell r="AA12">
            <v>39.613021905938623</v>
          </cell>
          <cell r="AB12">
            <v>40.279571019236194</v>
          </cell>
          <cell r="AE12">
            <v>3</v>
          </cell>
          <cell r="AF12">
            <v>1.5</v>
          </cell>
          <cell r="AG12">
            <v>1.9280205655526985E-2</v>
          </cell>
        </row>
        <row r="13">
          <cell r="B13" t="str">
            <v>4 Months</v>
          </cell>
          <cell r="F13">
            <v>115.68123393316191</v>
          </cell>
          <cell r="G13">
            <v>17.119202724935725</v>
          </cell>
          <cell r="H13">
            <v>16.368019890821326</v>
          </cell>
          <cell r="I13">
            <v>17.175742700957429</v>
          </cell>
          <cell r="J13">
            <v>31.280150320752739</v>
          </cell>
          <cell r="K13">
            <v>31.331762568781979</v>
          </cell>
          <cell r="L13">
            <v>31.383459977020468</v>
          </cell>
          <cell r="P13" t="str">
            <v>4 Months</v>
          </cell>
          <cell r="Q13">
            <v>35.364648021730368</v>
          </cell>
          <cell r="R13">
            <v>36.210177461876583</v>
          </cell>
          <cell r="S13">
            <v>37.846877483153399</v>
          </cell>
          <cell r="T13">
            <v>41.858212834229825</v>
          </cell>
          <cell r="U13">
            <v>43.509440352780125</v>
          </cell>
          <cell r="V13">
            <v>48.335547030747172</v>
          </cell>
          <cell r="W13">
            <v>49.208994137173271</v>
          </cell>
          <cell r="X13">
            <v>50.085192025523796</v>
          </cell>
          <cell r="Y13">
            <v>50.964147395419332</v>
          </cell>
          <cell r="Z13">
            <v>51.048238238621764</v>
          </cell>
          <cell r="AA13">
            <v>51.931412641586043</v>
          </cell>
          <cell r="AB13">
            <v>52.817362541251498</v>
          </cell>
          <cell r="AE13">
            <v>4</v>
          </cell>
          <cell r="AF13">
            <v>2</v>
          </cell>
          <cell r="AG13">
            <v>2.570694087403598E-2</v>
          </cell>
        </row>
        <row r="14">
          <cell r="B14" t="str">
            <v>5 Months</v>
          </cell>
          <cell r="G14">
            <v>173.52185089974287</v>
          </cell>
          <cell r="H14">
            <v>25.678804087403588</v>
          </cell>
          <cell r="I14">
            <v>24.552029836231988</v>
          </cell>
          <cell r="J14">
            <v>25.763614051436139</v>
          </cell>
          <cell r="K14">
            <v>46.920225481129108</v>
          </cell>
          <cell r="L14">
            <v>46.997643853172967</v>
          </cell>
          <cell r="P14" t="str">
            <v>5 Months</v>
          </cell>
          <cell r="Q14">
            <v>47.075189965530704</v>
          </cell>
          <cell r="R14">
            <v>53.046972032595555</v>
          </cell>
          <cell r="S14">
            <v>54.315266192814875</v>
          </cell>
          <cell r="T14">
            <v>56.770316224730095</v>
          </cell>
          <cell r="U14">
            <v>62.787319251344734</v>
          </cell>
          <cell r="V14">
            <v>65.264160529170184</v>
          </cell>
          <cell r="W14">
            <v>72.503320546120761</v>
          </cell>
          <cell r="X14">
            <v>73.813491205759902</v>
          </cell>
          <cell r="Y14">
            <v>75.127788038285686</v>
          </cell>
          <cell r="Z14">
            <v>76.446221093128997</v>
          </cell>
          <cell r="AA14">
            <v>76.572357357932646</v>
          </cell>
          <cell r="AB14">
            <v>77.897118962379068</v>
          </cell>
          <cell r="AE14">
            <v>5</v>
          </cell>
          <cell r="AF14">
            <v>3</v>
          </cell>
          <cell r="AG14">
            <v>3.856041131105397E-2</v>
          </cell>
        </row>
        <row r="15">
          <cell r="B15" t="str">
            <v>6 Months</v>
          </cell>
          <cell r="H15">
            <v>231.36246786632381</v>
          </cell>
          <cell r="I15">
            <v>34.238405449871451</v>
          </cell>
          <cell r="J15">
            <v>32.736039781642653</v>
          </cell>
          <cell r="K15">
            <v>34.351485401914857</v>
          </cell>
          <cell r="L15">
            <v>62.560300641505478</v>
          </cell>
          <cell r="P15" t="str">
            <v>6 Months</v>
          </cell>
          <cell r="Q15">
            <v>62.663525137563958</v>
          </cell>
          <cell r="R15">
            <v>62.766919954040937</v>
          </cell>
          <cell r="S15">
            <v>70.729296043460735</v>
          </cell>
          <cell r="T15">
            <v>72.420354923753166</v>
          </cell>
          <cell r="U15">
            <v>75.693754966306798</v>
          </cell>
          <cell r="V15">
            <v>83.71642566845965</v>
          </cell>
          <cell r="W15">
            <v>87.01888070556025</v>
          </cell>
          <cell r="X15">
            <v>96.671094061494344</v>
          </cell>
          <cell r="Y15">
            <v>98.417988274346541</v>
          </cell>
          <cell r="Z15">
            <v>100.17038405104759</v>
          </cell>
          <cell r="AA15">
            <v>101.92829479083866</v>
          </cell>
          <cell r="AB15">
            <v>102.09647647724353</v>
          </cell>
          <cell r="AE15">
            <v>6</v>
          </cell>
          <cell r="AF15">
            <v>4</v>
          </cell>
          <cell r="AG15">
            <v>5.141388174807196E-2</v>
          </cell>
        </row>
        <row r="16">
          <cell r="B16" t="str">
            <v>7 Months</v>
          </cell>
          <cell r="I16">
            <v>318.12339331619529</v>
          </cell>
          <cell r="J16">
            <v>47.077807493573246</v>
          </cell>
          <cell r="K16">
            <v>45.01205469975865</v>
          </cell>
          <cell r="L16">
            <v>47.233292427632925</v>
          </cell>
          <cell r="P16" t="str">
            <v>7 Months</v>
          </cell>
          <cell r="Q16">
            <v>86.020413382070032</v>
          </cell>
          <cell r="R16">
            <v>86.162347064150453</v>
          </cell>
          <cell r="S16">
            <v>86.304514936806285</v>
          </cell>
          <cell r="T16">
            <v>97.252782059758516</v>
          </cell>
          <cell r="U16">
            <v>99.577988020160603</v>
          </cell>
          <cell r="V16">
            <v>104.07891307867185</v>
          </cell>
          <cell r="W16">
            <v>115.11008529413202</v>
          </cell>
          <cell r="X16">
            <v>119.65096097014535</v>
          </cell>
          <cell r="Y16">
            <v>132.92275433455472</v>
          </cell>
          <cell r="Z16">
            <v>135.32473387722652</v>
          </cell>
          <cell r="AA16">
            <v>137.73427807019044</v>
          </cell>
          <cell r="AB16">
            <v>140.15140533740316</v>
          </cell>
          <cell r="AE16">
            <v>7</v>
          </cell>
          <cell r="AF16">
            <v>5.5</v>
          </cell>
          <cell r="AG16">
            <v>7.0694087403598949E-2</v>
          </cell>
        </row>
        <row r="17">
          <cell r="B17" t="str">
            <v>8 Months</v>
          </cell>
          <cell r="J17">
            <v>381.74807197943426</v>
          </cell>
          <cell r="K17">
            <v>56.493368992287891</v>
          </cell>
          <cell r="L17">
            <v>54.014465639710373</v>
          </cell>
          <cell r="P17" t="str">
            <v>8 Months</v>
          </cell>
          <cell r="Q17">
            <v>56.679950913159509</v>
          </cell>
          <cell r="R17">
            <v>103.22449605848404</v>
          </cell>
          <cell r="S17">
            <v>103.39481647698052</v>
          </cell>
          <cell r="T17">
            <v>103.56541792416753</v>
          </cell>
          <cell r="U17">
            <v>116.70333847171021</v>
          </cell>
          <cell r="V17">
            <v>119.49358562419272</v>
          </cell>
          <cell r="W17">
            <v>124.8946956944062</v>
          </cell>
          <cell r="X17">
            <v>138.13210235295841</v>
          </cell>
          <cell r="Y17">
            <v>143.5811531641744</v>
          </cell>
          <cell r="Z17">
            <v>159.50730520146564</v>
          </cell>
          <cell r="AA17">
            <v>162.38968065267179</v>
          </cell>
          <cell r="AB17">
            <v>165.28113368422851</v>
          </cell>
          <cell r="AE17">
            <v>8</v>
          </cell>
          <cell r="AF17">
            <v>6.6</v>
          </cell>
          <cell r="AG17">
            <v>8.483290488431873E-2</v>
          </cell>
        </row>
        <row r="18">
          <cell r="B18" t="str">
            <v>9 Months</v>
          </cell>
          <cell r="K18">
            <v>404.88431876606671</v>
          </cell>
          <cell r="L18">
            <v>59.917209537275042</v>
          </cell>
          <cell r="P18" t="str">
            <v>9 Months</v>
          </cell>
          <cell r="Q18">
            <v>57.288069617874648</v>
          </cell>
          <cell r="R18">
            <v>60.115099453351</v>
          </cell>
          <cell r="S18">
            <v>109.48052612263459</v>
          </cell>
          <cell r="T18">
            <v>109.66116899073694</v>
          </cell>
          <cell r="U18">
            <v>109.84210991957164</v>
          </cell>
          <cell r="V18">
            <v>123.77626807605631</v>
          </cell>
          <cell r="W18">
            <v>126.73562111656805</v>
          </cell>
          <cell r="X18">
            <v>132.46407119103691</v>
          </cell>
          <cell r="Y18">
            <v>146.50374491980438</v>
          </cell>
          <cell r="Z18">
            <v>152.28304123473043</v>
          </cell>
          <cell r="AA18">
            <v>169.17441460761512</v>
          </cell>
          <cell r="AB18">
            <v>172.23147948010646</v>
          </cell>
          <cell r="AE18">
            <v>9</v>
          </cell>
          <cell r="AF18">
            <v>7</v>
          </cell>
          <cell r="AG18">
            <v>8.9974293059125937E-2</v>
          </cell>
        </row>
        <row r="19">
          <cell r="B19" t="str">
            <v>10 Months</v>
          </cell>
          <cell r="L19">
            <v>416.45244215938288</v>
          </cell>
          <cell r="P19" t="str">
            <v>10 Months</v>
          </cell>
          <cell r="Q19">
            <v>61.629129809768614</v>
          </cell>
          <cell r="R19">
            <v>58.924871606956778</v>
          </cell>
          <cell r="S19">
            <v>61.832673723446739</v>
          </cell>
          <cell r="T19">
            <v>112.60854115470987</v>
          </cell>
          <cell r="U19">
            <v>112.79434524761514</v>
          </cell>
          <cell r="V19">
            <v>112.98045591727369</v>
          </cell>
          <cell r="W19">
            <v>127.31273287822934</v>
          </cell>
          <cell r="X19">
            <v>130.35663886275572</v>
          </cell>
          <cell r="Y19">
            <v>136.24875893935223</v>
          </cell>
          <cell r="Z19">
            <v>150.68956620322737</v>
          </cell>
          <cell r="AA19">
            <v>156.63398527000845</v>
          </cell>
          <cell r="AB19">
            <v>174.00796931068982</v>
          </cell>
          <cell r="AE19">
            <v>10</v>
          </cell>
          <cell r="AF19">
            <v>7.2</v>
          </cell>
          <cell r="AG19">
            <v>9.2544987146529534E-2</v>
          </cell>
          <cell r="AH19">
            <v>77.800000000000026</v>
          </cell>
        </row>
        <row r="20">
          <cell r="B20" t="str">
            <v>11 Months</v>
          </cell>
          <cell r="P20" t="str">
            <v>11 Months</v>
          </cell>
          <cell r="Q20">
            <v>416.45244215938288</v>
          </cell>
          <cell r="R20">
            <v>61.629129809768614</v>
          </cell>
          <cell r="S20">
            <v>58.924871606956778</v>
          </cell>
          <cell r="T20">
            <v>61.832673723446739</v>
          </cell>
          <cell r="U20">
            <v>112.60854115470987</v>
          </cell>
          <cell r="V20">
            <v>112.79434524761514</v>
          </cell>
          <cell r="W20">
            <v>112.98045591727369</v>
          </cell>
          <cell r="X20">
            <v>127.31273287822934</v>
          </cell>
          <cell r="Y20">
            <v>130.35663886275572</v>
          </cell>
          <cell r="Z20">
            <v>136.24875893935223</v>
          </cell>
          <cell r="AA20">
            <v>150.68956620322737</v>
          </cell>
          <cell r="AB20">
            <v>156.63398527000845</v>
          </cell>
          <cell r="AE20">
            <v>11</v>
          </cell>
          <cell r="AF20">
            <v>7.2</v>
          </cell>
          <cell r="AG20">
            <v>9.2544987146529534E-2</v>
          </cell>
        </row>
        <row r="21">
          <cell r="B21" t="str">
            <v>12 Months</v>
          </cell>
          <cell r="P21" t="str">
            <v>12 Months</v>
          </cell>
          <cell r="R21">
            <v>404.88431876606671</v>
          </cell>
          <cell r="S21">
            <v>59.917209537275042</v>
          </cell>
          <cell r="T21">
            <v>57.288069617874648</v>
          </cell>
          <cell r="U21">
            <v>60.115099453351</v>
          </cell>
          <cell r="V21">
            <v>109.48052612263459</v>
          </cell>
          <cell r="W21">
            <v>109.66116899073694</v>
          </cell>
          <cell r="X21">
            <v>109.84210991957164</v>
          </cell>
          <cell r="Y21">
            <v>123.77626807605631</v>
          </cell>
          <cell r="Z21">
            <v>126.73562111656805</v>
          </cell>
          <cell r="AA21">
            <v>132.46407119103691</v>
          </cell>
          <cell r="AB21">
            <v>146.50374491980438</v>
          </cell>
          <cell r="AE21">
            <v>12</v>
          </cell>
          <cell r="AF21">
            <v>7</v>
          </cell>
          <cell r="AG21">
            <v>8.9974293059125937E-2</v>
          </cell>
        </row>
        <row r="22">
          <cell r="B22" t="str">
            <v>13 Months</v>
          </cell>
          <cell r="P22" t="str">
            <v>13 Months</v>
          </cell>
          <cell r="S22">
            <v>381.74807197943426</v>
          </cell>
          <cell r="T22">
            <v>56.493368992287891</v>
          </cell>
          <cell r="U22">
            <v>54.014465639710373</v>
          </cell>
          <cell r="V22">
            <v>56.679950913159509</v>
          </cell>
          <cell r="W22">
            <v>103.22449605848404</v>
          </cell>
          <cell r="X22">
            <v>103.39481647698052</v>
          </cell>
          <cell r="Y22">
            <v>103.56541792416753</v>
          </cell>
          <cell r="Z22">
            <v>116.70333847171021</v>
          </cell>
          <cell r="AA22">
            <v>119.49358562419272</v>
          </cell>
          <cell r="AB22">
            <v>124.8946956944062</v>
          </cell>
          <cell r="AE22">
            <v>13</v>
          </cell>
          <cell r="AF22">
            <v>6.6</v>
          </cell>
          <cell r="AG22">
            <v>8.483290488431873E-2</v>
          </cell>
        </row>
        <row r="23">
          <cell r="B23" t="str">
            <v>14 Months</v>
          </cell>
          <cell r="P23" t="str">
            <v>14 Months</v>
          </cell>
          <cell r="T23">
            <v>318.12339331619529</v>
          </cell>
          <cell r="U23">
            <v>47.077807493573246</v>
          </cell>
          <cell r="V23">
            <v>45.01205469975865</v>
          </cell>
          <cell r="W23">
            <v>47.233292427632925</v>
          </cell>
          <cell r="X23">
            <v>86.020413382070032</v>
          </cell>
          <cell r="Y23">
            <v>86.162347064150453</v>
          </cell>
          <cell r="Z23">
            <v>86.304514936806285</v>
          </cell>
          <cell r="AA23">
            <v>97.252782059758516</v>
          </cell>
          <cell r="AB23">
            <v>99.577988020160603</v>
          </cell>
          <cell r="AE23">
            <v>14</v>
          </cell>
          <cell r="AF23">
            <v>5.5</v>
          </cell>
          <cell r="AG23">
            <v>7.0694087403598949E-2</v>
          </cell>
        </row>
        <row r="24">
          <cell r="B24" t="str">
            <v>15 Months</v>
          </cell>
          <cell r="P24" t="str">
            <v>15 Months</v>
          </cell>
          <cell r="U24">
            <v>231.36246786632381</v>
          </cell>
          <cell r="V24">
            <v>34.238405449871451</v>
          </cell>
          <cell r="W24">
            <v>32.736039781642653</v>
          </cell>
          <cell r="X24">
            <v>34.351485401914857</v>
          </cell>
          <cell r="Y24">
            <v>62.560300641505478</v>
          </cell>
          <cell r="Z24">
            <v>62.663525137563958</v>
          </cell>
          <cell r="AA24">
            <v>62.766919954040937</v>
          </cell>
          <cell r="AB24">
            <v>70.729296043460735</v>
          </cell>
          <cell r="AE24">
            <v>15</v>
          </cell>
          <cell r="AF24">
            <v>4</v>
          </cell>
          <cell r="AG24">
            <v>5.141388174807196E-2</v>
          </cell>
        </row>
        <row r="25">
          <cell r="B25" t="str">
            <v>16 Months</v>
          </cell>
          <cell r="P25" t="str">
            <v>16 Months</v>
          </cell>
          <cell r="V25">
            <v>173.52185089974287</v>
          </cell>
          <cell r="W25">
            <v>25.678804087403588</v>
          </cell>
          <cell r="X25">
            <v>24.552029836231988</v>
          </cell>
          <cell r="Y25">
            <v>25.763614051436139</v>
          </cell>
          <cell r="Z25">
            <v>46.920225481129108</v>
          </cell>
          <cell r="AA25">
            <v>46.997643853172967</v>
          </cell>
          <cell r="AB25">
            <v>47.075189965530704</v>
          </cell>
          <cell r="AE25">
            <v>16</v>
          </cell>
          <cell r="AF25">
            <v>3</v>
          </cell>
          <cell r="AG25">
            <v>3.856041131105397E-2</v>
          </cell>
        </row>
        <row r="26">
          <cell r="B26" t="str">
            <v>17 Months</v>
          </cell>
          <cell r="P26" t="str">
            <v>17 Months</v>
          </cell>
          <cell r="W26">
            <v>115.68123393316191</v>
          </cell>
          <cell r="X26">
            <v>17.119202724935725</v>
          </cell>
          <cell r="Y26">
            <v>16.368019890821326</v>
          </cell>
          <cell r="Z26">
            <v>17.175742700957429</v>
          </cell>
          <cell r="AA26">
            <v>31.280150320752739</v>
          </cell>
          <cell r="AB26">
            <v>31.331762568781979</v>
          </cell>
          <cell r="AE26">
            <v>17</v>
          </cell>
          <cell r="AF26">
            <v>2</v>
          </cell>
          <cell r="AG26">
            <v>2.570694087403598E-2</v>
          </cell>
        </row>
        <row r="27">
          <cell r="B27" t="str">
            <v>18 Months</v>
          </cell>
          <cell r="P27" t="str">
            <v>18 Months</v>
          </cell>
          <cell r="X27">
            <v>86.760925449871436</v>
          </cell>
          <cell r="Y27">
            <v>12.839402043701794</v>
          </cell>
          <cell r="Z27">
            <v>12.276014918115994</v>
          </cell>
          <cell r="AA27">
            <v>12.88180702571807</v>
          </cell>
          <cell r="AB27">
            <v>23.460112740564554</v>
          </cell>
          <cell r="AE27">
            <v>18</v>
          </cell>
          <cell r="AF27">
            <v>1.5</v>
          </cell>
          <cell r="AG27">
            <v>1.9280205655526985E-2</v>
          </cell>
        </row>
        <row r="28">
          <cell r="B28" t="str">
            <v>19 Months</v>
          </cell>
          <cell r="P28" t="str">
            <v>19 Months</v>
          </cell>
          <cell r="Y28">
            <v>69.408740359897152</v>
          </cell>
          <cell r="Z28">
            <v>10.271521634961434</v>
          </cell>
          <cell r="AA28">
            <v>9.8208119344927951</v>
          </cell>
          <cell r="AB28">
            <v>10.305445620574456</v>
          </cell>
          <cell r="AE28">
            <v>19</v>
          </cell>
          <cell r="AF28">
            <v>1.2</v>
          </cell>
          <cell r="AG28">
            <v>1.5424164524421588E-2</v>
          </cell>
        </row>
        <row r="29">
          <cell r="B29" t="str">
            <v>20 Months</v>
          </cell>
          <cell r="P29" t="str">
            <v>20 Months</v>
          </cell>
          <cell r="Z29">
            <v>52.05655526992286</v>
          </cell>
          <cell r="AA29">
            <v>7.7036412262210767</v>
          </cell>
          <cell r="AB29">
            <v>7.3656089508695972</v>
          </cell>
          <cell r="AE29">
            <v>20</v>
          </cell>
          <cell r="AF29">
            <v>0.9</v>
          </cell>
          <cell r="AG29">
            <v>1.1568123393316192E-2</v>
          </cell>
        </row>
        <row r="30">
          <cell r="B30" t="str">
            <v>Total Patient Drop-Outs</v>
          </cell>
          <cell r="C30">
            <v>52.05655526992286</v>
          </cell>
          <cell r="D30">
            <v>77.112381586118232</v>
          </cell>
          <cell r="E30">
            <v>104.39805603570247</v>
          </cell>
          <cell r="F30">
            <v>146.07053212678733</v>
          </cell>
          <cell r="G30">
            <v>227.29858180770779</v>
          </cell>
          <cell r="H30">
            <v>319.15848221867031</v>
          </cell>
          <cell r="I30">
            <v>450.47129857474908</v>
          </cell>
          <cell r="J30">
            <v>576.84867314941653</v>
          </cell>
          <cell r="K30">
            <v>680.04417956358725</v>
          </cell>
          <cell r="L30">
            <v>783.83950159654296</v>
          </cell>
          <cell r="P30" t="str">
            <v>Total Patient Drop-Outs</v>
          </cell>
          <cell r="Q30">
            <v>891.87532436878359</v>
          </cell>
          <cell r="R30">
            <v>1000.0436661789447</v>
          </cell>
          <cell r="S30">
            <v>1103.74444410414</v>
          </cell>
          <cell r="T30">
            <v>1171.6517556066519</v>
          </cell>
          <cell r="U30">
            <v>1214.4020710040077</v>
          </cell>
          <cell r="V30">
            <v>1279.2642164034869</v>
          </cell>
          <cell r="W30">
            <v>1341.0939112322997</v>
          </cell>
          <cell r="X30">
            <v>1422.7484559179313</v>
          </cell>
          <cell r="Y30">
            <v>1507.7799233879105</v>
          </cell>
          <cell r="Z30">
            <v>1587.6320281240182</v>
          </cell>
          <cell r="AA30">
            <v>1623.7597008916359</v>
          </cell>
          <cell r="AB30">
            <v>1699.1647344146727</v>
          </cell>
        </row>
        <row r="31">
          <cell r="B31" t="str">
            <v>Patients at Start of Period</v>
          </cell>
          <cell r="C31">
            <v>0</v>
          </cell>
          <cell r="D31">
            <v>4447.9434447300773</v>
          </cell>
          <cell r="E31">
            <v>5036.7680491439587</v>
          </cell>
          <cell r="F31">
            <v>5569.0859668612065</v>
          </cell>
          <cell r="G31">
            <v>6091.151825801664</v>
          </cell>
          <cell r="H31">
            <v>7080.651091471238</v>
          </cell>
          <cell r="I31">
            <v>7980.2981731781874</v>
          </cell>
          <cell r="J31">
            <v>8750.6434677095367</v>
          </cell>
          <cell r="K31">
            <v>9549.4796026054319</v>
          </cell>
          <cell r="L31">
            <v>10278.011326308844</v>
          </cell>
          <cell r="P31" t="str">
            <v>Patients at Start of Period</v>
          </cell>
          <cell r="Q31">
            <v>10966.415358806968</v>
          </cell>
          <cell r="R31">
            <v>11702.824513689724</v>
          </cell>
          <cell r="S31">
            <v>12395.298077233927</v>
          </cell>
          <cell r="T31">
            <v>13171.806412625852</v>
          </cell>
          <cell r="U31">
            <v>13914.384528955241</v>
          </cell>
          <cell r="V31">
            <v>14648.29642774411</v>
          </cell>
          <cell r="W31">
            <v>15351.537545022435</v>
          </cell>
          <cell r="X31">
            <v>15996.220101272524</v>
          </cell>
          <cell r="Y31">
            <v>16593.603597112291</v>
          </cell>
          <cell r="Z31">
            <v>17140.419076579063</v>
          </cell>
          <cell r="AA31">
            <v>17641.954131986095</v>
          </cell>
          <cell r="AB31">
            <v>18110.808640313338</v>
          </cell>
        </row>
        <row r="32">
          <cell r="B32" t="str">
            <v>Patients at End of Period</v>
          </cell>
          <cell r="C32">
            <v>4447.9434447300773</v>
          </cell>
          <cell r="D32">
            <v>5036.7680491439587</v>
          </cell>
          <cell r="E32">
            <v>5569.0859668612065</v>
          </cell>
          <cell r="F32">
            <v>6091.151825801664</v>
          </cell>
          <cell r="G32">
            <v>7080.651091471238</v>
          </cell>
          <cell r="H32">
            <v>7980.2981731781874</v>
          </cell>
          <cell r="I32">
            <v>8750.6434677095367</v>
          </cell>
          <cell r="J32">
            <v>9549.4796026054319</v>
          </cell>
          <cell r="K32">
            <v>10278.011326308844</v>
          </cell>
          <cell r="L32">
            <v>10966.415358806968</v>
          </cell>
          <cell r="P32" t="str">
            <v>Patients at End of Period</v>
          </cell>
          <cell r="Q32">
            <v>11702.824513689724</v>
          </cell>
          <cell r="R32">
            <v>12395.298077233927</v>
          </cell>
          <cell r="S32">
            <v>13171.806412625852</v>
          </cell>
          <cell r="T32">
            <v>13914.384528955241</v>
          </cell>
          <cell r="U32">
            <v>14648.29642774411</v>
          </cell>
          <cell r="V32">
            <v>15351.537545022435</v>
          </cell>
          <cell r="W32">
            <v>15996.220101272524</v>
          </cell>
          <cell r="X32">
            <v>16593.603597112291</v>
          </cell>
          <cell r="Y32">
            <v>17140.419076579063</v>
          </cell>
          <cell r="Z32">
            <v>17641.954131986095</v>
          </cell>
          <cell r="AA32">
            <v>18110.808640313338</v>
          </cell>
          <cell r="AB32">
            <v>18507.710928562756</v>
          </cell>
        </row>
        <row r="34">
          <cell r="B34" t="str">
            <v>Total Patient Days</v>
          </cell>
          <cell r="C34">
            <v>82509.350899742945</v>
          </cell>
          <cell r="D34">
            <v>131450.00183242085</v>
          </cell>
          <cell r="E34">
            <v>146351.83166713189</v>
          </cell>
          <cell r="F34">
            <v>160496.79843688456</v>
          </cell>
          <cell r="G34">
            <v>179945.42295666158</v>
          </cell>
          <cell r="H34">
            <v>205105.32511190866</v>
          </cell>
          <cell r="I34">
            <v>226644.72736962023</v>
          </cell>
          <cell r="J34">
            <v>246681.37251187017</v>
          </cell>
          <cell r="K34">
            <v>266585.24979247933</v>
          </cell>
          <cell r="L34">
            <v>284902.36485847033</v>
          </cell>
          <cell r="P34" t="str">
            <v>Total Patient Days</v>
          </cell>
          <cell r="Q34">
            <v>304256.21414927888</v>
          </cell>
          <cell r="R34">
            <v>322721.48581298249</v>
          </cell>
          <cell r="S34">
            <v>340512.77522210806</v>
          </cell>
          <cell r="T34">
            <v>360793.60723810934</v>
          </cell>
          <cell r="U34">
            <v>380830.17473145231</v>
          </cell>
          <cell r="V34">
            <v>400006.34598871687</v>
          </cell>
          <cell r="W34">
            <v>418008.22700002068</v>
          </cell>
          <cell r="X34">
            <v>434217.91484519071</v>
          </cell>
          <cell r="Y34">
            <v>449010.07333125081</v>
          </cell>
          <cell r="Z34">
            <v>462532.75108846836</v>
          </cell>
          <cell r="AA34">
            <v>475608.79808002932</v>
          </cell>
          <cell r="AB34">
            <v>486670.0973086626</v>
          </cell>
        </row>
        <row r="35">
          <cell r="B35" t="str">
            <v>Average Cost/Day</v>
          </cell>
          <cell r="C35">
            <v>146.66666666666666</v>
          </cell>
          <cell r="D35">
            <v>146.66666666666666</v>
          </cell>
          <cell r="E35">
            <v>146.66666666666666</v>
          </cell>
          <cell r="F35">
            <v>146.66666666666666</v>
          </cell>
          <cell r="G35">
            <v>146.66666666666666</v>
          </cell>
          <cell r="H35">
            <v>146.66666666666666</v>
          </cell>
          <cell r="I35">
            <v>146.66666666666666</v>
          </cell>
          <cell r="J35">
            <v>146.66666666666666</v>
          </cell>
          <cell r="K35">
            <v>146.66666666666666</v>
          </cell>
          <cell r="L35">
            <v>146.66666666666666</v>
          </cell>
          <cell r="P35" t="str">
            <v>Average Cost/Day</v>
          </cell>
          <cell r="Q35">
            <v>146.66666666666666</v>
          </cell>
          <cell r="R35">
            <v>146.66666666666666</v>
          </cell>
          <cell r="S35">
            <v>146.66666666666666</v>
          </cell>
          <cell r="T35">
            <v>146.66666666666666</v>
          </cell>
          <cell r="U35">
            <v>146.66666666666666</v>
          </cell>
          <cell r="V35">
            <v>146.66666666666666</v>
          </cell>
          <cell r="W35">
            <v>146.66666666666666</v>
          </cell>
          <cell r="X35">
            <v>146.66666666666666</v>
          </cell>
          <cell r="Y35">
            <v>146.66666666666666</v>
          </cell>
          <cell r="Z35">
            <v>146.66666666666666</v>
          </cell>
          <cell r="AA35">
            <v>146.66666666666666</v>
          </cell>
          <cell r="AB35">
            <v>146.66666666666666</v>
          </cell>
        </row>
        <row r="37">
          <cell r="B37" t="str">
            <v>Monthly Sales</v>
          </cell>
          <cell r="C37">
            <v>12101.371465295631</v>
          </cell>
          <cell r="D37">
            <v>19279.333602088391</v>
          </cell>
          <cell r="E37">
            <v>21464.935311179343</v>
          </cell>
          <cell r="F37">
            <v>23539.530437409736</v>
          </cell>
          <cell r="G37">
            <v>26391.995366977033</v>
          </cell>
          <cell r="H37">
            <v>30082.114349746604</v>
          </cell>
          <cell r="I37">
            <v>33241.226680877633</v>
          </cell>
          <cell r="J37">
            <v>36179.934635074285</v>
          </cell>
          <cell r="K37">
            <v>39099.169969563634</v>
          </cell>
          <cell r="L37">
            <v>41785.680179242314</v>
          </cell>
          <cell r="M37">
            <v>283165.29199745459</v>
          </cell>
          <cell r="P37" t="str">
            <v>Monthly Sales</v>
          </cell>
          <cell r="Q37">
            <v>44624.244741894232</v>
          </cell>
          <cell r="R37">
            <v>47332.484585904094</v>
          </cell>
          <cell r="S37">
            <v>49941.873699242511</v>
          </cell>
          <cell r="T37">
            <v>52916.39572825603</v>
          </cell>
          <cell r="U37">
            <v>55855.092293946334</v>
          </cell>
          <cell r="V37">
            <v>58667.597411678471</v>
          </cell>
          <cell r="W37">
            <v>61307.873293336364</v>
          </cell>
          <cell r="X37">
            <v>63685.294177294636</v>
          </cell>
          <cell r="Y37">
            <v>65854.810755250117</v>
          </cell>
          <cell r="Z37">
            <v>67838.136826308677</v>
          </cell>
          <cell r="AA37">
            <v>69755.957051737627</v>
          </cell>
          <cell r="AB37">
            <v>71378.280938603843</v>
          </cell>
          <cell r="AC37">
            <v>709158.04150345293</v>
          </cell>
        </row>
        <row r="38">
          <cell r="C38" t="str">
            <v>1Q04</v>
          </cell>
          <cell r="F38" t="str">
            <v>2Q04</v>
          </cell>
          <cell r="I38" t="str">
            <v>3Q04</v>
          </cell>
          <cell r="L38" t="str">
            <v>4Q04</v>
          </cell>
          <cell r="M38">
            <v>2004</v>
          </cell>
          <cell r="S38" t="str">
            <v>1Q05</v>
          </cell>
          <cell r="V38" t="str">
            <v>2Q05</v>
          </cell>
          <cell r="Y38" t="str">
            <v>3Q05</v>
          </cell>
          <cell r="AB38" t="str">
            <v>4Q05</v>
          </cell>
          <cell r="AC38">
            <v>2005</v>
          </cell>
        </row>
        <row r="39">
          <cell r="B39" t="str">
            <v>Front-line Sales</v>
          </cell>
          <cell r="C39">
            <v>12101.371465295631</v>
          </cell>
          <cell r="F39">
            <v>64283.799350677466</v>
          </cell>
          <cell r="I39">
            <v>89715.336397601262</v>
          </cell>
          <cell r="L39">
            <v>117064.78478388023</v>
          </cell>
          <cell r="M39">
            <v>283165.29199745459</v>
          </cell>
          <cell r="P39" t="str">
            <v>Total Sales</v>
          </cell>
          <cell r="S39">
            <v>141898.60302704084</v>
          </cell>
          <cell r="V39">
            <v>167439.08543388083</v>
          </cell>
          <cell r="Y39">
            <v>190847.97822588112</v>
          </cell>
          <cell r="AB39">
            <v>208972.37481665018</v>
          </cell>
          <cell r="AC39">
            <v>709158.04150345293</v>
          </cell>
        </row>
        <row r="41">
          <cell r="B41" t="str">
            <v>Relapsed / Refractory</v>
          </cell>
          <cell r="C41">
            <v>38047</v>
          </cell>
          <cell r="D41">
            <v>38078</v>
          </cell>
          <cell r="E41">
            <v>38108</v>
          </cell>
          <cell r="F41">
            <v>38139</v>
          </cell>
          <cell r="G41">
            <v>38169</v>
          </cell>
          <cell r="H41">
            <v>38200</v>
          </cell>
          <cell r="I41">
            <v>38231</v>
          </cell>
          <cell r="J41">
            <v>38261</v>
          </cell>
          <cell r="K41">
            <v>38292</v>
          </cell>
          <cell r="L41">
            <v>38322</v>
          </cell>
          <cell r="M41">
            <v>2004</v>
          </cell>
          <cell r="P41" t="str">
            <v>Relapsed / Refractory</v>
          </cell>
          <cell r="Q41">
            <v>38353</v>
          </cell>
          <cell r="R41">
            <v>38384</v>
          </cell>
          <cell r="S41">
            <v>38412</v>
          </cell>
          <cell r="T41">
            <v>38443</v>
          </cell>
          <cell r="U41">
            <v>38473</v>
          </cell>
          <cell r="V41">
            <v>38504</v>
          </cell>
          <cell r="W41">
            <v>38534</v>
          </cell>
          <cell r="X41">
            <v>38565</v>
          </cell>
          <cell r="Y41">
            <v>38596</v>
          </cell>
          <cell r="Z41">
            <v>38626</v>
          </cell>
          <cell r="AA41">
            <v>38657</v>
          </cell>
          <cell r="AB41">
            <v>38687</v>
          </cell>
          <cell r="AC41">
            <v>2005</v>
          </cell>
        </row>
        <row r="42">
          <cell r="B42" t="str">
            <v>Previously relapsed Pts Wainting for Therapy</v>
          </cell>
          <cell r="C42">
            <v>25000</v>
          </cell>
        </row>
        <row r="43">
          <cell r="B43" t="str">
            <v>New Relapsing Patients</v>
          </cell>
          <cell r="C43">
            <v>2593</v>
          </cell>
          <cell r="D43">
            <v>2597.2784499999998</v>
          </cell>
          <cell r="E43">
            <v>2601.5639594424997</v>
          </cell>
          <cell r="F43">
            <v>2605.8565399755798</v>
          </cell>
          <cell r="G43">
            <v>2610.1562032665393</v>
          </cell>
          <cell r="H43">
            <v>2614.4629610019288</v>
          </cell>
          <cell r="I43">
            <v>2618.7768248875818</v>
          </cell>
          <cell r="J43">
            <v>2623.0978066486459</v>
          </cell>
          <cell r="K43">
            <v>2627.4259180296158</v>
          </cell>
          <cell r="L43">
            <v>2631.7611707943643</v>
          </cell>
          <cell r="M43">
            <v>26123.379834046755</v>
          </cell>
          <cell r="P43" t="str">
            <v>New Relapsing Patients</v>
          </cell>
          <cell r="Q43">
            <v>2636.1035767261747</v>
          </cell>
          <cell r="R43">
            <v>2640.4531476277725</v>
          </cell>
          <cell r="S43">
            <v>2644.809895321358</v>
          </cell>
          <cell r="T43">
            <v>2649.173831648638</v>
          </cell>
          <cell r="U43">
            <v>2653.5449684708583</v>
          </cell>
          <cell r="V43">
            <v>2657.9233176688349</v>
          </cell>
          <cell r="W43">
            <v>2662.3088911429882</v>
          </cell>
          <cell r="X43">
            <v>2666.7017008133739</v>
          </cell>
          <cell r="Y43">
            <v>2671.1017586197158</v>
          </cell>
          <cell r="Z43">
            <v>2675.5090765214381</v>
          </cell>
          <cell r="AA43">
            <v>2679.9236664976984</v>
          </cell>
          <cell r="AB43">
            <v>2684.3455405474192</v>
          </cell>
          <cell r="AC43">
            <v>31921.899371606272</v>
          </cell>
        </row>
        <row r="44">
          <cell r="C44">
            <v>0.18</v>
          </cell>
          <cell r="D44">
            <v>0.34</v>
          </cell>
          <cell r="E44">
            <v>0.34</v>
          </cell>
          <cell r="F44">
            <v>0.34</v>
          </cell>
          <cell r="G44">
            <v>0.34</v>
          </cell>
          <cell r="H44">
            <v>0.34</v>
          </cell>
          <cell r="I44">
            <v>0.34</v>
          </cell>
          <cell r="J44">
            <v>0.36</v>
          </cell>
          <cell r="K44">
            <v>0.36</v>
          </cell>
          <cell r="L44">
            <v>0.36</v>
          </cell>
          <cell r="Q44">
            <v>0.4</v>
          </cell>
          <cell r="R44">
            <v>0.43</v>
          </cell>
          <cell r="S44">
            <v>0.47</v>
          </cell>
          <cell r="T44">
            <v>0.48</v>
          </cell>
          <cell r="U44">
            <v>0.49</v>
          </cell>
          <cell r="V44">
            <v>0.49</v>
          </cell>
          <cell r="W44">
            <v>0.5</v>
          </cell>
          <cell r="X44">
            <v>0.5</v>
          </cell>
          <cell r="Y44">
            <v>0.5</v>
          </cell>
          <cell r="Z44">
            <v>0.5</v>
          </cell>
          <cell r="AA44">
            <v>0.5</v>
          </cell>
          <cell r="AB44">
            <v>0.5</v>
          </cell>
          <cell r="AC44">
            <v>0.48014264355070313</v>
          </cell>
        </row>
        <row r="45">
          <cell r="B45" t="str">
            <v>New Patients Starting Therapy</v>
          </cell>
          <cell r="C45">
            <v>4600</v>
          </cell>
          <cell r="D45">
            <v>883.07467299999996</v>
          </cell>
          <cell r="E45">
            <v>884.53174621044991</v>
          </cell>
          <cell r="F45">
            <v>885.99122359169723</v>
          </cell>
          <cell r="G45">
            <v>887.45310911062336</v>
          </cell>
          <cell r="H45">
            <v>888.91740674065579</v>
          </cell>
          <cell r="I45">
            <v>890.38412046177791</v>
          </cell>
          <cell r="J45">
            <v>944.31521039351253</v>
          </cell>
          <cell r="K45">
            <v>945.8733304906616</v>
          </cell>
          <cell r="L45">
            <v>947.43402148597113</v>
          </cell>
          <cell r="M45">
            <v>12757.974841485349</v>
          </cell>
          <cell r="P45" t="str">
            <v>New Patients Starting Therapy</v>
          </cell>
          <cell r="Q45">
            <v>1054.4414306904698</v>
          </cell>
          <cell r="R45">
            <v>1135.3948534799422</v>
          </cell>
          <cell r="S45">
            <v>1243.0606508010383</v>
          </cell>
          <cell r="T45">
            <v>1271.6034391913463</v>
          </cell>
          <cell r="U45">
            <v>1300.2370345507206</v>
          </cell>
          <cell r="V45">
            <v>1302.3824256577291</v>
          </cell>
          <cell r="W45">
            <v>1331.1544455714941</v>
          </cell>
          <cell r="X45">
            <v>1333.350850406687</v>
          </cell>
          <cell r="Y45">
            <v>1335.5508793098579</v>
          </cell>
          <cell r="Z45">
            <v>1337.7545382607191</v>
          </cell>
          <cell r="AA45">
            <v>1339.9618332488492</v>
          </cell>
          <cell r="AB45">
            <v>1342.1727702737096</v>
          </cell>
          <cell r="AC45">
            <v>15327.065151442564</v>
          </cell>
        </row>
        <row r="46">
          <cell r="B46" t="str">
            <v>Failures</v>
          </cell>
          <cell r="P46" t="str">
            <v>Failures</v>
          </cell>
          <cell r="AE46" t="str">
            <v>Distribution of Failure Rates</v>
          </cell>
        </row>
        <row r="47">
          <cell r="B47" t="str">
            <v>1 Month</v>
          </cell>
          <cell r="C47">
            <v>8.9008176767992015</v>
          </cell>
          <cell r="D47">
            <v>1.708714491167842</v>
          </cell>
          <cell r="E47">
            <v>1.711533870078269</v>
          </cell>
          <cell r="F47">
            <v>1.7143579009638983</v>
          </cell>
          <cell r="G47">
            <v>1.7171865915004882</v>
          </cell>
          <cell r="H47">
            <v>1.7200199493764639</v>
          </cell>
          <cell r="I47">
            <v>1.7228579822929351</v>
          </cell>
          <cell r="J47">
            <v>1.8272125037262896</v>
          </cell>
          <cell r="K47">
            <v>1.8302274043574376</v>
          </cell>
          <cell r="L47">
            <v>1.8332472795746273</v>
          </cell>
          <cell r="P47" t="str">
            <v>1 Month</v>
          </cell>
          <cell r="Q47">
            <v>2.0403023750954725</v>
          </cell>
          <cell r="R47">
            <v>2.1969440395654583</v>
          </cell>
          <cell r="S47">
            <v>2.4052730899963914</v>
          </cell>
          <cell r="T47">
            <v>2.4605022542245636</v>
          </cell>
          <cell r="U47">
            <v>2.5159071263387016</v>
          </cell>
          <cell r="V47">
            <v>2.52005837309716</v>
          </cell>
          <cell r="W47">
            <v>2.5757310912375204</v>
          </cell>
          <cell r="X47">
            <v>2.579981047538062</v>
          </cell>
          <cell r="Y47">
            <v>2.5842380162664997</v>
          </cell>
          <cell r="Z47">
            <v>2.5885020089933395</v>
          </cell>
          <cell r="AA47">
            <v>2.5927730373081781</v>
          </cell>
          <cell r="AB47">
            <v>2.5970511128197362</v>
          </cell>
          <cell r="AE47">
            <v>1</v>
          </cell>
          <cell r="AF47">
            <v>0.62</v>
          </cell>
          <cell r="AG47">
            <v>1.9349603645215654E-3</v>
          </cell>
        </row>
        <row r="48">
          <cell r="B48" t="str">
            <v>2 Months</v>
          </cell>
          <cell r="D48">
            <v>34.454778103738839</v>
          </cell>
          <cell r="E48">
            <v>6.6143786754884211</v>
          </cell>
          <cell r="F48">
            <v>6.6252924003029765</v>
          </cell>
          <cell r="G48">
            <v>6.636224132763477</v>
          </cell>
          <cell r="H48">
            <v>6.6471739025825354</v>
          </cell>
          <cell r="I48">
            <v>6.6581417395217954</v>
          </cell>
          <cell r="J48">
            <v>6.6691276733920066</v>
          </cell>
          <cell r="K48">
            <v>7.0730806595856377</v>
          </cell>
          <cell r="L48">
            <v>7.0847512426739518</v>
          </cell>
          <cell r="P48" t="str">
            <v>2 Months</v>
          </cell>
          <cell r="Q48">
            <v>7.0964410822243638</v>
          </cell>
          <cell r="R48">
            <v>7.8979446777889253</v>
          </cell>
          <cell r="S48">
            <v>8.5042995079953219</v>
          </cell>
          <cell r="T48">
            <v>9.310734541921514</v>
          </cell>
          <cell r="U48">
            <v>9.5245248550628272</v>
          </cell>
          <cell r="V48">
            <v>9.7389953277627157</v>
          </cell>
          <cell r="W48">
            <v>9.7550646700535228</v>
          </cell>
          <cell r="X48">
            <v>9.9705719660807244</v>
          </cell>
          <cell r="Y48">
            <v>9.9870234098247561</v>
          </cell>
          <cell r="Z48">
            <v>10.003501998450966</v>
          </cell>
          <cell r="AA48">
            <v>10.020007776748411</v>
          </cell>
          <cell r="AB48">
            <v>10.036540789580044</v>
          </cell>
          <cell r="AE48">
            <v>2</v>
          </cell>
          <cell r="AF48">
            <v>2.4</v>
          </cell>
          <cell r="AG48">
            <v>7.4901691529867045E-3</v>
          </cell>
        </row>
        <row r="49">
          <cell r="B49" t="str">
            <v>3 Months</v>
          </cell>
          <cell r="E49">
            <v>117.72049185444104</v>
          </cell>
          <cell r="F49">
            <v>22.599127141252104</v>
          </cell>
          <cell r="G49">
            <v>22.636415701035169</v>
          </cell>
          <cell r="H49">
            <v>22.673765786941878</v>
          </cell>
          <cell r="I49">
            <v>22.711177500490326</v>
          </cell>
          <cell r="J49">
            <v>22.748650943366133</v>
          </cell>
          <cell r="K49">
            <v>22.786186217422689</v>
          </cell>
          <cell r="L49">
            <v>24.166358920250925</v>
          </cell>
          <cell r="P49" t="str">
            <v>3 Months</v>
          </cell>
          <cell r="Q49">
            <v>24.206233412469334</v>
          </cell>
          <cell r="R49">
            <v>24.246173697599907</v>
          </cell>
          <cell r="S49">
            <v>26.984644315778826</v>
          </cell>
          <cell r="T49">
            <v>29.056356652317348</v>
          </cell>
          <cell r="U49">
            <v>31.811676351565172</v>
          </cell>
          <cell r="V49">
            <v>32.542126588131325</v>
          </cell>
          <cell r="W49">
            <v>33.274900703189275</v>
          </cell>
          <cell r="X49">
            <v>33.329804289349532</v>
          </cell>
          <cell r="Y49">
            <v>34.066120884109139</v>
          </cell>
          <cell r="Z49">
            <v>34.122329983567916</v>
          </cell>
          <cell r="AA49">
            <v>34.1786318280408</v>
          </cell>
          <cell r="AB49">
            <v>34.235026570557068</v>
          </cell>
          <cell r="AE49">
            <v>3</v>
          </cell>
          <cell r="AF49">
            <v>8.1999999999999993</v>
          </cell>
          <cell r="AG49">
            <v>2.5591411272704572E-2</v>
          </cell>
        </row>
        <row r="50">
          <cell r="B50" t="str">
            <v>4 Months</v>
          </cell>
          <cell r="F50">
            <v>301.47930840771488</v>
          </cell>
          <cell r="G50">
            <v>57.875813410523683</v>
          </cell>
          <cell r="H50">
            <v>57.971308502651041</v>
          </cell>
          <cell r="I50">
            <v>58.066961161680425</v>
          </cell>
          <cell r="J50">
            <v>58.162771647597182</v>
          </cell>
          <cell r="K50">
            <v>58.258740220815717</v>
          </cell>
          <cell r="L50">
            <v>58.354867142180062</v>
          </cell>
          <cell r="P50" t="str">
            <v>4 Months</v>
          </cell>
          <cell r="Q50">
            <v>61.88945577137433</v>
          </cell>
          <cell r="R50">
            <v>61.991573373397081</v>
          </cell>
          <cell r="S50">
            <v>62.093859469463183</v>
          </cell>
          <cell r="T50">
            <v>69.107015930653091</v>
          </cell>
          <cell r="U50">
            <v>74.412620694959074</v>
          </cell>
          <cell r="V50">
            <v>81.468927241813248</v>
          </cell>
          <cell r="W50">
            <v>83.339592481799741</v>
          </cell>
          <cell r="X50">
            <v>85.216209117923768</v>
          </cell>
          <cell r="Y50">
            <v>85.356815862968318</v>
          </cell>
          <cell r="Z50">
            <v>87.242504703206336</v>
          </cell>
          <cell r="AA50">
            <v>87.386454835966617</v>
          </cell>
          <cell r="AB50">
            <v>87.53064248644597</v>
          </cell>
          <cell r="AE50">
            <v>4</v>
          </cell>
          <cell r="AF50">
            <v>21</v>
          </cell>
          <cell r="AG50">
            <v>6.5538980088633667E-2</v>
          </cell>
        </row>
        <row r="51">
          <cell r="B51" t="str">
            <v>5 Months</v>
          </cell>
          <cell r="G51">
            <v>674.73940453155228</v>
          </cell>
          <cell r="H51">
            <v>129.53158239498157</v>
          </cell>
          <cell r="I51">
            <v>129.74530950593328</v>
          </cell>
          <cell r="J51">
            <v>129.95938926661807</v>
          </cell>
          <cell r="K51">
            <v>130.17382225890796</v>
          </cell>
          <cell r="L51">
            <v>130.38860906563517</v>
          </cell>
          <cell r="P51" t="str">
            <v>5 Months</v>
          </cell>
          <cell r="Q51">
            <v>130.60375027059345</v>
          </cell>
          <cell r="R51">
            <v>138.51449625021871</v>
          </cell>
          <cell r="S51">
            <v>138.74304516903155</v>
          </cell>
          <cell r="T51">
            <v>138.97197119356045</v>
          </cell>
          <cell r="U51">
            <v>154.66808327336645</v>
          </cell>
          <cell r="V51">
            <v>166.54253203157504</v>
          </cell>
          <cell r="W51">
            <v>182.33521811262966</v>
          </cell>
          <cell r="X51">
            <v>186.52194507831368</v>
          </cell>
          <cell r="Y51">
            <v>190.72199183535318</v>
          </cell>
          <cell r="Z51">
            <v>191.03668312188145</v>
          </cell>
          <cell r="AA51">
            <v>195.25703433574751</v>
          </cell>
          <cell r="AB51">
            <v>195.57920844240147</v>
          </cell>
          <cell r="AE51">
            <v>5</v>
          </cell>
          <cell r="AF51">
            <v>47</v>
          </cell>
          <cell r="AG51">
            <v>0.14668247924598962</v>
          </cell>
        </row>
        <row r="52">
          <cell r="B52" t="str">
            <v>6 Months</v>
          </cell>
          <cell r="H52">
            <v>1162.8487610011857</v>
          </cell>
          <cell r="I52">
            <v>223.23528029773419</v>
          </cell>
          <cell r="J52">
            <v>223.60361851022543</v>
          </cell>
          <cell r="K52">
            <v>223.97256448076732</v>
          </cell>
          <cell r="L52">
            <v>224.34211921216055</v>
          </cell>
          <cell r="P52" t="str">
            <v>6 Months</v>
          </cell>
          <cell r="Q52">
            <v>224.71228370886058</v>
          </cell>
          <cell r="R52">
            <v>225.08305897698023</v>
          </cell>
          <cell r="S52">
            <v>238.71647226101524</v>
          </cell>
          <cell r="T52">
            <v>239.11035444024586</v>
          </cell>
          <cell r="U52">
            <v>239.50488652507227</v>
          </cell>
          <cell r="V52">
            <v>266.5556328753762</v>
          </cell>
          <cell r="W52">
            <v>287.02010839484211</v>
          </cell>
          <cell r="X52">
            <v>314.2372907898511</v>
          </cell>
          <cell r="Y52">
            <v>321.45271385837037</v>
          </cell>
          <cell r="Z52">
            <v>328.69109231199161</v>
          </cell>
          <cell r="AA52">
            <v>329.23343261430637</v>
          </cell>
          <cell r="AB52">
            <v>336.5068038552244</v>
          </cell>
          <cell r="AE52">
            <v>6</v>
          </cell>
          <cell r="AF52">
            <v>81</v>
          </cell>
          <cell r="AG52">
            <v>0.25279320891330126</v>
          </cell>
        </row>
        <row r="53">
          <cell r="B53" t="str">
            <v>7 Months</v>
          </cell>
          <cell r="I53">
            <v>1162.8487610011857</v>
          </cell>
          <cell r="J53">
            <v>223.23528029773419</v>
          </cell>
          <cell r="K53">
            <v>223.60361851022543</v>
          </cell>
          <cell r="L53">
            <v>223.97256448076732</v>
          </cell>
          <cell r="P53" t="str">
            <v>7 Months</v>
          </cell>
          <cell r="Q53">
            <v>224.34211921216055</v>
          </cell>
          <cell r="R53">
            <v>224.71228370886058</v>
          </cell>
          <cell r="S53">
            <v>225.08305897698023</v>
          </cell>
          <cell r="T53">
            <v>238.71647226101524</v>
          </cell>
          <cell r="U53">
            <v>239.11035444024586</v>
          </cell>
          <cell r="V53">
            <v>239.50488652507227</v>
          </cell>
          <cell r="W53">
            <v>266.5556328753762</v>
          </cell>
          <cell r="X53">
            <v>287.02010839484211</v>
          </cell>
          <cell r="Y53">
            <v>314.2372907898511</v>
          </cell>
          <cell r="Z53">
            <v>321.45271385837037</v>
          </cell>
          <cell r="AA53">
            <v>328.69109231199161</v>
          </cell>
          <cell r="AB53">
            <v>329.23343261430637</v>
          </cell>
          <cell r="AE53">
            <v>7</v>
          </cell>
          <cell r="AF53">
            <v>81</v>
          </cell>
          <cell r="AG53">
            <v>0.25279320891330126</v>
          </cell>
          <cell r="AH53">
            <v>320.42</v>
          </cell>
        </row>
        <row r="54">
          <cell r="B54" t="str">
            <v>8 Months</v>
          </cell>
          <cell r="J54">
            <v>674.73940453155228</v>
          </cell>
          <cell r="K54">
            <v>129.53158239498157</v>
          </cell>
          <cell r="L54">
            <v>129.74530950593328</v>
          </cell>
          <cell r="P54" t="str">
            <v>8 Months</v>
          </cell>
          <cell r="Q54">
            <v>129.95938926661807</v>
          </cell>
          <cell r="R54">
            <v>130.17382225890796</v>
          </cell>
          <cell r="S54">
            <v>130.38860906563517</v>
          </cell>
          <cell r="T54">
            <v>130.60375027059345</v>
          </cell>
          <cell r="U54">
            <v>138.51449625021871</v>
          </cell>
          <cell r="V54">
            <v>138.74304516903155</v>
          </cell>
          <cell r="W54">
            <v>138.97197119356045</v>
          </cell>
          <cell r="X54">
            <v>154.66808327336645</v>
          </cell>
          <cell r="Y54">
            <v>166.54253203157504</v>
          </cell>
          <cell r="Z54">
            <v>182.33521811262966</v>
          </cell>
          <cell r="AA54">
            <v>186.52194507831368</v>
          </cell>
          <cell r="AB54">
            <v>190.72199183535318</v>
          </cell>
          <cell r="AE54">
            <v>8</v>
          </cell>
          <cell r="AF54">
            <v>47</v>
          </cell>
          <cell r="AG54">
            <v>0.14668247924598962</v>
          </cell>
        </row>
        <row r="55">
          <cell r="B55" t="str">
            <v>9 Months</v>
          </cell>
          <cell r="K55">
            <v>301.47930840771488</v>
          </cell>
          <cell r="L55">
            <v>57.875813410523683</v>
          </cell>
          <cell r="P55" t="str">
            <v>9 Months</v>
          </cell>
          <cell r="Q55">
            <v>57.971308502651041</v>
          </cell>
          <cell r="R55">
            <v>58.066961161680425</v>
          </cell>
          <cell r="S55">
            <v>58.162771647597182</v>
          </cell>
          <cell r="T55">
            <v>58.258740220815717</v>
          </cell>
          <cell r="U55">
            <v>58.354867142180062</v>
          </cell>
          <cell r="V55">
            <v>61.88945577137433</v>
          </cell>
          <cell r="W55">
            <v>61.991573373397081</v>
          </cell>
          <cell r="X55">
            <v>62.093859469463183</v>
          </cell>
          <cell r="Y55">
            <v>69.107015930653091</v>
          </cell>
          <cell r="Z55">
            <v>74.412620694959074</v>
          </cell>
          <cell r="AA55">
            <v>81.468927241813248</v>
          </cell>
          <cell r="AB55">
            <v>83.339592481799741</v>
          </cell>
          <cell r="AE55">
            <v>9</v>
          </cell>
          <cell r="AF55">
            <v>21</v>
          </cell>
          <cell r="AG55">
            <v>6.5538980088633667E-2</v>
          </cell>
        </row>
        <row r="56">
          <cell r="B56" t="str">
            <v>10 Months</v>
          </cell>
          <cell r="L56">
            <v>117.72049185444104</v>
          </cell>
          <cell r="P56" t="str">
            <v>10 Months</v>
          </cell>
          <cell r="Q56">
            <v>22.599127141252104</v>
          </cell>
          <cell r="R56">
            <v>22.636415701035169</v>
          </cell>
          <cell r="S56">
            <v>22.673765786941878</v>
          </cell>
          <cell r="T56">
            <v>22.711177500490326</v>
          </cell>
          <cell r="U56">
            <v>22.748650943366133</v>
          </cell>
          <cell r="V56">
            <v>22.786186217422689</v>
          </cell>
          <cell r="W56">
            <v>24.166358920250925</v>
          </cell>
          <cell r="X56">
            <v>24.206233412469334</v>
          </cell>
          <cell r="Y56">
            <v>24.246173697599907</v>
          </cell>
          <cell r="Z56">
            <v>26.984644315778826</v>
          </cell>
          <cell r="AA56">
            <v>29.056356652317348</v>
          </cell>
          <cell r="AB56">
            <v>31.811676351565172</v>
          </cell>
          <cell r="AE56">
            <v>10</v>
          </cell>
          <cell r="AF56">
            <v>8.1999999999999993</v>
          </cell>
          <cell r="AG56">
            <v>2.5591411272704572E-2</v>
          </cell>
        </row>
        <row r="57">
          <cell r="P57" t="str">
            <v>11 Months</v>
          </cell>
          <cell r="Q57">
            <v>34.454778103738839</v>
          </cell>
          <cell r="R57">
            <v>6.6143786754884211</v>
          </cell>
          <cell r="S57">
            <v>6.6252924003029765</v>
          </cell>
          <cell r="T57">
            <v>6.636224132763477</v>
          </cell>
          <cell r="U57">
            <v>6.6471739025825354</v>
          </cell>
          <cell r="V57">
            <v>6.6581417395217954</v>
          </cell>
          <cell r="W57">
            <v>6.6691276733920066</v>
          </cell>
          <cell r="X57">
            <v>7.0730806595856377</v>
          </cell>
          <cell r="Y57">
            <v>7.0847512426739518</v>
          </cell>
          <cell r="Z57">
            <v>7.0964410822243638</v>
          </cell>
          <cell r="AA57">
            <v>7.8979446777889253</v>
          </cell>
          <cell r="AB57">
            <v>8.5042995079953219</v>
          </cell>
          <cell r="AE57">
            <v>11</v>
          </cell>
          <cell r="AF57">
            <v>2.4</v>
          </cell>
          <cell r="AG57">
            <v>7.4901691529867045E-3</v>
          </cell>
        </row>
        <row r="58">
          <cell r="P58" t="str">
            <v>12 Months</v>
          </cell>
          <cell r="R58">
            <v>8.6136945259347097</v>
          </cell>
          <cell r="S58">
            <v>1.6535946688721053</v>
          </cell>
          <cell r="T58">
            <v>1.6563231000757441</v>
          </cell>
          <cell r="U58">
            <v>1.6590560331908693</v>
          </cell>
          <cell r="V58">
            <v>1.6617934756456338</v>
          </cell>
          <cell r="W58">
            <v>1.6645354348804489</v>
          </cell>
          <cell r="X58">
            <v>1.6672819183480017</v>
          </cell>
          <cell r="Y58">
            <v>1.7682701648964094</v>
          </cell>
          <cell r="Z58">
            <v>1.771187810668488</v>
          </cell>
          <cell r="AA58">
            <v>1.7741102705560909</v>
          </cell>
          <cell r="AB58">
            <v>1.9744861694472313</v>
          </cell>
          <cell r="AE58">
            <v>12</v>
          </cell>
          <cell r="AF58">
            <v>0.6</v>
          </cell>
          <cell r="AG58">
            <v>1.8725422882466761E-3</v>
          </cell>
        </row>
        <row r="59">
          <cell r="B59" t="str">
            <v>Total Patient Drop-Outs</v>
          </cell>
          <cell r="C59">
            <v>8.9008176767992015</v>
          </cell>
          <cell r="D59">
            <v>36.163492594906678</v>
          </cell>
          <cell r="E59">
            <v>126.04640440000773</v>
          </cell>
          <cell r="F59">
            <v>332.41808585023387</v>
          </cell>
          <cell r="G59">
            <v>763.60504436737506</v>
          </cell>
          <cell r="H59">
            <v>1381.3926115377192</v>
          </cell>
          <cell r="I59">
            <v>1604.9884891888387</v>
          </cell>
          <cell r="J59">
            <v>1340.9454553742116</v>
          </cell>
          <cell r="K59">
            <v>1098.7091305547785</v>
          </cell>
          <cell r="L59">
            <v>975.48413211414072</v>
          </cell>
          <cell r="P59" t="str">
            <v>Total Patient Drop-Outs</v>
          </cell>
          <cell r="Q59">
            <v>919.8751888470382</v>
          </cell>
          <cell r="R59">
            <v>910.74774704745766</v>
          </cell>
          <cell r="S59">
            <v>922.03468635961008</v>
          </cell>
          <cell r="T59">
            <v>946.59962249867669</v>
          </cell>
          <cell r="U59">
            <v>979.4722975381485</v>
          </cell>
          <cell r="V59">
            <v>1030.6117813358239</v>
          </cell>
          <cell r="W59">
            <v>1098.3198149246091</v>
          </cell>
          <cell r="X59">
            <v>1168.5844494171315</v>
          </cell>
          <cell r="Y59">
            <v>1227.1549377241417</v>
          </cell>
          <cell r="Z59">
            <v>1267.7374400027222</v>
          </cell>
          <cell r="AA59">
            <v>1294.0787106608987</v>
          </cell>
          <cell r="AB59">
            <v>1312.0707522174955</v>
          </cell>
        </row>
        <row r="60">
          <cell r="B60" t="str">
            <v>Patients at Start of Period</v>
          </cell>
          <cell r="C60">
            <v>0</v>
          </cell>
          <cell r="D60">
            <v>4591.0991823232007</v>
          </cell>
          <cell r="E60">
            <v>5438.0103627282942</v>
          </cell>
          <cell r="F60">
            <v>6196.4957045387364</v>
          </cell>
          <cell r="G60">
            <v>6750.0688422801995</v>
          </cell>
          <cell r="H60">
            <v>6873.9169070234484</v>
          </cell>
          <cell r="I60">
            <v>6381.4417022263851</v>
          </cell>
          <cell r="J60">
            <v>5666.8373334993239</v>
          </cell>
          <cell r="K60">
            <v>5270.2070885186249</v>
          </cell>
          <cell r="L60">
            <v>5117.3712884545084</v>
          </cell>
          <cell r="P60" t="str">
            <v>Patients at Start of Period</v>
          </cell>
          <cell r="Q60">
            <v>5089.3211778263394</v>
          </cell>
          <cell r="R60">
            <v>5223.8874196697716</v>
          </cell>
          <cell r="S60">
            <v>5448.5345261022558</v>
          </cell>
          <cell r="T60">
            <v>5769.5604905436849</v>
          </cell>
          <cell r="U60">
            <v>6094.5643072363546</v>
          </cell>
          <cell r="V60">
            <v>6415.3290442489269</v>
          </cell>
          <cell r="W60">
            <v>6687.0996885708319</v>
          </cell>
          <cell r="X60">
            <v>6919.9343192177166</v>
          </cell>
          <cell r="Y60">
            <v>7084.7007202072718</v>
          </cell>
          <cell r="Z60">
            <v>7193.0966617929889</v>
          </cell>
          <cell r="AA60">
            <v>7263.1137600509865</v>
          </cell>
          <cell r="AB60">
            <v>7308.9968826389377</v>
          </cell>
        </row>
        <row r="61">
          <cell r="B61" t="str">
            <v>Patients at End of Period</v>
          </cell>
          <cell r="C61">
            <v>4591.0991823232007</v>
          </cell>
          <cell r="D61">
            <v>5438.0103627282942</v>
          </cell>
          <cell r="E61">
            <v>6196.4957045387364</v>
          </cell>
          <cell r="F61">
            <v>6750.0688422801995</v>
          </cell>
          <cell r="G61">
            <v>6873.9169070234484</v>
          </cell>
          <cell r="H61">
            <v>6381.4417022263851</v>
          </cell>
          <cell r="I61">
            <v>5666.8373334993239</v>
          </cell>
          <cell r="J61">
            <v>5270.2070885186249</v>
          </cell>
          <cell r="K61">
            <v>5117.3712884545084</v>
          </cell>
          <cell r="L61">
            <v>5089.3211778263394</v>
          </cell>
          <cell r="P61" t="str">
            <v>Patients at End of Period</v>
          </cell>
          <cell r="Q61">
            <v>5223.8874196697716</v>
          </cell>
          <cell r="R61">
            <v>5448.5345261022558</v>
          </cell>
          <cell r="S61">
            <v>5769.5604905436849</v>
          </cell>
          <cell r="T61">
            <v>6094.5643072363546</v>
          </cell>
          <cell r="U61">
            <v>6415.3290442489269</v>
          </cell>
          <cell r="V61">
            <v>6687.0996885708319</v>
          </cell>
          <cell r="W61">
            <v>6919.9343192177166</v>
          </cell>
          <cell r="X61">
            <v>7084.7007202072718</v>
          </cell>
          <cell r="Y61">
            <v>7193.0966617929889</v>
          </cell>
          <cell r="Z61">
            <v>7263.1137600509865</v>
          </cell>
          <cell r="AA61">
            <v>7308.9968826389377</v>
          </cell>
          <cell r="AB61">
            <v>7339.0989006951522</v>
          </cell>
        </row>
        <row r="63">
          <cell r="B63" t="str">
            <v>Total Patient Days</v>
          </cell>
          <cell r="C63">
            <v>85164.889832095359</v>
          </cell>
          <cell r="D63">
            <v>139344.90769040224</v>
          </cell>
          <cell r="E63">
            <v>160189.67694661734</v>
          </cell>
          <cell r="F63">
            <v>175667.75966879056</v>
          </cell>
          <cell r="G63">
            <v>179113.50410454167</v>
          </cell>
          <cell r="H63">
            <v>165302.16069089193</v>
          </cell>
          <cell r="I63">
            <v>145271.16432503134</v>
          </cell>
          <cell r="J63">
            <v>133353.85456209915</v>
          </cell>
          <cell r="K63">
            <v>129051.00245284176</v>
          </cell>
          <cell r="L63">
            <v>128242.11095577363</v>
          </cell>
          <cell r="P63" t="str">
            <v>Total Patient Days</v>
          </cell>
          <cell r="Q63">
            <v>130842.36961975202</v>
          </cell>
          <cell r="R63">
            <v>135948.1400244516</v>
          </cell>
          <cell r="S63">
            <v>142839.63094066753</v>
          </cell>
          <cell r="T63">
            <v>151510.16884278817</v>
          </cell>
          <cell r="U63">
            <v>160060.64586898161</v>
          </cell>
          <cell r="V63">
            <v>167637.93577383447</v>
          </cell>
          <cell r="W63">
            <v>173724.28653224508</v>
          </cell>
          <cell r="X63">
            <v>178304.68986718298</v>
          </cell>
          <cell r="Y63">
            <v>181306.6657965903</v>
          </cell>
          <cell r="Z63">
            <v>183233.9794806038</v>
          </cell>
          <cell r="AA63">
            <v>184485.48712349506</v>
          </cell>
          <cell r="AB63">
            <v>185295.06902684493</v>
          </cell>
        </row>
        <row r="64">
          <cell r="B64" t="str">
            <v>Average Cost/Day</v>
          </cell>
          <cell r="C64">
            <v>146.66666666666666</v>
          </cell>
          <cell r="D64">
            <v>146.66666666666666</v>
          </cell>
          <cell r="E64">
            <v>146.66666666666666</v>
          </cell>
          <cell r="F64">
            <v>146.66666666666666</v>
          </cell>
          <cell r="G64">
            <v>146.66666666666666</v>
          </cell>
          <cell r="H64">
            <v>146.66666666666666</v>
          </cell>
          <cell r="I64">
            <v>146.66666666666666</v>
          </cell>
          <cell r="J64">
            <v>146.66666666666666</v>
          </cell>
          <cell r="K64">
            <v>146.66666666666666</v>
          </cell>
          <cell r="L64">
            <v>146.66666666666666</v>
          </cell>
          <cell r="P64" t="str">
            <v>Average Cost/Day</v>
          </cell>
          <cell r="Q64">
            <v>146.66666666666666</v>
          </cell>
          <cell r="R64">
            <v>146.66666666666666</v>
          </cell>
          <cell r="S64">
            <v>146.66666666666666</v>
          </cell>
          <cell r="T64">
            <v>146.66666666666666</v>
          </cell>
          <cell r="U64">
            <v>146.66666666666666</v>
          </cell>
          <cell r="V64">
            <v>146.66666666666666</v>
          </cell>
          <cell r="W64">
            <v>146.66666666666666</v>
          </cell>
          <cell r="X64">
            <v>146.66666666666666</v>
          </cell>
          <cell r="Y64">
            <v>146.66666666666666</v>
          </cell>
          <cell r="Z64">
            <v>146.66666666666666</v>
          </cell>
          <cell r="AA64">
            <v>146.66666666666666</v>
          </cell>
          <cell r="AB64">
            <v>146.66666666666666</v>
          </cell>
        </row>
        <row r="66">
          <cell r="B66" t="str">
            <v>Monthly Sales</v>
          </cell>
          <cell r="C66">
            <v>12490.850508707319</v>
          </cell>
          <cell r="D66">
            <v>20437.253127925662</v>
          </cell>
          <cell r="E66">
            <v>23494.485952170544</v>
          </cell>
          <cell r="F66">
            <v>25764.604751422616</v>
          </cell>
          <cell r="G66">
            <v>26269.980601999443</v>
          </cell>
          <cell r="H66">
            <v>24244.316901330814</v>
          </cell>
          <cell r="I66">
            <v>21306.437434337928</v>
          </cell>
          <cell r="J66">
            <v>19558.56533577454</v>
          </cell>
          <cell r="K66">
            <v>18927.480359750123</v>
          </cell>
          <cell r="L66">
            <v>18808.84294018013</v>
          </cell>
          <cell r="M66">
            <v>211302.81791359911</v>
          </cell>
          <cell r="P66" t="str">
            <v>Monthly Sales</v>
          </cell>
          <cell r="Q66">
            <v>19190.21421089696</v>
          </cell>
          <cell r="R66">
            <v>19939.060536919569</v>
          </cell>
          <cell r="S66">
            <v>20949.812537964572</v>
          </cell>
          <cell r="T66">
            <v>22221.491430275597</v>
          </cell>
          <cell r="U66">
            <v>23475.5613941173</v>
          </cell>
          <cell r="V66">
            <v>24586.897246829056</v>
          </cell>
          <cell r="W66">
            <v>25479.562024729279</v>
          </cell>
          <cell r="X66">
            <v>26151.354513853501</v>
          </cell>
          <cell r="Y66">
            <v>26591.644316833244</v>
          </cell>
          <cell r="Z66">
            <v>26874.316990488554</v>
          </cell>
          <cell r="AA66">
            <v>27057.871444779274</v>
          </cell>
          <cell r="AB66">
            <v>27176.610123937255</v>
          </cell>
          <cell r="AC66">
            <v>289694.3967716241</v>
          </cell>
        </row>
        <row r="67">
          <cell r="C67" t="str">
            <v>1Q04</v>
          </cell>
          <cell r="F67" t="str">
            <v>2Q04</v>
          </cell>
          <cell r="I67" t="str">
            <v>3Q04</v>
          </cell>
          <cell r="L67" t="str">
            <v>4Q04</v>
          </cell>
          <cell r="M67">
            <v>2004</v>
          </cell>
          <cell r="S67" t="str">
            <v>1Q05</v>
          </cell>
          <cell r="V67" t="str">
            <v>2Q05</v>
          </cell>
          <cell r="Y67" t="str">
            <v>3Q05</v>
          </cell>
          <cell r="AB67" t="str">
            <v>4Q05</v>
          </cell>
          <cell r="AC67">
            <v>2005</v>
          </cell>
        </row>
        <row r="68">
          <cell r="B68" t="str">
            <v>Relapsed/Refractory Sales</v>
          </cell>
          <cell r="C68">
            <v>12490.850508707319</v>
          </cell>
          <cell r="F68">
            <v>69696.34383151881</v>
          </cell>
          <cell r="I68">
            <v>71820.734937668181</v>
          </cell>
          <cell r="L68">
            <v>57294.888635704789</v>
          </cell>
          <cell r="M68">
            <v>211302.81791359911</v>
          </cell>
          <cell r="P68" t="str">
            <v>Total Sales</v>
          </cell>
          <cell r="S68">
            <v>60079.087285781097</v>
          </cell>
          <cell r="V68">
            <v>70283.95007122196</v>
          </cell>
          <cell r="Y68">
            <v>78222.560855416028</v>
          </cell>
          <cell r="AB68">
            <v>81108.798559205083</v>
          </cell>
          <cell r="AC68">
            <v>289694.39677162416</v>
          </cell>
        </row>
        <row r="70">
          <cell r="C70" t="str">
            <v>1Q04</v>
          </cell>
          <cell r="F70" t="str">
            <v>2Q04</v>
          </cell>
          <cell r="I70" t="str">
            <v>3Q04</v>
          </cell>
          <cell r="L70" t="str">
            <v>4Q04</v>
          </cell>
          <cell r="M70">
            <v>2004</v>
          </cell>
          <cell r="S70" t="str">
            <v>1Q05</v>
          </cell>
          <cell r="V70" t="str">
            <v>2Q05</v>
          </cell>
          <cell r="Y70" t="str">
            <v>3Q05</v>
          </cell>
          <cell r="AB70" t="str">
            <v>4Q05</v>
          </cell>
          <cell r="AC70">
            <v>2005</v>
          </cell>
        </row>
        <row r="71">
          <cell r="B71" t="str">
            <v>Total Sales</v>
          </cell>
          <cell r="C71">
            <v>24592.22197400295</v>
          </cell>
          <cell r="F71">
            <v>133980.14318219628</v>
          </cell>
          <cell r="I71">
            <v>161536.07133526943</v>
          </cell>
          <cell r="L71">
            <v>174359.67341958501</v>
          </cell>
          <cell r="M71">
            <v>494468.10991105367</v>
          </cell>
          <cell r="P71" t="str">
            <v>Total Sales</v>
          </cell>
          <cell r="S71">
            <v>201977.69031282194</v>
          </cell>
          <cell r="V71">
            <v>237723.03550510277</v>
          </cell>
          <cell r="Y71">
            <v>269070.53908129712</v>
          </cell>
          <cell r="AB71">
            <v>290081.17337585526</v>
          </cell>
          <cell r="AC71">
            <v>998852.43827507715</v>
          </cell>
        </row>
        <row r="74">
          <cell r="B74" t="str">
            <v>New Diagnoses</v>
          </cell>
          <cell r="C74">
            <v>0.25</v>
          </cell>
          <cell r="D74">
            <v>0.3</v>
          </cell>
          <cell r="E74">
            <v>0.35</v>
          </cell>
          <cell r="F74">
            <v>0.4</v>
          </cell>
        </row>
        <row r="75">
          <cell r="B75" t="str">
            <v>Total Q3 Sales</v>
          </cell>
          <cell r="C75">
            <v>153979.96593385277</v>
          </cell>
          <cell r="D75">
            <v>156638.59668507241</v>
          </cell>
          <cell r="E75">
            <v>159297.22743629201</v>
          </cell>
          <cell r="F75">
            <v>161955.85818751174</v>
          </cell>
        </row>
        <row r="76">
          <cell r="B76" t="str">
            <v>Total Q4 Sales</v>
          </cell>
          <cell r="C76">
            <v>159919.35890491318</v>
          </cell>
          <cell r="D76">
            <v>167772.72580992253</v>
          </cell>
          <cell r="E76">
            <v>175626.09271493187</v>
          </cell>
          <cell r="F76">
            <v>183479.45961994119</v>
          </cell>
        </row>
        <row r="77">
          <cell r="B77" t="str">
            <v>FY2004</v>
          </cell>
          <cell r="C77">
            <v>471721.72845186933</v>
          </cell>
          <cell r="D77">
            <v>482233.7261080984</v>
          </cell>
          <cell r="E77">
            <v>492745.72376432741</v>
          </cell>
          <cell r="F77">
            <v>503257.72142055631</v>
          </cell>
        </row>
        <row r="79">
          <cell r="B79" t="str">
            <v>Relapsing</v>
          </cell>
          <cell r="C79">
            <v>0.25</v>
          </cell>
          <cell r="D79">
            <v>0.3</v>
          </cell>
          <cell r="E79">
            <v>0.35</v>
          </cell>
          <cell r="F79">
            <v>0.4</v>
          </cell>
        </row>
        <row r="80">
          <cell r="B80" t="str">
            <v>Total Q3 Sales</v>
          </cell>
          <cell r="C80">
            <v>149404.15650281997</v>
          </cell>
          <cell r="D80">
            <v>151725.76358521846</v>
          </cell>
          <cell r="E80">
            <v>154047.37066761701</v>
          </cell>
          <cell r="F80">
            <v>156368.9777500155</v>
          </cell>
        </row>
        <row r="81">
          <cell r="B81" t="str">
            <v>Total Q4 Sales</v>
          </cell>
          <cell r="C81">
            <v>153623.49900867679</v>
          </cell>
          <cell r="D81">
            <v>160172.05022159428</v>
          </cell>
          <cell r="E81">
            <v>166720.60143451183</v>
          </cell>
          <cell r="F81">
            <v>173269.15264742935</v>
          </cell>
        </row>
        <row r="82">
          <cell r="B82" t="str">
            <v>FY2004</v>
          </cell>
          <cell r="C82">
            <v>460850.0591246002</v>
          </cell>
          <cell r="D82">
            <v>469720.21741991618</v>
          </cell>
          <cell r="E82">
            <v>478590.37571523222</v>
          </cell>
          <cell r="F82">
            <v>487460.53401054826</v>
          </cell>
        </row>
        <row r="85">
          <cell r="B85" t="str">
            <v xml:space="preserve">Front-Line </v>
          </cell>
        </row>
        <row r="86">
          <cell r="C86" t="str">
            <v>Patients Start of Period</v>
          </cell>
          <cell r="D86" t="str">
            <v>New Patient Additions</v>
          </cell>
          <cell r="E86" t="str">
            <v>Drop-Outs</v>
          </cell>
          <cell r="F86" t="str">
            <v>Patients End of Period</v>
          </cell>
          <cell r="G86" t="str">
            <v>Total Patient Days</v>
          </cell>
          <cell r="H86" t="str">
            <v>Sales</v>
          </cell>
        </row>
        <row r="87">
          <cell r="B87" t="str">
            <v>March</v>
          </cell>
          <cell r="C87">
            <v>0</v>
          </cell>
          <cell r="D87">
            <v>4500</v>
          </cell>
          <cell r="E87">
            <v>52.05655526992286</v>
          </cell>
          <cell r="F87">
            <v>4447.9434447300773</v>
          </cell>
          <cell r="G87">
            <v>82509.350899742945</v>
          </cell>
          <cell r="H87">
            <v>12101.371465295631</v>
          </cell>
        </row>
        <row r="88">
          <cell r="B88" t="str">
            <v>April</v>
          </cell>
          <cell r="C88">
            <v>4447.9434447300773</v>
          </cell>
          <cell r="D88">
            <v>665.93698599999993</v>
          </cell>
          <cell r="E88">
            <v>77.112381586118232</v>
          </cell>
          <cell r="F88">
            <v>5036.7680491439587</v>
          </cell>
          <cell r="G88">
            <v>131450.00183242085</v>
          </cell>
          <cell r="H88">
            <v>19279.333602088391</v>
          </cell>
        </row>
        <row r="89">
          <cell r="B89" t="str">
            <v>May</v>
          </cell>
          <cell r="C89">
            <v>5036.7680491439587</v>
          </cell>
          <cell r="D89">
            <v>636.71597375294982</v>
          </cell>
          <cell r="E89">
            <v>104.39805603570247</v>
          </cell>
          <cell r="F89">
            <v>5569.0859668612065</v>
          </cell>
          <cell r="G89">
            <v>146351.83166713189</v>
          </cell>
          <cell r="H89">
            <v>21464.935311179343</v>
          </cell>
        </row>
        <row r="90">
          <cell r="B90" t="str">
            <v>June</v>
          </cell>
          <cell r="C90">
            <v>5569.0859668612065</v>
          </cell>
          <cell r="D90">
            <v>668.13639106724418</v>
          </cell>
          <cell r="E90">
            <v>146.07053212678733</v>
          </cell>
          <cell r="F90">
            <v>6091.151825801664</v>
          </cell>
          <cell r="G90">
            <v>160496.79843688456</v>
          </cell>
          <cell r="H90">
            <v>23539.530437409736</v>
          </cell>
        </row>
        <row r="91">
          <cell r="B91" t="str">
            <v xml:space="preserve">July </v>
          </cell>
          <cell r="C91">
            <v>6091.151825801664</v>
          </cell>
          <cell r="D91">
            <v>1216.7978474772819</v>
          </cell>
          <cell r="E91">
            <v>227.29858180770779</v>
          </cell>
          <cell r="F91">
            <v>7080.651091471238</v>
          </cell>
          <cell r="G91">
            <v>179945.42295666158</v>
          </cell>
          <cell r="H91">
            <v>26391.995366977033</v>
          </cell>
        </row>
        <row r="92">
          <cell r="B92" t="str">
            <v>August</v>
          </cell>
          <cell r="C92">
            <v>7080.651091471238</v>
          </cell>
          <cell r="D92">
            <v>1218.8055639256195</v>
          </cell>
          <cell r="E92">
            <v>319.15848221867031</v>
          </cell>
          <cell r="F92">
            <v>7980.2981731781874</v>
          </cell>
          <cell r="G92">
            <v>205105.32511190866</v>
          </cell>
          <cell r="H92">
            <v>30082.114349746604</v>
          </cell>
        </row>
        <row r="93">
          <cell r="B93" t="str">
            <v>September</v>
          </cell>
          <cell r="C93">
            <v>7980.2981731781874</v>
          </cell>
          <cell r="D93">
            <v>1220.8165931060967</v>
          </cell>
          <cell r="E93">
            <v>450.47129857474908</v>
          </cell>
          <cell r="F93">
            <v>8750.6434677095367</v>
          </cell>
          <cell r="G93">
            <v>226644.72736962023</v>
          </cell>
          <cell r="H93">
            <v>33241.226680877633</v>
          </cell>
        </row>
        <row r="94">
          <cell r="B94" t="str">
            <v>October</v>
          </cell>
          <cell r="C94">
            <v>8750.6434677095367</v>
          </cell>
          <cell r="D94">
            <v>1375.6848080453119</v>
          </cell>
          <cell r="E94">
            <v>576.84867314941653</v>
          </cell>
          <cell r="F94">
            <v>9549.4796026054319</v>
          </cell>
          <cell r="G94">
            <v>246681.37251187017</v>
          </cell>
          <cell r="H94">
            <v>36179.934635074285</v>
          </cell>
        </row>
        <row r="95">
          <cell r="B95" t="str">
            <v>November</v>
          </cell>
          <cell r="C95">
            <v>9549.4796026054319</v>
          </cell>
          <cell r="D95">
            <v>1408.5759032669996</v>
          </cell>
          <cell r="E95">
            <v>680.04417956358725</v>
          </cell>
          <cell r="F95">
            <v>10278.011326308844</v>
          </cell>
          <cell r="G95">
            <v>266585.24979247933</v>
          </cell>
          <cell r="H95">
            <v>39099.169969563634</v>
          </cell>
        </row>
        <row r="96">
          <cell r="B96" t="str">
            <v>December</v>
          </cell>
          <cell r="C96">
            <v>10278.011326308844</v>
          </cell>
          <cell r="D96">
            <v>1472.2435340946677</v>
          </cell>
          <cell r="E96">
            <v>783.83950159654296</v>
          </cell>
          <cell r="F96">
            <v>10966.415358806968</v>
          </cell>
          <cell r="G96">
            <v>284902.36485847033</v>
          </cell>
          <cell r="H96">
            <v>41785.680179242314</v>
          </cell>
        </row>
        <row r="97">
          <cell r="B97" t="str">
            <v>Relapsed/ Refractory</v>
          </cell>
        </row>
        <row r="98">
          <cell r="C98" t="str">
            <v>Patients Start of Period</v>
          </cell>
          <cell r="D98" t="str">
            <v>New Patient Additions</v>
          </cell>
          <cell r="E98" t="str">
            <v>Drop-Outs</v>
          </cell>
          <cell r="F98" t="str">
            <v>Patients End of Period</v>
          </cell>
          <cell r="G98" t="str">
            <v>Total Patient Days</v>
          </cell>
          <cell r="H98" t="str">
            <v>Sales</v>
          </cell>
        </row>
        <row r="99">
          <cell r="B99" t="str">
            <v>March</v>
          </cell>
          <cell r="C99">
            <v>0</v>
          </cell>
          <cell r="D99">
            <v>4600</v>
          </cell>
          <cell r="E99">
            <v>8.9008176767992015</v>
          </cell>
          <cell r="F99">
            <v>4591.0991823232007</v>
          </cell>
          <cell r="G99">
            <v>85164.889832095359</v>
          </cell>
          <cell r="H99">
            <v>12490.850508707319</v>
          </cell>
        </row>
        <row r="100">
          <cell r="B100" t="str">
            <v>April</v>
          </cell>
          <cell r="C100">
            <v>4591.0991823232007</v>
          </cell>
          <cell r="D100">
            <v>883.07467299999996</v>
          </cell>
          <cell r="E100">
            <v>36.163492594906678</v>
          </cell>
          <cell r="F100">
            <v>5438.0103627282942</v>
          </cell>
          <cell r="G100">
            <v>139344.90769040224</v>
          </cell>
          <cell r="H100">
            <v>20437.253127925662</v>
          </cell>
        </row>
        <row r="101">
          <cell r="B101" t="str">
            <v>May</v>
          </cell>
          <cell r="C101">
            <v>5438.0103627282942</v>
          </cell>
          <cell r="D101">
            <v>884.53174621044991</v>
          </cell>
          <cell r="E101">
            <v>126.04640440000773</v>
          </cell>
          <cell r="F101">
            <v>6196.4957045387364</v>
          </cell>
          <cell r="G101">
            <v>160189.67694661734</v>
          </cell>
          <cell r="H101">
            <v>23494.485952170544</v>
          </cell>
        </row>
        <row r="102">
          <cell r="B102" t="str">
            <v>June</v>
          </cell>
          <cell r="C102">
            <v>6196.4957045387364</v>
          </cell>
          <cell r="D102">
            <v>885.99122359169723</v>
          </cell>
          <cell r="E102">
            <v>332.41808585023387</v>
          </cell>
          <cell r="F102">
            <v>6750.0688422801995</v>
          </cell>
          <cell r="G102">
            <v>175667.75966879056</v>
          </cell>
          <cell r="H102">
            <v>25764.604751422616</v>
          </cell>
        </row>
        <row r="103">
          <cell r="B103" t="str">
            <v xml:space="preserve">July </v>
          </cell>
          <cell r="C103">
            <v>6750.0688422801995</v>
          </cell>
          <cell r="D103">
            <v>887.45310911062336</v>
          </cell>
          <cell r="E103">
            <v>763.60504436737506</v>
          </cell>
          <cell r="F103">
            <v>6873.9169070234484</v>
          </cell>
          <cell r="G103">
            <v>179113.50410454167</v>
          </cell>
          <cell r="H103">
            <v>26269.980601999443</v>
          </cell>
        </row>
        <row r="104">
          <cell r="B104" t="str">
            <v>August</v>
          </cell>
          <cell r="C104">
            <v>6873.9169070234484</v>
          </cell>
          <cell r="D104">
            <v>888.91740674065579</v>
          </cell>
          <cell r="E104">
            <v>1381.3926115377192</v>
          </cell>
          <cell r="F104">
            <v>6381.4417022263851</v>
          </cell>
          <cell r="G104">
            <v>165302.16069089193</v>
          </cell>
          <cell r="H104">
            <v>24244.316901330814</v>
          </cell>
        </row>
        <row r="105">
          <cell r="B105" t="str">
            <v>September</v>
          </cell>
          <cell r="C105">
            <v>6381.4417022263851</v>
          </cell>
          <cell r="D105">
            <v>890.38412046177791</v>
          </cell>
          <cell r="E105">
            <v>1604.9884891888387</v>
          </cell>
          <cell r="F105">
            <v>5666.8373334993239</v>
          </cell>
          <cell r="G105">
            <v>145271.16432503134</v>
          </cell>
          <cell r="H105">
            <v>21306.437434337928</v>
          </cell>
        </row>
        <row r="106">
          <cell r="B106" t="str">
            <v>October</v>
          </cell>
          <cell r="C106">
            <v>5666.8373334993239</v>
          </cell>
          <cell r="D106">
            <v>944.31521039351253</v>
          </cell>
          <cell r="E106">
            <v>1340.9454553742116</v>
          </cell>
          <cell r="F106">
            <v>5270.2070885186249</v>
          </cell>
          <cell r="G106">
            <v>133353.85456209915</v>
          </cell>
          <cell r="H106">
            <v>19558.56533577454</v>
          </cell>
        </row>
        <row r="107">
          <cell r="B107" t="str">
            <v>November</v>
          </cell>
          <cell r="C107">
            <v>5270.2070885186249</v>
          </cell>
          <cell r="D107">
            <v>945.8733304906616</v>
          </cell>
          <cell r="E107">
            <v>1098.7091305547785</v>
          </cell>
          <cell r="F107">
            <v>5117.3712884545084</v>
          </cell>
          <cell r="G107">
            <v>129051.00245284176</v>
          </cell>
          <cell r="H107">
            <v>18927.480359750123</v>
          </cell>
        </row>
        <row r="108">
          <cell r="B108" t="str">
            <v>December</v>
          </cell>
          <cell r="C108">
            <v>5117.3712884545084</v>
          </cell>
          <cell r="D108">
            <v>947.43402148597113</v>
          </cell>
          <cell r="E108">
            <v>975.48413211414072</v>
          </cell>
          <cell r="F108">
            <v>5089.3211778263394</v>
          </cell>
          <cell r="G108">
            <v>128242.11095577363</v>
          </cell>
          <cell r="H108">
            <v>18808.84294018013</v>
          </cell>
        </row>
        <row r="109">
          <cell r="B109" t="str">
            <v>Total Sales</v>
          </cell>
        </row>
        <row r="110">
          <cell r="B110" t="str">
            <v>2Q04</v>
          </cell>
          <cell r="C110">
            <v>133980.14318219628</v>
          </cell>
        </row>
        <row r="111">
          <cell r="B111" t="str">
            <v>3Q04</v>
          </cell>
          <cell r="C111">
            <v>161536.07133526943</v>
          </cell>
        </row>
        <row r="112">
          <cell r="B112" t="str">
            <v>4Q04</v>
          </cell>
          <cell r="C112">
            <v>174359.67341958501</v>
          </cell>
        </row>
        <row r="113">
          <cell r="B113">
            <v>2004</v>
          </cell>
          <cell r="C113">
            <v>494468.10991105367</v>
          </cell>
        </row>
      </sheetData>
      <sheetData sheetId="16" refreshError="1"/>
      <sheetData sheetId="17" refreshError="1">
        <row r="1">
          <cell r="A1" t="str">
            <v>Model data for companies: DNA.N</v>
          </cell>
          <cell r="HX1" t="str">
            <v>ElementName</v>
          </cell>
          <cell r="HY1" t="str">
            <v>ScaleOverride</v>
          </cell>
          <cell r="HZ1" t="str">
            <v>UnitOverride</v>
          </cell>
          <cell r="IA1" t="str">
            <v>ReverseSign</v>
          </cell>
          <cell r="IB1" t="str">
            <v>IsDrivingAssumption</v>
          </cell>
          <cell r="IC1" t="str">
            <v>SegmentID</v>
          </cell>
        </row>
        <row r="2">
          <cell r="A2" t="str">
            <v xml:space="preserve">Model Snapshot type:  </v>
          </cell>
          <cell r="G2" t="str">
            <v>1997-FY</v>
          </cell>
          <cell r="H2" t="str">
            <v>1998-FY</v>
          </cell>
          <cell r="I2" t="str">
            <v>1999-FY</v>
          </cell>
          <cell r="J2" t="str">
            <v>2000-FY</v>
          </cell>
          <cell r="K2" t="str">
            <v>2001-FY</v>
          </cell>
          <cell r="L2" t="str">
            <v>2002-FY</v>
          </cell>
        </row>
        <row r="3">
          <cell r="A3" t="str">
            <v>Default Currency: USD in Millions</v>
          </cell>
        </row>
        <row r="4">
          <cell r="A4" t="str">
            <v>Data as of 2/28/2005 1:22:21 PM</v>
          </cell>
          <cell r="G4" t="str">
            <v>data filled 1997-2002</v>
          </cell>
        </row>
        <row r="5">
          <cell r="A5" t="str">
            <v>Template v1.0</v>
          </cell>
          <cell r="L5" t="str">
            <v>Genentech (DNA.N) ()</v>
          </cell>
        </row>
        <row r="6">
          <cell r="G6" t="str">
            <v>1997-FY
1997-1-1
1997-12-31</v>
          </cell>
          <cell r="H6" t="str">
            <v>1998-FY
1998-1-1
1998-12-31</v>
          </cell>
          <cell r="I6" t="str">
            <v>1999-FY
1999-1-1
1999-12-31</v>
          </cell>
          <cell r="J6" t="str">
            <v>2000-FY
2000-1-1
2000-12-31</v>
          </cell>
          <cell r="K6" t="str">
            <v>2001-FY
2001-1-1
2002-12-31</v>
          </cell>
          <cell r="L6" t="str">
            <v>2002 (A)_x000D_
2002-1-1_x000D_
2002-12-31</v>
          </cell>
          <cell r="M6" t="str">
            <v>2003 (A)_x000D_
2003-1-1_x000D_
2003-12-31</v>
          </cell>
        </row>
        <row r="7">
          <cell r="A7" t="str">
            <v>Validation Formulas</v>
          </cell>
          <cell r="HY7">
            <v>0</v>
          </cell>
          <cell r="HZ7" t="str">
            <v>ms_eqr_gcim_String:ms_eqr_gcim_string</v>
          </cell>
          <cell r="IA7" t="b">
            <v>0</v>
          </cell>
          <cell r="IB7" t="b">
            <v>0</v>
          </cell>
        </row>
        <row r="18">
          <cell r="B18" t="str">
            <v>Balance Sheet Validation</v>
          </cell>
          <cell r="G18" t="b">
            <v>1</v>
          </cell>
          <cell r="H18" t="b">
            <v>1</v>
          </cell>
          <cell r="I18" t="b">
            <v>1</v>
          </cell>
          <cell r="J18" t="b">
            <v>1</v>
          </cell>
          <cell r="K18" t="b">
            <v>1</v>
          </cell>
          <cell r="L18" t="b">
            <v>1</v>
          </cell>
          <cell r="M18" t="b">
            <v>1</v>
          </cell>
          <cell r="HY18">
            <v>0</v>
          </cell>
          <cell r="HZ18" t="str">
            <v>ms_eqr_gcim_Boolean:ms_eqr_gcim_boolean</v>
          </cell>
          <cell r="IA18" t="b">
            <v>0</v>
          </cell>
          <cell r="IB18" t="b">
            <v>0</v>
          </cell>
        </row>
        <row r="29">
          <cell r="C29" t="str">
            <v>Assets</v>
          </cell>
          <cell r="G29">
            <v>2507.6120000000005</v>
          </cell>
          <cell r="H29">
            <v>2855.402</v>
          </cell>
          <cell r="I29">
            <v>6534.7819999999992</v>
          </cell>
          <cell r="J29">
            <v>6716.424</v>
          </cell>
          <cell r="K29">
            <v>7146.8890000000001</v>
          </cell>
          <cell r="L29">
            <v>6758.1189999999997</v>
          </cell>
          <cell r="M29">
            <v>8735.9628426585787</v>
          </cell>
          <cell r="HY29">
            <v>0</v>
          </cell>
          <cell r="HZ29" t="str">
            <v>ISO4217:USD</v>
          </cell>
          <cell r="IA29" t="b">
            <v>0</v>
          </cell>
          <cell r="IB29" t="b">
            <v>0</v>
          </cell>
        </row>
        <row r="40">
          <cell r="C40" t="str">
            <v>Liabilities and Equity</v>
          </cell>
          <cell r="G40">
            <v>2507.6120000000001</v>
          </cell>
          <cell r="H40">
            <v>2855.402</v>
          </cell>
          <cell r="I40">
            <v>6534.7819999999992</v>
          </cell>
          <cell r="J40">
            <v>6716.4240000000009</v>
          </cell>
          <cell r="K40">
            <v>7146.8889999999992</v>
          </cell>
          <cell r="L40">
            <v>6758.1189999999997</v>
          </cell>
          <cell r="M40">
            <v>8736.0156437000005</v>
          </cell>
          <cell r="HY40">
            <v>0</v>
          </cell>
          <cell r="HZ40" t="str">
            <v>ISO4217:USD</v>
          </cell>
          <cell r="IA40" t="b">
            <v>0</v>
          </cell>
          <cell r="IB40" t="b">
            <v>0</v>
          </cell>
        </row>
        <row r="51">
          <cell r="B51" t="str">
            <v>Changes in Shareholders Equity Validation</v>
          </cell>
          <cell r="G51" t="b">
            <v>1</v>
          </cell>
          <cell r="H51" t="b">
            <v>1</v>
          </cell>
          <cell r="I51" t="b">
            <v>1</v>
          </cell>
          <cell r="J51" t="b">
            <v>1</v>
          </cell>
          <cell r="K51" t="b">
            <v>1</v>
          </cell>
          <cell r="L51" t="b">
            <v>1</v>
          </cell>
          <cell r="M51" t="b">
            <v>1</v>
          </cell>
          <cell r="HY51">
            <v>0</v>
          </cell>
          <cell r="HZ51" t="str">
            <v>ms_eqr_gcim_Boolean:ms_eqr_gcim_boolean</v>
          </cell>
          <cell r="IA51" t="b">
            <v>0</v>
          </cell>
          <cell r="IB51" t="b">
            <v>0</v>
          </cell>
        </row>
        <row r="62">
          <cell r="C62" t="str">
            <v>Changes in Shareholders Equity</v>
          </cell>
          <cell r="G62">
            <v>230.16599999999994</v>
          </cell>
          <cell r="H62">
            <v>312.61999999999983</v>
          </cell>
          <cell r="I62">
            <v>2926.0119999999993</v>
          </cell>
          <cell r="J62">
            <v>404.34600000000012</v>
          </cell>
          <cell r="K62">
            <v>245.61100000000016</v>
          </cell>
          <cell r="L62">
            <v>-581.05699999999945</v>
          </cell>
          <cell r="M62">
            <v>1181.4782639664222</v>
          </cell>
          <cell r="HY62">
            <v>0</v>
          </cell>
          <cell r="HZ62" t="str">
            <v>ISO4217:USD</v>
          </cell>
          <cell r="IA62" t="b">
            <v>0</v>
          </cell>
          <cell r="IB62" t="b">
            <v>0</v>
          </cell>
        </row>
        <row r="73">
          <cell r="D73" t="str">
            <v>Net Income (Reported) Less Preferred Dividends</v>
          </cell>
          <cell r="G73">
            <v>129.04399999999993</v>
          </cell>
          <cell r="H73">
            <v>181.90899999999982</v>
          </cell>
          <cell r="I73">
            <v>-1157.4760000000001</v>
          </cell>
          <cell r="J73">
            <v>-74.240999999999914</v>
          </cell>
          <cell r="K73">
            <v>150.23100000000022</v>
          </cell>
          <cell r="L73">
            <v>63.665000000000532</v>
          </cell>
          <cell r="M73">
            <v>562.62846292500024</v>
          </cell>
          <cell r="HY73">
            <v>0</v>
          </cell>
          <cell r="HZ73" t="str">
            <v>ISO4217:USD</v>
          </cell>
          <cell r="IA73" t="b">
            <v>0</v>
          </cell>
          <cell r="IB73" t="b">
            <v>0</v>
          </cell>
        </row>
        <row r="74">
          <cell r="G74">
            <v>169.79499999999993</v>
          </cell>
          <cell r="H74">
            <v>252.65099999999981</v>
          </cell>
          <cell r="I74">
            <v>-1130.577</v>
          </cell>
          <cell r="J74">
            <v>3.9730000000000665</v>
          </cell>
          <cell r="K74">
            <v>282.98100000000022</v>
          </cell>
          <cell r="L74">
            <v>573.53200000000049</v>
          </cell>
          <cell r="M74">
            <v>784.22646292500019</v>
          </cell>
        </row>
        <row r="75">
          <cell r="G75">
            <v>-40.750999999999998</v>
          </cell>
          <cell r="H75">
            <v>-70.74199999999999</v>
          </cell>
          <cell r="I75">
            <v>-26.899000000000029</v>
          </cell>
          <cell r="J75">
            <v>-78.213999999999984</v>
          </cell>
          <cell r="K75">
            <v>-132.75</v>
          </cell>
          <cell r="L75">
            <v>-509.86699999999996</v>
          </cell>
          <cell r="M75">
            <v>-221.59799999999998</v>
          </cell>
        </row>
        <row r="84">
          <cell r="D84" t="str">
            <v>Change in Accumulated Other Comprehensive Income (Loss) or Other Reserves</v>
          </cell>
          <cell r="G84">
            <v>-0.11700000000000001</v>
          </cell>
          <cell r="H84">
            <v>5.431</v>
          </cell>
          <cell r="I84">
            <v>200.23600000000002</v>
          </cell>
          <cell r="J84">
            <v>72.119</v>
          </cell>
          <cell r="K84">
            <v>-19.896000000000001</v>
          </cell>
          <cell r="L84">
            <v>-43.08</v>
          </cell>
          <cell r="M84">
            <v>28.549801041422199</v>
          </cell>
          <cell r="HY84">
            <v>0</v>
          </cell>
          <cell r="HZ84" t="str">
            <v>ISO4217:USD</v>
          </cell>
          <cell r="IA84" t="b">
            <v>0</v>
          </cell>
          <cell r="IB84" t="b">
            <v>0</v>
          </cell>
        </row>
        <row r="95">
          <cell r="D95" t="str">
            <v>Change in Investment in Own Shares (Asset)</v>
          </cell>
          <cell r="G95">
            <v>0</v>
          </cell>
          <cell r="H95">
            <v>0</v>
          </cell>
          <cell r="I95">
            <v>0</v>
          </cell>
          <cell r="J95">
            <v>0</v>
          </cell>
          <cell r="K95">
            <v>0</v>
          </cell>
          <cell r="L95">
            <v>0</v>
          </cell>
          <cell r="M95">
            <v>0</v>
          </cell>
          <cell r="HY95">
            <v>0</v>
          </cell>
          <cell r="HZ95" t="str">
            <v>ISO4217:USD</v>
          </cell>
          <cell r="IA95" t="b">
            <v>0</v>
          </cell>
          <cell r="IB95" t="b">
            <v>0</v>
          </cell>
        </row>
        <row r="106">
          <cell r="B106" t="str">
            <v>Cash Flow Validation</v>
          </cell>
          <cell r="G106" t="b">
            <v>1</v>
          </cell>
          <cell r="H106" t="b">
            <v>1</v>
          </cell>
          <cell r="I106" t="b">
            <v>1</v>
          </cell>
          <cell r="J106" t="b">
            <v>1</v>
          </cell>
          <cell r="K106" t="b">
            <v>1</v>
          </cell>
          <cell r="L106" t="b">
            <v>1</v>
          </cell>
          <cell r="M106" t="b">
            <v>1</v>
          </cell>
          <cell r="HY106">
            <v>0</v>
          </cell>
          <cell r="HZ106" t="str">
            <v>ms_eqr_gcim_Boolean:ms_eqr_gcim_boolean</v>
          </cell>
          <cell r="IA106" t="b">
            <v>0</v>
          </cell>
          <cell r="IB106" t="b">
            <v>0</v>
          </cell>
        </row>
        <row r="117">
          <cell r="C117" t="str">
            <v>Aggregate Cash and Cash Equivalents for Validation</v>
          </cell>
          <cell r="F117">
            <v>207.26400000000001</v>
          </cell>
          <cell r="G117">
            <v>244.46899999999999</v>
          </cell>
          <cell r="H117">
            <v>281.16199999999998</v>
          </cell>
          <cell r="I117">
            <v>337.68200000000002</v>
          </cell>
          <cell r="J117">
            <v>551.38400000000001</v>
          </cell>
          <cell r="K117">
            <v>395.20299999999997</v>
          </cell>
          <cell r="L117">
            <v>208.13</v>
          </cell>
          <cell r="M117">
            <v>371.87784265857795</v>
          </cell>
          <cell r="HY117">
            <v>0</v>
          </cell>
          <cell r="HZ117" t="str">
            <v>ISO4217:USD</v>
          </cell>
          <cell r="IA117" t="b">
            <v>0</v>
          </cell>
          <cell r="IB117" t="b">
            <v>0</v>
          </cell>
        </row>
        <row r="128">
          <cell r="C128" t="str">
            <v>Changes in Cash and Cash Equivalents</v>
          </cell>
          <cell r="G128">
            <v>37.204999999999984</v>
          </cell>
          <cell r="H128">
            <v>36.693000000000012</v>
          </cell>
          <cell r="I128">
            <v>56.519999999999698</v>
          </cell>
          <cell r="J128">
            <v>213.702</v>
          </cell>
          <cell r="K128">
            <v>-156.18100000000004</v>
          </cell>
          <cell r="L128">
            <v>-187.07299999999987</v>
          </cell>
          <cell r="M128">
            <v>163.89584265857809</v>
          </cell>
          <cell r="HY128">
            <v>0</v>
          </cell>
          <cell r="HZ128" t="str">
            <v>ISO4217:USD</v>
          </cell>
          <cell r="IA128" t="b">
            <v>0</v>
          </cell>
          <cell r="IB128" t="b">
            <v>0</v>
          </cell>
        </row>
        <row r="129">
          <cell r="G129">
            <v>39.993000000000023</v>
          </cell>
          <cell r="H129">
            <v>172.93699999999998</v>
          </cell>
          <cell r="I129">
            <v>-218.41600000000022</v>
          </cell>
          <cell r="J129">
            <v>277.20500000000004</v>
          </cell>
          <cell r="K129">
            <v>369.18700000000001</v>
          </cell>
          <cell r="L129">
            <v>31.79299999999995</v>
          </cell>
          <cell r="M129">
            <v>530.46584265857791</v>
          </cell>
        </row>
        <row r="130">
          <cell r="G130">
            <v>-2.7880000000000393</v>
          </cell>
          <cell r="H130">
            <v>-136.24399999999997</v>
          </cell>
          <cell r="I130">
            <v>274.93599999999992</v>
          </cell>
          <cell r="J130">
            <v>-63.503000000000043</v>
          </cell>
          <cell r="K130">
            <v>-525.36800000000005</v>
          </cell>
          <cell r="L130">
            <v>-218.86599999999981</v>
          </cell>
          <cell r="M130">
            <v>-366.56999999999982</v>
          </cell>
        </row>
        <row r="131">
          <cell r="G131">
            <v>0</v>
          </cell>
          <cell r="H131">
            <v>0</v>
          </cell>
          <cell r="I131">
            <v>0</v>
          </cell>
          <cell r="J131">
            <v>0</v>
          </cell>
          <cell r="K131">
            <v>0</v>
          </cell>
          <cell r="L131">
            <v>0</v>
          </cell>
          <cell r="M131">
            <v>0</v>
          </cell>
        </row>
        <row r="139">
          <cell r="B139" t="str">
            <v>Tax Rate Validation (must be between 0% and 100%)</v>
          </cell>
          <cell r="G139">
            <v>0.373</v>
          </cell>
          <cell r="H139">
            <v>0.37965018939169048</v>
          </cell>
          <cell r="I139">
            <v>0.51523455723542122</v>
          </cell>
          <cell r="J139">
            <v>0.59149257488044304</v>
          </cell>
          <cell r="K139">
            <v>0.40731343600036757</v>
          </cell>
          <cell r="L139">
            <v>0.37813035732293521</v>
          </cell>
          <cell r="M139">
            <v>0.32364976429312797</v>
          </cell>
          <cell r="HY139">
            <v>0</v>
          </cell>
          <cell r="HZ139" t="str">
            <v>ms_eqr_gcim_Boolean:ms_eqr_gcim_boolean</v>
          </cell>
          <cell r="IA139" t="b">
            <v>0</v>
          </cell>
          <cell r="IB139" t="b">
            <v>0</v>
          </cell>
        </row>
        <row r="140">
          <cell r="A140" t="str">
            <v>Tagged metrics</v>
          </cell>
          <cell r="HY140">
            <v>0</v>
          </cell>
          <cell r="HZ140" t="str">
            <v>ms_eqr_gcim_String:ms_eqr_gcim_string</v>
          </cell>
          <cell r="IA140" t="b">
            <v>0</v>
          </cell>
          <cell r="IB140" t="b">
            <v>0</v>
          </cell>
        </row>
        <row r="141">
          <cell r="B141" t="str">
            <v>Income statement</v>
          </cell>
          <cell r="HY141">
            <v>0</v>
          </cell>
          <cell r="HZ141" t="str">
            <v>ms_eqr_gcim_String:ms_eqr_gcim_string</v>
          </cell>
          <cell r="IA141" t="b">
            <v>0</v>
          </cell>
          <cell r="IB141" t="b">
            <v>0</v>
          </cell>
        </row>
        <row r="142">
          <cell r="C142" t="str">
            <v>Revenue, net</v>
          </cell>
          <cell r="G142">
            <v>706.476</v>
          </cell>
          <cell r="H142">
            <v>832.58999999999992</v>
          </cell>
          <cell r="I142">
            <v>1122.337</v>
          </cell>
          <cell r="J142">
            <v>1438.7070000000001</v>
          </cell>
          <cell r="K142">
            <v>1779.557</v>
          </cell>
          <cell r="L142">
            <v>2218.1080000000002</v>
          </cell>
          <cell r="M142">
            <v>3300.2629999999999</v>
          </cell>
          <cell r="HX142" t="str">
            <v>mstag:revenueNet</v>
          </cell>
          <cell r="HY142">
            <v>6</v>
          </cell>
          <cell r="HZ142" t="str">
            <v>ISO4217:USD</v>
          </cell>
          <cell r="IA142" t="b">
            <v>0</v>
          </cell>
          <cell r="IB142" t="b">
            <v>0</v>
          </cell>
        </row>
        <row r="143">
          <cell r="D143" t="str">
            <v>Revenue, net of discounts and allowances</v>
          </cell>
          <cell r="G143">
            <v>706.476</v>
          </cell>
          <cell r="H143">
            <v>832.58999999999992</v>
          </cell>
          <cell r="I143">
            <v>1122.337</v>
          </cell>
          <cell r="J143">
            <v>1438.7070000000001</v>
          </cell>
          <cell r="K143">
            <v>1779.557</v>
          </cell>
          <cell r="L143">
            <v>2218.1080000000002</v>
          </cell>
          <cell r="M143" t="str">
            <v/>
          </cell>
          <cell r="HX143" t="str">
            <v>mstag:revenueNetOfDiscountsAndAllowances</v>
          </cell>
          <cell r="HY143">
            <v>6</v>
          </cell>
          <cell r="HZ143" t="str">
            <v>ISO4217:USD</v>
          </cell>
          <cell r="IA143" t="b">
            <v>0</v>
          </cell>
          <cell r="IB143" t="b">
            <v>0</v>
          </cell>
        </row>
        <row r="144">
          <cell r="E144" t="str">
            <v>Revenue, gross</v>
          </cell>
          <cell r="G144">
            <v>706.476</v>
          </cell>
          <cell r="H144">
            <v>832.58999999999992</v>
          </cell>
          <cell r="I144">
            <v>1122.337</v>
          </cell>
          <cell r="J144">
            <v>1438.7070000000001</v>
          </cell>
          <cell r="K144">
            <v>1779.557</v>
          </cell>
          <cell r="L144">
            <v>2218.1080000000002</v>
          </cell>
          <cell r="HX144" t="str">
            <v>mstag:revenueGross</v>
          </cell>
          <cell r="HY144">
            <v>6</v>
          </cell>
          <cell r="HZ144" t="str">
            <v>ISO4217:USD</v>
          </cell>
          <cell r="IA144" t="b">
            <v>0</v>
          </cell>
          <cell r="IB144" t="b">
            <v>0</v>
          </cell>
        </row>
        <row r="145">
          <cell r="E145" t="str">
            <v>Sales discounts</v>
          </cell>
          <cell r="HX145" t="str">
            <v>mstag:salesDiscounts</v>
          </cell>
          <cell r="HY145">
            <v>6</v>
          </cell>
          <cell r="HZ145" t="str">
            <v>ISO4217:USD</v>
          </cell>
          <cell r="IA145" t="b">
            <v>0</v>
          </cell>
          <cell r="IB145" t="b">
            <v>0</v>
          </cell>
        </row>
        <row r="146">
          <cell r="E146" t="str">
            <v>Change in allowance for doubtful accounts, recurring</v>
          </cell>
          <cell r="HX146" t="str">
            <v>mstag:changeInAllowanceForDoubtfulAccountsRecurring</v>
          </cell>
          <cell r="HY146">
            <v>6</v>
          </cell>
          <cell r="HZ146" t="str">
            <v>ISO4217:USD</v>
          </cell>
          <cell r="IA146" t="b">
            <v>0</v>
          </cell>
          <cell r="IB146" t="b">
            <v>0</v>
          </cell>
        </row>
        <row r="147">
          <cell r="E147" t="str">
            <v>Change in allowance for doubtful accounts, one time</v>
          </cell>
          <cell r="HX147" t="str">
            <v>mstag:changeInAllowanceForDoubtfulAccountsOneTime</v>
          </cell>
          <cell r="HY147">
            <v>6</v>
          </cell>
          <cell r="HZ147" t="str">
            <v>ISO4217:USD</v>
          </cell>
          <cell r="IA147" t="b">
            <v>0</v>
          </cell>
          <cell r="IB147" t="b">
            <v>0</v>
          </cell>
        </row>
        <row r="148">
          <cell r="C148" t="str">
            <v>Revenue, region</v>
          </cell>
          <cell r="HX148" t="str">
            <v>mstag:revenueRegion</v>
          </cell>
          <cell r="HY148">
            <v>6</v>
          </cell>
          <cell r="HZ148" t="str">
            <v>ISO4217:USD</v>
          </cell>
          <cell r="IA148" t="b">
            <v>0</v>
          </cell>
          <cell r="IB148" t="b">
            <v>0</v>
          </cell>
        </row>
        <row r="149">
          <cell r="D149" t="str">
            <v>Revenue (Americas)</v>
          </cell>
          <cell r="G149" t="str">
            <v/>
          </cell>
          <cell r="H149" t="str">
            <v/>
          </cell>
          <cell r="I149" t="str">
            <v/>
          </cell>
          <cell r="J149" t="str">
            <v/>
          </cell>
          <cell r="K149" t="str">
            <v/>
          </cell>
          <cell r="L149" t="str">
            <v/>
          </cell>
          <cell r="M149" t="str">
            <v/>
          </cell>
          <cell r="HX149" t="str">
            <v>mstag:americasRevenues</v>
          </cell>
          <cell r="HY149">
            <v>6</v>
          </cell>
          <cell r="HZ149" t="str">
            <v>ISO4217:USD</v>
          </cell>
          <cell r="IA149" t="b">
            <v>0</v>
          </cell>
          <cell r="IB149" t="b">
            <v>0</v>
          </cell>
        </row>
        <row r="150">
          <cell r="E150" t="str">
            <v>Revenue (North America)</v>
          </cell>
          <cell r="HX150" t="str">
            <v>mstag:northAmericaRevenues</v>
          </cell>
          <cell r="HY150">
            <v>6</v>
          </cell>
          <cell r="HZ150" t="str">
            <v>ISO4217:USD</v>
          </cell>
          <cell r="IA150" t="b">
            <v>0</v>
          </cell>
          <cell r="IB150" t="b">
            <v>0</v>
          </cell>
        </row>
        <row r="151">
          <cell r="E151" t="str">
            <v>Revenue (Latin America)</v>
          </cell>
          <cell r="HX151" t="str">
            <v>mstag:latinAmericaRevenues</v>
          </cell>
          <cell r="HY151">
            <v>6</v>
          </cell>
          <cell r="HZ151" t="str">
            <v>ISO4217:USD</v>
          </cell>
          <cell r="IA151" t="b">
            <v>0</v>
          </cell>
          <cell r="IB151" t="b">
            <v>0</v>
          </cell>
        </row>
        <row r="152">
          <cell r="D152" t="str">
            <v>Revenue (Europe, Middle East, and Africa)</v>
          </cell>
          <cell r="G152" t="str">
            <v/>
          </cell>
          <cell r="H152" t="str">
            <v/>
          </cell>
          <cell r="I152" t="str">
            <v/>
          </cell>
          <cell r="J152" t="str">
            <v/>
          </cell>
          <cell r="K152" t="str">
            <v/>
          </cell>
          <cell r="L152" t="str">
            <v/>
          </cell>
          <cell r="M152" t="str">
            <v/>
          </cell>
          <cell r="HX152" t="str">
            <v>mstag:europeMiddleEastAndAfricaEmeaRevenues</v>
          </cell>
          <cell r="HY152">
            <v>6</v>
          </cell>
          <cell r="HZ152" t="str">
            <v>ISO4217:USD</v>
          </cell>
          <cell r="IA152" t="b">
            <v>0</v>
          </cell>
          <cell r="IB152" t="b">
            <v>0</v>
          </cell>
        </row>
        <row r="153">
          <cell r="E153" t="str">
            <v>Revenue (Europe)</v>
          </cell>
          <cell r="HX153" t="str">
            <v>mstag:europeRevenues</v>
          </cell>
          <cell r="HY153">
            <v>6</v>
          </cell>
          <cell r="HZ153" t="str">
            <v>ISO4217:USD</v>
          </cell>
          <cell r="IA153" t="b">
            <v>0</v>
          </cell>
          <cell r="IB153" t="b">
            <v>0</v>
          </cell>
        </row>
        <row r="154">
          <cell r="E154" t="str">
            <v>Revenue (Africa and Middle East)</v>
          </cell>
          <cell r="HX154" t="str">
            <v>mstag:africaAndMiddleEastRevenues</v>
          </cell>
          <cell r="HY154">
            <v>6</v>
          </cell>
          <cell r="HZ154" t="str">
            <v>ISO4217:USD</v>
          </cell>
          <cell r="IA154" t="b">
            <v>0</v>
          </cell>
          <cell r="IB154" t="b">
            <v>0</v>
          </cell>
        </row>
        <row r="155">
          <cell r="D155" t="str">
            <v>Revenue (Asia)</v>
          </cell>
          <cell r="G155" t="str">
            <v/>
          </cell>
          <cell r="H155" t="str">
            <v/>
          </cell>
          <cell r="I155" t="str">
            <v/>
          </cell>
          <cell r="J155" t="str">
            <v/>
          </cell>
          <cell r="K155" t="str">
            <v/>
          </cell>
          <cell r="L155" t="str">
            <v/>
          </cell>
          <cell r="M155" t="str">
            <v/>
          </cell>
          <cell r="HX155" t="str">
            <v>mstag:asiaRevenues</v>
          </cell>
          <cell r="HY155">
            <v>6</v>
          </cell>
          <cell r="HZ155" t="str">
            <v>ISO4217:USD</v>
          </cell>
          <cell r="IA155" t="b">
            <v>0</v>
          </cell>
          <cell r="IB155" t="b">
            <v>0</v>
          </cell>
        </row>
        <row r="156">
          <cell r="E156" t="str">
            <v>Revenue (Japan)</v>
          </cell>
          <cell r="HX156" t="str">
            <v>mstag:japanRevenues</v>
          </cell>
          <cell r="HY156">
            <v>6</v>
          </cell>
          <cell r="HZ156" t="str">
            <v>ISO4217:USD</v>
          </cell>
          <cell r="IA156" t="b">
            <v>0</v>
          </cell>
          <cell r="IB156" t="b">
            <v>0</v>
          </cell>
        </row>
        <row r="157">
          <cell r="E157" t="str">
            <v>Revenue (Asia ex-Japan)</v>
          </cell>
          <cell r="HX157" t="str">
            <v>mstag:nonJapanAsiaRevenues</v>
          </cell>
          <cell r="HY157">
            <v>6</v>
          </cell>
          <cell r="HZ157" t="str">
            <v>ISO4217:USD</v>
          </cell>
          <cell r="IA157" t="b">
            <v>0</v>
          </cell>
          <cell r="IB157" t="b">
            <v>0</v>
          </cell>
        </row>
        <row r="158">
          <cell r="D158" t="str">
            <v>Other revenue, region</v>
          </cell>
          <cell r="HX158" t="str">
            <v>mstag:otherRevenueRegion</v>
          </cell>
          <cell r="HY158">
            <v>6</v>
          </cell>
          <cell r="HZ158" t="str">
            <v>ISO4217:USD</v>
          </cell>
          <cell r="IA158" t="b">
            <v>0</v>
          </cell>
          <cell r="IB158" t="b">
            <v>0</v>
          </cell>
        </row>
        <row r="159">
          <cell r="D159" t="str">
            <v>Intercompany eliminations</v>
          </cell>
          <cell r="HX159" t="str">
            <v>mstag:intercompanyEliminations</v>
          </cell>
          <cell r="HY159">
            <v>6</v>
          </cell>
          <cell r="HZ159" t="str">
            <v>ISO4217:USD</v>
          </cell>
          <cell r="IA159" t="b">
            <v>0</v>
          </cell>
          <cell r="IB159" t="b">
            <v>0</v>
          </cell>
        </row>
        <row r="160">
          <cell r="C160" t="str">
            <v>Royalty, licensee income</v>
          </cell>
          <cell r="G160">
            <v>241.11199999999999</v>
          </cell>
          <cell r="H160">
            <v>229.589</v>
          </cell>
          <cell r="I160">
            <v>189.26999999999998</v>
          </cell>
          <cell r="J160">
            <v>207.24100000000001</v>
          </cell>
          <cell r="K160">
            <v>264.47500000000002</v>
          </cell>
          <cell r="L160">
            <v>365.55</v>
          </cell>
          <cell r="HX160" t="str">
            <v>mstag:royaltyLicenseeIncome</v>
          </cell>
          <cell r="HY160">
            <v>6</v>
          </cell>
          <cell r="HZ160" t="str">
            <v>ISO4217:USD</v>
          </cell>
          <cell r="IA160" t="b">
            <v>0</v>
          </cell>
          <cell r="IB160" t="b">
            <v>0</v>
          </cell>
        </row>
        <row r="161">
          <cell r="C161" t="str">
            <v>Cost of sales, with depreciation</v>
          </cell>
          <cell r="G161">
            <v>102.536</v>
          </cell>
          <cell r="H161">
            <v>138.62299999999999</v>
          </cell>
          <cell r="I161">
            <v>285.54899999999998</v>
          </cell>
          <cell r="J161">
            <v>364.89199999999994</v>
          </cell>
          <cell r="K161">
            <v>354.44200000000001</v>
          </cell>
          <cell r="L161">
            <v>441.63</v>
          </cell>
          <cell r="M161">
            <v>480.2</v>
          </cell>
          <cell r="HX161" t="str">
            <v>mstag:costOfSalesWithDepreciation</v>
          </cell>
          <cell r="HY161">
            <v>6</v>
          </cell>
          <cell r="HZ161" t="str">
            <v>ISO4217:USD</v>
          </cell>
          <cell r="IA161" t="b">
            <v>0</v>
          </cell>
          <cell r="IB161" t="b">
            <v>0</v>
          </cell>
        </row>
        <row r="162">
          <cell r="C162" t="str">
            <v>Cost of sales, without depreciation</v>
          </cell>
          <cell r="HX162" t="str">
            <v>mstag:costOfSalesWithoutDepreciation</v>
          </cell>
          <cell r="HY162">
            <v>6</v>
          </cell>
          <cell r="HZ162" t="str">
            <v>ISO4217:USD</v>
          </cell>
          <cell r="IA162" t="b">
            <v>0</v>
          </cell>
          <cell r="IB162" t="b">
            <v>0</v>
          </cell>
        </row>
        <row r="163">
          <cell r="C163" t="str">
            <v>Cost of materials</v>
          </cell>
          <cell r="HX163" t="str">
            <v>mstag:costOfMaterials</v>
          </cell>
          <cell r="HY163">
            <v>6</v>
          </cell>
          <cell r="HZ163" t="str">
            <v>ISO4217:USD</v>
          </cell>
          <cell r="IA163" t="b">
            <v>0</v>
          </cell>
          <cell r="IB163" t="b">
            <v>0</v>
          </cell>
        </row>
        <row r="164">
          <cell r="C164" t="str">
            <v>Cost of services sold</v>
          </cell>
          <cell r="HX164" t="str">
            <v>mstag:costOfServicesSold</v>
          </cell>
          <cell r="HY164">
            <v>6</v>
          </cell>
          <cell r="HZ164" t="str">
            <v>ISO4217:USD</v>
          </cell>
          <cell r="IA164" t="b">
            <v>0</v>
          </cell>
          <cell r="IB164" t="b">
            <v>0</v>
          </cell>
        </row>
        <row r="165">
          <cell r="C165" t="str">
            <v>Selling, general, and administrative expenses</v>
          </cell>
          <cell r="G165">
            <v>470.923</v>
          </cell>
          <cell r="H165">
            <v>358.93099999999998</v>
          </cell>
          <cell r="I165">
            <v>393.65700000000004</v>
          </cell>
          <cell r="J165">
            <v>368.22399999999999</v>
          </cell>
          <cell r="K165">
            <v>446.90599999999995</v>
          </cell>
          <cell r="L165">
            <v>546.27599999999995</v>
          </cell>
          <cell r="M165">
            <v>794.88499999999999</v>
          </cell>
          <cell r="HX165" t="str">
            <v>mstag:sellingGeneralAndAdministrativeExpenses</v>
          </cell>
          <cell r="HY165">
            <v>6</v>
          </cell>
          <cell r="HZ165" t="str">
            <v>ISO4217:USD</v>
          </cell>
          <cell r="IA165" t="b">
            <v>0</v>
          </cell>
          <cell r="IB165" t="b">
            <v>0</v>
          </cell>
        </row>
        <row r="166">
          <cell r="D166" t="str">
            <v>Marketing and distribution costs</v>
          </cell>
          <cell r="G166">
            <v>41.8</v>
          </cell>
          <cell r="H166">
            <v>47.7</v>
          </cell>
          <cell r="I166">
            <v>80</v>
          </cell>
          <cell r="J166">
            <v>86.5</v>
          </cell>
          <cell r="K166">
            <v>91.9</v>
          </cell>
          <cell r="L166">
            <v>111.7</v>
          </cell>
          <cell r="M166" t="str">
            <v/>
          </cell>
          <cell r="HX166" t="str">
            <v>mstag:marketingAndDistributionCosts</v>
          </cell>
          <cell r="HY166">
            <v>6</v>
          </cell>
          <cell r="HZ166" t="str">
            <v>ISO4217:USD</v>
          </cell>
          <cell r="IA166" t="b">
            <v>0</v>
          </cell>
          <cell r="IB166" t="b">
            <v>0</v>
          </cell>
        </row>
        <row r="167">
          <cell r="E167" t="str">
            <v>Advertising costs</v>
          </cell>
          <cell r="G167">
            <v>41.8</v>
          </cell>
          <cell r="H167">
            <v>47.7</v>
          </cell>
          <cell r="I167">
            <v>80</v>
          </cell>
          <cell r="J167">
            <v>86.5</v>
          </cell>
          <cell r="K167">
            <v>91.9</v>
          </cell>
          <cell r="L167">
            <v>111.7</v>
          </cell>
          <cell r="HX167" t="str">
            <v>mstag:advertisingCosts</v>
          </cell>
          <cell r="HY167">
            <v>6</v>
          </cell>
          <cell r="HZ167" t="str">
            <v>ISO4217:USD</v>
          </cell>
          <cell r="IA167" t="b">
            <v>0</v>
          </cell>
          <cell r="IB167" t="b">
            <v>0</v>
          </cell>
        </row>
        <row r="168">
          <cell r="D168" t="str">
            <v>General and administrative expenses</v>
          </cell>
          <cell r="G168">
            <v>429.12299999999999</v>
          </cell>
          <cell r="H168">
            <v>311.23099999999999</v>
          </cell>
          <cell r="I168">
            <v>313.65700000000004</v>
          </cell>
          <cell r="J168">
            <v>281.72399999999999</v>
          </cell>
          <cell r="K168">
            <v>355.00599999999997</v>
          </cell>
          <cell r="L168">
            <v>434.57599999999996</v>
          </cell>
          <cell r="HX168" t="str">
            <v>mstag:generalAndAdministrativeExpenses</v>
          </cell>
          <cell r="HY168">
            <v>6</v>
          </cell>
          <cell r="HZ168" t="str">
            <v>ISO4217:USD</v>
          </cell>
          <cell r="IA168" t="b">
            <v>0</v>
          </cell>
          <cell r="IB168" t="b">
            <v>0</v>
          </cell>
        </row>
        <row r="169">
          <cell r="C169" t="str">
            <v>Stock compensation</v>
          </cell>
          <cell r="HX169" t="str">
            <v>mstag:stockCompensation</v>
          </cell>
          <cell r="HY169">
            <v>6</v>
          </cell>
          <cell r="HZ169" t="str">
            <v>ISO4217:USD</v>
          </cell>
          <cell r="IA169" t="b">
            <v>0</v>
          </cell>
          <cell r="IB169" t="b">
            <v>0</v>
          </cell>
        </row>
        <row r="170">
          <cell r="C170" t="str">
            <v>Employee expenses</v>
          </cell>
          <cell r="HX170" t="str">
            <v>mstag:employeeExpenses</v>
          </cell>
          <cell r="HY170">
            <v>6</v>
          </cell>
          <cell r="HZ170" t="str">
            <v>ISO4217:USD</v>
          </cell>
          <cell r="IA170" t="b">
            <v>0</v>
          </cell>
          <cell r="IB170" t="b">
            <v>0</v>
          </cell>
        </row>
        <row r="171">
          <cell r="C171" t="str">
            <v>Marketing costs</v>
          </cell>
          <cell r="HX171" t="str">
            <v>mstag:marketingCosts</v>
          </cell>
          <cell r="HY171">
            <v>6</v>
          </cell>
          <cell r="HZ171" t="str">
            <v>ISO4217:USD</v>
          </cell>
          <cell r="IA171" t="b">
            <v>0</v>
          </cell>
          <cell r="IB171" t="b">
            <v>0</v>
          </cell>
        </row>
        <row r="172">
          <cell r="C172" t="str">
            <v>Research and development</v>
          </cell>
          <cell r="G172">
            <v>269.85199999999998</v>
          </cell>
          <cell r="H172">
            <v>396.18599999999998</v>
          </cell>
          <cell r="I172">
            <v>367.33799999999997</v>
          </cell>
          <cell r="J172">
            <v>489.87900000000002</v>
          </cell>
          <cell r="K172">
            <v>526.23</v>
          </cell>
          <cell r="L172">
            <v>623.48199999999997</v>
          </cell>
          <cell r="M172">
            <v>721.96299999999997</v>
          </cell>
          <cell r="HX172" t="str">
            <v>mstag:researchAndDevelopment</v>
          </cell>
          <cell r="HY172">
            <v>6</v>
          </cell>
          <cell r="HZ172" t="str">
            <v>ISO4217:USD</v>
          </cell>
          <cell r="IA172" t="b">
            <v>0</v>
          </cell>
          <cell r="IB172" t="b">
            <v>0</v>
          </cell>
        </row>
        <row r="173">
          <cell r="C173" t="str">
            <v>Acquired in-process R and D, recurring</v>
          </cell>
          <cell r="HX173" t="str">
            <v>mstag:acquiredInProcessRAndDRecurring</v>
          </cell>
          <cell r="HY173">
            <v>6</v>
          </cell>
          <cell r="HZ173" t="str">
            <v>ISO4217:USD</v>
          </cell>
          <cell r="IA173" t="b">
            <v>0</v>
          </cell>
          <cell r="IB173" t="b">
            <v>0</v>
          </cell>
        </row>
        <row r="174">
          <cell r="C174" t="str">
            <v>Acquired in-process R and D, one time</v>
          </cell>
          <cell r="G174">
            <v>0</v>
          </cell>
          <cell r="H174">
            <v>0</v>
          </cell>
          <cell r="I174">
            <v>752.5</v>
          </cell>
          <cell r="J174">
            <v>0</v>
          </cell>
          <cell r="K174">
            <v>0</v>
          </cell>
          <cell r="L174">
            <v>0</v>
          </cell>
          <cell r="M174" t="str">
            <v/>
          </cell>
          <cell r="HX174" t="str">
            <v>mstag:acquiredInProcessRAndDOneTime</v>
          </cell>
          <cell r="HY174">
            <v>6</v>
          </cell>
          <cell r="HZ174" t="str">
            <v>ISO4217:USD</v>
          </cell>
          <cell r="IA174" t="b">
            <v>0</v>
          </cell>
          <cell r="IB174" t="b">
            <v>0</v>
          </cell>
        </row>
        <row r="175">
          <cell r="D175" t="str">
            <v>Acquired in-process R and D, one time, gross of tax</v>
          </cell>
          <cell r="G175">
            <v>0</v>
          </cell>
          <cell r="H175">
            <v>0</v>
          </cell>
          <cell r="I175">
            <v>1015.875</v>
          </cell>
          <cell r="J175">
            <v>0</v>
          </cell>
          <cell r="K175">
            <v>0</v>
          </cell>
          <cell r="L175">
            <v>0</v>
          </cell>
          <cell r="HX175" t="str">
            <v>mstag:acquiredInProcessRAndDOneTimeGrossOfTax</v>
          </cell>
          <cell r="HY175">
            <v>6</v>
          </cell>
          <cell r="HZ175" t="str">
            <v>ISO4217:USD</v>
          </cell>
          <cell r="IA175" t="b">
            <v>0</v>
          </cell>
          <cell r="IB175" t="b">
            <v>0</v>
          </cell>
        </row>
        <row r="176">
          <cell r="D176" t="str">
            <v>Tax on acquired in-process R and D, one time</v>
          </cell>
          <cell r="G176">
            <v>0</v>
          </cell>
          <cell r="H176">
            <v>0</v>
          </cell>
          <cell r="I176">
            <v>263.375</v>
          </cell>
          <cell r="J176">
            <v>0</v>
          </cell>
          <cell r="K176">
            <v>0</v>
          </cell>
          <cell r="L176">
            <v>0</v>
          </cell>
          <cell r="HX176" t="str">
            <v>mstag:taxOnAcquiredInProcessRAndDOneTime</v>
          </cell>
          <cell r="HY176">
            <v>6</v>
          </cell>
          <cell r="HZ176" t="str">
            <v>ISO4217:USD</v>
          </cell>
          <cell r="IA176" t="b">
            <v>0</v>
          </cell>
          <cell r="IB176" t="b">
            <v>0</v>
          </cell>
        </row>
        <row r="177">
          <cell r="C177" t="str">
            <v>Depreciation, in income statement</v>
          </cell>
          <cell r="HX177" t="str">
            <v>mstag:depreciationInIncomeStatement</v>
          </cell>
          <cell r="HY177">
            <v>6</v>
          </cell>
          <cell r="HZ177" t="str">
            <v>ISO4217:USD</v>
          </cell>
          <cell r="IA177" t="b">
            <v>0</v>
          </cell>
          <cell r="IB177" t="b">
            <v>0</v>
          </cell>
        </row>
        <row r="178">
          <cell r="C178" t="str">
            <v>Amortization of goodwill, in income statement</v>
          </cell>
          <cell r="G178">
            <v>0</v>
          </cell>
          <cell r="H178">
            <v>0</v>
          </cell>
          <cell r="I178">
            <v>76.599999999999994</v>
          </cell>
          <cell r="J178">
            <v>153.30000000000001</v>
          </cell>
          <cell r="K178">
            <v>153.30000000000001</v>
          </cell>
          <cell r="L178">
            <v>0</v>
          </cell>
          <cell r="M178" t="str">
            <v/>
          </cell>
          <cell r="HX178" t="str">
            <v>mstag:amortizationOfGoodwillInIncomeStatement</v>
          </cell>
          <cell r="HY178">
            <v>6</v>
          </cell>
          <cell r="HZ178" t="str">
            <v>ISO4217:USD</v>
          </cell>
          <cell r="IA178" t="b">
            <v>0</v>
          </cell>
          <cell r="IB178" t="b">
            <v>0</v>
          </cell>
        </row>
        <row r="179">
          <cell r="D179" t="str">
            <v>Amortization of goodwill, operating, in income statement</v>
          </cell>
          <cell r="G179">
            <v>0</v>
          </cell>
          <cell r="H179">
            <v>0</v>
          </cell>
          <cell r="I179">
            <v>76.599999999999994</v>
          </cell>
          <cell r="J179">
            <v>153.30000000000001</v>
          </cell>
          <cell r="K179">
            <v>153.30000000000001</v>
          </cell>
          <cell r="L179">
            <v>0</v>
          </cell>
          <cell r="HX179" t="str">
            <v>mstag:amortizationOfGoodwillOperatingInIncomeStatement</v>
          </cell>
          <cell r="HY179">
            <v>6</v>
          </cell>
          <cell r="HZ179" t="str">
            <v>ISO4217:USD</v>
          </cell>
          <cell r="IA179" t="b">
            <v>0</v>
          </cell>
          <cell r="IB179" t="b">
            <v>0</v>
          </cell>
        </row>
        <row r="180">
          <cell r="D180" t="str">
            <v>Amortization of goodwill, nonoperating, in income statement</v>
          </cell>
          <cell r="HX180" t="str">
            <v>mstag:amortizationOfGoodwillNonOperatingInIncomeStatement</v>
          </cell>
          <cell r="HY180">
            <v>6</v>
          </cell>
          <cell r="HZ180" t="str">
            <v>ISO4217:USD</v>
          </cell>
          <cell r="IA180" t="b">
            <v>0</v>
          </cell>
          <cell r="IB180" t="b">
            <v>0</v>
          </cell>
        </row>
        <row r="181">
          <cell r="C181" t="str">
            <v>Amortization of intangibles assumed to have indefinite life, in income statement</v>
          </cell>
          <cell r="G181">
            <v>0</v>
          </cell>
          <cell r="H181">
            <v>0</v>
          </cell>
          <cell r="I181">
            <v>0</v>
          </cell>
          <cell r="J181">
            <v>0</v>
          </cell>
          <cell r="K181">
            <v>0</v>
          </cell>
          <cell r="L181">
            <v>0</v>
          </cell>
          <cell r="M181">
            <v>154.30000000000001</v>
          </cell>
          <cell r="HX181" t="str">
            <v>mstag:amortizationOfIntangiblesAssumedToHaveIndefiniteLifeIncomeStatement</v>
          </cell>
          <cell r="HY181">
            <v>6</v>
          </cell>
          <cell r="HZ181" t="str">
            <v>ISO4217:USD</v>
          </cell>
          <cell r="IA181" t="b">
            <v>0</v>
          </cell>
          <cell r="IB181" t="b">
            <v>0</v>
          </cell>
        </row>
        <row r="182">
          <cell r="C182" t="str">
            <v>Amortization of other intangibles, in income statement</v>
          </cell>
          <cell r="G182">
            <v>0</v>
          </cell>
          <cell r="H182">
            <v>0</v>
          </cell>
          <cell r="I182">
            <v>121.142</v>
          </cell>
          <cell r="J182">
            <v>222</v>
          </cell>
          <cell r="K182">
            <v>168.51599999999996</v>
          </cell>
          <cell r="L182">
            <v>155.71299999999999</v>
          </cell>
          <cell r="M182" t="str">
            <v/>
          </cell>
          <cell r="HX182" t="str">
            <v>mstag:amortizationOfOtherIntangiblesInIncomeStatement</v>
          </cell>
          <cell r="HY182">
            <v>6</v>
          </cell>
          <cell r="HZ182" t="str">
            <v>ISO4217:USD</v>
          </cell>
          <cell r="IA182" t="b">
            <v>0</v>
          </cell>
          <cell r="IB182" t="b">
            <v>0</v>
          </cell>
        </row>
        <row r="183">
          <cell r="D183" t="str">
            <v>Amortization of taxable other intangibles, in income statement</v>
          </cell>
          <cell r="G183">
            <v>0</v>
          </cell>
          <cell r="H183">
            <v>0</v>
          </cell>
          <cell r="I183">
            <v>121.142</v>
          </cell>
          <cell r="J183">
            <v>222</v>
          </cell>
          <cell r="K183">
            <v>168.51599999999996</v>
          </cell>
          <cell r="L183">
            <v>155.71299999999999</v>
          </cell>
          <cell r="HX183" t="str">
            <v>mstag:amortizationOfTaxableOtherIntangiblesInIncomeStatement</v>
          </cell>
          <cell r="HY183">
            <v>6</v>
          </cell>
          <cell r="HZ183" t="str">
            <v>ISO4217:USD</v>
          </cell>
          <cell r="IA183" t="b">
            <v>0</v>
          </cell>
          <cell r="IB183" t="b">
            <v>0</v>
          </cell>
        </row>
        <row r="184">
          <cell r="D184" t="str">
            <v>Amortization of nontaxable other intangibles, in income statement</v>
          </cell>
          <cell r="HX184" t="str">
            <v>mstag:amortizationOfNonTaxableOtherIntangiblesInIncomeStatement</v>
          </cell>
          <cell r="HY184">
            <v>6</v>
          </cell>
          <cell r="HZ184" t="str">
            <v>ISO4217:USD</v>
          </cell>
          <cell r="IA184" t="b">
            <v>0</v>
          </cell>
          <cell r="IB184" t="b">
            <v>0</v>
          </cell>
        </row>
        <row r="185">
          <cell r="C185" t="str">
            <v>Goodwill impairment</v>
          </cell>
          <cell r="HX185" t="str">
            <v>mstag:goodwillImpairment</v>
          </cell>
          <cell r="HY185">
            <v>6</v>
          </cell>
          <cell r="HZ185" t="str">
            <v>ISO4217:USD</v>
          </cell>
          <cell r="IA185" t="b">
            <v>0</v>
          </cell>
          <cell r="IB185" t="b">
            <v>0</v>
          </cell>
        </row>
        <row r="186">
          <cell r="C186" t="str">
            <v>Indefinite life intangible impairment</v>
          </cell>
          <cell r="HX186" t="str">
            <v>mstag:indefiniteLifeIntangibleImpairment</v>
          </cell>
          <cell r="HY186">
            <v>6</v>
          </cell>
          <cell r="HZ186" t="str">
            <v>ISO4217:USD</v>
          </cell>
          <cell r="IA186" t="b">
            <v>0</v>
          </cell>
          <cell r="IB186" t="b">
            <v>0</v>
          </cell>
        </row>
        <row r="187">
          <cell r="C187" t="str">
            <v>Asset impairment, nongoodwill, one time</v>
          </cell>
          <cell r="G187" t="str">
            <v/>
          </cell>
          <cell r="H187" t="str">
            <v/>
          </cell>
          <cell r="I187" t="str">
            <v/>
          </cell>
          <cell r="J187" t="str">
            <v/>
          </cell>
          <cell r="K187" t="str">
            <v/>
          </cell>
          <cell r="L187" t="str">
            <v/>
          </cell>
          <cell r="M187" t="str">
            <v/>
          </cell>
          <cell r="HX187" t="str">
            <v>mstag:assetImpairmentNonGoodwillOneTimeIncomeStatement</v>
          </cell>
          <cell r="HY187">
            <v>6</v>
          </cell>
          <cell r="HZ187" t="str">
            <v>ISO4217:USD</v>
          </cell>
          <cell r="IA187" t="b">
            <v>0</v>
          </cell>
          <cell r="IB187" t="b">
            <v>0</v>
          </cell>
        </row>
        <row r="188">
          <cell r="D188" t="str">
            <v>Asset impairment, nongoodwill, one time, gross of tax</v>
          </cell>
          <cell r="HX188" t="str">
            <v>mstag:assetImpairmentNonGoodwillOneTimeGrossOfTax</v>
          </cell>
          <cell r="HY188">
            <v>6</v>
          </cell>
          <cell r="HZ188" t="str">
            <v>ISO4217:USD</v>
          </cell>
          <cell r="IA188" t="b">
            <v>0</v>
          </cell>
          <cell r="IB188" t="b">
            <v>0</v>
          </cell>
        </row>
        <row r="189">
          <cell r="D189" t="str">
            <v>Tax on asset impairment, nongoodwill, one time</v>
          </cell>
          <cell r="HX189" t="str">
            <v>mstag:taxOnAssetImpairmentNonGoodwillOneTime</v>
          </cell>
          <cell r="HY189">
            <v>6</v>
          </cell>
          <cell r="HZ189" t="str">
            <v>ISO4217:USD</v>
          </cell>
          <cell r="IA189" t="b">
            <v>0</v>
          </cell>
          <cell r="IB189" t="b">
            <v>0</v>
          </cell>
        </row>
        <row r="190">
          <cell r="C190" t="str">
            <v>Other operating expense (income)</v>
          </cell>
          <cell r="G190">
            <v>0</v>
          </cell>
          <cell r="H190">
            <v>0</v>
          </cell>
          <cell r="I190">
            <v>529.47199999999998</v>
          </cell>
          <cell r="J190">
            <v>128.81200000000001</v>
          </cell>
          <cell r="K190">
            <v>246.65700000000001</v>
          </cell>
          <cell r="L190">
            <v>350.72500000000002</v>
          </cell>
          <cell r="M190">
            <v>457.53399999999999</v>
          </cell>
          <cell r="HX190" t="str">
            <v>mstag:otherOperatingExpense</v>
          </cell>
          <cell r="HY190">
            <v>6</v>
          </cell>
          <cell r="HZ190" t="str">
            <v>ISO4217:USD</v>
          </cell>
          <cell r="IA190" t="b">
            <v>0</v>
          </cell>
          <cell r="IB190" t="b">
            <v>0</v>
          </cell>
        </row>
        <row r="191">
          <cell r="C191" t="str">
            <v>Interest and dividend income</v>
          </cell>
          <cell r="G191">
            <v>69.16</v>
          </cell>
          <cell r="H191">
            <v>88.763999999999996</v>
          </cell>
          <cell r="I191">
            <v>89.433999999999997</v>
          </cell>
          <cell r="J191">
            <v>90.408000000000001</v>
          </cell>
          <cell r="K191">
            <v>130.5</v>
          </cell>
          <cell r="L191">
            <v>101.4</v>
          </cell>
          <cell r="M191">
            <v>92.845462924999993</v>
          </cell>
          <cell r="HX191" t="str">
            <v>mstag:interestAndDividendIncome</v>
          </cell>
          <cell r="HY191">
            <v>6</v>
          </cell>
          <cell r="HZ191" t="str">
            <v>ISO4217:USD</v>
          </cell>
          <cell r="IA191" t="b">
            <v>0</v>
          </cell>
          <cell r="IB191" t="b">
            <v>0</v>
          </cell>
        </row>
        <row r="192">
          <cell r="D192" t="str">
            <v>Interest income</v>
          </cell>
          <cell r="G192">
            <v>69.16</v>
          </cell>
          <cell r="H192">
            <v>88.763999999999996</v>
          </cell>
          <cell r="I192">
            <v>89.433999999999997</v>
          </cell>
          <cell r="J192">
            <v>90.408000000000001</v>
          </cell>
          <cell r="K192">
            <v>130.5</v>
          </cell>
          <cell r="L192">
            <v>101.4</v>
          </cell>
          <cell r="HX192" t="str">
            <v>mstag:interestIncome</v>
          </cell>
          <cell r="HY192">
            <v>6</v>
          </cell>
          <cell r="HZ192" t="str">
            <v>ISO4217:USD</v>
          </cell>
          <cell r="IA192" t="b">
            <v>0</v>
          </cell>
          <cell r="IB192" t="b">
            <v>0</v>
          </cell>
        </row>
        <row r="193">
          <cell r="D193" t="str">
            <v>Dividend income</v>
          </cell>
          <cell r="HX193" t="str">
            <v>mstag:dividendIncome</v>
          </cell>
          <cell r="HY193">
            <v>6</v>
          </cell>
          <cell r="HZ193" t="str">
            <v>ISO4217:USD</v>
          </cell>
          <cell r="IA193" t="b">
            <v>0</v>
          </cell>
          <cell r="IB193" t="b">
            <v>0</v>
          </cell>
        </row>
        <row r="194">
          <cell r="C194" t="str">
            <v>Interest expense</v>
          </cell>
          <cell r="G194">
            <v>3.6419999999999999</v>
          </cell>
          <cell r="H194">
            <v>4.5519999999999996</v>
          </cell>
          <cell r="I194">
            <v>5.3599999999999994</v>
          </cell>
          <cell r="J194">
            <v>5.2759999999999998</v>
          </cell>
          <cell r="K194">
            <v>5.7</v>
          </cell>
          <cell r="L194">
            <v>0.8</v>
          </cell>
          <cell r="M194" t="str">
            <v/>
          </cell>
          <cell r="HX194" t="str">
            <v>mstag:interestExpense</v>
          </cell>
          <cell r="HY194">
            <v>6</v>
          </cell>
          <cell r="HZ194" t="str">
            <v>ISO4217:USD</v>
          </cell>
          <cell r="IA194" t="b">
            <v>0</v>
          </cell>
          <cell r="IB194" t="b">
            <v>0</v>
          </cell>
        </row>
        <row r="195">
          <cell r="D195" t="str">
            <v>Interest paid or payable</v>
          </cell>
          <cell r="G195">
            <v>7.5419999999999998</v>
          </cell>
          <cell r="H195">
            <v>7.5519999999999996</v>
          </cell>
          <cell r="I195">
            <v>7.4599999999999991</v>
          </cell>
          <cell r="J195">
            <v>7.476</v>
          </cell>
          <cell r="K195">
            <v>7.5</v>
          </cell>
          <cell r="L195">
            <v>1.8</v>
          </cell>
          <cell r="HX195" t="str">
            <v>mstag:interestPaid</v>
          </cell>
          <cell r="HY195">
            <v>6</v>
          </cell>
          <cell r="HZ195" t="str">
            <v>ISO4217:USD</v>
          </cell>
          <cell r="IA195" t="b">
            <v>0</v>
          </cell>
          <cell r="IB195" t="b">
            <v>0</v>
          </cell>
        </row>
        <row r="196">
          <cell r="D196" t="str">
            <v>Interest capitalized</v>
          </cell>
          <cell r="G196">
            <v>3.9</v>
          </cell>
          <cell r="H196">
            <v>3</v>
          </cell>
          <cell r="I196">
            <v>2.1</v>
          </cell>
          <cell r="J196">
            <v>2.2000000000000002</v>
          </cell>
          <cell r="K196">
            <v>1.8</v>
          </cell>
          <cell r="L196">
            <v>1</v>
          </cell>
          <cell r="HX196" t="str">
            <v>mstag:interestCapitalized</v>
          </cell>
          <cell r="HY196">
            <v>6</v>
          </cell>
          <cell r="HZ196" t="str">
            <v>ISO4217:USD</v>
          </cell>
          <cell r="IA196" t="b">
            <v>0</v>
          </cell>
          <cell r="IB196" t="b">
            <v>0</v>
          </cell>
        </row>
        <row r="197">
          <cell r="D197" t="str">
            <v>Net interest cost, FRS 17</v>
          </cell>
          <cell r="HX197" t="str">
            <v>mstag:netInterestCostFrs17</v>
          </cell>
          <cell r="HY197">
            <v>6</v>
          </cell>
          <cell r="HZ197" t="str">
            <v>ISO4217:USD</v>
          </cell>
          <cell r="IA197" t="b">
            <v>0</v>
          </cell>
          <cell r="IB197" t="b">
            <v>0</v>
          </cell>
        </row>
        <row r="198">
          <cell r="C198" t="str">
            <v>Income (losses) from investments, nonoperating</v>
          </cell>
          <cell r="G198">
            <v>0</v>
          </cell>
          <cell r="H198">
            <v>0</v>
          </cell>
          <cell r="I198">
            <v>0</v>
          </cell>
          <cell r="J198">
            <v>0</v>
          </cell>
          <cell r="K198">
            <v>10.199999999999999</v>
          </cell>
          <cell r="L198">
            <v>7.1</v>
          </cell>
          <cell r="HX198" t="str">
            <v>mstag:incomeLossesFromInvestmentsNonOperating</v>
          </cell>
          <cell r="HY198">
            <v>6</v>
          </cell>
          <cell r="HZ198" t="str">
            <v>ISO4217:USD</v>
          </cell>
          <cell r="IA198" t="b">
            <v>0</v>
          </cell>
          <cell r="IB198" t="b">
            <v>0</v>
          </cell>
        </row>
        <row r="199">
          <cell r="C199" t="str">
            <v>Income (loss) from investments under the equity method, operating</v>
          </cell>
          <cell r="G199" t="str">
            <v/>
          </cell>
          <cell r="H199" t="str">
            <v/>
          </cell>
          <cell r="I199" t="str">
            <v/>
          </cell>
          <cell r="J199" t="str">
            <v/>
          </cell>
          <cell r="K199" t="str">
            <v/>
          </cell>
          <cell r="L199" t="str">
            <v/>
          </cell>
          <cell r="M199" t="str">
            <v/>
          </cell>
          <cell r="HX199" t="str">
            <v>mstag:incomeLossFromInvestmentsAccountedForUnderTheEquityMethodOperatingIncomeStatement</v>
          </cell>
          <cell r="HY199">
            <v>6</v>
          </cell>
          <cell r="HZ199" t="str">
            <v>ISO4217:USD</v>
          </cell>
          <cell r="IA199" t="b">
            <v>0</v>
          </cell>
          <cell r="IB199" t="b">
            <v>0</v>
          </cell>
        </row>
        <row r="200">
          <cell r="D200" t="str">
            <v>Share of associate company's or joint venture's operating profit, pre-goodwill, pretax, and preinterest</v>
          </cell>
          <cell r="HX200" t="str">
            <v>mstag:shareOfAssociateCompanysOrJointVenturesOperatingProfitPreGoodwillPreTaxAndPreInterest</v>
          </cell>
          <cell r="HY200">
            <v>6</v>
          </cell>
          <cell r="HZ200" t="str">
            <v>ISO4217:USD</v>
          </cell>
          <cell r="IA200" t="b">
            <v>0</v>
          </cell>
          <cell r="IB200" t="b">
            <v>0</v>
          </cell>
        </row>
        <row r="201">
          <cell r="D201" t="str">
            <v>Share of associate company's or joint venture's operating profit, post-goodwill, pretax, and preinterest</v>
          </cell>
          <cell r="HX201" t="str">
            <v>mstag:shareOfAssociateCompanysOrJointVenturesOperatingProfitPostGoodwillPreTaxAndPreInterest</v>
          </cell>
          <cell r="HY201">
            <v>6</v>
          </cell>
          <cell r="HZ201" t="str">
            <v>ISO4217:USD</v>
          </cell>
          <cell r="IA201" t="b">
            <v>0</v>
          </cell>
          <cell r="IB201" t="b">
            <v>0</v>
          </cell>
        </row>
        <row r="202">
          <cell r="D202" t="str">
            <v>Share of associate company's or joint venture's amortization of goodwill</v>
          </cell>
          <cell r="HX202" t="str">
            <v>mstag:shareOfAssociateAmortizationOfGoodwill</v>
          </cell>
          <cell r="HY202">
            <v>6</v>
          </cell>
          <cell r="HZ202" t="str">
            <v>ISO4217:USD</v>
          </cell>
          <cell r="IA202" t="b">
            <v>0</v>
          </cell>
          <cell r="IB202" t="b">
            <v>0</v>
          </cell>
        </row>
        <row r="203">
          <cell r="D203" t="str">
            <v>Share of associate company's or joint venture's interest expense</v>
          </cell>
          <cell r="HX203" t="str">
            <v>mstag:jointVentureInterestExpense</v>
          </cell>
          <cell r="HY203">
            <v>6</v>
          </cell>
          <cell r="HZ203" t="str">
            <v>ISO4217:USD</v>
          </cell>
          <cell r="IA203" t="b">
            <v>0</v>
          </cell>
          <cell r="IB203" t="b">
            <v>0</v>
          </cell>
        </row>
        <row r="204">
          <cell r="D204" t="str">
            <v>Share of associate company's or joint venture's tax</v>
          </cell>
          <cell r="HX204" t="str">
            <v>mstag:shareOfAssociateCompanysOrJointVenturesTax</v>
          </cell>
          <cell r="HY204">
            <v>6</v>
          </cell>
          <cell r="HZ204" t="str">
            <v>ISO4217:USD</v>
          </cell>
          <cell r="IA204" t="b">
            <v>0</v>
          </cell>
          <cell r="IB204" t="b">
            <v>0</v>
          </cell>
        </row>
        <row r="205">
          <cell r="D205" t="str">
            <v>Other associate company or joint venture net income</v>
          </cell>
          <cell r="HX205" t="str">
            <v>mstag:otherJointVenureNetIncome</v>
          </cell>
          <cell r="HY205">
            <v>6</v>
          </cell>
          <cell r="HZ205" t="str">
            <v>ISO4217:USD</v>
          </cell>
          <cell r="IA205" t="b">
            <v>0</v>
          </cell>
          <cell r="IB205" t="b">
            <v>0</v>
          </cell>
        </row>
        <row r="206">
          <cell r="C206" t="str">
            <v>Income (loss) from investments under the equity method, operating, pretax</v>
          </cell>
          <cell r="HX206" t="str">
            <v>mstag:incomeLossFromInvestmentsUnderTheEquityMethodOperatingPreTax</v>
          </cell>
          <cell r="HY206">
            <v>6</v>
          </cell>
          <cell r="HZ206" t="str">
            <v>ISO4217:USD</v>
          </cell>
          <cell r="IA206" t="b">
            <v>0</v>
          </cell>
          <cell r="IB206" t="b">
            <v>0</v>
          </cell>
        </row>
        <row r="207">
          <cell r="C207" t="str">
            <v>Income (loss) from investments under the equity method, nonoperating</v>
          </cell>
          <cell r="HX207" t="str">
            <v>mstag:incomeLossFromInvestmentsAccountedForUnderTheEquityMethodNonOperatingIncomeStatement</v>
          </cell>
          <cell r="HY207">
            <v>6</v>
          </cell>
          <cell r="HZ207" t="str">
            <v>ISO4217:USD</v>
          </cell>
          <cell r="IA207" t="b">
            <v>0</v>
          </cell>
          <cell r="IB207" t="b">
            <v>0</v>
          </cell>
        </row>
        <row r="208">
          <cell r="C208" t="str">
            <v>Income (loss) from investments under the equity method, nonoperating, pretax</v>
          </cell>
          <cell r="HX208" t="str">
            <v>mstag:incomeLossFromInvestmentsUnderTheEquityMethodNonOperatingPreTax</v>
          </cell>
          <cell r="HY208">
            <v>6</v>
          </cell>
          <cell r="HZ208" t="str">
            <v>ISO4217:USD</v>
          </cell>
          <cell r="IA208" t="b">
            <v>0</v>
          </cell>
          <cell r="IB208" t="b">
            <v>0</v>
          </cell>
        </row>
        <row r="209">
          <cell r="C209" t="str">
            <v>Gains (losses) from sale of PPE and intangibles, recurring</v>
          </cell>
          <cell r="HX209" t="str">
            <v>mstag:gainsLossesFromSaleOfOperatingAssetsRecurringIncomeStatement</v>
          </cell>
          <cell r="HY209">
            <v>6</v>
          </cell>
          <cell r="HZ209" t="str">
            <v>ISO4217:USD</v>
          </cell>
          <cell r="IA209" t="b">
            <v>0</v>
          </cell>
          <cell r="IB209" t="b">
            <v>0</v>
          </cell>
        </row>
        <row r="210">
          <cell r="C210" t="str">
            <v>Gains (losses) from sale of PPE and intangibles, one time</v>
          </cell>
          <cell r="G210" t="str">
            <v/>
          </cell>
          <cell r="H210" t="str">
            <v/>
          </cell>
          <cell r="I210" t="str">
            <v/>
          </cell>
          <cell r="J210" t="str">
            <v/>
          </cell>
          <cell r="K210" t="str">
            <v/>
          </cell>
          <cell r="L210" t="str">
            <v/>
          </cell>
          <cell r="M210" t="str">
            <v/>
          </cell>
          <cell r="HX210" t="str">
            <v>mstag:gainsLossesFromSaleOfOperatingAssetsOneTimeIncomeStatement</v>
          </cell>
          <cell r="HY210">
            <v>6</v>
          </cell>
          <cell r="HZ210" t="str">
            <v>ISO4217:USD</v>
          </cell>
          <cell r="IA210" t="b">
            <v>0</v>
          </cell>
          <cell r="IB210" t="b">
            <v>0</v>
          </cell>
        </row>
        <row r="211">
          <cell r="D211" t="str">
            <v>Gains (losses) from sale of PPE and intangibles, one time, gross of tax</v>
          </cell>
          <cell r="HX211" t="str">
            <v>mstag:gainsLossesFromSaleOfOperatingAssetsOneTimeGrossOfTax</v>
          </cell>
          <cell r="HY211">
            <v>6</v>
          </cell>
          <cell r="HZ211" t="str">
            <v>ISO4217:USD</v>
          </cell>
          <cell r="IA211" t="b">
            <v>0</v>
          </cell>
          <cell r="IB211" t="b">
            <v>0</v>
          </cell>
        </row>
        <row r="212">
          <cell r="D212" t="str">
            <v>Tax on gains (losses) from sale of PPE and intangibles, one time</v>
          </cell>
          <cell r="HX212" t="str">
            <v>mstag:taxOnGainsLossesFromSaleOfOperatingAssetsOneTime</v>
          </cell>
          <cell r="HY212">
            <v>6</v>
          </cell>
          <cell r="HZ212" t="str">
            <v>ISO4217:USD</v>
          </cell>
          <cell r="IA212" t="b">
            <v>0</v>
          </cell>
          <cell r="IB212" t="b">
            <v>0</v>
          </cell>
        </row>
        <row r="213">
          <cell r="C213" t="str">
            <v>Net monetary gains (losses) from inflationary accounting</v>
          </cell>
          <cell r="HX213" t="str">
            <v>mstag:netMonetaryGainsLossesFromInflationaryAccounting</v>
          </cell>
          <cell r="HY213">
            <v>6</v>
          </cell>
          <cell r="HZ213" t="str">
            <v>ISO4217:USD</v>
          </cell>
          <cell r="IA213" t="b">
            <v>0</v>
          </cell>
          <cell r="IB213" t="b">
            <v>0</v>
          </cell>
        </row>
        <row r="214">
          <cell r="C214" t="str">
            <v>Gain (loss) on redemption and extinguishment of debt</v>
          </cell>
          <cell r="HX214" t="str">
            <v>mstag:gainLossOnRedemptionAndExtinguishmentOfDebt</v>
          </cell>
          <cell r="HY214">
            <v>6</v>
          </cell>
          <cell r="HZ214" t="str">
            <v>ISO4217:USD</v>
          </cell>
          <cell r="IA214" t="b">
            <v>0</v>
          </cell>
          <cell r="IB214" t="b">
            <v>0</v>
          </cell>
        </row>
        <row r="215">
          <cell r="C215" t="str">
            <v>Foreign currency exchange gains (losses)</v>
          </cell>
          <cell r="G215" t="str">
            <v/>
          </cell>
          <cell r="H215" t="str">
            <v/>
          </cell>
          <cell r="I215" t="str">
            <v/>
          </cell>
          <cell r="J215" t="str">
            <v/>
          </cell>
          <cell r="K215" t="str">
            <v/>
          </cell>
          <cell r="L215" t="str">
            <v/>
          </cell>
          <cell r="M215" t="str">
            <v/>
          </cell>
          <cell r="HX215" t="str">
            <v>mstag:foreignCurrencyExchangeGainsLosses</v>
          </cell>
          <cell r="HY215">
            <v>6</v>
          </cell>
          <cell r="HZ215" t="str">
            <v>ISO4217:USD</v>
          </cell>
          <cell r="IA215" t="b">
            <v>0</v>
          </cell>
          <cell r="IB215" t="b">
            <v>0</v>
          </cell>
        </row>
        <row r="216">
          <cell r="D216" t="str">
            <v>Foreign currency exchange gains (losses), operating</v>
          </cell>
          <cell r="G216" t="str">
            <v/>
          </cell>
          <cell r="H216" t="str">
            <v/>
          </cell>
          <cell r="I216" t="str">
            <v/>
          </cell>
          <cell r="J216" t="str">
            <v/>
          </cell>
          <cell r="K216" t="str">
            <v/>
          </cell>
          <cell r="L216" t="str">
            <v/>
          </cell>
          <cell r="M216" t="str">
            <v/>
          </cell>
          <cell r="HX216" t="str">
            <v>mstag:foreignCurrencyExchangeGainsLossesOperating</v>
          </cell>
          <cell r="HY216">
            <v>6</v>
          </cell>
          <cell r="HZ216" t="str">
            <v>ISO4217:USD</v>
          </cell>
          <cell r="IA216" t="b">
            <v>0</v>
          </cell>
          <cell r="IB216" t="b">
            <v>0</v>
          </cell>
        </row>
        <row r="217">
          <cell r="E217" t="str">
            <v>Realized foreign currency exchange gains (losses) in net operating assets</v>
          </cell>
          <cell r="HX217" t="str">
            <v>mstag:realizedForeignCurrencyExchangeGainsLossesInNetOperatingAssets</v>
          </cell>
          <cell r="HY217">
            <v>6</v>
          </cell>
          <cell r="HZ217" t="str">
            <v>ISO4217:USD</v>
          </cell>
          <cell r="IA217" t="b">
            <v>0</v>
          </cell>
          <cell r="IB217" t="b">
            <v>0</v>
          </cell>
        </row>
        <row r="218">
          <cell r="E218" t="str">
            <v>Unrealized foreign currency exchange gains (losses) in net operating assets</v>
          </cell>
          <cell r="HX218" t="str">
            <v>mstag:unrealizedForeignCurrencyExchangeGainsLossesInNetOperatingAssets</v>
          </cell>
          <cell r="HY218">
            <v>6</v>
          </cell>
          <cell r="HZ218" t="str">
            <v>ISO4217:USD</v>
          </cell>
          <cell r="IA218" t="b">
            <v>0</v>
          </cell>
          <cell r="IB218" t="b">
            <v>0</v>
          </cell>
        </row>
        <row r="219">
          <cell r="D219" t="str">
            <v>Foreign currency exchange gains (losses), financing</v>
          </cell>
          <cell r="G219" t="str">
            <v/>
          </cell>
          <cell r="H219" t="str">
            <v/>
          </cell>
          <cell r="I219" t="str">
            <v/>
          </cell>
          <cell r="J219" t="str">
            <v/>
          </cell>
          <cell r="K219" t="str">
            <v/>
          </cell>
          <cell r="L219" t="str">
            <v/>
          </cell>
          <cell r="M219" t="str">
            <v/>
          </cell>
          <cell r="HX219" t="str">
            <v>mstag:foreignCurrencyExchangeGainsLossesFinancing</v>
          </cell>
          <cell r="HY219">
            <v>6</v>
          </cell>
          <cell r="HZ219" t="str">
            <v>ISO4217:USD</v>
          </cell>
          <cell r="IA219" t="b">
            <v>0</v>
          </cell>
          <cell r="IB219" t="b">
            <v>0</v>
          </cell>
        </row>
        <row r="220">
          <cell r="E220" t="str">
            <v>Realized foreign currency exchange gains (losses) in net financing obligations</v>
          </cell>
          <cell r="HX220" t="str">
            <v>mstag:realizedForeignCurrencyExchangeGainsLossesInNetFinancingObligations</v>
          </cell>
          <cell r="HY220">
            <v>6</v>
          </cell>
          <cell r="HZ220" t="str">
            <v>ISO4217:USD</v>
          </cell>
          <cell r="IA220" t="b">
            <v>0</v>
          </cell>
          <cell r="IB220" t="b">
            <v>0</v>
          </cell>
        </row>
        <row r="221">
          <cell r="E221" t="str">
            <v>Unrealized foreign currency exchange gains (losses) in net financing obligations</v>
          </cell>
          <cell r="HX221" t="str">
            <v>mstag:unrealizedForeignCurrencyExchangeGainsLossesInNetFinancingObligations</v>
          </cell>
          <cell r="HY221">
            <v>6</v>
          </cell>
          <cell r="HZ221" t="str">
            <v>ISO4217:USD</v>
          </cell>
          <cell r="IA221" t="b">
            <v>0</v>
          </cell>
          <cell r="IB221" t="b">
            <v>0</v>
          </cell>
        </row>
        <row r="222">
          <cell r="C222" t="str">
            <v>Restructuring costs, recurring</v>
          </cell>
          <cell r="HX222" t="str">
            <v>mstag:restructuringCostsRecurring</v>
          </cell>
          <cell r="HY222">
            <v>6</v>
          </cell>
          <cell r="HZ222" t="str">
            <v>ISO4217:USD</v>
          </cell>
          <cell r="IA222" t="b">
            <v>0</v>
          </cell>
          <cell r="IB222" t="b">
            <v>0</v>
          </cell>
        </row>
        <row r="223">
          <cell r="C223" t="str">
            <v>Restructuring costs, one time</v>
          </cell>
          <cell r="G223" t="str">
            <v/>
          </cell>
          <cell r="H223" t="str">
            <v/>
          </cell>
          <cell r="I223" t="str">
            <v/>
          </cell>
          <cell r="J223" t="str">
            <v/>
          </cell>
          <cell r="K223" t="str">
            <v/>
          </cell>
          <cell r="L223" t="str">
            <v/>
          </cell>
          <cell r="M223" t="str">
            <v/>
          </cell>
          <cell r="HX223" t="str">
            <v>mstag:restructuringCostsOneTime</v>
          </cell>
          <cell r="HY223">
            <v>6</v>
          </cell>
          <cell r="HZ223" t="str">
            <v>ISO4217:USD</v>
          </cell>
          <cell r="IA223" t="b">
            <v>0</v>
          </cell>
          <cell r="IB223" t="b">
            <v>0</v>
          </cell>
        </row>
        <row r="224">
          <cell r="D224" t="str">
            <v>Restructuring costs, one time, gross of tax</v>
          </cell>
          <cell r="HX224" t="str">
            <v>mstag:restructuringCostsOneTimeGrossOfTax</v>
          </cell>
          <cell r="HY224">
            <v>6</v>
          </cell>
          <cell r="HZ224" t="str">
            <v>ISO4217:USD</v>
          </cell>
          <cell r="IA224" t="b">
            <v>0</v>
          </cell>
          <cell r="IB224" t="b">
            <v>0</v>
          </cell>
        </row>
        <row r="225">
          <cell r="D225" t="str">
            <v>Tax on restructuring costs, one time</v>
          </cell>
          <cell r="HX225" t="str">
            <v>mstag:taxOnRestructuringCostsOneTime</v>
          </cell>
          <cell r="HY225">
            <v>6</v>
          </cell>
          <cell r="HZ225" t="str">
            <v>ISO4217:USD</v>
          </cell>
          <cell r="IA225" t="b">
            <v>0</v>
          </cell>
          <cell r="IB225" t="b">
            <v>0</v>
          </cell>
        </row>
        <row r="226">
          <cell r="C226" t="str">
            <v>Legal provision, recurring</v>
          </cell>
          <cell r="HX226" t="str">
            <v>mstag:legalProvisionRecurring</v>
          </cell>
          <cell r="HY226">
            <v>6</v>
          </cell>
          <cell r="HZ226" t="str">
            <v>ISO4217:USD</v>
          </cell>
          <cell r="IA226" t="b">
            <v>0</v>
          </cell>
          <cell r="IB226" t="b">
            <v>0</v>
          </cell>
        </row>
        <row r="227">
          <cell r="C227" t="str">
            <v>Legal provision, one time</v>
          </cell>
          <cell r="G227" t="str">
            <v/>
          </cell>
          <cell r="H227" t="str">
            <v/>
          </cell>
          <cell r="I227" t="str">
            <v/>
          </cell>
          <cell r="J227" t="str">
            <v/>
          </cell>
          <cell r="K227" t="str">
            <v/>
          </cell>
          <cell r="L227" t="str">
            <v/>
          </cell>
          <cell r="M227" t="str">
            <v/>
          </cell>
          <cell r="HX227" t="str">
            <v>mstag:legalProvisionOneTime</v>
          </cell>
          <cell r="HY227">
            <v>6</v>
          </cell>
          <cell r="HZ227" t="str">
            <v>ISO4217:USD</v>
          </cell>
          <cell r="IA227" t="b">
            <v>0</v>
          </cell>
          <cell r="IB227" t="b">
            <v>0</v>
          </cell>
        </row>
        <row r="228">
          <cell r="D228" t="str">
            <v>Legal provision, one time, gross of tax</v>
          </cell>
          <cell r="HX228" t="str">
            <v>mstag:legalProvisionOneTimeGrossOfTax</v>
          </cell>
          <cell r="HY228">
            <v>6</v>
          </cell>
          <cell r="HZ228" t="str">
            <v>ISO4217:USD</v>
          </cell>
          <cell r="IA228" t="b">
            <v>0</v>
          </cell>
          <cell r="IB228" t="b">
            <v>0</v>
          </cell>
        </row>
        <row r="229">
          <cell r="D229" t="str">
            <v>Tax on legal provision, one time</v>
          </cell>
          <cell r="HX229" t="str">
            <v>mstag:taxOnLegalProvisionOneTime</v>
          </cell>
          <cell r="HY229">
            <v>6</v>
          </cell>
          <cell r="HZ229" t="str">
            <v>ISO4217:USD</v>
          </cell>
          <cell r="IA229" t="b">
            <v>0</v>
          </cell>
          <cell r="IB229" t="b">
            <v>0</v>
          </cell>
        </row>
        <row r="230">
          <cell r="C230" t="str">
            <v>Environmental provision, recurring</v>
          </cell>
          <cell r="HX230" t="str">
            <v>mstag:environmentalProvisionRecurring</v>
          </cell>
          <cell r="HY230">
            <v>6</v>
          </cell>
          <cell r="HZ230" t="str">
            <v>ISO4217:USD</v>
          </cell>
          <cell r="IA230" t="b">
            <v>0</v>
          </cell>
          <cell r="IB230" t="b">
            <v>0</v>
          </cell>
        </row>
        <row r="231">
          <cell r="C231" t="str">
            <v>Environmental provision, one time</v>
          </cell>
          <cell r="G231" t="str">
            <v/>
          </cell>
          <cell r="H231" t="str">
            <v/>
          </cell>
          <cell r="I231" t="str">
            <v/>
          </cell>
          <cell r="J231" t="str">
            <v/>
          </cell>
          <cell r="K231" t="str">
            <v/>
          </cell>
          <cell r="L231" t="str">
            <v/>
          </cell>
          <cell r="M231" t="str">
            <v/>
          </cell>
          <cell r="HX231" t="str">
            <v>mstag:environmentalProvisionOneTime</v>
          </cell>
          <cell r="HY231">
            <v>6</v>
          </cell>
          <cell r="HZ231" t="str">
            <v>ISO4217:USD</v>
          </cell>
          <cell r="IA231" t="b">
            <v>0</v>
          </cell>
          <cell r="IB231" t="b">
            <v>0</v>
          </cell>
        </row>
        <row r="232">
          <cell r="D232" t="str">
            <v>Environmental provision, one time, gross of tax</v>
          </cell>
          <cell r="HX232" t="str">
            <v>mstag:environmentalProvisionOneTimeGrossOfTax</v>
          </cell>
          <cell r="HY232">
            <v>6</v>
          </cell>
          <cell r="HZ232" t="str">
            <v>ISO4217:USD</v>
          </cell>
          <cell r="IA232" t="b">
            <v>0</v>
          </cell>
          <cell r="IB232" t="b">
            <v>0</v>
          </cell>
        </row>
        <row r="233">
          <cell r="D233" t="str">
            <v>Tax on environmental provision, one time</v>
          </cell>
          <cell r="HX233" t="str">
            <v>mstag:taxOnEnvironmentalProvisionOneTime</v>
          </cell>
          <cell r="HY233">
            <v>6</v>
          </cell>
          <cell r="HZ233" t="str">
            <v>ISO4217:USD</v>
          </cell>
          <cell r="IA233" t="b">
            <v>0</v>
          </cell>
          <cell r="IB233" t="b">
            <v>0</v>
          </cell>
        </row>
        <row r="234">
          <cell r="C234" t="str">
            <v>Other provisions, recurring</v>
          </cell>
          <cell r="HX234" t="str">
            <v>mstag:otherProvisionsRecurring</v>
          </cell>
          <cell r="HY234">
            <v>6</v>
          </cell>
          <cell r="HZ234" t="str">
            <v>ISO4217:USD</v>
          </cell>
          <cell r="IA234" t="b">
            <v>0</v>
          </cell>
          <cell r="IB234" t="b">
            <v>0</v>
          </cell>
        </row>
        <row r="235">
          <cell r="C235" t="str">
            <v>Other provisions, one time</v>
          </cell>
          <cell r="G235">
            <v>0</v>
          </cell>
          <cell r="H235">
            <v>0</v>
          </cell>
          <cell r="I235">
            <v>0</v>
          </cell>
          <cell r="J235">
            <v>0</v>
          </cell>
          <cell r="K235">
            <v>0</v>
          </cell>
          <cell r="L235">
            <v>0</v>
          </cell>
          <cell r="M235">
            <v>-129.1</v>
          </cell>
          <cell r="HX235" t="str">
            <v>mstag:otherProvisionsOneTime</v>
          </cell>
          <cell r="HY235">
            <v>6</v>
          </cell>
          <cell r="HZ235" t="str">
            <v>ISO4217:USD</v>
          </cell>
          <cell r="IA235" t="b">
            <v>0</v>
          </cell>
          <cell r="IB235" t="b">
            <v>0</v>
          </cell>
        </row>
        <row r="236">
          <cell r="D236" t="str">
            <v>Other provisions, one time, gross of tax</v>
          </cell>
          <cell r="G236">
            <v>0</v>
          </cell>
          <cell r="H236">
            <v>0</v>
          </cell>
          <cell r="I236">
            <v>0</v>
          </cell>
          <cell r="J236">
            <v>0</v>
          </cell>
          <cell r="K236">
            <v>0</v>
          </cell>
          <cell r="L236">
            <v>0</v>
          </cell>
          <cell r="M236">
            <v>-115.8</v>
          </cell>
          <cell r="HX236" t="str">
            <v>mstag:otherProvisionsOneTimeGrossOfTax</v>
          </cell>
          <cell r="HY236">
            <v>6</v>
          </cell>
          <cell r="HZ236" t="str">
            <v>ISO4217:USD</v>
          </cell>
          <cell r="IA236" t="b">
            <v>0</v>
          </cell>
          <cell r="IB236" t="b">
            <v>0</v>
          </cell>
        </row>
        <row r="237">
          <cell r="D237" t="str">
            <v>Tax on other provisions, one time</v>
          </cell>
          <cell r="G237">
            <v>0</v>
          </cell>
          <cell r="H237">
            <v>0</v>
          </cell>
          <cell r="I237">
            <v>0</v>
          </cell>
          <cell r="J237">
            <v>0</v>
          </cell>
          <cell r="K237">
            <v>0</v>
          </cell>
          <cell r="L237">
            <v>0</v>
          </cell>
          <cell r="M237">
            <v>13.3</v>
          </cell>
          <cell r="HX237" t="str">
            <v>mstag:taxOnOtherProvisionsOneTime</v>
          </cell>
          <cell r="HY237">
            <v>6</v>
          </cell>
          <cell r="HZ237" t="str">
            <v>ISO4217:USD</v>
          </cell>
          <cell r="IA237" t="b">
            <v>0</v>
          </cell>
          <cell r="IB237" t="b">
            <v>0</v>
          </cell>
        </row>
        <row r="238">
          <cell r="C238" t="str">
            <v>Pension settlement and curtailment gains (losses), one time</v>
          </cell>
          <cell r="G238" t="str">
            <v/>
          </cell>
          <cell r="H238" t="str">
            <v/>
          </cell>
          <cell r="I238" t="str">
            <v/>
          </cell>
          <cell r="J238" t="str">
            <v/>
          </cell>
          <cell r="K238" t="str">
            <v/>
          </cell>
          <cell r="L238" t="str">
            <v/>
          </cell>
          <cell r="M238" t="str">
            <v/>
          </cell>
          <cell r="HX238" t="str">
            <v>mstag:pensionSettlementAndCurtailmentGainsLossesOneTime</v>
          </cell>
          <cell r="HY238">
            <v>6</v>
          </cell>
          <cell r="HZ238" t="str">
            <v>ISO4217:USD</v>
          </cell>
          <cell r="IA238" t="b">
            <v>0</v>
          </cell>
          <cell r="IB238" t="b">
            <v>0</v>
          </cell>
        </row>
        <row r="239">
          <cell r="D239" t="str">
            <v>Daiko Henjo: special settlement gain (loss) (Japan)</v>
          </cell>
          <cell r="HX239" t="str">
            <v>mstag:daikoHenjoSpecialSettlementGainLossJapan</v>
          </cell>
          <cell r="HY239">
            <v>6</v>
          </cell>
          <cell r="HZ239" t="str">
            <v>ISO4217:USD</v>
          </cell>
          <cell r="IA239" t="b">
            <v>0</v>
          </cell>
          <cell r="IB239" t="b">
            <v>0</v>
          </cell>
        </row>
        <row r="240">
          <cell r="D240" t="str">
            <v>Other pension settlement and curtailment gains (losses), one time</v>
          </cell>
          <cell r="HX240" t="str">
            <v>mstag:otherPensionSettlementAndCurtailmentGainsLossesOneTime</v>
          </cell>
          <cell r="HY240">
            <v>6</v>
          </cell>
          <cell r="HZ240" t="str">
            <v>ISO4217:USD</v>
          </cell>
          <cell r="IA240" t="b">
            <v>0</v>
          </cell>
          <cell r="IB240" t="b">
            <v>0</v>
          </cell>
        </row>
        <row r="241">
          <cell r="C241" t="str">
            <v>Other nonoperating income (expense)</v>
          </cell>
          <cell r="G241">
            <v>0</v>
          </cell>
          <cell r="H241">
            <v>0</v>
          </cell>
          <cell r="I241">
            <v>-230.00800000000001</v>
          </cell>
          <cell r="J241">
            <v>0</v>
          </cell>
          <cell r="K241">
            <v>0</v>
          </cell>
          <cell r="L241">
            <v>-543.90499999999997</v>
          </cell>
          <cell r="HX241" t="str">
            <v>mstag:otherNonOperatingIncomeExpense</v>
          </cell>
          <cell r="HY241">
            <v>6</v>
          </cell>
          <cell r="HZ241" t="str">
            <v>ISO4217:USD</v>
          </cell>
          <cell r="IA241" t="b">
            <v>0</v>
          </cell>
          <cell r="IB241" t="b">
            <v>0</v>
          </cell>
        </row>
        <row r="242">
          <cell r="C242" t="str">
            <v>Tax expense (income)</v>
          </cell>
          <cell r="G242">
            <v>40.750999999999998</v>
          </cell>
          <cell r="H242">
            <v>70.74199999999999</v>
          </cell>
          <cell r="I242">
            <v>-203.10899999999998</v>
          </cell>
          <cell r="J242">
            <v>20.413999999999987</v>
          </cell>
          <cell r="K242">
            <v>127.11199999999999</v>
          </cell>
          <cell r="L242">
            <v>-34.038000000000011</v>
          </cell>
          <cell r="M242">
            <v>303.69799999999998</v>
          </cell>
          <cell r="HX242" t="str">
            <v>mstag:taxExpenseIncome</v>
          </cell>
          <cell r="HY242">
            <v>6</v>
          </cell>
          <cell r="HZ242" t="str">
            <v>ISO4217:USD</v>
          </cell>
          <cell r="IA242" t="b">
            <v>0</v>
          </cell>
          <cell r="IB242" t="b">
            <v>0</v>
          </cell>
        </row>
        <row r="243">
          <cell r="D243" t="str">
            <v>Current income tax expense</v>
          </cell>
          <cell r="G243">
            <v>31.050999999999998</v>
          </cell>
          <cell r="H243">
            <v>40.948999999999998</v>
          </cell>
          <cell r="I243">
            <v>-38.971000000000004</v>
          </cell>
          <cell r="J243">
            <v>217.196</v>
          </cell>
          <cell r="K243">
            <v>97.754999999999995</v>
          </cell>
          <cell r="L243">
            <v>162.60599999999999</v>
          </cell>
          <cell r="HX243" t="str">
            <v>mstag:currentIncomeTax</v>
          </cell>
          <cell r="HY243">
            <v>6</v>
          </cell>
          <cell r="HZ243" t="str">
            <v>ISO4217:USD</v>
          </cell>
          <cell r="IA243" t="b">
            <v>0</v>
          </cell>
          <cell r="IB243" t="b">
            <v>0</v>
          </cell>
        </row>
        <row r="244">
          <cell r="D244" t="str">
            <v>Deferred income tax expense</v>
          </cell>
          <cell r="G244">
            <v>9.6999999999999993</v>
          </cell>
          <cell r="H244">
            <v>29.792999999999999</v>
          </cell>
          <cell r="I244">
            <v>-164.13799999999998</v>
          </cell>
          <cell r="J244">
            <v>-196.78200000000001</v>
          </cell>
          <cell r="K244">
            <v>29.356999999999999</v>
          </cell>
          <cell r="L244">
            <v>-196.64400000000001</v>
          </cell>
          <cell r="M244" t="str">
            <v/>
          </cell>
          <cell r="HX244" t="str">
            <v>mstag:deferredIncomeTax</v>
          </cell>
          <cell r="HY244">
            <v>6</v>
          </cell>
          <cell r="HZ244" t="str">
            <v>ISO4217:USD</v>
          </cell>
          <cell r="IA244" t="b">
            <v>0</v>
          </cell>
          <cell r="IB244" t="b">
            <v>0</v>
          </cell>
        </row>
        <row r="245">
          <cell r="E245" t="str">
            <v>Deferred income tax expense, benefit for NOLs</v>
          </cell>
          <cell r="HX245" t="str">
            <v>mstag:deferredIncomeTaxBenefitForNols</v>
          </cell>
          <cell r="HY245">
            <v>6</v>
          </cell>
          <cell r="HZ245" t="str">
            <v>ISO4217:USD</v>
          </cell>
          <cell r="IA245" t="b">
            <v>0</v>
          </cell>
          <cell r="IB245" t="b">
            <v>0</v>
          </cell>
        </row>
        <row r="246">
          <cell r="E246" t="str">
            <v>Other deferred income tax expense</v>
          </cell>
          <cell r="G246">
            <v>9.6999999999999993</v>
          </cell>
          <cell r="H246">
            <v>29.792999999999999</v>
          </cell>
          <cell r="I246">
            <v>-164.13799999999998</v>
          </cell>
          <cell r="J246">
            <v>-196.78200000000001</v>
          </cell>
          <cell r="K246">
            <v>29.356999999999999</v>
          </cell>
          <cell r="L246">
            <v>-196.64400000000001</v>
          </cell>
          <cell r="HX246" t="str">
            <v>mstag:otherDeferredIncomeTax</v>
          </cell>
          <cell r="HY246">
            <v>6</v>
          </cell>
          <cell r="HZ246" t="str">
            <v>ISO4217:USD</v>
          </cell>
          <cell r="IA246" t="b">
            <v>0</v>
          </cell>
          <cell r="IB246" t="b">
            <v>0</v>
          </cell>
        </row>
        <row r="247">
          <cell r="C247" t="str">
            <v>Minority interests in net income</v>
          </cell>
          <cell r="HX247" t="str">
            <v>mstag:minorityInterestsInNetIncome</v>
          </cell>
          <cell r="HY247">
            <v>6</v>
          </cell>
          <cell r="HZ247" t="str">
            <v>ISO4217:USD</v>
          </cell>
          <cell r="IA247" t="b">
            <v>0</v>
          </cell>
          <cell r="IB247" t="b">
            <v>0</v>
          </cell>
        </row>
        <row r="248">
          <cell r="C248" t="str">
            <v>Cumulative effect of change in accounting principle, net of tax</v>
          </cell>
          <cell r="G248">
            <v>0</v>
          </cell>
          <cell r="H248">
            <v>0</v>
          </cell>
          <cell r="I248">
            <v>0</v>
          </cell>
          <cell r="J248">
            <v>-57.8</v>
          </cell>
          <cell r="K248">
            <v>-5.6379999999999999</v>
          </cell>
          <cell r="L248">
            <v>0</v>
          </cell>
          <cell r="M248">
            <v>-47</v>
          </cell>
          <cell r="HX248" t="str">
            <v>mstag:cumulativeEffectOfChangeInAccountingPrincipleNetOfTax</v>
          </cell>
          <cell r="HY248">
            <v>6</v>
          </cell>
          <cell r="HZ248" t="str">
            <v>ISO4217:USD</v>
          </cell>
          <cell r="IA248" t="b">
            <v>0</v>
          </cell>
          <cell r="IB248" t="b">
            <v>0</v>
          </cell>
        </row>
        <row r="249">
          <cell r="C249" t="str">
            <v>Income (loss) from extraordinary items, net of tax</v>
          </cell>
          <cell r="G249" t="str">
            <v/>
          </cell>
          <cell r="H249" t="str">
            <v/>
          </cell>
          <cell r="I249" t="str">
            <v/>
          </cell>
          <cell r="J249" t="str">
            <v/>
          </cell>
          <cell r="K249" t="str">
            <v/>
          </cell>
          <cell r="L249" t="str">
            <v/>
          </cell>
          <cell r="M249" t="str">
            <v/>
          </cell>
          <cell r="HX249" t="str">
            <v>mstag:incomeLossFromExtraordinaryItemsNetOfTax</v>
          </cell>
          <cell r="HY249">
            <v>6</v>
          </cell>
          <cell r="HZ249" t="str">
            <v>ISO4217:USD</v>
          </cell>
          <cell r="IA249" t="b">
            <v>0</v>
          </cell>
          <cell r="IB249" t="b">
            <v>0</v>
          </cell>
        </row>
        <row r="250">
          <cell r="D250" t="str">
            <v>Income (loss) from extraordinary items, pretax</v>
          </cell>
          <cell r="HX250" t="str">
            <v>mstag:incomeLossFromExtraordinaryItemsPretax</v>
          </cell>
          <cell r="HY250">
            <v>6</v>
          </cell>
          <cell r="HZ250" t="str">
            <v>ISO4217:USD</v>
          </cell>
          <cell r="IA250" t="b">
            <v>0</v>
          </cell>
          <cell r="IB250" t="b">
            <v>0</v>
          </cell>
        </row>
        <row r="251">
          <cell r="D251" t="str">
            <v>Tax on income (loss) from extraordinary items</v>
          </cell>
          <cell r="HX251" t="str">
            <v>mstag:taxOnIncomeLossFromExtraordinaryItems</v>
          </cell>
          <cell r="HY251">
            <v>6</v>
          </cell>
          <cell r="HZ251" t="str">
            <v>ISO4217:USD</v>
          </cell>
          <cell r="IA251" t="b">
            <v>0</v>
          </cell>
          <cell r="IB251" t="b">
            <v>0</v>
          </cell>
        </row>
        <row r="252">
          <cell r="C252" t="str">
            <v>Income (loss) from discontinued operations, net of tax</v>
          </cell>
          <cell r="G252" t="str">
            <v/>
          </cell>
          <cell r="H252" t="str">
            <v/>
          </cell>
          <cell r="I252" t="str">
            <v/>
          </cell>
          <cell r="J252" t="str">
            <v/>
          </cell>
          <cell r="K252" t="str">
            <v/>
          </cell>
          <cell r="L252" t="str">
            <v/>
          </cell>
          <cell r="M252" t="str">
            <v/>
          </cell>
          <cell r="HX252" t="str">
            <v>mstag:incomeLossFromDiscontinuedOperationsNetOfTax</v>
          </cell>
          <cell r="HY252">
            <v>6</v>
          </cell>
          <cell r="HZ252" t="str">
            <v>ISO4217:USD</v>
          </cell>
          <cell r="IA252" t="b">
            <v>0</v>
          </cell>
          <cell r="IB252" t="b">
            <v>0</v>
          </cell>
        </row>
        <row r="253">
          <cell r="D253" t="str">
            <v>Income (loss) from discontinued operations, pretax</v>
          </cell>
          <cell r="HX253" t="str">
            <v>mstag:incomeLossFromDiscontinuedOperationsPretax</v>
          </cell>
          <cell r="HY253">
            <v>6</v>
          </cell>
          <cell r="HZ253" t="str">
            <v>ISO4217:USD</v>
          </cell>
          <cell r="IA253" t="b">
            <v>0</v>
          </cell>
          <cell r="IB253" t="b">
            <v>0</v>
          </cell>
        </row>
        <row r="254">
          <cell r="D254" t="str">
            <v>Tax on income (loss) from discontinued operations</v>
          </cell>
          <cell r="HX254" t="str">
            <v>mstag:taxOnIncomeLossFromDiscontinuedOperations</v>
          </cell>
          <cell r="HY254">
            <v>6</v>
          </cell>
          <cell r="HZ254" t="str">
            <v>ISO4217:USD</v>
          </cell>
          <cell r="IA254" t="b">
            <v>0</v>
          </cell>
          <cell r="IB254" t="b">
            <v>0</v>
          </cell>
        </row>
        <row r="255">
          <cell r="C255" t="str">
            <v>Preferred dividends paid</v>
          </cell>
          <cell r="HX255" t="str">
            <v>mstag:preferredDividendsPaid</v>
          </cell>
          <cell r="HY255">
            <v>6</v>
          </cell>
          <cell r="HZ255" t="str">
            <v>ISO4217:USD</v>
          </cell>
          <cell r="IA255" t="b">
            <v>0</v>
          </cell>
          <cell r="IB255" t="b">
            <v>0</v>
          </cell>
        </row>
        <row r="256">
          <cell r="C256" t="str">
            <v>Preferred dividends attributable to current period earnings</v>
          </cell>
          <cell r="HX256" t="str">
            <v>mstag:preferredDividendsAttributableToCurrentPeriodEarnings</v>
          </cell>
          <cell r="HY256">
            <v>6</v>
          </cell>
          <cell r="HZ256" t="str">
            <v>ISO4217:USD</v>
          </cell>
          <cell r="IA256" t="b">
            <v>0</v>
          </cell>
          <cell r="IB256" t="b">
            <v>0</v>
          </cell>
        </row>
        <row r="257">
          <cell r="C257" t="str">
            <v>Adjustment to net income for dilutive items</v>
          </cell>
          <cell r="G257" t="str">
            <v/>
          </cell>
          <cell r="H257" t="str">
            <v/>
          </cell>
          <cell r="I257" t="str">
            <v/>
          </cell>
          <cell r="J257" t="str">
            <v/>
          </cell>
          <cell r="K257" t="str">
            <v/>
          </cell>
          <cell r="L257" t="str">
            <v/>
          </cell>
          <cell r="M257" t="str">
            <v/>
          </cell>
          <cell r="HX257" t="str">
            <v>mstag:adjustmentToNetIncomeForDilutiveItems</v>
          </cell>
          <cell r="HY257">
            <v>6</v>
          </cell>
          <cell r="HZ257" t="str">
            <v>ISO4217:USD</v>
          </cell>
          <cell r="IA257" t="b">
            <v>0</v>
          </cell>
          <cell r="IB257" t="b">
            <v>0</v>
          </cell>
        </row>
        <row r="258">
          <cell r="D258" t="str">
            <v>Impact of assumed conversion of preferred stock</v>
          </cell>
          <cell r="HX258" t="str">
            <v>mstag:impactOfAssumedConversionOfPreferredStock</v>
          </cell>
          <cell r="HY258">
            <v>6</v>
          </cell>
          <cell r="HZ258" t="str">
            <v>ISO4217:USD</v>
          </cell>
          <cell r="IA258" t="b">
            <v>0</v>
          </cell>
          <cell r="IB258" t="b">
            <v>0</v>
          </cell>
        </row>
        <row r="259">
          <cell r="D259" t="str">
            <v>Impact of assumed conversion of convertible bonds</v>
          </cell>
          <cell r="HX259" t="str">
            <v>mstag:impactOfAssumedConversionOfConvertibleBonds</v>
          </cell>
          <cell r="HY259">
            <v>6</v>
          </cell>
          <cell r="HZ259" t="str">
            <v>ISO4217:USD</v>
          </cell>
          <cell r="IA259" t="b">
            <v>0</v>
          </cell>
          <cell r="IB259" t="b">
            <v>0</v>
          </cell>
        </row>
        <row r="260">
          <cell r="D260" t="str">
            <v>Impact of stock options compensation</v>
          </cell>
          <cell r="HX260" t="str">
            <v>mstag:impactOfStockOptionsCompensation</v>
          </cell>
          <cell r="HY260">
            <v>6</v>
          </cell>
          <cell r="HZ260" t="str">
            <v>ISO4217:USD</v>
          </cell>
          <cell r="IA260" t="b">
            <v>0</v>
          </cell>
          <cell r="IB260" t="b">
            <v>0</v>
          </cell>
        </row>
        <row r="261">
          <cell r="C261" t="str">
            <v>Company-reported revenue</v>
          </cell>
          <cell r="HX261" t="str">
            <v>mstag:companyReportedRevenue</v>
          </cell>
          <cell r="HY261">
            <v>6</v>
          </cell>
          <cell r="HZ261" t="str">
            <v>ISO4217:USD</v>
          </cell>
          <cell r="IA261" t="b">
            <v>0</v>
          </cell>
          <cell r="IB261" t="b">
            <v>0</v>
          </cell>
        </row>
        <row r="262">
          <cell r="C262" t="str">
            <v>Japan-specific operating metrics</v>
          </cell>
          <cell r="HX262" t="str">
            <v>mstag:japanSpecificOperatingMetrics</v>
          </cell>
          <cell r="HY262">
            <v>6</v>
          </cell>
          <cell r="HZ262" t="str">
            <v>ISO4217:USD</v>
          </cell>
          <cell r="IA262" t="b">
            <v>0</v>
          </cell>
          <cell r="IB262" t="b">
            <v>0</v>
          </cell>
        </row>
        <row r="263">
          <cell r="D263" t="str">
            <v>Operating income (expense) classified by company as nonoperating (Japan)</v>
          </cell>
          <cell r="HX263" t="str">
            <v>mstag:operatingIncomeExpenseClassifiedByCompanyAsNonOperatingJapan</v>
          </cell>
          <cell r="HY263">
            <v>6</v>
          </cell>
          <cell r="HZ263" t="str">
            <v>ISO4217:USD</v>
          </cell>
          <cell r="IA263" t="b">
            <v>0</v>
          </cell>
          <cell r="IB263" t="b">
            <v>0</v>
          </cell>
        </row>
        <row r="264">
          <cell r="D264" t="str">
            <v>Operating income (expense) classified by company as extraordinary (Japan)</v>
          </cell>
          <cell r="HX264" t="str">
            <v>mstag:operatingIncomeExpenseClassifiedByCompanyAsExtraordinaryJapan</v>
          </cell>
          <cell r="HY264">
            <v>6</v>
          </cell>
          <cell r="HZ264" t="str">
            <v>ISO4217:USD</v>
          </cell>
          <cell r="IA264" t="b">
            <v>0</v>
          </cell>
          <cell r="IB264" t="b">
            <v>0</v>
          </cell>
        </row>
        <row r="265">
          <cell r="D265" t="str">
            <v>Nonoperating income (expense) classified by company as operating (Japan)</v>
          </cell>
          <cell r="HX265" t="str">
            <v>mstag:nonOperatingIncomeExpenseClassifiedByCompanyAsOperatingJapan</v>
          </cell>
          <cell r="HY265">
            <v>6</v>
          </cell>
          <cell r="HZ265" t="str">
            <v>ISO4217:USD</v>
          </cell>
          <cell r="IA265" t="b">
            <v>0</v>
          </cell>
          <cell r="IB265" t="b">
            <v>0</v>
          </cell>
        </row>
        <row r="266">
          <cell r="D266" t="str">
            <v>Nonoperating income (expense) classified by company as extraordinary (Japan)</v>
          </cell>
          <cell r="HX266" t="str">
            <v>mstag:recurringIncomeExpenseClassifiedByCompanyAsExtraordinaryJapan</v>
          </cell>
          <cell r="HY266">
            <v>6</v>
          </cell>
          <cell r="HZ266" t="str">
            <v>ISO4217:USD</v>
          </cell>
          <cell r="IA266" t="b">
            <v>0</v>
          </cell>
          <cell r="IB266" t="b">
            <v>0</v>
          </cell>
        </row>
        <row r="267">
          <cell r="D267" t="str">
            <v>One-time income (expense), gross of tax, classified by company as operating (Japan)</v>
          </cell>
          <cell r="HX267" t="str">
            <v>mstag:oneTimeIncomeExpenseGrossOfTaxClassifiedByCompanyAsOperatingJapan</v>
          </cell>
          <cell r="HY267">
            <v>6</v>
          </cell>
          <cell r="HZ267" t="str">
            <v>ISO4217:USD</v>
          </cell>
          <cell r="IA267" t="b">
            <v>0</v>
          </cell>
          <cell r="IB267" t="b">
            <v>0</v>
          </cell>
        </row>
        <row r="268">
          <cell r="D268" t="str">
            <v>One-time income (expense), gross of tax, classified by company as nonoperating (Japan)</v>
          </cell>
          <cell r="HX268" t="str">
            <v>mstag:oneTimeIncomeExpenseGrossOfTaxClassifiedByCompanyAsNonOperatingJapan</v>
          </cell>
          <cell r="HY268">
            <v>6</v>
          </cell>
          <cell r="HZ268" t="str">
            <v>ISO4217:USD</v>
          </cell>
          <cell r="IA268" t="b">
            <v>0</v>
          </cell>
          <cell r="IB268" t="b">
            <v>0</v>
          </cell>
        </row>
        <row r="269">
          <cell r="D269" t="str">
            <v>Recurring profit (Japan)</v>
          </cell>
          <cell r="HX269" t="str">
            <v>mstag:recurringProfitJapan</v>
          </cell>
          <cell r="HY269">
            <v>6</v>
          </cell>
          <cell r="HZ269" t="str">
            <v>ISO4217:USD</v>
          </cell>
          <cell r="IA269" t="b">
            <v>0</v>
          </cell>
          <cell r="IB269" t="b">
            <v>0</v>
          </cell>
        </row>
        <row r="270">
          <cell r="C270" t="str">
            <v>EPS adjusted for consensus</v>
          </cell>
          <cell r="HX270" t="str">
            <v>mstag:adjEpsForConsensus</v>
          </cell>
          <cell r="HY270">
            <v>0</v>
          </cell>
          <cell r="HZ270" t="str">
            <v>ISO4217:USD</v>
          </cell>
          <cell r="IA270" t="b">
            <v>0</v>
          </cell>
          <cell r="IB270" t="b">
            <v>0</v>
          </cell>
        </row>
        <row r="271">
          <cell r="C271" t="str">
            <v>Period-end diluted shares outstanding</v>
          </cell>
          <cell r="HX271" t="str">
            <v>mstag:periodEndDilutedSharesOutstanding</v>
          </cell>
          <cell r="HY271">
            <v>6</v>
          </cell>
          <cell r="HZ271" t="str">
            <v>ms_eqr_gcim_Decimal:ms_eqr_gcim_decimal</v>
          </cell>
          <cell r="IA271" t="b">
            <v>0</v>
          </cell>
          <cell r="IB271" t="b">
            <v>0</v>
          </cell>
        </row>
        <row r="272">
          <cell r="C272" t="str">
            <v>Period-end basic shares outstanding</v>
          </cell>
          <cell r="G272">
            <v>993.82235200000002</v>
          </cell>
          <cell r="H272">
            <v>1016.9171200000001</v>
          </cell>
          <cell r="I272">
            <v>1032.4410559999999</v>
          </cell>
          <cell r="J272">
            <v>1050.953542</v>
          </cell>
          <cell r="K272">
            <v>1056.6265719999999</v>
          </cell>
          <cell r="L272">
            <v>1025.6204499999999</v>
          </cell>
          <cell r="M272">
            <v>1049.4000000000001</v>
          </cell>
          <cell r="HX272" t="str">
            <v>mstag:periodEndBasicSharesOutstanding</v>
          </cell>
          <cell r="HY272">
            <v>6</v>
          </cell>
          <cell r="HZ272" t="str">
            <v>ms_eqr_gcim_Decimal:ms_eqr_gcim_decimal</v>
          </cell>
          <cell r="IA272" t="b">
            <v>0</v>
          </cell>
          <cell r="IB272" t="b">
            <v>0</v>
          </cell>
        </row>
        <row r="273">
          <cell r="C273" t="str">
            <v>Current diluted shares outstanding</v>
          </cell>
          <cell r="HX273" t="str">
            <v>mstag:currentDilutedSharesOutstanding</v>
          </cell>
          <cell r="HY273">
            <v>6</v>
          </cell>
          <cell r="HZ273" t="str">
            <v>ms_eqr_gcim_Decimal:ms_eqr_gcim_decimal</v>
          </cell>
          <cell r="IA273" t="b">
            <v>0</v>
          </cell>
          <cell r="IB273" t="b">
            <v>0</v>
          </cell>
        </row>
        <row r="274">
          <cell r="C274" t="str">
            <v>Current basic shares outstanding</v>
          </cell>
          <cell r="HX274" t="str">
            <v>mstag:currentBasicSharesOutstanding</v>
          </cell>
          <cell r="HY274">
            <v>6</v>
          </cell>
          <cell r="HZ274" t="str">
            <v>ms_eqr_gcim_Decimal:ms_eqr_gcim_decimal</v>
          </cell>
          <cell r="IA274" t="b">
            <v>0</v>
          </cell>
          <cell r="IB274" t="b">
            <v>0</v>
          </cell>
        </row>
        <row r="275">
          <cell r="C275" t="str">
            <v>Average diluted shares outstanding</v>
          </cell>
          <cell r="G275">
            <v>1011.176</v>
          </cell>
          <cell r="H275">
            <v>1038.9760000000001</v>
          </cell>
          <cell r="I275">
            <v>1026.704</v>
          </cell>
          <cell r="J275">
            <v>1044.3579999999999</v>
          </cell>
          <cell r="K275">
            <v>1070.5820000000001</v>
          </cell>
          <cell r="L275">
            <v>1048.816</v>
          </cell>
          <cell r="M275">
            <v>1054.3219999999999</v>
          </cell>
          <cell r="HX275" t="str">
            <v>mstag:averageDilutedSharesOutstanding</v>
          </cell>
          <cell r="HY275">
            <v>6</v>
          </cell>
          <cell r="HZ275" t="str">
            <v>ms_eqr_gcim_Decimal:ms_eqr_gcim_decimal</v>
          </cell>
          <cell r="IA275" t="b">
            <v>0</v>
          </cell>
          <cell r="IB275" t="b">
            <v>0</v>
          </cell>
        </row>
        <row r="276">
          <cell r="C276" t="str">
            <v>Number of preferred shares outstanding</v>
          </cell>
          <cell r="HX276" t="str">
            <v>mstag:numberOfPreferredSharesOutstanding</v>
          </cell>
          <cell r="HY276">
            <v>6</v>
          </cell>
          <cell r="HZ276" t="str">
            <v>ms_eqr_gcim_Decimal:ms_eqr_gcim_decimal</v>
          </cell>
          <cell r="IA276" t="b">
            <v>0</v>
          </cell>
          <cell r="IB276" t="b">
            <v>0</v>
          </cell>
        </row>
        <row r="277">
          <cell r="C277" t="str">
            <v>Average basic shares outstanding</v>
          </cell>
          <cell r="G277">
            <v>984.32</v>
          </cell>
          <cell r="H277">
            <v>1006.136</v>
          </cell>
          <cell r="I277">
            <v>1026.704</v>
          </cell>
          <cell r="J277">
            <v>1044.3579999999999</v>
          </cell>
          <cell r="K277">
            <v>1054.0440000000001</v>
          </cell>
          <cell r="L277">
            <v>1038.384</v>
          </cell>
          <cell r="M277">
            <v>1034.4565</v>
          </cell>
          <cell r="HX277" t="str">
            <v>mstag:averageBasicSharesOutstanding</v>
          </cell>
          <cell r="HY277">
            <v>6</v>
          </cell>
          <cell r="HZ277" t="str">
            <v>ms_eqr_gcim_Decimal:ms_eqr_gcim_decimal</v>
          </cell>
          <cell r="IA277" t="b">
            <v>0</v>
          </cell>
          <cell r="IB277" t="b">
            <v>0</v>
          </cell>
        </row>
        <row r="278">
          <cell r="C278" t="str">
            <v>ADR ratio</v>
          </cell>
          <cell r="HX278" t="str">
            <v>mstag:adrRatioNew</v>
          </cell>
          <cell r="HY278">
            <v>0</v>
          </cell>
          <cell r="HZ278" t="str">
            <v>ms_eqr_gcim_Decimal:ms_eqr_gcim_decimal</v>
          </cell>
          <cell r="IA278" t="b">
            <v>0</v>
          </cell>
          <cell r="IB278" t="b">
            <v>0</v>
          </cell>
        </row>
        <row r="279">
          <cell r="C279" t="str">
            <v>Current ADR ratio</v>
          </cell>
          <cell r="HX279" t="str">
            <v>mstag:currentAdrRatio</v>
          </cell>
          <cell r="HY279">
            <v>0</v>
          </cell>
          <cell r="HZ279" t="str">
            <v>ms_eqr_gcim_Decimal:ms_eqr_gcim_decimal</v>
          </cell>
          <cell r="IA279" t="b">
            <v>0</v>
          </cell>
          <cell r="IB279" t="b">
            <v>0</v>
          </cell>
        </row>
        <row r="280">
          <cell r="C280" t="str">
            <v>Analyst's average FX rate</v>
          </cell>
          <cell r="HX280" t="str">
            <v>mstag:analystsAverageFxRate</v>
          </cell>
          <cell r="HY280">
            <v>0</v>
          </cell>
          <cell r="HZ280" t="str">
            <v>ms_eqr_gcim_Decimal:ms_eqr_gcim_decimal</v>
          </cell>
          <cell r="IA280" t="b">
            <v>0</v>
          </cell>
          <cell r="IB280" t="b">
            <v>0</v>
          </cell>
        </row>
        <row r="281">
          <cell r="C281" t="str">
            <v>Analyst's period-end FX rate</v>
          </cell>
          <cell r="HX281" t="str">
            <v>mstag:analystsPeriodEndFxRate</v>
          </cell>
          <cell r="HY281">
            <v>0</v>
          </cell>
          <cell r="HZ281" t="str">
            <v>ms_eqr_gcim_Decimal:ms_eqr_gcim_decimal</v>
          </cell>
          <cell r="IA281" t="b">
            <v>0</v>
          </cell>
          <cell r="IB281" t="b">
            <v>0</v>
          </cell>
        </row>
        <row r="282">
          <cell r="C282" t="str">
            <v>Percent ownership</v>
          </cell>
          <cell r="HX282" t="str">
            <v>mstag:percentOwnership</v>
          </cell>
          <cell r="HY282">
            <v>0</v>
          </cell>
          <cell r="HZ282" t="str">
            <v>ms_eqr_gcim_Decimal:ms_eqr_gcim_decimal</v>
          </cell>
          <cell r="IA282" t="b">
            <v>0</v>
          </cell>
          <cell r="IB282" t="b">
            <v>0</v>
          </cell>
        </row>
        <row r="283">
          <cell r="C283" t="str">
            <v>Statutory tax rate</v>
          </cell>
          <cell r="G283">
            <v>0.373</v>
          </cell>
          <cell r="H283">
            <v>0.37965018939169048</v>
          </cell>
          <cell r="I283">
            <v>0.51523455723542122</v>
          </cell>
          <cell r="J283">
            <v>0.59149257488044304</v>
          </cell>
          <cell r="K283">
            <v>0.40731343600036757</v>
          </cell>
          <cell r="L283">
            <v>0.37813035732293521</v>
          </cell>
          <cell r="M283">
            <v>0.32364976429312797</v>
          </cell>
          <cell r="HX283" t="str">
            <v>mstag:statutoryTaxRate</v>
          </cell>
          <cell r="HY283">
            <v>0</v>
          </cell>
          <cell r="HZ283" t="str">
            <v>ms_eqr_gcim_Decimal:ms_eqr_gcim_decimal</v>
          </cell>
          <cell r="IA283" t="b">
            <v>0</v>
          </cell>
          <cell r="IB283" t="b">
            <v>0</v>
          </cell>
        </row>
        <row r="284">
          <cell r="C284" t="str">
            <v>Dividends per share</v>
          </cell>
          <cell r="G284">
            <v>0</v>
          </cell>
          <cell r="H284">
            <v>0</v>
          </cell>
          <cell r="I284">
            <v>0</v>
          </cell>
          <cell r="J284">
            <v>0</v>
          </cell>
          <cell r="K284">
            <v>0</v>
          </cell>
          <cell r="L284">
            <v>0</v>
          </cell>
          <cell r="HX284" t="str">
            <v>mstag:dividendsPerShare</v>
          </cell>
          <cell r="HY284">
            <v>0</v>
          </cell>
          <cell r="HZ284" t="str">
            <v>ISO4217:USD</v>
          </cell>
          <cell r="IA284" t="b">
            <v>0</v>
          </cell>
          <cell r="IB284" t="b">
            <v>0</v>
          </cell>
        </row>
        <row r="285">
          <cell r="B285" t="str">
            <v>Balance sheet</v>
          </cell>
          <cell r="HY285">
            <v>0</v>
          </cell>
          <cell r="HZ285" t="str">
            <v>ms_eqr_gcim_String:ms_eqr_gcim_string</v>
          </cell>
          <cell r="IA285" t="b">
            <v>0</v>
          </cell>
          <cell r="IB285" t="b">
            <v>0</v>
          </cell>
        </row>
        <row r="286">
          <cell r="C286" t="str">
            <v>Assets</v>
          </cell>
          <cell r="M286">
            <v>8735.9628426585768</v>
          </cell>
          <cell r="HX286" t="str">
            <v>mstag:assets</v>
          </cell>
          <cell r="HY286">
            <v>6</v>
          </cell>
          <cell r="HZ286" t="str">
            <v>ISO4217:USD</v>
          </cell>
          <cell r="IA286" t="b">
            <v>0</v>
          </cell>
          <cell r="IB286" t="b">
            <v>0</v>
          </cell>
        </row>
        <row r="287">
          <cell r="D287" t="str">
            <v>Cash and cash equivalents</v>
          </cell>
          <cell r="F287">
            <v>207.26400000000001</v>
          </cell>
          <cell r="G287">
            <v>244.46899999999999</v>
          </cell>
          <cell r="H287">
            <v>281.16199999999998</v>
          </cell>
          <cell r="I287">
            <v>337.68200000000002</v>
          </cell>
          <cell r="J287">
            <v>551.38400000000001</v>
          </cell>
          <cell r="K287">
            <v>395.20299999999997</v>
          </cell>
          <cell r="L287">
            <v>208.13</v>
          </cell>
          <cell r="M287">
            <v>371.87784265857795</v>
          </cell>
          <cell r="HX287" t="str">
            <v>mstag:cashAndCashEquivalents</v>
          </cell>
          <cell r="HY287">
            <v>6</v>
          </cell>
          <cell r="HZ287" t="str">
            <v>ISO4217:USD</v>
          </cell>
          <cell r="IA287" t="b">
            <v>0</v>
          </cell>
          <cell r="IB287" t="b">
            <v>0</v>
          </cell>
        </row>
        <row r="288">
          <cell r="D288" t="str">
            <v>Restricted cash required for operations</v>
          </cell>
          <cell r="HX288" t="str">
            <v>mstag:restrictedCashRequiredForOperations</v>
          </cell>
          <cell r="HY288">
            <v>6</v>
          </cell>
          <cell r="HZ288" t="str">
            <v>ISO4217:USD</v>
          </cell>
          <cell r="IA288" t="b">
            <v>0</v>
          </cell>
          <cell r="IB288" t="b">
            <v>0</v>
          </cell>
        </row>
        <row r="289">
          <cell r="D289" t="str">
            <v>Trade receivables</v>
          </cell>
          <cell r="G289">
            <v>71.41500000000002</v>
          </cell>
          <cell r="H289">
            <v>79.411000000000001</v>
          </cell>
          <cell r="I289">
            <v>120.49700000000001</v>
          </cell>
          <cell r="J289">
            <v>162.12100000000001</v>
          </cell>
          <cell r="K289">
            <v>193.203</v>
          </cell>
          <cell r="L289">
            <v>242.90700000000004</v>
          </cell>
          <cell r="M289">
            <v>574.1</v>
          </cell>
          <cell r="HX289" t="str">
            <v>mstag:tradeReceivables</v>
          </cell>
          <cell r="HY289">
            <v>6</v>
          </cell>
          <cell r="HZ289" t="str">
            <v>ISO4217:USD</v>
          </cell>
          <cell r="IA289" t="b">
            <v>0</v>
          </cell>
          <cell r="IB289" t="b">
            <v>0</v>
          </cell>
        </row>
        <row r="290">
          <cell r="E290" t="str">
            <v>Trade receivables, current</v>
          </cell>
          <cell r="G290">
            <v>71.41500000000002</v>
          </cell>
          <cell r="H290">
            <v>79.411000000000001</v>
          </cell>
          <cell r="I290">
            <v>120.49700000000001</v>
          </cell>
          <cell r="J290">
            <v>162.12100000000001</v>
          </cell>
          <cell r="K290">
            <v>193.203</v>
          </cell>
          <cell r="L290">
            <v>242.90700000000004</v>
          </cell>
          <cell r="M290" t="str">
            <v/>
          </cell>
          <cell r="HX290" t="str">
            <v>mstag:tradeReceivablesCurrent</v>
          </cell>
          <cell r="HY290">
            <v>6</v>
          </cell>
          <cell r="HZ290" t="str">
            <v>ISO4217:USD</v>
          </cell>
          <cell r="IA290" t="b">
            <v>0</v>
          </cell>
          <cell r="IB290" t="b">
            <v>0</v>
          </cell>
        </row>
        <row r="291">
          <cell r="F291" t="str">
            <v>Trade receivables, gross, current</v>
          </cell>
          <cell r="G291">
            <v>80.241000000000014</v>
          </cell>
          <cell r="H291">
            <v>94.072000000000003</v>
          </cell>
          <cell r="I291">
            <v>136.26400000000001</v>
          </cell>
          <cell r="J291">
            <v>176.24700000000001</v>
          </cell>
          <cell r="K291">
            <v>210.54</v>
          </cell>
          <cell r="L291">
            <v>259.73400000000004</v>
          </cell>
          <cell r="HX291" t="str">
            <v>mstag:tradeReceivablesGrossCurrent</v>
          </cell>
          <cell r="HY291">
            <v>6</v>
          </cell>
          <cell r="HZ291" t="str">
            <v>ISO4217:USD</v>
          </cell>
          <cell r="IA291" t="b">
            <v>0</v>
          </cell>
          <cell r="IB291" t="b">
            <v>0</v>
          </cell>
        </row>
        <row r="292">
          <cell r="F292" t="str">
            <v>Allowance for doubtful accounts, current</v>
          </cell>
          <cell r="G292">
            <v>8.8260000000000005</v>
          </cell>
          <cell r="H292">
            <v>14.661</v>
          </cell>
          <cell r="I292">
            <v>15.766999999999999</v>
          </cell>
          <cell r="J292">
            <v>14.125999999999999</v>
          </cell>
          <cell r="K292">
            <v>17.337</v>
          </cell>
          <cell r="L292">
            <v>16.827000000000002</v>
          </cell>
          <cell r="HX292" t="str">
            <v>mstag:allowanceForDoubtfulAccountsCurrent</v>
          </cell>
          <cell r="HY292">
            <v>6</v>
          </cell>
          <cell r="HZ292" t="str">
            <v>ISO4217:USD</v>
          </cell>
          <cell r="IA292" t="b">
            <v>0</v>
          </cell>
          <cell r="IB292" t="b">
            <v>0</v>
          </cell>
        </row>
        <row r="293">
          <cell r="E293" t="str">
            <v>Trade receivables, noncurrent</v>
          </cell>
          <cell r="G293" t="str">
            <v/>
          </cell>
          <cell r="H293" t="str">
            <v/>
          </cell>
          <cell r="I293" t="str">
            <v/>
          </cell>
          <cell r="J293" t="str">
            <v/>
          </cell>
          <cell r="K293" t="str">
            <v/>
          </cell>
          <cell r="L293" t="str">
            <v/>
          </cell>
          <cell r="M293" t="str">
            <v/>
          </cell>
          <cell r="HX293" t="str">
            <v>mstag:tradeReceivablesNonCurrent</v>
          </cell>
          <cell r="HY293">
            <v>6</v>
          </cell>
          <cell r="HZ293" t="str">
            <v>ISO4217:USD</v>
          </cell>
          <cell r="IA293" t="b">
            <v>0</v>
          </cell>
          <cell r="IB293" t="b">
            <v>0</v>
          </cell>
        </row>
        <row r="294">
          <cell r="F294" t="str">
            <v>Trade receivables, gross, noncurrent</v>
          </cell>
          <cell r="HX294" t="str">
            <v>mstag:tradeReceivablesGrossNonCurrent</v>
          </cell>
          <cell r="HY294">
            <v>6</v>
          </cell>
          <cell r="HZ294" t="str">
            <v>ISO4217:USD</v>
          </cell>
          <cell r="IA294" t="b">
            <v>0</v>
          </cell>
          <cell r="IB294" t="b">
            <v>0</v>
          </cell>
        </row>
        <row r="295">
          <cell r="F295" t="str">
            <v>Allowance for doubtful accounts, noncurrent</v>
          </cell>
          <cell r="HX295" t="str">
            <v>mstag:allowanceForDoubtfulAccountsNonCurrent</v>
          </cell>
          <cell r="HY295">
            <v>6</v>
          </cell>
          <cell r="HZ295" t="str">
            <v>ISO4217:USD</v>
          </cell>
          <cell r="IA295" t="b">
            <v>0</v>
          </cell>
          <cell r="IB295" t="b">
            <v>0</v>
          </cell>
        </row>
        <row r="296">
          <cell r="D296" t="str">
            <v>Finance lease receivables</v>
          </cell>
          <cell r="G296" t="str">
            <v/>
          </cell>
          <cell r="H296" t="str">
            <v/>
          </cell>
          <cell r="I296" t="str">
            <v/>
          </cell>
          <cell r="J296" t="str">
            <v/>
          </cell>
          <cell r="K296" t="str">
            <v/>
          </cell>
          <cell r="L296" t="str">
            <v/>
          </cell>
          <cell r="M296" t="str">
            <v/>
          </cell>
          <cell r="HX296" t="str">
            <v>mstag:financeLeaseReceivables</v>
          </cell>
          <cell r="HY296">
            <v>6</v>
          </cell>
          <cell r="HZ296" t="str">
            <v>ISO4217:USD</v>
          </cell>
          <cell r="IA296" t="b">
            <v>0</v>
          </cell>
          <cell r="IB296" t="b">
            <v>0</v>
          </cell>
        </row>
        <row r="297">
          <cell r="E297" t="str">
            <v>Finance lease receivables, current</v>
          </cell>
          <cell r="HX297" t="str">
            <v>mstag:financeLeaseReceivablesCurrent</v>
          </cell>
          <cell r="HY297">
            <v>6</v>
          </cell>
          <cell r="HZ297" t="str">
            <v>ISO4217:USD</v>
          </cell>
          <cell r="IA297" t="b">
            <v>0</v>
          </cell>
          <cell r="IB297" t="b">
            <v>0</v>
          </cell>
        </row>
        <row r="298">
          <cell r="E298" t="str">
            <v>Finance lease receivables, noncurrent</v>
          </cell>
          <cell r="HX298" t="str">
            <v>mstag:financeLeaseReceivablesNonCurrent</v>
          </cell>
          <cell r="HY298">
            <v>6</v>
          </cell>
          <cell r="HZ298" t="str">
            <v>ISO4217:USD</v>
          </cell>
          <cell r="IA298" t="b">
            <v>0</v>
          </cell>
          <cell r="IB298" t="b">
            <v>0</v>
          </cell>
        </row>
        <row r="299">
          <cell r="D299" t="str">
            <v>Notes receivable</v>
          </cell>
          <cell r="G299" t="str">
            <v/>
          </cell>
          <cell r="H299" t="str">
            <v/>
          </cell>
          <cell r="I299" t="str">
            <v/>
          </cell>
          <cell r="J299" t="str">
            <v/>
          </cell>
          <cell r="K299" t="str">
            <v/>
          </cell>
          <cell r="L299" t="str">
            <v/>
          </cell>
          <cell r="M299" t="str">
            <v/>
          </cell>
          <cell r="HX299" t="str">
            <v>mstag:notesReceivable</v>
          </cell>
          <cell r="HY299">
            <v>6</v>
          </cell>
          <cell r="HZ299" t="str">
            <v>ISO4217:USD</v>
          </cell>
          <cell r="IA299" t="b">
            <v>0</v>
          </cell>
          <cell r="IB299" t="b">
            <v>0</v>
          </cell>
        </row>
        <row r="300">
          <cell r="E300" t="str">
            <v>Notes receivable, current</v>
          </cell>
          <cell r="HX300" t="str">
            <v>mstag:notesReceivableCurrent</v>
          </cell>
          <cell r="HY300">
            <v>6</v>
          </cell>
          <cell r="HZ300" t="str">
            <v>ISO4217:USD</v>
          </cell>
          <cell r="IA300" t="b">
            <v>0</v>
          </cell>
          <cell r="IB300" t="b">
            <v>0</v>
          </cell>
        </row>
        <row r="301">
          <cell r="E301" t="str">
            <v>Notes receivable, noncurrent</v>
          </cell>
          <cell r="HX301" t="str">
            <v>mstag:notesReceivableNonCurrent</v>
          </cell>
          <cell r="HY301">
            <v>6</v>
          </cell>
          <cell r="HZ301" t="str">
            <v>ISO4217:USD</v>
          </cell>
          <cell r="IA301" t="b">
            <v>0</v>
          </cell>
          <cell r="IB301" t="b">
            <v>0</v>
          </cell>
        </row>
        <row r="302">
          <cell r="D302" t="str">
            <v>Unbilled receivables</v>
          </cell>
          <cell r="G302" t="str">
            <v/>
          </cell>
          <cell r="H302" t="str">
            <v/>
          </cell>
          <cell r="I302" t="str">
            <v/>
          </cell>
          <cell r="J302" t="str">
            <v/>
          </cell>
          <cell r="K302" t="str">
            <v/>
          </cell>
          <cell r="L302" t="str">
            <v/>
          </cell>
          <cell r="M302" t="str">
            <v/>
          </cell>
          <cell r="HX302" t="str">
            <v>mstag:unbilledReceivables</v>
          </cell>
          <cell r="HY302">
            <v>6</v>
          </cell>
          <cell r="HZ302" t="str">
            <v>ISO4217:USD</v>
          </cell>
          <cell r="IA302" t="b">
            <v>0</v>
          </cell>
          <cell r="IB302" t="b">
            <v>0</v>
          </cell>
        </row>
        <row r="303">
          <cell r="E303" t="str">
            <v>Unbilled receivables, current</v>
          </cell>
          <cell r="HX303" t="str">
            <v>mstag:unbilledReceivablesCurrent</v>
          </cell>
          <cell r="HY303">
            <v>6</v>
          </cell>
          <cell r="HZ303" t="str">
            <v>ISO4217:USD</v>
          </cell>
          <cell r="IA303" t="b">
            <v>0</v>
          </cell>
          <cell r="IB303" t="b">
            <v>0</v>
          </cell>
        </row>
        <row r="304">
          <cell r="E304" t="str">
            <v>Unbilled receivables, noncurrent</v>
          </cell>
          <cell r="HX304" t="str">
            <v>mstag:unbilledReceivablesNonCurrent</v>
          </cell>
          <cell r="HY304">
            <v>6</v>
          </cell>
          <cell r="HZ304" t="str">
            <v>ISO4217:USD</v>
          </cell>
          <cell r="IA304" t="b">
            <v>0</v>
          </cell>
          <cell r="IB304" t="b">
            <v>0</v>
          </cell>
        </row>
        <row r="305">
          <cell r="D305" t="str">
            <v>Other receivables</v>
          </cell>
          <cell r="G305">
            <v>117.83000000000001</v>
          </cell>
          <cell r="H305">
            <v>70.33</v>
          </cell>
          <cell r="I305">
            <v>94.288000000000011</v>
          </cell>
          <cell r="J305">
            <v>99.561000000000007</v>
          </cell>
          <cell r="K305">
            <v>122.137</v>
          </cell>
          <cell r="L305">
            <v>175.57400000000001</v>
          </cell>
          <cell r="M305" t="str">
            <v/>
          </cell>
          <cell r="HX305" t="str">
            <v>mstag:otherReceivables</v>
          </cell>
          <cell r="HY305">
            <v>6</v>
          </cell>
          <cell r="HZ305" t="str">
            <v>ISO4217:USD</v>
          </cell>
          <cell r="IA305" t="b">
            <v>0</v>
          </cell>
          <cell r="IB305" t="b">
            <v>0</v>
          </cell>
        </row>
        <row r="306">
          <cell r="E306" t="str">
            <v>Other receivables, current</v>
          </cell>
          <cell r="G306">
            <v>117.83000000000001</v>
          </cell>
          <cell r="H306">
            <v>70.33</v>
          </cell>
          <cell r="I306">
            <v>94.288000000000011</v>
          </cell>
          <cell r="J306">
            <v>99.561000000000007</v>
          </cell>
          <cell r="K306">
            <v>122.137</v>
          </cell>
          <cell r="L306">
            <v>175.57400000000001</v>
          </cell>
          <cell r="HX306" t="str">
            <v>mstag:otherReceivablesCurrent</v>
          </cell>
          <cell r="HY306">
            <v>6</v>
          </cell>
          <cell r="HZ306" t="str">
            <v>ISO4217:USD</v>
          </cell>
          <cell r="IA306" t="b">
            <v>0</v>
          </cell>
          <cell r="IB306" t="b">
            <v>0</v>
          </cell>
        </row>
        <row r="307">
          <cell r="E307" t="str">
            <v>Other receivables, noncurrent</v>
          </cell>
          <cell r="HX307" t="str">
            <v>mstag:otherReceivablesNonCurrent</v>
          </cell>
          <cell r="HY307">
            <v>6</v>
          </cell>
          <cell r="HZ307" t="str">
            <v>ISO4217:USD</v>
          </cell>
          <cell r="IA307" t="b">
            <v>0</v>
          </cell>
          <cell r="IB307" t="b">
            <v>0</v>
          </cell>
        </row>
        <row r="308">
          <cell r="D308" t="str">
            <v>Prepaid expenses</v>
          </cell>
          <cell r="G308">
            <v>55.325000000000003</v>
          </cell>
          <cell r="H308">
            <v>17.036000000000001</v>
          </cell>
          <cell r="I308">
            <v>11.87</v>
          </cell>
          <cell r="J308">
            <v>31.431999999999999</v>
          </cell>
          <cell r="K308">
            <v>38.896000000000001</v>
          </cell>
          <cell r="L308">
            <v>50.741999999999997</v>
          </cell>
          <cell r="M308">
            <v>79.44</v>
          </cell>
          <cell r="HX308" t="str">
            <v>mstag:prepaidExpenses</v>
          </cell>
          <cell r="HY308">
            <v>6</v>
          </cell>
          <cell r="HZ308" t="str">
            <v>ISO4217:USD</v>
          </cell>
          <cell r="IA308" t="b">
            <v>0</v>
          </cell>
          <cell r="IB308" t="b">
            <v>0</v>
          </cell>
        </row>
        <row r="309">
          <cell r="E309" t="str">
            <v>Prepaid expenses, current</v>
          </cell>
          <cell r="G309">
            <v>55.325000000000003</v>
          </cell>
          <cell r="H309">
            <v>17.036000000000001</v>
          </cell>
          <cell r="I309">
            <v>11.87</v>
          </cell>
          <cell r="J309">
            <v>31.431999999999999</v>
          </cell>
          <cell r="K309">
            <v>38.896000000000001</v>
          </cell>
          <cell r="L309">
            <v>50.741999999999997</v>
          </cell>
          <cell r="HX309" t="str">
            <v>mstag:prepaidExpensesCurrent</v>
          </cell>
          <cell r="HY309">
            <v>6</v>
          </cell>
          <cell r="HZ309" t="str">
            <v>ISO4217:USD</v>
          </cell>
          <cell r="IA309" t="b">
            <v>0</v>
          </cell>
          <cell r="IB309" t="b">
            <v>0</v>
          </cell>
        </row>
        <row r="310">
          <cell r="E310" t="str">
            <v>Prepaid expenses, noncurrent</v>
          </cell>
          <cell r="HX310" t="str">
            <v>mstag:prepaidExpensesNonCurrent</v>
          </cell>
          <cell r="HY310">
            <v>6</v>
          </cell>
          <cell r="HZ310" t="str">
            <v>ISO4217:USD</v>
          </cell>
          <cell r="IA310" t="b">
            <v>0</v>
          </cell>
          <cell r="IB310" t="b">
            <v>0</v>
          </cell>
        </row>
        <row r="311">
          <cell r="D311" t="str">
            <v>Income tax receivable</v>
          </cell>
          <cell r="G311" t="str">
            <v/>
          </cell>
          <cell r="H311" t="str">
            <v/>
          </cell>
          <cell r="I311" t="str">
            <v/>
          </cell>
          <cell r="J311" t="str">
            <v/>
          </cell>
          <cell r="K311" t="str">
            <v/>
          </cell>
          <cell r="L311" t="str">
            <v/>
          </cell>
          <cell r="M311" t="str">
            <v/>
          </cell>
          <cell r="HX311" t="str">
            <v>mstag:incomeTaxReceivable</v>
          </cell>
          <cell r="HY311">
            <v>6</v>
          </cell>
          <cell r="HZ311" t="str">
            <v>ISO4217:USD</v>
          </cell>
          <cell r="IA311" t="b">
            <v>0</v>
          </cell>
          <cell r="IB311" t="b">
            <v>0</v>
          </cell>
        </row>
        <row r="312">
          <cell r="E312" t="str">
            <v>Income tax receivable, operating</v>
          </cell>
          <cell r="HX312" t="str">
            <v>mstag:incomeTaxReceivableOperating</v>
          </cell>
          <cell r="HY312">
            <v>6</v>
          </cell>
          <cell r="HZ312" t="str">
            <v>ISO4217:USD</v>
          </cell>
          <cell r="IA312" t="b">
            <v>0</v>
          </cell>
          <cell r="IB312" t="b">
            <v>0</v>
          </cell>
        </row>
        <row r="313">
          <cell r="E313" t="str">
            <v>Income tax receivable, financing</v>
          </cell>
          <cell r="HX313" t="str">
            <v>mstag:incomeTaxReceivableFinancing</v>
          </cell>
          <cell r="HY313">
            <v>6</v>
          </cell>
          <cell r="HZ313" t="str">
            <v>ISO4217:USD</v>
          </cell>
          <cell r="IA313" t="b">
            <v>0</v>
          </cell>
          <cell r="IB313" t="b">
            <v>0</v>
          </cell>
        </row>
        <row r="314">
          <cell r="E314" t="str">
            <v>Income tax receivable, other</v>
          </cell>
          <cell r="HX314" t="str">
            <v>mstag:incomeTaxReceivableOther</v>
          </cell>
          <cell r="HY314">
            <v>6</v>
          </cell>
          <cell r="HZ314" t="str">
            <v>ISO4217:USD</v>
          </cell>
          <cell r="IA314" t="b">
            <v>0</v>
          </cell>
          <cell r="IB314" t="b">
            <v>0</v>
          </cell>
        </row>
        <row r="315">
          <cell r="D315" t="str">
            <v>Inventories</v>
          </cell>
          <cell r="G315">
            <v>116.026</v>
          </cell>
          <cell r="H315">
            <v>148.626</v>
          </cell>
          <cell r="I315">
            <v>275.245</v>
          </cell>
          <cell r="J315">
            <v>265.83000000000004</v>
          </cell>
          <cell r="K315">
            <v>356.94599999999997</v>
          </cell>
          <cell r="L315">
            <v>393.54200000000003</v>
          </cell>
          <cell r="M315">
            <v>469.64</v>
          </cell>
          <cell r="HX315" t="str">
            <v>mstag:inventories</v>
          </cell>
          <cell r="HY315">
            <v>6</v>
          </cell>
          <cell r="HZ315" t="str">
            <v>ISO4217:USD</v>
          </cell>
          <cell r="IA315" t="b">
            <v>0</v>
          </cell>
          <cell r="IB315" t="b">
            <v>0</v>
          </cell>
        </row>
        <row r="316">
          <cell r="E316" t="str">
            <v>Raw materials</v>
          </cell>
          <cell r="G316">
            <v>17.544</v>
          </cell>
          <cell r="H316">
            <v>21.414000000000001</v>
          </cell>
          <cell r="I316">
            <v>19.902999999999999</v>
          </cell>
          <cell r="J316">
            <v>17.620999999999999</v>
          </cell>
          <cell r="K316">
            <v>23.632999999999999</v>
          </cell>
          <cell r="L316">
            <v>30.181000000000001</v>
          </cell>
          <cell r="HX316" t="str">
            <v>mstag:rawMaterials</v>
          </cell>
          <cell r="HY316">
            <v>6</v>
          </cell>
          <cell r="HZ316" t="str">
            <v>ISO4217:USD</v>
          </cell>
          <cell r="IA316" t="b">
            <v>0</v>
          </cell>
          <cell r="IB316" t="b">
            <v>0</v>
          </cell>
        </row>
        <row r="317">
          <cell r="E317" t="str">
            <v>Production supplies</v>
          </cell>
          <cell r="HX317" t="str">
            <v>mstag:productionSupplies</v>
          </cell>
          <cell r="HY317">
            <v>6</v>
          </cell>
          <cell r="HZ317" t="str">
            <v>ISO4217:USD</v>
          </cell>
          <cell r="IA317" t="b">
            <v>0</v>
          </cell>
          <cell r="IB317" t="b">
            <v>0</v>
          </cell>
        </row>
        <row r="318">
          <cell r="E318" t="str">
            <v>Work in progress</v>
          </cell>
          <cell r="G318">
            <v>84.831000000000003</v>
          </cell>
          <cell r="H318">
            <v>106.383</v>
          </cell>
          <cell r="I318">
            <v>228.09200000000001</v>
          </cell>
          <cell r="J318">
            <v>233.12100000000001</v>
          </cell>
          <cell r="K318">
            <v>299.71699999999998</v>
          </cell>
          <cell r="L318">
            <v>329.81900000000002</v>
          </cell>
          <cell r="HX318" t="str">
            <v>mstag:workInProgress</v>
          </cell>
          <cell r="HY318">
            <v>6</v>
          </cell>
          <cell r="HZ318" t="str">
            <v>ISO4217:USD</v>
          </cell>
          <cell r="IA318" t="b">
            <v>0</v>
          </cell>
          <cell r="IB318" t="b">
            <v>0</v>
          </cell>
        </row>
        <row r="319">
          <cell r="E319" t="str">
            <v>Finished goods</v>
          </cell>
          <cell r="G319">
            <v>13.651</v>
          </cell>
          <cell r="H319">
            <v>20.829000000000001</v>
          </cell>
          <cell r="I319">
            <v>27.25</v>
          </cell>
          <cell r="J319">
            <v>15.087999999999999</v>
          </cell>
          <cell r="K319">
            <v>33.595999999999997</v>
          </cell>
          <cell r="L319">
            <v>33.542000000000002</v>
          </cell>
          <cell r="HX319" t="str">
            <v>mstag:finishedGoods</v>
          </cell>
          <cell r="HY319">
            <v>6</v>
          </cell>
          <cell r="HZ319" t="str">
            <v>ISO4217:USD</v>
          </cell>
          <cell r="IA319" t="b">
            <v>0</v>
          </cell>
          <cell r="IB319" t="b">
            <v>0</v>
          </cell>
        </row>
        <row r="320">
          <cell r="E320" t="str">
            <v>Other inventories</v>
          </cell>
          <cell r="HX320" t="str">
            <v>mstag:otherInventories</v>
          </cell>
          <cell r="HY320">
            <v>6</v>
          </cell>
          <cell r="HZ320" t="str">
            <v>ISO4217:USD</v>
          </cell>
          <cell r="IA320" t="b">
            <v>0</v>
          </cell>
          <cell r="IB320" t="b">
            <v>0</v>
          </cell>
        </row>
        <row r="321">
          <cell r="D321" t="str">
            <v>Property, plant, and equipment, net</v>
          </cell>
          <cell r="G321">
            <v>680.03399999999999</v>
          </cell>
          <cell r="H321">
            <v>696.68399999999997</v>
          </cell>
          <cell r="I321">
            <v>725.43099999999993</v>
          </cell>
          <cell r="J321">
            <v>734.43600000000004</v>
          </cell>
          <cell r="K321">
            <v>835.03599999999994</v>
          </cell>
          <cell r="L321">
            <v>1015.1449999999999</v>
          </cell>
          <cell r="M321">
            <v>3040.8</v>
          </cell>
          <cell r="HX321" t="str">
            <v>mstag:propertyPlantAndEquipmentNet</v>
          </cell>
          <cell r="HY321">
            <v>6</v>
          </cell>
          <cell r="HZ321" t="str">
            <v>ISO4217:USD</v>
          </cell>
          <cell r="IA321" t="b">
            <v>0</v>
          </cell>
          <cell r="IB321" t="b">
            <v>0</v>
          </cell>
        </row>
        <row r="322">
          <cell r="E322" t="str">
            <v>Property, plant, and equipment, gross</v>
          </cell>
          <cell r="G322">
            <v>1056.125</v>
          </cell>
          <cell r="H322">
            <v>1141.8989999999999</v>
          </cell>
          <cell r="I322">
            <v>1244.9269999999999</v>
          </cell>
          <cell r="J322">
            <v>1338.768</v>
          </cell>
          <cell r="K322">
            <v>1471.2629999999999</v>
          </cell>
          <cell r="L322">
            <v>1742.7569999999998</v>
          </cell>
          <cell r="M322" t="str">
            <v/>
          </cell>
          <cell r="HX322" t="str">
            <v>mstag:propertyPlantAndEquipmentGross</v>
          </cell>
          <cell r="HY322">
            <v>6</v>
          </cell>
          <cell r="HZ322" t="str">
            <v>ISO4217:USD</v>
          </cell>
          <cell r="IA322" t="b">
            <v>0</v>
          </cell>
          <cell r="IB322" t="b">
            <v>0</v>
          </cell>
        </row>
        <row r="323">
          <cell r="F323" t="str">
            <v>Property</v>
          </cell>
          <cell r="G323">
            <v>339.70800000000003</v>
          </cell>
          <cell r="H323">
            <v>378.13299999999998</v>
          </cell>
          <cell r="I323">
            <v>380.23599999999999</v>
          </cell>
          <cell r="J323">
            <v>392.11900000000003</v>
          </cell>
          <cell r="K323">
            <v>402.47300000000001</v>
          </cell>
          <cell r="L323">
            <v>422.79</v>
          </cell>
          <cell r="HX323" t="str">
            <v>mstag:property</v>
          </cell>
          <cell r="HY323">
            <v>6</v>
          </cell>
          <cell r="HZ323" t="str">
            <v>ISO4217:USD</v>
          </cell>
          <cell r="IA323" t="b">
            <v>0</v>
          </cell>
          <cell r="IB323" t="b">
            <v>0</v>
          </cell>
        </row>
        <row r="324">
          <cell r="F324" t="str">
            <v>Plant and equipment</v>
          </cell>
          <cell r="G324">
            <v>494.87400000000002</v>
          </cell>
          <cell r="H324">
            <v>607.36900000000003</v>
          </cell>
          <cell r="I324">
            <v>667.88400000000001</v>
          </cell>
          <cell r="J324">
            <v>761.69600000000003</v>
          </cell>
          <cell r="K324">
            <v>788.19799999999998</v>
          </cell>
          <cell r="L324">
            <v>880.62400000000002</v>
          </cell>
          <cell r="HX324" t="str">
            <v>mstag:plantAndEquipment</v>
          </cell>
          <cell r="HY324">
            <v>6</v>
          </cell>
          <cell r="HZ324" t="str">
            <v>ISO4217:USD</v>
          </cell>
          <cell r="IA324" t="b">
            <v>0</v>
          </cell>
          <cell r="IB324" t="b">
            <v>0</v>
          </cell>
        </row>
        <row r="325">
          <cell r="F325" t="str">
            <v>Land</v>
          </cell>
          <cell r="G325">
            <v>69.010000000000005</v>
          </cell>
          <cell r="H325">
            <v>69.436999999999998</v>
          </cell>
          <cell r="I325">
            <v>89.983000000000004</v>
          </cell>
          <cell r="J325">
            <v>90.274000000000001</v>
          </cell>
          <cell r="K325">
            <v>125.029</v>
          </cell>
          <cell r="L325">
            <v>149.53299999999999</v>
          </cell>
          <cell r="HX325" t="str">
            <v>mstag:land</v>
          </cell>
          <cell r="HY325">
            <v>6</v>
          </cell>
          <cell r="HZ325" t="str">
            <v>ISO4217:USD</v>
          </cell>
          <cell r="IA325" t="b">
            <v>0</v>
          </cell>
          <cell r="IB325" t="b">
            <v>0</v>
          </cell>
        </row>
        <row r="326">
          <cell r="F326" t="str">
            <v>Construction in progress</v>
          </cell>
          <cell r="G326">
            <v>152.53299999999999</v>
          </cell>
          <cell r="H326">
            <v>86.96</v>
          </cell>
          <cell r="I326">
            <v>106.824</v>
          </cell>
          <cell r="J326">
            <v>94.679000000000002</v>
          </cell>
          <cell r="K326">
            <v>155.56299999999999</v>
          </cell>
          <cell r="L326">
            <v>289.81</v>
          </cell>
          <cell r="HX326" t="str">
            <v>mstag:constructionInProgress</v>
          </cell>
          <cell r="HY326">
            <v>6</v>
          </cell>
          <cell r="HZ326" t="str">
            <v>ISO4217:USD</v>
          </cell>
          <cell r="IA326" t="b">
            <v>0</v>
          </cell>
          <cell r="IB326" t="b">
            <v>0</v>
          </cell>
        </row>
        <row r="327">
          <cell r="E327" t="str">
            <v>Accumulated depreciation</v>
          </cell>
          <cell r="G327">
            <v>376.09100000000001</v>
          </cell>
          <cell r="H327">
            <v>445.21499999999997</v>
          </cell>
          <cell r="I327">
            <v>519.49599999999998</v>
          </cell>
          <cell r="J327">
            <v>604.33199999999999</v>
          </cell>
          <cell r="K327">
            <v>636.22699999999998</v>
          </cell>
          <cell r="L327">
            <v>727.61199999999997</v>
          </cell>
          <cell r="HX327" t="str">
            <v>mstag:accumulatedDepreciation</v>
          </cell>
          <cell r="HY327">
            <v>6</v>
          </cell>
          <cell r="HZ327" t="str">
            <v>ISO4217:USD</v>
          </cell>
          <cell r="IA327" t="b">
            <v>0</v>
          </cell>
          <cell r="IB327" t="b">
            <v>0</v>
          </cell>
        </row>
        <row r="328">
          <cell r="D328" t="str">
            <v>Goodwill</v>
          </cell>
          <cell r="G328">
            <v>0</v>
          </cell>
          <cell r="H328">
            <v>0</v>
          </cell>
          <cell r="I328">
            <v>1609.0630000000001</v>
          </cell>
          <cell r="J328">
            <v>1455.7779999999998</v>
          </cell>
          <cell r="K328">
            <v>1302.4929999999999</v>
          </cell>
          <cell r="L328">
            <v>1315.019</v>
          </cell>
          <cell r="M328">
            <v>1315.09</v>
          </cell>
          <cell r="HX328" t="str">
            <v>mstag:goodwill</v>
          </cell>
          <cell r="HY328">
            <v>6</v>
          </cell>
          <cell r="HZ328" t="str">
            <v>ISO4217:USD</v>
          </cell>
          <cell r="IA328" t="b">
            <v>0</v>
          </cell>
          <cell r="IB328" t="b">
            <v>0</v>
          </cell>
        </row>
        <row r="329">
          <cell r="E329" t="str">
            <v>Gross goodwill</v>
          </cell>
          <cell r="G329">
            <v>0</v>
          </cell>
          <cell r="H329">
            <v>0</v>
          </cell>
          <cell r="I329">
            <v>2299.2719999999999</v>
          </cell>
          <cell r="J329">
            <v>2299.2719999999999</v>
          </cell>
          <cell r="K329">
            <v>1302.4929999999999</v>
          </cell>
          <cell r="L329">
            <v>1315.019</v>
          </cell>
          <cell r="HX329" t="str">
            <v>mstag:grossGoodwill</v>
          </cell>
          <cell r="HY329">
            <v>6</v>
          </cell>
          <cell r="HZ329" t="str">
            <v>ISO4217:USD</v>
          </cell>
          <cell r="IA329" t="b">
            <v>0</v>
          </cell>
          <cell r="IB329" t="b">
            <v>0</v>
          </cell>
        </row>
        <row r="330">
          <cell r="E330" t="str">
            <v>Accumulated amortization of goodwill</v>
          </cell>
          <cell r="G330">
            <v>0</v>
          </cell>
          <cell r="H330">
            <v>0</v>
          </cell>
          <cell r="I330">
            <v>690.20899999999995</v>
          </cell>
          <cell r="J330">
            <v>843.49400000000003</v>
          </cell>
          <cell r="K330">
            <v>0</v>
          </cell>
          <cell r="L330">
            <v>0</v>
          </cell>
          <cell r="HX330" t="str">
            <v>mstag:accumulatedAmortizationOfGoodwill</v>
          </cell>
          <cell r="HY330">
            <v>6</v>
          </cell>
          <cell r="HZ330" t="str">
            <v>ISO4217:USD</v>
          </cell>
          <cell r="IA330" t="b">
            <v>0</v>
          </cell>
          <cell r="IB330" t="b">
            <v>0</v>
          </cell>
        </row>
        <row r="331">
          <cell r="D331" t="str">
            <v>Other intangible assets</v>
          </cell>
          <cell r="G331">
            <v>0</v>
          </cell>
          <cell r="H331">
            <v>65.033000000000001</v>
          </cell>
          <cell r="I331">
            <v>1453.268</v>
          </cell>
          <cell r="J331">
            <v>1280.3589999999999</v>
          </cell>
          <cell r="K331">
            <v>1113.299</v>
          </cell>
          <cell r="L331">
            <v>927.53800000000001</v>
          </cell>
          <cell r="M331">
            <v>810.81</v>
          </cell>
          <cell r="HX331" t="str">
            <v>mstag:otherIntangibleAssets</v>
          </cell>
          <cell r="HY331">
            <v>6</v>
          </cell>
          <cell r="HZ331" t="str">
            <v>ISO4217:USD</v>
          </cell>
          <cell r="IA331" t="b">
            <v>0</v>
          </cell>
          <cell r="IB331" t="b">
            <v>0</v>
          </cell>
        </row>
        <row r="332">
          <cell r="E332" t="str">
            <v>Other finite life intangible assets</v>
          </cell>
          <cell r="G332">
            <v>0</v>
          </cell>
          <cell r="H332">
            <v>65.033000000000001</v>
          </cell>
          <cell r="I332">
            <v>1453.268</v>
          </cell>
          <cell r="J332">
            <v>1280.3589999999999</v>
          </cell>
          <cell r="K332">
            <v>1113.299</v>
          </cell>
          <cell r="L332">
            <v>927.53800000000001</v>
          </cell>
          <cell r="HX332" t="str">
            <v>mstag:otherFiniteLifeIntangibleAssets</v>
          </cell>
          <cell r="HY332">
            <v>6</v>
          </cell>
          <cell r="HZ332" t="str">
            <v>ISO4217:USD</v>
          </cell>
          <cell r="IA332" t="b">
            <v>0</v>
          </cell>
          <cell r="IB332" t="b">
            <v>0</v>
          </cell>
        </row>
        <row r="333">
          <cell r="E333" t="str">
            <v>Other indefinite life intangible assets</v>
          </cell>
          <cell r="HX333" t="str">
            <v>mstag:otherIndefiniteLifeIntangibleAssets</v>
          </cell>
          <cell r="HY333">
            <v>6</v>
          </cell>
          <cell r="HZ333" t="str">
            <v>ISO4217:USD</v>
          </cell>
          <cell r="IA333" t="b">
            <v>0</v>
          </cell>
          <cell r="IB333" t="b">
            <v>0</v>
          </cell>
        </row>
        <row r="334">
          <cell r="D334" t="str">
            <v>Investments, nonoperating</v>
          </cell>
          <cell r="G334">
            <v>1042.0409999999999</v>
          </cell>
          <cell r="H334">
            <v>1323.432</v>
          </cell>
          <cell r="I334">
            <v>1563.16</v>
          </cell>
          <cell r="J334">
            <v>1851.3900000000003</v>
          </cell>
          <cell r="K334">
            <v>2469.6880000000001</v>
          </cell>
          <cell r="L334">
            <v>1393.7280000000001</v>
          </cell>
          <cell r="M334">
            <v>1139.6199999999999</v>
          </cell>
          <cell r="HX334" t="str">
            <v>mstag:investmentsNonOperating</v>
          </cell>
          <cell r="HY334">
            <v>6</v>
          </cell>
          <cell r="HZ334" t="str">
            <v>ISO4217:USD</v>
          </cell>
          <cell r="IA334" t="b">
            <v>0</v>
          </cell>
          <cell r="IB334" t="b">
            <v>0</v>
          </cell>
        </row>
        <row r="335">
          <cell r="E335" t="str">
            <v>Short-term investments</v>
          </cell>
          <cell r="G335">
            <v>588.85299999999995</v>
          </cell>
          <cell r="H335">
            <v>606.54399999999998</v>
          </cell>
          <cell r="I335">
            <v>405.00299999999999</v>
          </cell>
          <cell r="J335">
            <v>642.47500000000002</v>
          </cell>
          <cell r="K335">
            <v>952.875</v>
          </cell>
          <cell r="L335">
            <v>826.44200000000001</v>
          </cell>
          <cell r="HX335" t="str">
            <v>mstag:shortTermInvestments</v>
          </cell>
          <cell r="HY335">
            <v>6</v>
          </cell>
          <cell r="HZ335" t="str">
            <v>ISO4217:USD</v>
          </cell>
          <cell r="IA335" t="b">
            <v>0</v>
          </cell>
          <cell r="IB335" t="b">
            <v>0</v>
          </cell>
        </row>
        <row r="336">
          <cell r="E336" t="str">
            <v>Long-term investments, nonoperating</v>
          </cell>
          <cell r="G336">
            <v>453.18799999999999</v>
          </cell>
          <cell r="H336">
            <v>716.88800000000003</v>
          </cell>
          <cell r="I336">
            <v>1158.1570000000002</v>
          </cell>
          <cell r="J336">
            <v>1208.9150000000002</v>
          </cell>
          <cell r="K336">
            <v>1516.8130000000001</v>
          </cell>
          <cell r="L336">
            <v>567.28599999999994</v>
          </cell>
          <cell r="HX336" t="str">
            <v>mstag:longTermInvestmentsNonOperating</v>
          </cell>
          <cell r="HY336">
            <v>6</v>
          </cell>
          <cell r="HZ336" t="str">
            <v>ISO4217:USD</v>
          </cell>
          <cell r="IA336" t="b">
            <v>0</v>
          </cell>
          <cell r="IB336" t="b">
            <v>0</v>
          </cell>
        </row>
        <row r="337">
          <cell r="D337" t="str">
            <v>Investments under the equity method, operating</v>
          </cell>
          <cell r="G337" t="str">
            <v/>
          </cell>
          <cell r="H337" t="str">
            <v/>
          </cell>
          <cell r="I337" t="str">
            <v/>
          </cell>
          <cell r="J337" t="str">
            <v/>
          </cell>
          <cell r="K337" t="str">
            <v/>
          </cell>
          <cell r="L337" t="str">
            <v/>
          </cell>
          <cell r="M337" t="str">
            <v/>
          </cell>
          <cell r="HX337" t="str">
            <v>mstag:investmentsUnderTheEquityMethodOperating</v>
          </cell>
          <cell r="HY337">
            <v>6</v>
          </cell>
          <cell r="HZ337" t="str">
            <v>ISO4217:USD</v>
          </cell>
          <cell r="IA337" t="b">
            <v>0</v>
          </cell>
          <cell r="IB337" t="b">
            <v>0</v>
          </cell>
        </row>
        <row r="338">
          <cell r="E338" t="str">
            <v>Investments in subsidiaries</v>
          </cell>
          <cell r="HX338" t="str">
            <v>mstag:investmentsInSubsidiaries</v>
          </cell>
          <cell r="HY338">
            <v>6</v>
          </cell>
          <cell r="HZ338" t="str">
            <v>ISO4217:USD</v>
          </cell>
          <cell r="IA338" t="b">
            <v>0</v>
          </cell>
          <cell r="IB338" t="b">
            <v>0</v>
          </cell>
        </row>
        <row r="339">
          <cell r="E339" t="str">
            <v>Investments in associates</v>
          </cell>
          <cell r="HX339" t="str">
            <v>mstag:investmentsInAssociates</v>
          </cell>
          <cell r="HY339">
            <v>6</v>
          </cell>
          <cell r="HZ339" t="str">
            <v>ISO4217:USD</v>
          </cell>
          <cell r="IA339" t="b">
            <v>0</v>
          </cell>
          <cell r="IB339" t="b">
            <v>0</v>
          </cell>
        </row>
        <row r="340">
          <cell r="E340" t="str">
            <v>Investments in joint ventures</v>
          </cell>
          <cell r="HX340" t="str">
            <v>mstag:investmentsInJointVentures</v>
          </cell>
          <cell r="HY340">
            <v>6</v>
          </cell>
          <cell r="HZ340" t="str">
            <v>ISO4217:USD</v>
          </cell>
          <cell r="IA340" t="b">
            <v>0</v>
          </cell>
          <cell r="IB340" t="b">
            <v>0</v>
          </cell>
        </row>
        <row r="341">
          <cell r="D341" t="str">
            <v>Investments under the equity method, nonoperating</v>
          </cell>
          <cell r="HX341" t="str">
            <v>mstag:investmentsUnderTheEquityMethodNonOperating</v>
          </cell>
          <cell r="HY341">
            <v>6</v>
          </cell>
          <cell r="HZ341" t="str">
            <v>ISO4217:USD</v>
          </cell>
          <cell r="IA341" t="b">
            <v>0</v>
          </cell>
          <cell r="IB341" t="b">
            <v>0</v>
          </cell>
        </row>
        <row r="342">
          <cell r="D342" t="str">
            <v>Deferred tax assets</v>
          </cell>
          <cell r="G342">
            <v>0</v>
          </cell>
          <cell r="H342">
            <v>38.848999999999997</v>
          </cell>
          <cell r="I342">
            <v>81.921999999999997</v>
          </cell>
          <cell r="J342">
            <v>40.619</v>
          </cell>
          <cell r="K342">
            <v>139.56700000000001</v>
          </cell>
          <cell r="L342">
            <v>82.299000000000007</v>
          </cell>
          <cell r="M342">
            <v>121.88500000000001</v>
          </cell>
          <cell r="HX342" t="str">
            <v>mstag:deferredTaxAssets</v>
          </cell>
          <cell r="HY342">
            <v>6</v>
          </cell>
          <cell r="HZ342" t="str">
            <v>ISO4217:USD</v>
          </cell>
          <cell r="IA342" t="b">
            <v>0</v>
          </cell>
          <cell r="IB342" t="b">
            <v>0</v>
          </cell>
        </row>
        <row r="343">
          <cell r="E343" t="str">
            <v>Deferred tax assets, current</v>
          </cell>
          <cell r="G343">
            <v>0</v>
          </cell>
          <cell r="H343">
            <v>38.848999999999997</v>
          </cell>
          <cell r="I343">
            <v>81.921999999999997</v>
          </cell>
          <cell r="J343">
            <v>40.619</v>
          </cell>
          <cell r="K343">
            <v>139.56700000000001</v>
          </cell>
          <cell r="L343">
            <v>82.299000000000007</v>
          </cell>
          <cell r="HX343" t="str">
            <v>mstag:deferredTaxAssetsCurrent</v>
          </cell>
          <cell r="HY343">
            <v>6</v>
          </cell>
          <cell r="HZ343" t="str">
            <v>ISO4217:USD</v>
          </cell>
          <cell r="IA343" t="b">
            <v>0</v>
          </cell>
          <cell r="IB343" t="b">
            <v>0</v>
          </cell>
        </row>
        <row r="344">
          <cell r="E344" t="str">
            <v>Deferred tax assets, noncurrent</v>
          </cell>
          <cell r="HX344" t="str">
            <v>mstag:deferredTaxAssetsNonCurrent</v>
          </cell>
          <cell r="HY344">
            <v>6</v>
          </cell>
          <cell r="HZ344" t="str">
            <v>ISO4217:USD</v>
          </cell>
          <cell r="IA344" t="b">
            <v>0</v>
          </cell>
          <cell r="IB344" t="b">
            <v>0</v>
          </cell>
        </row>
        <row r="345">
          <cell r="D345" t="str">
            <v>Pension and other postretirement assets</v>
          </cell>
          <cell r="HX345" t="str">
            <v>mstag:pensionAndOtherPostRetirementAssets</v>
          </cell>
          <cell r="HY345">
            <v>6</v>
          </cell>
          <cell r="HZ345" t="str">
            <v>ISO4217:USD</v>
          </cell>
          <cell r="IA345" t="b">
            <v>0</v>
          </cell>
          <cell r="IB345" t="b">
            <v>0</v>
          </cell>
        </row>
        <row r="346">
          <cell r="D346" t="str">
            <v>Investment in own shares, asset</v>
          </cell>
          <cell r="G346" t="str">
            <v/>
          </cell>
          <cell r="H346" t="str">
            <v/>
          </cell>
          <cell r="I346" t="str">
            <v/>
          </cell>
          <cell r="J346" t="str">
            <v/>
          </cell>
          <cell r="K346" t="str">
            <v/>
          </cell>
          <cell r="L346" t="str">
            <v/>
          </cell>
          <cell r="M346" t="str">
            <v/>
          </cell>
          <cell r="HX346" t="str">
            <v>mstag:investmentInOwnSharesAsset</v>
          </cell>
          <cell r="HY346">
            <v>6</v>
          </cell>
          <cell r="HZ346" t="str">
            <v>ISO4217:USD</v>
          </cell>
          <cell r="IA346" t="b">
            <v>0</v>
          </cell>
          <cell r="IB346" t="b">
            <v>0</v>
          </cell>
        </row>
        <row r="347">
          <cell r="E347" t="str">
            <v>Investment in ESOP trusts</v>
          </cell>
          <cell r="HX347" t="str">
            <v>mstag:investmentInEsopTrusts</v>
          </cell>
          <cell r="HY347">
            <v>6</v>
          </cell>
          <cell r="HZ347" t="str">
            <v>ISO4217:USD</v>
          </cell>
          <cell r="IA347" t="b">
            <v>0</v>
          </cell>
          <cell r="IB347" t="b">
            <v>0</v>
          </cell>
        </row>
        <row r="348">
          <cell r="D348" t="str">
            <v>Other assets, operating</v>
          </cell>
          <cell r="G348">
            <v>180.47200000000001</v>
          </cell>
          <cell r="H348">
            <v>134.839</v>
          </cell>
          <cell r="I348">
            <v>262.35599999999999</v>
          </cell>
          <cell r="J348">
            <v>243.51399999999998</v>
          </cell>
          <cell r="K348">
            <v>180.42099999999999</v>
          </cell>
          <cell r="L348">
            <v>953.49500000000012</v>
          </cell>
          <cell r="M348" t="str">
            <v/>
          </cell>
          <cell r="HX348" t="str">
            <v>mstag:otherAssets</v>
          </cell>
          <cell r="HY348">
            <v>6</v>
          </cell>
          <cell r="HZ348" t="str">
            <v>ISO4217:USD</v>
          </cell>
          <cell r="IA348" t="b">
            <v>0</v>
          </cell>
          <cell r="IB348" t="b">
            <v>0</v>
          </cell>
        </row>
        <row r="349">
          <cell r="E349" t="str">
            <v>Other assets, operating, current</v>
          </cell>
          <cell r="G349">
            <v>0</v>
          </cell>
          <cell r="H349">
            <v>0</v>
          </cell>
          <cell r="I349">
            <v>56.6</v>
          </cell>
          <cell r="J349">
            <v>56.6</v>
          </cell>
          <cell r="K349">
            <v>79.167000000000002</v>
          </cell>
          <cell r="L349">
            <v>789.74800000000005</v>
          </cell>
          <cell r="HX349" t="str">
            <v>mstag:otherAssetsOperatingCurrent</v>
          </cell>
          <cell r="HY349">
            <v>6</v>
          </cell>
          <cell r="HZ349" t="str">
            <v>ISO4217:USD</v>
          </cell>
          <cell r="IA349" t="b">
            <v>0</v>
          </cell>
          <cell r="IB349" t="b">
            <v>0</v>
          </cell>
        </row>
        <row r="350">
          <cell r="E350" t="str">
            <v>Other assets, operating, noncurrent</v>
          </cell>
          <cell r="G350">
            <v>180.47200000000001</v>
          </cell>
          <cell r="H350">
            <v>134.839</v>
          </cell>
          <cell r="I350">
            <v>205.756</v>
          </cell>
          <cell r="J350">
            <v>186.91399999999999</v>
          </cell>
          <cell r="K350">
            <v>101.254</v>
          </cell>
          <cell r="L350">
            <v>163.74700000000001</v>
          </cell>
          <cell r="HX350" t="str">
            <v>mstag:otherAssetsOperatingNonCurrent</v>
          </cell>
          <cell r="HY350">
            <v>6</v>
          </cell>
          <cell r="HZ350" t="str">
            <v>ISO4217:USD</v>
          </cell>
          <cell r="IA350" t="b">
            <v>0</v>
          </cell>
          <cell r="IB350" t="b">
            <v>0</v>
          </cell>
        </row>
        <row r="351">
          <cell r="D351" t="str">
            <v>Other assets, nonoperating</v>
          </cell>
          <cell r="G351" t="str">
            <v/>
          </cell>
          <cell r="H351" t="str">
            <v/>
          </cell>
          <cell r="I351" t="str">
            <v/>
          </cell>
          <cell r="J351" t="str">
            <v/>
          </cell>
          <cell r="K351" t="str">
            <v/>
          </cell>
          <cell r="L351" t="str">
            <v/>
          </cell>
          <cell r="M351">
            <v>812.7</v>
          </cell>
          <cell r="HX351" t="str">
            <v>mstag:otherAssetsNonOperating</v>
          </cell>
          <cell r="HY351">
            <v>6</v>
          </cell>
          <cell r="HZ351" t="str">
            <v>ISO4217:USD</v>
          </cell>
          <cell r="IA351" t="b">
            <v>0</v>
          </cell>
          <cell r="IB351" t="b">
            <v>0</v>
          </cell>
        </row>
        <row r="352">
          <cell r="E352" t="str">
            <v>Other assets, nonoperating, current</v>
          </cell>
          <cell r="HX352" t="str">
            <v>mstag:otherAssetsNonOperatingCurrent</v>
          </cell>
          <cell r="HY352">
            <v>6</v>
          </cell>
          <cell r="HZ352" t="str">
            <v>ISO4217:USD</v>
          </cell>
          <cell r="IA352" t="b">
            <v>0</v>
          </cell>
          <cell r="IB352" t="b">
            <v>0</v>
          </cell>
        </row>
        <row r="353">
          <cell r="E353" t="str">
            <v>Other assets, nonoperating, noncurrent</v>
          </cell>
          <cell r="HX353" t="str">
            <v>mstag:otherAssetsNonOperatingNonCurrent</v>
          </cell>
          <cell r="HY353">
            <v>6</v>
          </cell>
          <cell r="HZ353" t="str">
            <v>ISO4217:USD</v>
          </cell>
          <cell r="IA353" t="b">
            <v>0</v>
          </cell>
          <cell r="IB353" t="b">
            <v>0</v>
          </cell>
        </row>
        <row r="354">
          <cell r="D354" t="str">
            <v>Assets of discontinued operations</v>
          </cell>
          <cell r="HX354" t="str">
            <v>mstag:assetsOfDiscontinuedOperations</v>
          </cell>
          <cell r="HY354">
            <v>6</v>
          </cell>
          <cell r="HZ354" t="str">
            <v>ISO4217:USD</v>
          </cell>
          <cell r="IA354" t="b">
            <v>0</v>
          </cell>
          <cell r="IB354" t="b">
            <v>0</v>
          </cell>
        </row>
        <row r="355">
          <cell r="C355" t="str">
            <v>Liabilities and equity</v>
          </cell>
          <cell r="M355">
            <v>8736.0156437000005</v>
          </cell>
          <cell r="HX355" t="str">
            <v>mstag:liabilitiesAndEquity</v>
          </cell>
          <cell r="HY355">
            <v>6</v>
          </cell>
          <cell r="HZ355" t="str">
            <v>ISO4217:USD</v>
          </cell>
          <cell r="IA355" t="b">
            <v>0</v>
          </cell>
          <cell r="IB355" t="b">
            <v>0</v>
          </cell>
        </row>
        <row r="356">
          <cell r="D356" t="str">
            <v>Trade and other payables</v>
          </cell>
          <cell r="G356">
            <v>48.991999999999997</v>
          </cell>
          <cell r="H356">
            <v>40.895000000000003</v>
          </cell>
          <cell r="I356">
            <v>33.122999999999998</v>
          </cell>
          <cell r="J356">
            <v>39.113999999999997</v>
          </cell>
          <cell r="K356">
            <v>33.347999999999999</v>
          </cell>
          <cell r="L356">
            <v>51.38</v>
          </cell>
          <cell r="M356">
            <v>59.7</v>
          </cell>
          <cell r="HX356" t="str">
            <v>mstag:tradeAndOtherPayables</v>
          </cell>
          <cell r="HY356">
            <v>6</v>
          </cell>
          <cell r="HZ356" t="str">
            <v>ISO4217:USD</v>
          </cell>
          <cell r="IA356" t="b">
            <v>0</v>
          </cell>
          <cell r="IB356" t="b">
            <v>0</v>
          </cell>
        </row>
        <row r="357">
          <cell r="E357" t="str">
            <v>Trade and other payables, current</v>
          </cell>
          <cell r="G357">
            <v>48.991999999999997</v>
          </cell>
          <cell r="H357">
            <v>40.895000000000003</v>
          </cell>
          <cell r="I357">
            <v>33.122999999999998</v>
          </cell>
          <cell r="J357">
            <v>39.113999999999997</v>
          </cell>
          <cell r="K357">
            <v>33.347999999999999</v>
          </cell>
          <cell r="L357">
            <v>51.38</v>
          </cell>
          <cell r="M357" t="str">
            <v/>
          </cell>
          <cell r="HX357" t="str">
            <v>mstag:tradeAndOtherPayablesCurrent</v>
          </cell>
          <cell r="HY357">
            <v>6</v>
          </cell>
          <cell r="HZ357" t="str">
            <v>ISO4217:USD</v>
          </cell>
          <cell r="IA357" t="b">
            <v>0</v>
          </cell>
          <cell r="IB357" t="b">
            <v>0</v>
          </cell>
        </row>
        <row r="358">
          <cell r="F358" t="str">
            <v>Trade payables, current</v>
          </cell>
          <cell r="G358">
            <v>48.991999999999997</v>
          </cell>
          <cell r="H358">
            <v>40.895000000000003</v>
          </cell>
          <cell r="I358">
            <v>33.122999999999998</v>
          </cell>
          <cell r="J358">
            <v>39.113999999999997</v>
          </cell>
          <cell r="K358">
            <v>33.347999999999999</v>
          </cell>
          <cell r="L358">
            <v>51.38</v>
          </cell>
          <cell r="HX358" t="str">
            <v>mstag:tradePayablesCurrent</v>
          </cell>
          <cell r="HY358">
            <v>6</v>
          </cell>
          <cell r="HZ358" t="str">
            <v>ISO4217:USD</v>
          </cell>
          <cell r="IA358" t="b">
            <v>0</v>
          </cell>
          <cell r="IB358" t="b">
            <v>0</v>
          </cell>
        </row>
        <row r="359">
          <cell r="F359" t="str">
            <v>Other payables, current</v>
          </cell>
          <cell r="HX359" t="str">
            <v>mstag:otherPayablesCurrent</v>
          </cell>
          <cell r="HY359">
            <v>6</v>
          </cell>
          <cell r="HZ359" t="str">
            <v>ISO4217:USD</v>
          </cell>
          <cell r="IA359" t="b">
            <v>0</v>
          </cell>
          <cell r="IB359" t="b">
            <v>0</v>
          </cell>
        </row>
        <row r="360">
          <cell r="E360" t="str">
            <v>Trade and other payables, noncurrent</v>
          </cell>
          <cell r="G360" t="str">
            <v/>
          </cell>
          <cell r="H360" t="str">
            <v/>
          </cell>
          <cell r="I360" t="str">
            <v/>
          </cell>
          <cell r="J360" t="str">
            <v/>
          </cell>
          <cell r="K360" t="str">
            <v/>
          </cell>
          <cell r="L360" t="str">
            <v/>
          </cell>
          <cell r="M360" t="str">
            <v/>
          </cell>
          <cell r="HX360" t="str">
            <v>mstag:tradeAndOtherPayablesNonCurrent</v>
          </cell>
          <cell r="HY360">
            <v>6</v>
          </cell>
          <cell r="HZ360" t="str">
            <v>ISO4217:USD</v>
          </cell>
          <cell r="IA360" t="b">
            <v>0</v>
          </cell>
          <cell r="IB360" t="b">
            <v>0</v>
          </cell>
        </row>
        <row r="361">
          <cell r="F361" t="str">
            <v>Trade payables, noncurrent</v>
          </cell>
          <cell r="HX361" t="str">
            <v>mstag:tradePayablesNonCurrent</v>
          </cell>
          <cell r="HY361">
            <v>6</v>
          </cell>
          <cell r="HZ361" t="str">
            <v>ISO4217:USD</v>
          </cell>
          <cell r="IA361" t="b">
            <v>0</v>
          </cell>
          <cell r="IB361" t="b">
            <v>0</v>
          </cell>
        </row>
        <row r="362">
          <cell r="F362" t="str">
            <v>Other payables, noncurrent</v>
          </cell>
          <cell r="HX362" t="str">
            <v>mstag:otherPayablesNonCurrent</v>
          </cell>
          <cell r="HY362">
            <v>6</v>
          </cell>
          <cell r="HZ362" t="str">
            <v>ISO4217:USD</v>
          </cell>
          <cell r="IA362" t="b">
            <v>0</v>
          </cell>
          <cell r="IB362" t="b">
            <v>0</v>
          </cell>
        </row>
        <row r="363">
          <cell r="D363" t="str">
            <v>Dividends payable</v>
          </cell>
          <cell r="HX363" t="str">
            <v>mstag:dividendsPayable</v>
          </cell>
          <cell r="HY363">
            <v>6</v>
          </cell>
          <cell r="HZ363" t="str">
            <v>ISO4217:USD</v>
          </cell>
          <cell r="IA363" t="b">
            <v>0</v>
          </cell>
          <cell r="IB363" t="b">
            <v>0</v>
          </cell>
        </row>
        <row r="364">
          <cell r="D364" t="str">
            <v>Short-term borrowings, up to 1 year</v>
          </cell>
          <cell r="G364">
            <v>0</v>
          </cell>
          <cell r="H364">
            <v>0</v>
          </cell>
          <cell r="I364">
            <v>0</v>
          </cell>
          <cell r="J364">
            <v>0</v>
          </cell>
          <cell r="K364">
            <v>149.69200000000001</v>
          </cell>
          <cell r="L364">
            <v>0</v>
          </cell>
          <cell r="HX364" t="str">
            <v>mstag:shortTermBorrowings</v>
          </cell>
          <cell r="HY364">
            <v>6</v>
          </cell>
          <cell r="HZ364" t="str">
            <v>ISO4217:USD</v>
          </cell>
          <cell r="IA364" t="b">
            <v>0</v>
          </cell>
          <cell r="IB364" t="b">
            <v>0</v>
          </cell>
        </row>
        <row r="365">
          <cell r="D365" t="str">
            <v>Other interest bearing liabilities</v>
          </cell>
          <cell r="G365" t="str">
            <v/>
          </cell>
          <cell r="H365" t="str">
            <v/>
          </cell>
          <cell r="I365" t="str">
            <v/>
          </cell>
          <cell r="J365" t="str">
            <v/>
          </cell>
          <cell r="K365" t="str">
            <v/>
          </cell>
          <cell r="L365" t="str">
            <v/>
          </cell>
          <cell r="M365" t="str">
            <v/>
          </cell>
          <cell r="HX365" t="str">
            <v>mstag:otherInterestBearingLiabilities</v>
          </cell>
          <cell r="HY365">
            <v>6</v>
          </cell>
          <cell r="HZ365" t="str">
            <v>ISO4217:USD</v>
          </cell>
          <cell r="IA365" t="b">
            <v>0</v>
          </cell>
          <cell r="IB365" t="b">
            <v>0</v>
          </cell>
        </row>
        <row r="366">
          <cell r="E366" t="str">
            <v>Asset retirement obligations</v>
          </cell>
          <cell r="HX366" t="str">
            <v>mstag:assetRetirementObligations</v>
          </cell>
          <cell r="HY366">
            <v>6</v>
          </cell>
          <cell r="HZ366" t="str">
            <v>ISO4217:USD</v>
          </cell>
          <cell r="IA366" t="b">
            <v>0</v>
          </cell>
          <cell r="IB366" t="b">
            <v>0</v>
          </cell>
        </row>
        <row r="367">
          <cell r="E367" t="str">
            <v>Decommissioning, restoration, and similar liabilities</v>
          </cell>
          <cell r="HX367" t="str">
            <v>mstag:decommissioningRestorationAndSimilarLiabilities</v>
          </cell>
          <cell r="HY367">
            <v>6</v>
          </cell>
          <cell r="HZ367" t="str">
            <v>ISO4217:USD</v>
          </cell>
          <cell r="IA367" t="b">
            <v>0</v>
          </cell>
          <cell r="IB367" t="b">
            <v>0</v>
          </cell>
        </row>
        <row r="368">
          <cell r="E368" t="str">
            <v>Environmental liabilities, interest bearing</v>
          </cell>
          <cell r="HX368" t="str">
            <v>mstag:environmentalLiabilitiesInterestBearing</v>
          </cell>
          <cell r="HY368">
            <v>6</v>
          </cell>
          <cell r="HZ368" t="str">
            <v>ISO4217:USD</v>
          </cell>
          <cell r="IA368" t="b">
            <v>0</v>
          </cell>
          <cell r="IB368" t="b">
            <v>0</v>
          </cell>
        </row>
        <row r="369">
          <cell r="E369" t="str">
            <v>Other interest bearing provisions</v>
          </cell>
          <cell r="HX369" t="str">
            <v>mstag:otherInterestBearingProvisions</v>
          </cell>
          <cell r="HY369">
            <v>6</v>
          </cell>
          <cell r="HZ369" t="str">
            <v>ISO4217:USD</v>
          </cell>
          <cell r="IA369" t="b">
            <v>0</v>
          </cell>
          <cell r="IB369" t="b">
            <v>0</v>
          </cell>
        </row>
        <row r="370">
          <cell r="D370" t="str">
            <v>Income tax payable</v>
          </cell>
          <cell r="G370">
            <v>40.292999999999999</v>
          </cell>
          <cell r="H370">
            <v>46.447000000000003</v>
          </cell>
          <cell r="I370">
            <v>0</v>
          </cell>
          <cell r="J370">
            <v>29.021999999999998</v>
          </cell>
          <cell r="K370">
            <v>64.227000000000004</v>
          </cell>
          <cell r="L370">
            <v>85.405000000000001</v>
          </cell>
          <cell r="M370" t="str">
            <v/>
          </cell>
          <cell r="HX370" t="str">
            <v>mstag:incomeTaxPayable</v>
          </cell>
          <cell r="HY370">
            <v>6</v>
          </cell>
          <cell r="HZ370" t="str">
            <v>ISO4217:USD</v>
          </cell>
          <cell r="IA370" t="b">
            <v>0</v>
          </cell>
          <cell r="IB370" t="b">
            <v>0</v>
          </cell>
        </row>
        <row r="371">
          <cell r="E371" t="str">
            <v>Income tax payable, operating</v>
          </cell>
          <cell r="G371">
            <v>40.292999999999999</v>
          </cell>
          <cell r="H371">
            <v>46.447000000000003</v>
          </cell>
          <cell r="I371">
            <v>0</v>
          </cell>
          <cell r="J371">
            <v>29.021999999999998</v>
          </cell>
          <cell r="K371">
            <v>64.227000000000004</v>
          </cell>
          <cell r="L371">
            <v>85.405000000000001</v>
          </cell>
          <cell r="HX371" t="str">
            <v>mstag:incomeTaxPayableOperating</v>
          </cell>
          <cell r="HY371">
            <v>6</v>
          </cell>
          <cell r="HZ371" t="str">
            <v>ISO4217:USD</v>
          </cell>
          <cell r="IA371" t="b">
            <v>0</v>
          </cell>
          <cell r="IB371" t="b">
            <v>0</v>
          </cell>
        </row>
        <row r="372">
          <cell r="E372" t="str">
            <v>Income tax payable, financing</v>
          </cell>
          <cell r="HX372" t="str">
            <v>mstag:incomeTaxPayableFinancing</v>
          </cell>
          <cell r="HY372">
            <v>6</v>
          </cell>
          <cell r="HZ372" t="str">
            <v>ISO4217:USD</v>
          </cell>
          <cell r="IA372" t="b">
            <v>0</v>
          </cell>
          <cell r="IB372" t="b">
            <v>0</v>
          </cell>
        </row>
        <row r="373">
          <cell r="E373" t="str">
            <v>Income tax payable, other</v>
          </cell>
          <cell r="HX373" t="str">
            <v>mstag:incomeTaxPayableOther</v>
          </cell>
          <cell r="HY373">
            <v>6</v>
          </cell>
          <cell r="HZ373" t="str">
            <v>ISO4217:USD</v>
          </cell>
          <cell r="IA373" t="b">
            <v>0</v>
          </cell>
          <cell r="IB373" t="b">
            <v>0</v>
          </cell>
        </row>
        <row r="374">
          <cell r="D374" t="str">
            <v>Accrued expenses</v>
          </cell>
          <cell r="G374">
            <v>129.167</v>
          </cell>
          <cell r="H374">
            <v>115.401</v>
          </cell>
          <cell r="I374">
            <v>346.31399999999996</v>
          </cell>
          <cell r="J374">
            <v>258.94800000000004</v>
          </cell>
          <cell r="K374">
            <v>274.63800000000003</v>
          </cell>
          <cell r="L374">
            <v>366.18299999999999</v>
          </cell>
          <cell r="M374">
            <v>765.85</v>
          </cell>
          <cell r="HX374" t="str">
            <v>mstag:accruedExpenses</v>
          </cell>
          <cell r="HY374">
            <v>6</v>
          </cell>
          <cell r="HZ374" t="str">
            <v>ISO4217:USD</v>
          </cell>
          <cell r="IA374" t="b">
            <v>0</v>
          </cell>
          <cell r="IB374" t="b">
            <v>0</v>
          </cell>
        </row>
        <row r="375">
          <cell r="E375" t="str">
            <v>Payroll and benefits-related liabilities</v>
          </cell>
          <cell r="G375">
            <v>44.624000000000002</v>
          </cell>
          <cell r="H375">
            <v>47.057000000000002</v>
          </cell>
          <cell r="I375">
            <v>52.005000000000003</v>
          </cell>
          <cell r="J375">
            <v>56.027999999999999</v>
          </cell>
          <cell r="K375">
            <v>63.103000000000002</v>
          </cell>
          <cell r="L375">
            <v>77.238</v>
          </cell>
          <cell r="HX375" t="str">
            <v>mstag:payrollAndBenefitsRelatedLiabilities</v>
          </cell>
          <cell r="HY375">
            <v>6</v>
          </cell>
          <cell r="HZ375" t="str">
            <v>ISO4217:USD</v>
          </cell>
          <cell r="IA375" t="b">
            <v>0</v>
          </cell>
          <cell r="IB375" t="b">
            <v>0</v>
          </cell>
        </row>
        <row r="376">
          <cell r="E376" t="str">
            <v>Accrued taxes, other than income tax</v>
          </cell>
          <cell r="HX376" t="str">
            <v>mstag:accruedTaxesOtherThanIncomeTax</v>
          </cell>
          <cell r="HY376">
            <v>6</v>
          </cell>
          <cell r="HZ376" t="str">
            <v>ISO4217:USD</v>
          </cell>
          <cell r="IA376" t="b">
            <v>0</v>
          </cell>
          <cell r="IB376" t="b">
            <v>0</v>
          </cell>
        </row>
        <row r="377">
          <cell r="E377" t="str">
            <v>Other accrued expenses</v>
          </cell>
          <cell r="G377">
            <v>84.543000000000006</v>
          </cell>
          <cell r="H377">
            <v>68.343999999999994</v>
          </cell>
          <cell r="I377">
            <v>294.30899999999997</v>
          </cell>
          <cell r="J377">
            <v>202.92000000000002</v>
          </cell>
          <cell r="K377">
            <v>211.53500000000003</v>
          </cell>
          <cell r="L377">
            <v>288.94499999999999</v>
          </cell>
          <cell r="HX377" t="str">
            <v>mstag:otherAccruedExpenses</v>
          </cell>
          <cell r="HY377">
            <v>6</v>
          </cell>
          <cell r="HZ377" t="str">
            <v>ISO4217:USD</v>
          </cell>
          <cell r="IA377" t="b">
            <v>0</v>
          </cell>
          <cell r="IB377" t="b">
            <v>0</v>
          </cell>
        </row>
        <row r="378">
          <cell r="D378" t="str">
            <v>Long-term debt, greater than 1 year</v>
          </cell>
          <cell r="G378">
            <v>150</v>
          </cell>
          <cell r="H378">
            <v>149.99</v>
          </cell>
          <cell r="I378">
            <v>149.708</v>
          </cell>
          <cell r="J378">
            <v>149.69200000000001</v>
          </cell>
          <cell r="K378">
            <v>0</v>
          </cell>
          <cell r="L378">
            <v>0</v>
          </cell>
          <cell r="M378">
            <v>412.25</v>
          </cell>
          <cell r="HX378" t="str">
            <v>mstag:longTermDebt</v>
          </cell>
          <cell r="HY378">
            <v>6</v>
          </cell>
          <cell r="HZ378" t="str">
            <v>ISO4217:USD</v>
          </cell>
          <cell r="IA378" t="b">
            <v>0</v>
          </cell>
          <cell r="IB378" t="b">
            <v>0</v>
          </cell>
        </row>
        <row r="379">
          <cell r="E379" t="str">
            <v>Senior debt</v>
          </cell>
          <cell r="HX379" t="str">
            <v>mstag:seniorDebtCi</v>
          </cell>
          <cell r="HY379">
            <v>6</v>
          </cell>
          <cell r="HZ379" t="str">
            <v>ISO4217:USD</v>
          </cell>
          <cell r="IA379" t="b">
            <v>0</v>
          </cell>
          <cell r="IB379" t="b">
            <v>0</v>
          </cell>
        </row>
        <row r="380">
          <cell r="E380" t="str">
            <v>Subordinated debt</v>
          </cell>
          <cell r="HX380" t="str">
            <v>mstag:subordinatedDebtBalSheetCi</v>
          </cell>
          <cell r="HY380">
            <v>6</v>
          </cell>
          <cell r="HZ380" t="str">
            <v>ISO4217:USD</v>
          </cell>
          <cell r="IA380" t="b">
            <v>0</v>
          </cell>
          <cell r="IB380" t="b">
            <v>0</v>
          </cell>
        </row>
        <row r="381">
          <cell r="E381" t="str">
            <v>Capital lease obligations</v>
          </cell>
          <cell r="HX381" t="str">
            <v>mstag:capitalLeaseObligationsCi</v>
          </cell>
          <cell r="HY381">
            <v>6</v>
          </cell>
          <cell r="HZ381" t="str">
            <v>ISO4217:USD</v>
          </cell>
          <cell r="IA381" t="b">
            <v>0</v>
          </cell>
          <cell r="IB381" t="b">
            <v>0</v>
          </cell>
        </row>
        <row r="382">
          <cell r="E382" t="str">
            <v>Other long-term debt</v>
          </cell>
          <cell r="G382">
            <v>150</v>
          </cell>
          <cell r="H382">
            <v>149.99</v>
          </cell>
          <cell r="I382">
            <v>149.708</v>
          </cell>
          <cell r="J382">
            <v>149.69200000000001</v>
          </cell>
          <cell r="K382">
            <v>0</v>
          </cell>
          <cell r="L382">
            <v>0</v>
          </cell>
          <cell r="HX382" t="str">
            <v>mstag:otherLongTermDebtCi</v>
          </cell>
          <cell r="HY382">
            <v>6</v>
          </cell>
          <cell r="HZ382" t="str">
            <v>ISO4217:USD</v>
          </cell>
          <cell r="IA382" t="b">
            <v>0</v>
          </cell>
          <cell r="IB382" t="b">
            <v>0</v>
          </cell>
        </row>
        <row r="383">
          <cell r="D383" t="str">
            <v>Provisions and reserves</v>
          </cell>
          <cell r="G383" t="str">
            <v/>
          </cell>
          <cell r="H383" t="str">
            <v/>
          </cell>
          <cell r="I383" t="str">
            <v/>
          </cell>
          <cell r="J383" t="str">
            <v/>
          </cell>
          <cell r="K383" t="str">
            <v/>
          </cell>
          <cell r="L383" t="str">
            <v/>
          </cell>
          <cell r="M383" t="str">
            <v/>
          </cell>
          <cell r="HX383" t="str">
            <v>mstag:provisionsAndReserves</v>
          </cell>
          <cell r="HY383">
            <v>6</v>
          </cell>
          <cell r="HZ383" t="str">
            <v>ISO4217:USD</v>
          </cell>
          <cell r="IA383" t="b">
            <v>0</v>
          </cell>
          <cell r="IB383" t="b">
            <v>0</v>
          </cell>
        </row>
        <row r="384">
          <cell r="E384" t="str">
            <v>Warranty provision</v>
          </cell>
          <cell r="HX384" t="str">
            <v>mstag:warrantyProvision</v>
          </cell>
          <cell r="HY384">
            <v>6</v>
          </cell>
          <cell r="HZ384" t="str">
            <v>ISO4217:USD</v>
          </cell>
          <cell r="IA384" t="b">
            <v>0</v>
          </cell>
          <cell r="IB384" t="b">
            <v>0</v>
          </cell>
        </row>
        <row r="385">
          <cell r="E385" t="str">
            <v>Restructuring provision</v>
          </cell>
          <cell r="HX385" t="str">
            <v>mstag:restructuringProvision</v>
          </cell>
          <cell r="HY385">
            <v>6</v>
          </cell>
          <cell r="HZ385" t="str">
            <v>ISO4217:USD</v>
          </cell>
          <cell r="IA385" t="b">
            <v>0</v>
          </cell>
          <cell r="IB385" t="b">
            <v>0</v>
          </cell>
        </row>
        <row r="386">
          <cell r="E386" t="str">
            <v>Legal proceedings provision</v>
          </cell>
          <cell r="HX386" t="str">
            <v>mstag:legalProceedingsProvision</v>
          </cell>
          <cell r="HY386">
            <v>6</v>
          </cell>
          <cell r="HZ386" t="str">
            <v>ISO4217:USD</v>
          </cell>
          <cell r="IA386" t="b">
            <v>0</v>
          </cell>
          <cell r="IB386" t="b">
            <v>0</v>
          </cell>
        </row>
        <row r="387">
          <cell r="E387" t="str">
            <v>Onerous contracts provision</v>
          </cell>
          <cell r="HX387" t="str">
            <v>mstag:onerousContractsProvision</v>
          </cell>
          <cell r="HY387">
            <v>6</v>
          </cell>
          <cell r="HZ387" t="str">
            <v>ISO4217:USD</v>
          </cell>
          <cell r="IA387" t="b">
            <v>0</v>
          </cell>
          <cell r="IB387" t="b">
            <v>0</v>
          </cell>
        </row>
        <row r="388">
          <cell r="E388" t="str">
            <v>Environmental liability</v>
          </cell>
          <cell r="HX388" t="str">
            <v>mstag:environmentalLiability</v>
          </cell>
          <cell r="HY388">
            <v>6</v>
          </cell>
          <cell r="HZ388" t="str">
            <v>ISO4217:USD</v>
          </cell>
          <cell r="IA388" t="b">
            <v>0</v>
          </cell>
          <cell r="IB388" t="b">
            <v>0</v>
          </cell>
        </row>
        <row r="389">
          <cell r="E389" t="str">
            <v>Asset retirement obligation</v>
          </cell>
          <cell r="HX389" t="str">
            <v>mstag:assetRetirementObligation</v>
          </cell>
          <cell r="HY389">
            <v>6</v>
          </cell>
          <cell r="HZ389" t="str">
            <v>ISO4217:USD</v>
          </cell>
          <cell r="IA389" t="b">
            <v>0</v>
          </cell>
          <cell r="IB389" t="b">
            <v>0</v>
          </cell>
        </row>
        <row r="390">
          <cell r="E390" t="str">
            <v>Other provisions</v>
          </cell>
          <cell r="HX390" t="str">
            <v>mstag:otherProvisions</v>
          </cell>
          <cell r="HY390">
            <v>6</v>
          </cell>
          <cell r="HZ390" t="str">
            <v>ISO4217:USD</v>
          </cell>
          <cell r="IA390" t="b">
            <v>0</v>
          </cell>
          <cell r="IB390" t="b">
            <v>0</v>
          </cell>
        </row>
        <row r="391">
          <cell r="D391" t="str">
            <v>Deferred tax liabilities</v>
          </cell>
          <cell r="G391">
            <v>0</v>
          </cell>
          <cell r="H391">
            <v>43.781999999999996</v>
          </cell>
          <cell r="I391">
            <v>626.46600000000001</v>
          </cell>
          <cell r="J391">
            <v>349.84800000000001</v>
          </cell>
          <cell r="K391">
            <v>447.80900000000003</v>
          </cell>
          <cell r="L391">
            <v>148.31399999999999</v>
          </cell>
          <cell r="M391">
            <v>26.055999999999997</v>
          </cell>
          <cell r="HX391" t="str">
            <v>mstag:deferredTaxLiabilities</v>
          </cell>
          <cell r="HY391">
            <v>6</v>
          </cell>
          <cell r="HZ391" t="str">
            <v>ISO4217:USD</v>
          </cell>
          <cell r="IA391" t="b">
            <v>0</v>
          </cell>
          <cell r="IB391" t="b">
            <v>0</v>
          </cell>
        </row>
        <row r="392">
          <cell r="E392" t="str">
            <v>Deferred tax liabilities, current</v>
          </cell>
          <cell r="HX392" t="str">
            <v>mstag:deferredTaxLiabilitiesCurrent</v>
          </cell>
          <cell r="HY392">
            <v>6</v>
          </cell>
          <cell r="HZ392" t="str">
            <v>ISO4217:USD</v>
          </cell>
          <cell r="IA392" t="b">
            <v>0</v>
          </cell>
          <cell r="IB392" t="b">
            <v>0</v>
          </cell>
        </row>
        <row r="393">
          <cell r="E393" t="str">
            <v>Deferred tax liabilities, noncurrent</v>
          </cell>
          <cell r="G393">
            <v>0</v>
          </cell>
          <cell r="H393">
            <v>43.781999999999996</v>
          </cell>
          <cell r="I393">
            <v>626.46600000000001</v>
          </cell>
          <cell r="J393">
            <v>349.84800000000001</v>
          </cell>
          <cell r="K393">
            <v>447.80900000000003</v>
          </cell>
          <cell r="L393">
            <v>148.31399999999999</v>
          </cell>
          <cell r="HX393" t="str">
            <v>mstag:deferredTaxLiabilitiesNonCurrent</v>
          </cell>
          <cell r="HY393">
            <v>6</v>
          </cell>
          <cell r="HZ393" t="str">
            <v>ISO4217:USD</v>
          </cell>
          <cell r="IA393" t="b">
            <v>0</v>
          </cell>
          <cell r="IB393" t="b">
            <v>0</v>
          </cell>
        </row>
        <row r="394">
          <cell r="D394" t="str">
            <v>Deferred revenue</v>
          </cell>
          <cell r="G394">
            <v>0</v>
          </cell>
          <cell r="H394">
            <v>0</v>
          </cell>
          <cell r="I394">
            <v>4.9719999999999995</v>
          </cell>
          <cell r="J394">
            <v>103.03299999999999</v>
          </cell>
          <cell r="K394">
            <v>87.575999999999993</v>
          </cell>
          <cell r="L394">
            <v>89.576999999999998</v>
          </cell>
          <cell r="M394">
            <v>328.68</v>
          </cell>
          <cell r="HX394" t="str">
            <v>mstag:deferredRevenue</v>
          </cell>
          <cell r="HY394">
            <v>6</v>
          </cell>
          <cell r="HZ394" t="str">
            <v>ISO4217:USD</v>
          </cell>
          <cell r="IA394" t="b">
            <v>0</v>
          </cell>
          <cell r="IB394" t="b">
            <v>0</v>
          </cell>
        </row>
        <row r="395">
          <cell r="E395" t="str">
            <v>Deferred revenue, current</v>
          </cell>
          <cell r="G395">
            <v>0</v>
          </cell>
          <cell r="H395">
            <v>0</v>
          </cell>
          <cell r="I395">
            <v>2</v>
          </cell>
          <cell r="J395">
            <v>15.433</v>
          </cell>
          <cell r="K395">
            <v>19.542999999999999</v>
          </cell>
          <cell r="L395">
            <v>20.044</v>
          </cell>
          <cell r="HX395" t="str">
            <v>mstag:deferredRevenueCurrent</v>
          </cell>
          <cell r="HY395">
            <v>6</v>
          </cell>
          <cell r="HZ395" t="str">
            <v>ISO4217:USD</v>
          </cell>
          <cell r="IA395" t="b">
            <v>0</v>
          </cell>
          <cell r="IB395" t="b">
            <v>0</v>
          </cell>
        </row>
        <row r="396">
          <cell r="E396" t="str">
            <v>Deferred revenue, noncurrent</v>
          </cell>
          <cell r="G396">
            <v>0</v>
          </cell>
          <cell r="H396">
            <v>0</v>
          </cell>
          <cell r="I396">
            <v>2.972</v>
          </cell>
          <cell r="J396">
            <v>87.6</v>
          </cell>
          <cell r="K396">
            <v>68.033000000000001</v>
          </cell>
          <cell r="L396">
            <v>69.533000000000001</v>
          </cell>
          <cell r="HX396" t="str">
            <v>mstag:deferredRevenueNonCurrent</v>
          </cell>
          <cell r="HY396">
            <v>6</v>
          </cell>
          <cell r="HZ396" t="str">
            <v>ISO4217:USD</v>
          </cell>
          <cell r="IA396" t="b">
            <v>0</v>
          </cell>
          <cell r="IB396" t="b">
            <v>0</v>
          </cell>
        </row>
        <row r="397">
          <cell r="D397" t="str">
            <v>Pension and other postretirement obligations</v>
          </cell>
          <cell r="HX397" t="str">
            <v>mstag:pensionAndOtherPostRetirementObligations</v>
          </cell>
          <cell r="HY397">
            <v>6</v>
          </cell>
          <cell r="HZ397" t="str">
            <v>ISO4217:USD</v>
          </cell>
          <cell r="IA397" t="b">
            <v>0</v>
          </cell>
          <cell r="IB397" t="b">
            <v>0</v>
          </cell>
        </row>
        <row r="398">
          <cell r="D398" t="str">
            <v>Deferred compensation</v>
          </cell>
          <cell r="HX398" t="str">
            <v>mstag:deferredCompensation</v>
          </cell>
          <cell r="HY398">
            <v>6</v>
          </cell>
          <cell r="HZ398" t="str">
            <v>ISO4217:USD</v>
          </cell>
          <cell r="IA398" t="b">
            <v>0</v>
          </cell>
          <cell r="IB398" t="b">
            <v>0</v>
          </cell>
        </row>
        <row r="399">
          <cell r="D399" t="str">
            <v>Other liabilities, operating</v>
          </cell>
          <cell r="G399">
            <v>107.93499999999999</v>
          </cell>
          <cell r="H399">
            <v>115.042</v>
          </cell>
          <cell r="I399">
            <v>104.34200000000001</v>
          </cell>
          <cell r="J399">
            <v>112.56399999999999</v>
          </cell>
          <cell r="K399">
            <v>169.78</v>
          </cell>
          <cell r="L399">
            <v>678.37599999999998</v>
          </cell>
          <cell r="M399" t="str">
            <v/>
          </cell>
          <cell r="HX399" t="str">
            <v>mstag:otherLiabilitiesOperating</v>
          </cell>
          <cell r="HY399">
            <v>6</v>
          </cell>
          <cell r="HZ399" t="str">
            <v>ISO4217:USD</v>
          </cell>
          <cell r="IA399" t="b">
            <v>0</v>
          </cell>
          <cell r="IB399" t="b">
            <v>0</v>
          </cell>
        </row>
        <row r="400">
          <cell r="E400" t="str">
            <v>Other liabilities, operating, current</v>
          </cell>
          <cell r="G400">
            <v>71.10499999999999</v>
          </cell>
          <cell r="H400">
            <v>88.584000000000003</v>
          </cell>
          <cell r="I400">
            <v>95.979000000000013</v>
          </cell>
          <cell r="J400">
            <v>110.77499999999999</v>
          </cell>
          <cell r="K400">
            <v>122.349</v>
          </cell>
          <cell r="L400">
            <v>123.648</v>
          </cell>
          <cell r="HX400" t="str">
            <v>mstag:otherLiabilitiesOperatingCurrent</v>
          </cell>
          <cell r="HY400">
            <v>6</v>
          </cell>
          <cell r="HZ400" t="str">
            <v>ISO4217:USD</v>
          </cell>
          <cell r="IA400" t="b">
            <v>0</v>
          </cell>
          <cell r="IB400" t="b">
            <v>0</v>
          </cell>
        </row>
        <row r="401">
          <cell r="E401" t="str">
            <v>Other liabilities, operating, noncurrent</v>
          </cell>
          <cell r="G401">
            <v>36.83</v>
          </cell>
          <cell r="H401">
            <v>26.457999999999998</v>
          </cell>
          <cell r="I401">
            <v>8.3629999999999995</v>
          </cell>
          <cell r="J401">
            <v>1.7889999999999999</v>
          </cell>
          <cell r="K401">
            <v>47.430999999999997</v>
          </cell>
          <cell r="L401">
            <v>554.72799999999995</v>
          </cell>
          <cell r="HX401" t="str">
            <v>mstag:otherLiabilitiesOperatingNonCurrent</v>
          </cell>
          <cell r="HY401">
            <v>6</v>
          </cell>
          <cell r="HZ401" t="str">
            <v>ISO4217:USD</v>
          </cell>
          <cell r="IA401" t="b">
            <v>0</v>
          </cell>
          <cell r="IB401" t="b">
            <v>0</v>
          </cell>
        </row>
        <row r="402">
          <cell r="D402" t="str">
            <v>Other liabilities, nonoperating</v>
          </cell>
          <cell r="G402">
            <v>0</v>
          </cell>
          <cell r="H402">
            <v>0</v>
          </cell>
          <cell r="I402">
            <v>0</v>
          </cell>
          <cell r="J402">
            <v>0</v>
          </cell>
          <cell r="K402">
            <v>0</v>
          </cell>
          <cell r="L402">
            <v>0</v>
          </cell>
          <cell r="M402">
            <v>623.29</v>
          </cell>
          <cell r="HX402" t="str">
            <v>mstag:otherLiabilitiesNonOperating</v>
          </cell>
          <cell r="HY402">
            <v>6</v>
          </cell>
          <cell r="HZ402" t="str">
            <v>ISO4217:USD</v>
          </cell>
          <cell r="IA402" t="b">
            <v>0</v>
          </cell>
          <cell r="IB402" t="b">
            <v>0</v>
          </cell>
        </row>
        <row r="403">
          <cell r="E403" t="str">
            <v>Other liabilities, nonoperating, current</v>
          </cell>
          <cell r="G403">
            <v>0</v>
          </cell>
          <cell r="H403">
            <v>0</v>
          </cell>
          <cell r="I403">
            <v>0</v>
          </cell>
          <cell r="J403">
            <v>0</v>
          </cell>
          <cell r="K403">
            <v>0</v>
          </cell>
          <cell r="L403">
            <v>0</v>
          </cell>
          <cell r="HX403" t="str">
            <v>mstag:otherLiabilitiesNonOperatingCurrent</v>
          </cell>
          <cell r="HY403">
            <v>6</v>
          </cell>
          <cell r="HZ403" t="str">
            <v>ISO4217:USD</v>
          </cell>
          <cell r="IA403" t="b">
            <v>0</v>
          </cell>
          <cell r="IB403" t="b">
            <v>0</v>
          </cell>
        </row>
        <row r="404">
          <cell r="E404" t="str">
            <v>Other liabilities, nonoperating, noncurrent</v>
          </cell>
          <cell r="HX404" t="str">
            <v>mstag:otherLiabilitiesNonOperatingNonCurrent</v>
          </cell>
          <cell r="HY404">
            <v>6</v>
          </cell>
          <cell r="HZ404" t="str">
            <v>ISO4217:USD</v>
          </cell>
          <cell r="IA404" t="b">
            <v>0</v>
          </cell>
          <cell r="IB404" t="b">
            <v>0</v>
          </cell>
        </row>
        <row r="405">
          <cell r="D405" t="str">
            <v>Liabilities of discontinued operations</v>
          </cell>
          <cell r="HX405" t="str">
            <v>mstag:liabilitiesOfDiscontinuedOperations</v>
          </cell>
          <cell r="HY405">
            <v>6</v>
          </cell>
          <cell r="HZ405" t="str">
            <v>ISO4217:USD</v>
          </cell>
          <cell r="IA405" t="b">
            <v>0</v>
          </cell>
          <cell r="IB405" t="b">
            <v>0</v>
          </cell>
        </row>
        <row r="406">
          <cell r="D406" t="str">
            <v>Minority interests in shareholders' equity</v>
          </cell>
          <cell r="HX406" t="str">
            <v>mstag:minorityInterestsInShareholdersEquity</v>
          </cell>
          <cell r="HY406">
            <v>6</v>
          </cell>
          <cell r="HZ406" t="str">
            <v>ISO4217:USD</v>
          </cell>
          <cell r="IA406" t="b">
            <v>0</v>
          </cell>
          <cell r="IB406" t="b">
            <v>0</v>
          </cell>
        </row>
        <row r="407">
          <cell r="D407" t="str">
            <v>Preferred equity</v>
          </cell>
          <cell r="HX407" t="str">
            <v>mstag:preferredEquity</v>
          </cell>
          <cell r="HY407">
            <v>6</v>
          </cell>
          <cell r="HZ407" t="str">
            <v>ISO4217:USD</v>
          </cell>
          <cell r="IA407" t="b">
            <v>0</v>
          </cell>
          <cell r="IB407" t="b">
            <v>0</v>
          </cell>
        </row>
        <row r="408">
          <cell r="D408" t="str">
            <v>Common equity</v>
          </cell>
          <cell r="F408">
            <v>1801.059</v>
          </cell>
          <cell r="G408">
            <v>2031.2250000000001</v>
          </cell>
          <cell r="H408">
            <v>2343.8449999999998</v>
          </cell>
          <cell r="I408">
            <v>5269.8569999999991</v>
          </cell>
          <cell r="J408">
            <v>5674.2030000000004</v>
          </cell>
          <cell r="K408">
            <v>5919.8189999999995</v>
          </cell>
          <cell r="L408">
            <v>5338.884</v>
          </cell>
          <cell r="M408">
            <v>6520.1896436999996</v>
          </cell>
          <cell r="HX408" t="str">
            <v>mstag:commonEquity</v>
          </cell>
          <cell r="HY408">
            <v>6</v>
          </cell>
          <cell r="HZ408" t="str">
            <v>ISO4217:USD</v>
          </cell>
          <cell r="IA408" t="b">
            <v>0</v>
          </cell>
          <cell r="IB408" t="b">
            <v>0</v>
          </cell>
        </row>
        <row r="409">
          <cell r="E409" t="str">
            <v>Total share capital</v>
          </cell>
          <cell r="G409">
            <v>1466.252</v>
          </cell>
          <cell r="H409">
            <v>1591.5319999999999</v>
          </cell>
          <cell r="I409">
            <v>6255.4699999999993</v>
          </cell>
          <cell r="J409">
            <v>6661.9380000000001</v>
          </cell>
          <cell r="K409">
            <v>6805.3969999999999</v>
          </cell>
          <cell r="L409">
            <v>6660.6080000000002</v>
          </cell>
          <cell r="M409">
            <v>7380.7550000000001</v>
          </cell>
          <cell r="HX409" t="str">
            <v>mstag:totalShareCapital</v>
          </cell>
          <cell r="HY409">
            <v>6</v>
          </cell>
          <cell r="HZ409" t="str">
            <v>ISO4217:USD</v>
          </cell>
          <cell r="IA409" t="b">
            <v>0</v>
          </cell>
          <cell r="IB409" t="b">
            <v>0</v>
          </cell>
        </row>
        <row r="410">
          <cell r="F410" t="str">
            <v>Common stock</v>
          </cell>
          <cell r="G410">
            <v>2.484</v>
          </cell>
          <cell r="H410">
            <v>2.5419999999999998</v>
          </cell>
          <cell r="I410">
            <v>10.324</v>
          </cell>
          <cell r="J410">
            <v>10.51</v>
          </cell>
          <cell r="K410">
            <v>10.566000000000001</v>
          </cell>
          <cell r="L410">
            <v>10.256</v>
          </cell>
          <cell r="M410">
            <v>10.494999999999999</v>
          </cell>
          <cell r="HX410" t="str">
            <v>mstag:commonStock</v>
          </cell>
          <cell r="HY410">
            <v>6</v>
          </cell>
          <cell r="HZ410" t="str">
            <v>ISO4217:USD</v>
          </cell>
          <cell r="IA410" t="b">
            <v>0</v>
          </cell>
          <cell r="IB410" t="b">
            <v>0</v>
          </cell>
        </row>
        <row r="411">
          <cell r="F411" t="str">
            <v>Additional paid in capital</v>
          </cell>
          <cell r="G411">
            <v>1463.768</v>
          </cell>
          <cell r="H411">
            <v>1588.99</v>
          </cell>
          <cell r="I411">
            <v>6245.1459999999997</v>
          </cell>
          <cell r="J411">
            <v>6651.4279999999999</v>
          </cell>
          <cell r="K411">
            <v>6794.8310000000001</v>
          </cell>
          <cell r="L411">
            <v>6650.3519999999999</v>
          </cell>
          <cell r="M411">
            <v>7370.26</v>
          </cell>
          <cell r="HX411" t="str">
            <v>mstag:additionalPaidInCapital</v>
          </cell>
          <cell r="HY411">
            <v>6</v>
          </cell>
          <cell r="HZ411" t="str">
            <v>ISO4217:USD</v>
          </cell>
          <cell r="IA411" t="b">
            <v>0</v>
          </cell>
          <cell r="IB411" t="b">
            <v>0</v>
          </cell>
        </row>
        <row r="412">
          <cell r="E412" t="str">
            <v>Retained earnings</v>
          </cell>
          <cell r="G412">
            <v>511.14100000000002</v>
          </cell>
          <cell r="H412">
            <v>693.05</v>
          </cell>
          <cell r="I412">
            <v>-1245.1120000000001</v>
          </cell>
          <cell r="J412">
            <v>-1319.3530000000001</v>
          </cell>
          <cell r="K412">
            <v>-1197.3</v>
          </cell>
          <cell r="L412">
            <v>-1590.366</v>
          </cell>
          <cell r="M412">
            <v>-1157.4679999999998</v>
          </cell>
          <cell r="HX412" t="str">
            <v>mstag:retainedEarnings</v>
          </cell>
          <cell r="HY412">
            <v>6</v>
          </cell>
          <cell r="HZ412" t="str">
            <v>ISO4217:USD</v>
          </cell>
          <cell r="IA412" t="b">
            <v>0</v>
          </cell>
          <cell r="IB412" t="b">
            <v>0</v>
          </cell>
        </row>
        <row r="413">
          <cell r="E413" t="str">
            <v>Accumulated other comprehensive income (loss) and reserves</v>
          </cell>
          <cell r="G413">
            <v>53.832000000000001</v>
          </cell>
          <cell r="H413">
            <v>59.262999999999998</v>
          </cell>
          <cell r="I413">
            <v>259.49900000000002</v>
          </cell>
          <cell r="J413">
            <v>331.61800000000005</v>
          </cell>
          <cell r="K413">
            <v>311.72199999999998</v>
          </cell>
          <cell r="L413">
            <v>268.642</v>
          </cell>
          <cell r="M413">
            <v>296.9026437</v>
          </cell>
          <cell r="HX413" t="str">
            <v>mstag:accumulatedOtherComprehensiveIncomeLossAndReserves</v>
          </cell>
          <cell r="HY413">
            <v>6</v>
          </cell>
          <cell r="HZ413" t="str">
            <v>ISO4217:USD</v>
          </cell>
          <cell r="IA413" t="b">
            <v>0</v>
          </cell>
          <cell r="IB413" t="b">
            <v>0</v>
          </cell>
        </row>
        <row r="414">
          <cell r="F414" t="str">
            <v>Cumulative translation adjustment</v>
          </cell>
          <cell r="HX414" t="str">
            <v>mstag:cumulativeTranslationAdjustment</v>
          </cell>
          <cell r="HY414">
            <v>6</v>
          </cell>
          <cell r="HZ414" t="str">
            <v>ISO4217:USD</v>
          </cell>
          <cell r="IA414" t="b">
            <v>0</v>
          </cell>
          <cell r="IB414" t="b">
            <v>0</v>
          </cell>
        </row>
        <row r="415">
          <cell r="F415" t="str">
            <v>Unrealized gains and losses on securities and other financial instruments</v>
          </cell>
          <cell r="G415">
            <v>53.832000000000001</v>
          </cell>
          <cell r="H415">
            <v>59.262999999999998</v>
          </cell>
          <cell r="I415">
            <v>259.49900000000002</v>
          </cell>
          <cell r="J415">
            <v>72.119</v>
          </cell>
          <cell r="K415">
            <v>303.89999999999998</v>
          </cell>
          <cell r="L415">
            <v>265.10000000000002</v>
          </cell>
          <cell r="HX415" t="str">
            <v>mstag:unrealizedGainsAndLossesOnSecuritiesAndOtherFinancialInstruments</v>
          </cell>
          <cell r="HY415">
            <v>6</v>
          </cell>
          <cell r="HZ415" t="str">
            <v>ISO4217:USD</v>
          </cell>
          <cell r="IA415" t="b">
            <v>0</v>
          </cell>
          <cell r="IB415" t="b">
            <v>0</v>
          </cell>
        </row>
        <row r="416">
          <cell r="F416" t="str">
            <v>Minimum pension liability</v>
          </cell>
          <cell r="HX416" t="str">
            <v>mstag:minimumPensionLiability</v>
          </cell>
          <cell r="HY416">
            <v>6</v>
          </cell>
          <cell r="HZ416" t="str">
            <v>ISO4217:USD</v>
          </cell>
          <cell r="IA416" t="b">
            <v>0</v>
          </cell>
          <cell r="IB416" t="b">
            <v>0</v>
          </cell>
        </row>
        <row r="417">
          <cell r="F417" t="str">
            <v>Cash flow hedges</v>
          </cell>
          <cell r="G417">
            <v>0</v>
          </cell>
          <cell r="H417">
            <v>0</v>
          </cell>
          <cell r="I417">
            <v>0</v>
          </cell>
          <cell r="J417">
            <v>0</v>
          </cell>
          <cell r="K417">
            <v>7.8220000000000001</v>
          </cell>
          <cell r="L417">
            <v>3.5419999999999998</v>
          </cell>
          <cell r="HX417" t="str">
            <v>mstag:cashFlowHedges</v>
          </cell>
          <cell r="HY417">
            <v>6</v>
          </cell>
          <cell r="HZ417" t="str">
            <v>ISO4217:USD</v>
          </cell>
          <cell r="IA417" t="b">
            <v>0</v>
          </cell>
          <cell r="IB417" t="b">
            <v>0</v>
          </cell>
        </row>
        <row r="418">
          <cell r="F418" t="str">
            <v>Other accumulated OCI and reserves</v>
          </cell>
          <cell r="G418">
            <v>0</v>
          </cell>
          <cell r="H418">
            <v>0</v>
          </cell>
          <cell r="I418">
            <v>0</v>
          </cell>
          <cell r="J418">
            <v>259.49900000000002</v>
          </cell>
          <cell r="K418">
            <v>0</v>
          </cell>
          <cell r="L418">
            <v>0</v>
          </cell>
          <cell r="HX418" t="str">
            <v>mstag:otherAccumulatedOciAndReserves</v>
          </cell>
          <cell r="HY418">
            <v>6</v>
          </cell>
          <cell r="HZ418" t="str">
            <v>ISO4217:USD</v>
          </cell>
          <cell r="IA418" t="b">
            <v>0</v>
          </cell>
          <cell r="IB418" t="b">
            <v>0</v>
          </cell>
        </row>
        <row r="419">
          <cell r="F419" t="str">
            <v>Revaluation reserves</v>
          </cell>
          <cell r="HX419" t="str">
            <v>mstag:revaluationReserves</v>
          </cell>
          <cell r="HY419">
            <v>6</v>
          </cell>
          <cell r="HZ419" t="str">
            <v>ISO4217:USD</v>
          </cell>
          <cell r="IA419" t="b">
            <v>0</v>
          </cell>
          <cell r="IB419" t="b">
            <v>0</v>
          </cell>
        </row>
        <row r="420">
          <cell r="F420" t="str">
            <v>Unearned compensation reserve</v>
          </cell>
          <cell r="HX420" t="str">
            <v>mstag:unearnedCompensationReserve</v>
          </cell>
          <cell r="HY420">
            <v>6</v>
          </cell>
          <cell r="HZ420" t="str">
            <v>ISO4217:USD</v>
          </cell>
          <cell r="IA420" t="b">
            <v>0</v>
          </cell>
          <cell r="IB420" t="b">
            <v>0</v>
          </cell>
        </row>
        <row r="421">
          <cell r="E421" t="str">
            <v>Treasury stock and investment in own shares</v>
          </cell>
          <cell r="HX421" t="str">
            <v>mstag:treasuryStockAndInvestmentInOwnShares</v>
          </cell>
          <cell r="HY421">
            <v>6</v>
          </cell>
          <cell r="HZ421" t="str">
            <v>ISO4217:USD</v>
          </cell>
          <cell r="IA421" t="b">
            <v>0</v>
          </cell>
          <cell r="IB421" t="b">
            <v>0</v>
          </cell>
        </row>
        <row r="422">
          <cell r="E422" t="str">
            <v>Warrants and rights outstanding, equity</v>
          </cell>
          <cell r="HX422" t="str">
            <v>mstag:warrantsAndRightsOutstandingEquity</v>
          </cell>
          <cell r="HY422">
            <v>6</v>
          </cell>
          <cell r="HZ422" t="str">
            <v>ISO4217:USD</v>
          </cell>
          <cell r="IA422" t="b">
            <v>0</v>
          </cell>
          <cell r="IB422" t="b">
            <v>0</v>
          </cell>
        </row>
        <row r="423">
          <cell r="E423" t="str">
            <v>Other equity items</v>
          </cell>
          <cell r="HX423" t="str">
            <v>mstag:otherEquityItems</v>
          </cell>
          <cell r="HY423">
            <v>6</v>
          </cell>
          <cell r="HZ423" t="str">
            <v>ISO4217:USD</v>
          </cell>
          <cell r="IA423" t="b">
            <v>0</v>
          </cell>
          <cell r="IB423" t="b">
            <v>0</v>
          </cell>
        </row>
        <row r="424">
          <cell r="B424" t="str">
            <v>Cash flow</v>
          </cell>
          <cell r="HY424">
            <v>0</v>
          </cell>
          <cell r="HZ424" t="str">
            <v>ms_eqr_gcim_String:ms_eqr_gcim_string</v>
          </cell>
          <cell r="IA424" t="b">
            <v>0</v>
          </cell>
          <cell r="IB424" t="b">
            <v>0</v>
          </cell>
        </row>
        <row r="425">
          <cell r="C425" t="str">
            <v>Net income, reported, cash flow statement</v>
          </cell>
          <cell r="G425">
            <v>129.04400000000001</v>
          </cell>
          <cell r="H425">
            <v>181.90899999999999</v>
          </cell>
          <cell r="I425">
            <v>-1157.4760000000001</v>
          </cell>
          <cell r="J425">
            <v>-74.241</v>
          </cell>
          <cell r="K425">
            <v>150.23599999999999</v>
          </cell>
          <cell r="L425">
            <v>63.786999999999999</v>
          </cell>
          <cell r="M425">
            <v>562.45584265857804</v>
          </cell>
          <cell r="HX425" t="str">
            <v>mstag:netIncomeReported</v>
          </cell>
          <cell r="HY425">
            <v>6</v>
          </cell>
          <cell r="HZ425" t="str">
            <v>ISO4217:USD</v>
          </cell>
          <cell r="IA425" t="b">
            <v>0</v>
          </cell>
          <cell r="IB425" t="b">
            <v>0</v>
          </cell>
        </row>
        <row r="426">
          <cell r="C426" t="str">
            <v>Depreciation, cash flow statement</v>
          </cell>
          <cell r="G426">
            <v>65.533000000000001</v>
          </cell>
          <cell r="H426">
            <v>78.100999999999999</v>
          </cell>
          <cell r="I426">
            <v>90.282000000000011</v>
          </cell>
          <cell r="J426">
            <v>88.80400000000003</v>
          </cell>
          <cell r="K426">
            <v>96.290999999999997</v>
          </cell>
          <cell r="L426">
            <v>104.55499999999998</v>
          </cell>
          <cell r="M426">
            <v>125</v>
          </cell>
          <cell r="HX426" t="str">
            <v>mstag:depreciation</v>
          </cell>
          <cell r="HY426">
            <v>6</v>
          </cell>
          <cell r="HZ426" t="str">
            <v>ISO4217:USD</v>
          </cell>
          <cell r="IA426" t="b">
            <v>0</v>
          </cell>
          <cell r="IB426" t="b">
            <v>0</v>
          </cell>
        </row>
        <row r="427">
          <cell r="C427" t="str">
            <v>Amortization of goodwill, cash flow statement</v>
          </cell>
          <cell r="G427">
            <v>0</v>
          </cell>
          <cell r="H427">
            <v>0</v>
          </cell>
          <cell r="I427">
            <v>76.599999999999994</v>
          </cell>
          <cell r="J427">
            <v>211</v>
          </cell>
          <cell r="K427">
            <v>153.30000000000001</v>
          </cell>
          <cell r="L427">
            <v>0</v>
          </cell>
          <cell r="HX427" t="str">
            <v>mstag:amortizationOfGoodwillCashFlowStatement</v>
          </cell>
          <cell r="HY427">
            <v>6</v>
          </cell>
          <cell r="HZ427" t="str">
            <v>ISO4217:USD</v>
          </cell>
          <cell r="IA427" t="b">
            <v>0</v>
          </cell>
          <cell r="IB427" t="b">
            <v>0</v>
          </cell>
        </row>
        <row r="428">
          <cell r="C428" t="str">
            <v>Amortization of intangibles assumed to have indefinite life, cash flow statement</v>
          </cell>
          <cell r="G428">
            <v>0</v>
          </cell>
          <cell r="H428">
            <v>0</v>
          </cell>
          <cell r="I428">
            <v>113.8</v>
          </cell>
          <cell r="J428">
            <v>158</v>
          </cell>
          <cell r="K428">
            <v>169.8</v>
          </cell>
          <cell r="L428">
            <v>162.19999999999999</v>
          </cell>
          <cell r="M428">
            <v>170.4</v>
          </cell>
          <cell r="HX428" t="str">
            <v>mstag:amortizationOfIntangiblesAssumedToHaveIndefiniteLife</v>
          </cell>
          <cell r="HY428">
            <v>6</v>
          </cell>
          <cell r="HZ428" t="str">
            <v>ISO4217:USD</v>
          </cell>
          <cell r="IA428" t="b">
            <v>0</v>
          </cell>
          <cell r="IB428" t="b">
            <v>0</v>
          </cell>
        </row>
        <row r="429">
          <cell r="C429" t="str">
            <v>Amortization of other intangibles, cash flow statement</v>
          </cell>
          <cell r="G429">
            <v>0</v>
          </cell>
          <cell r="H429">
            <v>0</v>
          </cell>
          <cell r="I429">
            <v>0</v>
          </cell>
          <cell r="J429">
            <v>5.2</v>
          </cell>
          <cell r="K429">
            <v>8.6999999999999993</v>
          </cell>
          <cell r="L429">
            <v>8.1999999999999993</v>
          </cell>
          <cell r="M429" t="str">
            <v/>
          </cell>
          <cell r="HX429" t="str">
            <v>mstag:amortizationOfOtherIntangibles</v>
          </cell>
          <cell r="HY429">
            <v>6</v>
          </cell>
          <cell r="HZ429" t="str">
            <v>ISO4217:USD</v>
          </cell>
          <cell r="IA429" t="b">
            <v>0</v>
          </cell>
          <cell r="IB429" t="b">
            <v>0</v>
          </cell>
        </row>
        <row r="430">
          <cell r="D430" t="str">
            <v>Amortization of taxable other intangibles, cash flow statement</v>
          </cell>
          <cell r="HX430" t="str">
            <v>mstag:amortizationOfTaxableOtherIntangiblesCashFlowStatement</v>
          </cell>
          <cell r="HY430">
            <v>6</v>
          </cell>
          <cell r="HZ430" t="str">
            <v>ISO4217:USD</v>
          </cell>
          <cell r="IA430" t="b">
            <v>0</v>
          </cell>
          <cell r="IB430" t="b">
            <v>0</v>
          </cell>
        </row>
        <row r="431">
          <cell r="D431" t="str">
            <v>Amortization of nontaxable other intangibles, cash flow statement</v>
          </cell>
          <cell r="HX431" t="str">
            <v>mstag:amortizationOfNonTaxableOtherIntangiblesCashFlowStatement</v>
          </cell>
          <cell r="HY431">
            <v>6</v>
          </cell>
          <cell r="HZ431" t="str">
            <v>ISO4217:USD</v>
          </cell>
          <cell r="IA431" t="b">
            <v>0</v>
          </cell>
          <cell r="IB431" t="b">
            <v>0</v>
          </cell>
        </row>
        <row r="432">
          <cell r="C432" t="str">
            <v>Restructuring costs, recurring, cash flow statement</v>
          </cell>
          <cell r="HX432" t="str">
            <v>mstag:restructuringCostsRecurringCashFlowStatement</v>
          </cell>
          <cell r="HY432">
            <v>6</v>
          </cell>
          <cell r="HZ432" t="str">
            <v>ISO4217:USD</v>
          </cell>
          <cell r="IA432" t="b">
            <v>0</v>
          </cell>
          <cell r="IB432" t="b">
            <v>0</v>
          </cell>
        </row>
        <row r="433">
          <cell r="C433" t="str">
            <v>Restructuring costs, one time, cash flow statement</v>
          </cell>
          <cell r="HX433" t="str">
            <v>mstag:restructuringCostsOneTimeCashFlowStatement</v>
          </cell>
          <cell r="HY433">
            <v>6</v>
          </cell>
          <cell r="HZ433" t="str">
            <v>ISO4217:USD</v>
          </cell>
          <cell r="IA433" t="b">
            <v>0</v>
          </cell>
          <cell r="IB433" t="b">
            <v>0</v>
          </cell>
        </row>
        <row r="434">
          <cell r="C434" t="str">
            <v>Legal provision, recurring, cash flow statement</v>
          </cell>
          <cell r="HX434" t="str">
            <v>mstag:legalProvisionRecurringCashFlowStatement</v>
          </cell>
          <cell r="HY434">
            <v>6</v>
          </cell>
          <cell r="HZ434" t="str">
            <v>ISO4217:USD</v>
          </cell>
          <cell r="IA434" t="b">
            <v>0</v>
          </cell>
          <cell r="IB434" t="b">
            <v>0</v>
          </cell>
        </row>
        <row r="435">
          <cell r="C435" t="str">
            <v>Legal provision, one time, cash flow statement</v>
          </cell>
          <cell r="HX435" t="str">
            <v>mstag:legalProvisionOneTimeCashFlowStatement</v>
          </cell>
          <cell r="HY435">
            <v>6</v>
          </cell>
          <cell r="HZ435" t="str">
            <v>ISO4217:USD</v>
          </cell>
          <cell r="IA435" t="b">
            <v>0</v>
          </cell>
          <cell r="IB435" t="b">
            <v>0</v>
          </cell>
        </row>
        <row r="436">
          <cell r="C436" t="str">
            <v>Environmental provision, recurring, cash flow statement</v>
          </cell>
          <cell r="HX436" t="str">
            <v>mstag:environmentalProvisionRecurringCashFlowStatement</v>
          </cell>
          <cell r="HY436">
            <v>6</v>
          </cell>
          <cell r="HZ436" t="str">
            <v>ISO4217:USD</v>
          </cell>
          <cell r="IA436" t="b">
            <v>0</v>
          </cell>
          <cell r="IB436" t="b">
            <v>0</v>
          </cell>
        </row>
        <row r="437">
          <cell r="C437" t="str">
            <v>Environmental provision, one time, cash flow statement</v>
          </cell>
          <cell r="HX437" t="str">
            <v>mstag:environmentalProvisionOneTimeCashFlowStatement</v>
          </cell>
          <cell r="HY437">
            <v>6</v>
          </cell>
          <cell r="HZ437" t="str">
            <v>ISO4217:USD</v>
          </cell>
          <cell r="IA437" t="b">
            <v>0</v>
          </cell>
          <cell r="IB437" t="b">
            <v>0</v>
          </cell>
        </row>
        <row r="438">
          <cell r="C438" t="str">
            <v>Other provisions, recurring, cash flow statement</v>
          </cell>
          <cell r="HX438" t="str">
            <v>mstag:otherProvisionsRecurringCashFlowStatement</v>
          </cell>
          <cell r="HY438">
            <v>6</v>
          </cell>
          <cell r="HZ438" t="str">
            <v>ISO4217:USD</v>
          </cell>
          <cell r="IA438" t="b">
            <v>0</v>
          </cell>
          <cell r="IB438" t="b">
            <v>0</v>
          </cell>
        </row>
        <row r="439">
          <cell r="C439" t="str">
            <v>Other provisions, one time, cash flow statement</v>
          </cell>
          <cell r="HX439" t="str">
            <v>mstag:otherProvisionsOneTimeCashFlowStatement</v>
          </cell>
          <cell r="HY439">
            <v>6</v>
          </cell>
          <cell r="HZ439" t="str">
            <v>ISO4217:USD</v>
          </cell>
          <cell r="IA439" t="b">
            <v>0</v>
          </cell>
          <cell r="IB439" t="b">
            <v>0</v>
          </cell>
        </row>
        <row r="440">
          <cell r="C440" t="str">
            <v>Goodwill impairment, cash flow statement</v>
          </cell>
          <cell r="HX440" t="str">
            <v>mstag:goodwillImpairmentCashFlowStatement</v>
          </cell>
          <cell r="HY440">
            <v>6</v>
          </cell>
          <cell r="HZ440" t="str">
            <v>ISO4217:USD</v>
          </cell>
          <cell r="IA440" t="b">
            <v>0</v>
          </cell>
          <cell r="IB440" t="b">
            <v>0</v>
          </cell>
        </row>
        <row r="441">
          <cell r="C441" t="str">
            <v>Indefinite life intangible impairment, cash flow statement</v>
          </cell>
          <cell r="HX441" t="str">
            <v>mstag:indefiniteLifeIntangibleImpairmentCashFlowStatement</v>
          </cell>
          <cell r="HY441">
            <v>6</v>
          </cell>
          <cell r="HZ441" t="str">
            <v>ISO4217:USD</v>
          </cell>
          <cell r="IA441" t="b">
            <v>0</v>
          </cell>
          <cell r="IB441" t="b">
            <v>0</v>
          </cell>
        </row>
        <row r="442">
          <cell r="C442" t="str">
            <v>Asset impairment, nongoodwill, one time, cash flow statement</v>
          </cell>
          <cell r="G442">
            <v>0</v>
          </cell>
          <cell r="H442">
            <v>0</v>
          </cell>
          <cell r="I442">
            <v>0</v>
          </cell>
          <cell r="J442">
            <v>0</v>
          </cell>
          <cell r="K442">
            <v>0</v>
          </cell>
          <cell r="L442">
            <v>0</v>
          </cell>
          <cell r="M442">
            <v>3.8</v>
          </cell>
          <cell r="HX442" t="str">
            <v>mstag:assetImpairmentNonGoodwillOneTime</v>
          </cell>
          <cell r="HY442">
            <v>6</v>
          </cell>
          <cell r="HZ442" t="str">
            <v>ISO4217:USD</v>
          </cell>
          <cell r="IA442" t="b">
            <v>0</v>
          </cell>
          <cell r="IB442" t="b">
            <v>0</v>
          </cell>
        </row>
        <row r="443">
          <cell r="C443" t="str">
            <v>Gains (losses) from sale of PPE and intangibles, recurring, cash flow statement</v>
          </cell>
          <cell r="G443">
            <v>-0.318</v>
          </cell>
          <cell r="H443">
            <v>-1.0149999999999999</v>
          </cell>
          <cell r="I443">
            <v>-0.88600000000000001</v>
          </cell>
          <cell r="J443">
            <v>-1.123</v>
          </cell>
          <cell r="K443">
            <v>-4.2110000000000003</v>
          </cell>
          <cell r="L443">
            <v>-15.882999999999999</v>
          </cell>
          <cell r="M443">
            <v>-10.76</v>
          </cell>
          <cell r="HX443" t="str">
            <v>mstag:gainsLossesFromSaleOfOperatingAssetsRecurring</v>
          </cell>
          <cell r="HY443">
            <v>6</v>
          </cell>
          <cell r="HZ443" t="str">
            <v>ISO4217:USD</v>
          </cell>
          <cell r="IA443" t="b">
            <v>0</v>
          </cell>
          <cell r="IB443" t="b">
            <v>0</v>
          </cell>
        </row>
        <row r="444">
          <cell r="C444" t="str">
            <v>Gains (losses) from sale of PPE and intangibles, one time, cash flow statement</v>
          </cell>
          <cell r="G444">
            <v>0</v>
          </cell>
          <cell r="H444">
            <v>0</v>
          </cell>
          <cell r="I444">
            <v>0</v>
          </cell>
          <cell r="J444">
            <v>0</v>
          </cell>
          <cell r="K444">
            <v>0</v>
          </cell>
          <cell r="L444">
            <v>0</v>
          </cell>
          <cell r="M444">
            <v>20</v>
          </cell>
          <cell r="HX444" t="str">
            <v>mstag:gainsLossesFromSaleOfOperatingAssetsOneTime</v>
          </cell>
          <cell r="HY444">
            <v>6</v>
          </cell>
          <cell r="HZ444" t="str">
            <v>ISO4217:USD</v>
          </cell>
          <cell r="IA444" t="b">
            <v>0</v>
          </cell>
          <cell r="IB444" t="b">
            <v>0</v>
          </cell>
        </row>
        <row r="445">
          <cell r="C445" t="str">
            <v>Bonus paid to directors and corporate auditors (Japan)</v>
          </cell>
          <cell r="HX445" t="str">
            <v>mstag:bonusPaidToDirectorsAndCorporateAuditorsJapan</v>
          </cell>
          <cell r="HY445">
            <v>6</v>
          </cell>
          <cell r="HZ445" t="str">
            <v>ISO4217:USD</v>
          </cell>
          <cell r="IA445" t="b">
            <v>0</v>
          </cell>
          <cell r="IB445" t="b">
            <v>0</v>
          </cell>
        </row>
        <row r="446">
          <cell r="C446" t="str">
            <v>Bonus to directors and supervisors, cash flow statement (Taiwan)</v>
          </cell>
          <cell r="HX446" t="str">
            <v>mstag:bonusToDirectorsAndSupervisorsTaiwanCashFlow</v>
          </cell>
          <cell r="HY446">
            <v>6</v>
          </cell>
          <cell r="HZ446" t="str">
            <v>ISO4217:USD</v>
          </cell>
          <cell r="IA446" t="b">
            <v>0</v>
          </cell>
          <cell r="IB446" t="b">
            <v>0</v>
          </cell>
        </row>
        <row r="447">
          <cell r="C447" t="str">
            <v>Employee cash bonus, cash flow statement (Taiwan)</v>
          </cell>
          <cell r="HX447" t="str">
            <v>mstag:employeeCashBonusTaiwanCashFlow</v>
          </cell>
          <cell r="HY447">
            <v>6</v>
          </cell>
          <cell r="HZ447" t="str">
            <v>ISO4217:USD</v>
          </cell>
          <cell r="IA447" t="b">
            <v>0</v>
          </cell>
          <cell r="IB447" t="b">
            <v>0</v>
          </cell>
        </row>
        <row r="448">
          <cell r="C448" t="str">
            <v>Acquired in-process R and D, cash flow statement</v>
          </cell>
          <cell r="G448">
            <v>0</v>
          </cell>
          <cell r="H448">
            <v>0</v>
          </cell>
          <cell r="I448">
            <v>752.5</v>
          </cell>
          <cell r="J448">
            <v>0</v>
          </cell>
          <cell r="K448">
            <v>0</v>
          </cell>
          <cell r="L448">
            <v>0</v>
          </cell>
          <cell r="M448">
            <v>0</v>
          </cell>
          <cell r="HX448" t="str">
            <v>mstag:acquiredInProcessRAndD</v>
          </cell>
          <cell r="HY448">
            <v>6</v>
          </cell>
          <cell r="HZ448" t="str">
            <v>ISO4217:USD</v>
          </cell>
          <cell r="IA448" t="b">
            <v>0</v>
          </cell>
          <cell r="IB448" t="b">
            <v>0</v>
          </cell>
        </row>
        <row r="449">
          <cell r="C449" t="str">
            <v>Capital expenditures</v>
          </cell>
          <cell r="G449">
            <v>154.90199999999999</v>
          </cell>
          <cell r="H449">
            <v>88.087999999999994</v>
          </cell>
          <cell r="I449">
            <v>95.007999999999996</v>
          </cell>
          <cell r="J449">
            <v>112.681</v>
          </cell>
          <cell r="K449">
            <v>213.351</v>
          </cell>
          <cell r="L449">
            <v>322.83199999999999</v>
          </cell>
          <cell r="M449">
            <v>321.95</v>
          </cell>
          <cell r="HX449" t="str">
            <v>mstag:capitalExpenditures</v>
          </cell>
          <cell r="HY449">
            <v>6</v>
          </cell>
          <cell r="HZ449" t="str">
            <v>ISO4217:USD</v>
          </cell>
          <cell r="IA449" t="b">
            <v>0</v>
          </cell>
          <cell r="IB449" t="b">
            <v>0</v>
          </cell>
        </row>
        <row r="450">
          <cell r="D450" t="str">
            <v>Capital expenditures, sustaining</v>
          </cell>
          <cell r="G450">
            <v>154.90199999999999</v>
          </cell>
          <cell r="H450">
            <v>88.087999999999994</v>
          </cell>
          <cell r="I450">
            <v>95.007999999999996</v>
          </cell>
          <cell r="J450">
            <v>112.681</v>
          </cell>
          <cell r="K450">
            <v>213.351</v>
          </cell>
          <cell r="L450">
            <v>322.83199999999999</v>
          </cell>
          <cell r="HX450" t="str">
            <v>mstag:capitalExpendituresMaintenance</v>
          </cell>
          <cell r="HY450">
            <v>6</v>
          </cell>
          <cell r="HZ450" t="str">
            <v>ISO4217:USD</v>
          </cell>
          <cell r="IA450" t="b">
            <v>0</v>
          </cell>
          <cell r="IB450" t="b">
            <v>0</v>
          </cell>
        </row>
        <row r="451">
          <cell r="D451" t="str">
            <v>Capital expenditures, growth</v>
          </cell>
          <cell r="HX451" t="str">
            <v>mstag:capitalExpendituresGrowth</v>
          </cell>
          <cell r="HY451">
            <v>6</v>
          </cell>
          <cell r="HZ451" t="str">
            <v>ISO4217:USD</v>
          </cell>
          <cell r="IA451" t="b">
            <v>0</v>
          </cell>
          <cell r="IB451" t="b">
            <v>0</v>
          </cell>
        </row>
        <row r="452">
          <cell r="C452" t="str">
            <v>Capital expenditures, related to lessor financing</v>
          </cell>
          <cell r="HX452" t="str">
            <v>mstag:capitalExpendituresRelatedToLessorFinancing</v>
          </cell>
          <cell r="HY452">
            <v>6</v>
          </cell>
          <cell r="HZ452" t="str">
            <v>ISO4217:USD</v>
          </cell>
          <cell r="IA452" t="b">
            <v>0</v>
          </cell>
          <cell r="IB452" t="b">
            <v>0</v>
          </cell>
        </row>
        <row r="453">
          <cell r="C453" t="str">
            <v>Unrealized foreign currency exchange gain (loss), cash flow statement</v>
          </cell>
          <cell r="HX453" t="str">
            <v>mstag:unrealizedForeignCurrencyExchangeGainLossCashFlowStatement</v>
          </cell>
          <cell r="HY453">
            <v>6</v>
          </cell>
          <cell r="HZ453" t="str">
            <v>ISO4217:USD</v>
          </cell>
          <cell r="IA453" t="b">
            <v>0</v>
          </cell>
          <cell r="IB453" t="b">
            <v>0</v>
          </cell>
        </row>
        <row r="454">
          <cell r="C454" t="str">
            <v>Proceeds from sale of PPE and intangible assets</v>
          </cell>
          <cell r="HX454" t="str">
            <v>mstag:proceedsFromSaleOfPpeAndIntangibleAssets</v>
          </cell>
          <cell r="HY454">
            <v>6</v>
          </cell>
          <cell r="HZ454" t="str">
            <v>ISO4217:USD</v>
          </cell>
          <cell r="IA454" t="b">
            <v>0</v>
          </cell>
          <cell r="IB454" t="b">
            <v>0</v>
          </cell>
        </row>
        <row r="455">
          <cell r="C455" t="str">
            <v>Amortization of discount (premium) on debt</v>
          </cell>
          <cell r="HX455" t="str">
            <v>mstag:amortizationOfDiscountPremiumOnDebtCashFlowStatement</v>
          </cell>
          <cell r="HY455">
            <v>6</v>
          </cell>
          <cell r="HZ455" t="str">
            <v>ISO4217:USD</v>
          </cell>
          <cell r="IA455" t="b">
            <v>0</v>
          </cell>
          <cell r="IB455" t="b">
            <v>0</v>
          </cell>
        </row>
        <row r="456">
          <cell r="C456" t="str">
            <v>Net pension and OPEB expense, cash flow statement</v>
          </cell>
          <cell r="HX456" t="str">
            <v>mstag:netPensionAndOpebExpenseCashFlowStatement</v>
          </cell>
          <cell r="HY456">
            <v>6</v>
          </cell>
          <cell r="HZ456" t="str">
            <v>ISO4217:USD</v>
          </cell>
          <cell r="IA456" t="b">
            <v>0</v>
          </cell>
          <cell r="IB456" t="b">
            <v>0</v>
          </cell>
        </row>
        <row r="457">
          <cell r="C457" t="str">
            <v>Net disposals (acquisitions)</v>
          </cell>
          <cell r="G457" t="str">
            <v/>
          </cell>
          <cell r="H457" t="str">
            <v/>
          </cell>
          <cell r="I457" t="str">
            <v/>
          </cell>
          <cell r="J457" t="str">
            <v/>
          </cell>
          <cell r="K457" t="str">
            <v/>
          </cell>
          <cell r="L457" t="str">
            <v/>
          </cell>
          <cell r="M457" t="str">
            <v/>
          </cell>
          <cell r="HX457" t="str">
            <v>mstag:netDisposalsAcquisitions</v>
          </cell>
          <cell r="HY457">
            <v>6</v>
          </cell>
          <cell r="HZ457" t="str">
            <v>ISO4217:USD</v>
          </cell>
          <cell r="IA457" t="b">
            <v>0</v>
          </cell>
          <cell r="IB457" t="b">
            <v>0</v>
          </cell>
        </row>
        <row r="458">
          <cell r="D458" t="str">
            <v>Capital expenditures reflected in cost of acquisitions</v>
          </cell>
          <cell r="G458" t="str">
            <v/>
          </cell>
          <cell r="H458" t="str">
            <v/>
          </cell>
          <cell r="I458" t="str">
            <v/>
          </cell>
          <cell r="J458" t="str">
            <v/>
          </cell>
          <cell r="K458" t="str">
            <v/>
          </cell>
          <cell r="L458" t="str">
            <v/>
          </cell>
          <cell r="M458" t="str">
            <v/>
          </cell>
          <cell r="HX458" t="str">
            <v>mstag:capitalExpendituresReflectedInCostOfAcquisitions</v>
          </cell>
          <cell r="HY458">
            <v>6</v>
          </cell>
          <cell r="HZ458" t="str">
            <v>ISO4217:USD</v>
          </cell>
          <cell r="IA458" t="b">
            <v>0</v>
          </cell>
          <cell r="IB458" t="b">
            <v>0</v>
          </cell>
        </row>
        <row r="459">
          <cell r="E459" t="str">
            <v>Capital expenditures reflected in cost of acquisitions, sustaining</v>
          </cell>
          <cell r="HX459" t="str">
            <v>mstag:capitalExpendituresReflectedInCostOfAcquisitionsMaintenance</v>
          </cell>
          <cell r="HY459">
            <v>6</v>
          </cell>
          <cell r="HZ459" t="str">
            <v>ISO4217:USD</v>
          </cell>
          <cell r="IA459" t="b">
            <v>0</v>
          </cell>
          <cell r="IB459" t="b">
            <v>0</v>
          </cell>
        </row>
        <row r="460">
          <cell r="E460" t="str">
            <v>Capital expenditures reflected in cost of acquisitions, growth</v>
          </cell>
          <cell r="HX460" t="str">
            <v>mstag:capitalExpendituresReflectedInCostOfAcquisitionsGrowth</v>
          </cell>
          <cell r="HY460">
            <v>6</v>
          </cell>
          <cell r="HZ460" t="str">
            <v>ISO4217:USD</v>
          </cell>
          <cell r="IA460" t="b">
            <v>0</v>
          </cell>
          <cell r="IB460" t="b">
            <v>0</v>
          </cell>
        </row>
        <row r="461">
          <cell r="D461" t="str">
            <v>Investment in intangible assets reflected in cost of acquisitions</v>
          </cell>
          <cell r="G461" t="str">
            <v/>
          </cell>
          <cell r="H461" t="str">
            <v/>
          </cell>
          <cell r="I461" t="str">
            <v/>
          </cell>
          <cell r="J461" t="str">
            <v/>
          </cell>
          <cell r="K461" t="str">
            <v/>
          </cell>
          <cell r="L461" t="str">
            <v/>
          </cell>
          <cell r="M461" t="str">
            <v/>
          </cell>
          <cell r="HX461" t="str">
            <v>mstag:investmentInIntangibleAssetsReflectedInCostOfAcquisitions</v>
          </cell>
          <cell r="HY461">
            <v>6</v>
          </cell>
          <cell r="HZ461" t="str">
            <v>ISO4217:USD</v>
          </cell>
          <cell r="IA461" t="b">
            <v>0</v>
          </cell>
          <cell r="IB461" t="b">
            <v>0</v>
          </cell>
        </row>
        <row r="462">
          <cell r="E462" t="str">
            <v>Investment in intangible assets reflected in cost of acquisitions, sustaining</v>
          </cell>
          <cell r="HX462" t="str">
            <v>mstag:investmentInIntangibleAssetsReflectedInCostOfAcquisitionsMaintenance</v>
          </cell>
          <cell r="HY462">
            <v>6</v>
          </cell>
          <cell r="HZ462" t="str">
            <v>ISO4217:USD</v>
          </cell>
          <cell r="IA462" t="b">
            <v>0</v>
          </cell>
          <cell r="IB462" t="b">
            <v>0</v>
          </cell>
        </row>
        <row r="463">
          <cell r="E463" t="str">
            <v>Investment in intangible assets reflected in cost of acquisitions, growth</v>
          </cell>
          <cell r="HX463" t="str">
            <v>mstag:investmentInIntangibleAssetsReflectedInCostOfAcquisitionsGrowth</v>
          </cell>
          <cell r="HY463">
            <v>6</v>
          </cell>
          <cell r="HZ463" t="str">
            <v>ISO4217:USD</v>
          </cell>
          <cell r="IA463" t="b">
            <v>0</v>
          </cell>
          <cell r="IB463" t="b">
            <v>0</v>
          </cell>
        </row>
        <row r="464">
          <cell r="D464" t="str">
            <v>Premium (goodwill) on acquisitions</v>
          </cell>
          <cell r="G464" t="str">
            <v/>
          </cell>
          <cell r="H464" t="str">
            <v/>
          </cell>
          <cell r="I464" t="str">
            <v/>
          </cell>
          <cell r="J464" t="str">
            <v/>
          </cell>
          <cell r="K464" t="str">
            <v/>
          </cell>
          <cell r="L464" t="str">
            <v/>
          </cell>
          <cell r="M464" t="str">
            <v/>
          </cell>
          <cell r="HX464" t="str">
            <v>mstag:premiumGoodwillOnAcquisions</v>
          </cell>
          <cell r="HY464">
            <v>6</v>
          </cell>
          <cell r="HZ464" t="str">
            <v>ISO4217:USD</v>
          </cell>
          <cell r="IA464" t="b">
            <v>0</v>
          </cell>
          <cell r="IB464" t="b">
            <v>0</v>
          </cell>
        </row>
        <row r="465">
          <cell r="E465" t="str">
            <v>Premium (goodwill) on acquisitions, sustaining</v>
          </cell>
          <cell r="HX465" t="str">
            <v>mstag:premiumGoodwillOnAcquisitionsSustaining</v>
          </cell>
          <cell r="HY465">
            <v>6</v>
          </cell>
          <cell r="HZ465" t="str">
            <v>ISO4217:USD</v>
          </cell>
          <cell r="IA465" t="b">
            <v>0</v>
          </cell>
          <cell r="IB465" t="b">
            <v>0</v>
          </cell>
        </row>
        <row r="466">
          <cell r="E466" t="str">
            <v>Premium (goodwill) on acquisitions, growth</v>
          </cell>
          <cell r="HX466" t="str">
            <v>mstag:premiumGoodwillOnAcquisitionsGrowth</v>
          </cell>
          <cell r="HY466">
            <v>6</v>
          </cell>
          <cell r="HZ466" t="str">
            <v>ISO4217:USD</v>
          </cell>
          <cell r="IA466" t="b">
            <v>0</v>
          </cell>
          <cell r="IB466" t="b">
            <v>0</v>
          </cell>
        </row>
        <row r="467">
          <cell r="D467" t="str">
            <v>Other assets (liabilities) acquired included in ending balance sheet totals</v>
          </cell>
          <cell r="HX467" t="str">
            <v>mstag:otherAssetsLiabilitiesIncludedInEndingBalanceSheetTotals</v>
          </cell>
          <cell r="HY467">
            <v>6</v>
          </cell>
          <cell r="HZ467" t="str">
            <v>ISO4217:USD</v>
          </cell>
          <cell r="IA467" t="b">
            <v>0</v>
          </cell>
          <cell r="IB467" t="b">
            <v>0</v>
          </cell>
        </row>
        <row r="468">
          <cell r="D468" t="str">
            <v>Acquired in-process R and D, acquisitions</v>
          </cell>
          <cell r="HX468" t="str">
            <v>mstag:acquiredInProcessRAndDAcquisitions</v>
          </cell>
          <cell r="HY468">
            <v>6</v>
          </cell>
          <cell r="HZ468" t="str">
            <v>ISO4217:USD</v>
          </cell>
          <cell r="IA468" t="b">
            <v>0</v>
          </cell>
          <cell r="IB468" t="b">
            <v>0</v>
          </cell>
        </row>
        <row r="469">
          <cell r="D469" t="str">
            <v>Principal debt acquired</v>
          </cell>
          <cell r="HX469" t="str">
            <v>mstag:principalDebtAcquired</v>
          </cell>
          <cell r="HY469">
            <v>6</v>
          </cell>
          <cell r="HZ469" t="str">
            <v>ISO4217:USD</v>
          </cell>
          <cell r="IA469" t="b">
            <v>0</v>
          </cell>
          <cell r="IB469" t="b">
            <v>0</v>
          </cell>
        </row>
        <row r="470">
          <cell r="D470" t="str">
            <v>Equity issued on acquisition</v>
          </cell>
          <cell r="HX470" t="str">
            <v>mstag:equityIssuedOnAcquisition</v>
          </cell>
          <cell r="HY470">
            <v>6</v>
          </cell>
          <cell r="HZ470" t="str">
            <v>ISO4217:USD</v>
          </cell>
          <cell r="IA470" t="b">
            <v>0</v>
          </cell>
          <cell r="IB470" t="b">
            <v>0</v>
          </cell>
        </row>
        <row r="471">
          <cell r="C471" t="str">
            <v>Investment in intangible assets</v>
          </cell>
          <cell r="G471" t="str">
            <v/>
          </cell>
          <cell r="H471" t="str">
            <v/>
          </cell>
          <cell r="I471" t="str">
            <v/>
          </cell>
          <cell r="J471" t="str">
            <v/>
          </cell>
          <cell r="K471" t="str">
            <v/>
          </cell>
          <cell r="L471" t="str">
            <v/>
          </cell>
          <cell r="M471" t="str">
            <v/>
          </cell>
          <cell r="HX471" t="str">
            <v>mstag:investmentInIntangibleAssets</v>
          </cell>
          <cell r="HY471">
            <v>6</v>
          </cell>
          <cell r="HZ471" t="str">
            <v>ISO4217:USD</v>
          </cell>
          <cell r="IA471" t="b">
            <v>0</v>
          </cell>
          <cell r="IB471" t="b">
            <v>0</v>
          </cell>
        </row>
        <row r="472">
          <cell r="D472" t="str">
            <v>Investment in indefinite life intangibles</v>
          </cell>
          <cell r="G472" t="str">
            <v/>
          </cell>
          <cell r="H472" t="str">
            <v/>
          </cell>
          <cell r="I472" t="str">
            <v/>
          </cell>
          <cell r="J472" t="str">
            <v/>
          </cell>
          <cell r="K472" t="str">
            <v/>
          </cell>
          <cell r="L472" t="str">
            <v/>
          </cell>
          <cell r="M472" t="str">
            <v/>
          </cell>
          <cell r="HX472" t="str">
            <v>mstag:investmentInIndefiniteLifeIntangibles</v>
          </cell>
          <cell r="HY472">
            <v>6</v>
          </cell>
          <cell r="HZ472" t="str">
            <v>ISO4217:USD</v>
          </cell>
          <cell r="IA472" t="b">
            <v>0</v>
          </cell>
          <cell r="IB472" t="b">
            <v>0</v>
          </cell>
        </row>
        <row r="473">
          <cell r="E473" t="str">
            <v>Investment in indefinite life intangibles, sustaining</v>
          </cell>
          <cell r="HX473" t="str">
            <v>mstag:investmentInIndefiniteLifeIntangiblesMaintenance</v>
          </cell>
          <cell r="HY473">
            <v>6</v>
          </cell>
          <cell r="HZ473" t="str">
            <v>ISO4217:USD</v>
          </cell>
          <cell r="IA473" t="b">
            <v>0</v>
          </cell>
          <cell r="IB473" t="b">
            <v>0</v>
          </cell>
        </row>
        <row r="474">
          <cell r="E474" t="str">
            <v>Investment in indefinite life intangibles, growth</v>
          </cell>
          <cell r="HX474" t="str">
            <v>mstag:investmentInIndefiniteLifeIntangiblesGrowth</v>
          </cell>
          <cell r="HY474">
            <v>6</v>
          </cell>
          <cell r="HZ474" t="str">
            <v>ISO4217:USD</v>
          </cell>
          <cell r="IA474" t="b">
            <v>0</v>
          </cell>
          <cell r="IB474" t="b">
            <v>0</v>
          </cell>
        </row>
        <row r="475">
          <cell r="D475" t="str">
            <v>Investment in definite life intangibles</v>
          </cell>
          <cell r="G475" t="str">
            <v/>
          </cell>
          <cell r="H475" t="str">
            <v/>
          </cell>
          <cell r="I475" t="str">
            <v/>
          </cell>
          <cell r="J475" t="str">
            <v/>
          </cell>
          <cell r="K475" t="str">
            <v/>
          </cell>
          <cell r="L475" t="str">
            <v/>
          </cell>
          <cell r="M475" t="str">
            <v/>
          </cell>
          <cell r="HX475" t="str">
            <v>mstag:investmentInDefiniteLifeIntangibles</v>
          </cell>
          <cell r="HY475">
            <v>6</v>
          </cell>
          <cell r="HZ475" t="str">
            <v>ISO4217:USD</v>
          </cell>
          <cell r="IA475" t="b">
            <v>0</v>
          </cell>
          <cell r="IB475" t="b">
            <v>0</v>
          </cell>
        </row>
        <row r="476">
          <cell r="E476" t="str">
            <v>Investment in definite life intangibles, sustaining</v>
          </cell>
          <cell r="HX476" t="str">
            <v>mstag:investmentInDefiniteLifeIntangiblesMaintenance</v>
          </cell>
          <cell r="HY476">
            <v>6</v>
          </cell>
          <cell r="HZ476" t="str">
            <v>ISO4217:USD</v>
          </cell>
          <cell r="IA476" t="b">
            <v>0</v>
          </cell>
          <cell r="IB476" t="b">
            <v>0</v>
          </cell>
        </row>
        <row r="477">
          <cell r="E477" t="str">
            <v>Investment in definite life intangibles, growth</v>
          </cell>
          <cell r="HX477" t="str">
            <v>mstag:investmentInDefiniteLifeIntangiblesGrowth</v>
          </cell>
          <cell r="HY477">
            <v>6</v>
          </cell>
          <cell r="HZ477" t="str">
            <v>ISO4217:USD</v>
          </cell>
          <cell r="IA477" t="b">
            <v>0</v>
          </cell>
          <cell r="IB477" t="b">
            <v>0</v>
          </cell>
        </row>
        <row r="478">
          <cell r="C478" t="str">
            <v>Income (loss) from investments under the equity method, operating, cash flow statement</v>
          </cell>
          <cell r="HX478" t="str">
            <v>mstag:incomeLossFromInvestmentsAccountedForUnderTheEquityMethodOperating</v>
          </cell>
          <cell r="HY478">
            <v>6</v>
          </cell>
          <cell r="HZ478" t="str">
            <v>ISO4217:USD</v>
          </cell>
          <cell r="IA478" t="b">
            <v>0</v>
          </cell>
          <cell r="IB478" t="b">
            <v>0</v>
          </cell>
        </row>
        <row r="479">
          <cell r="C479" t="str">
            <v>Income (loss) from investments under the equity method, nonoperating, cash flow statement</v>
          </cell>
          <cell r="HX479" t="str">
            <v>mstag:incomeLossFromInvestmentsAccountedForUnderTheEquityMethodNonOperating</v>
          </cell>
          <cell r="HY479">
            <v>6</v>
          </cell>
          <cell r="HZ479" t="str">
            <v>ISO4217:USD</v>
          </cell>
          <cell r="IA479" t="b">
            <v>0</v>
          </cell>
          <cell r="IB479" t="b">
            <v>0</v>
          </cell>
        </row>
        <row r="480">
          <cell r="C480" t="str">
            <v>Dividends from investments under the equity method, operating, cash flow statement</v>
          </cell>
          <cell r="HX480" t="str">
            <v>mstag:dividendsFromInvestmentsAccountedForUnderTheEquityMethodOperating</v>
          </cell>
          <cell r="HY480">
            <v>6</v>
          </cell>
          <cell r="HZ480" t="str">
            <v>ISO4217:USD</v>
          </cell>
          <cell r="IA480" t="b">
            <v>0</v>
          </cell>
          <cell r="IB480" t="b">
            <v>0</v>
          </cell>
        </row>
        <row r="481">
          <cell r="C481" t="str">
            <v>Dividends from investments under the equity method, nonoperating, cash flow statement</v>
          </cell>
          <cell r="HX481" t="str">
            <v>mstag:dividendsFromInvestmentsAccountedForUnderTheEquityMethodNonOperating</v>
          </cell>
          <cell r="HY481">
            <v>6</v>
          </cell>
          <cell r="HZ481" t="str">
            <v>ISO4217:USD</v>
          </cell>
          <cell r="IA481" t="b">
            <v>0</v>
          </cell>
          <cell r="IB481" t="b">
            <v>0</v>
          </cell>
        </row>
        <row r="482">
          <cell r="C482" t="str">
            <v>Net increase in deferred tax liabilities (assets)</v>
          </cell>
          <cell r="G482">
            <v>19.66</v>
          </cell>
          <cell r="H482">
            <v>29.792000000000002</v>
          </cell>
          <cell r="I482">
            <v>-144.29500000000002</v>
          </cell>
          <cell r="J482">
            <v>-196.78200000000001</v>
          </cell>
          <cell r="K482">
            <v>29.356999999999999</v>
          </cell>
          <cell r="L482">
            <v>-196.64400000000001</v>
          </cell>
          <cell r="M482">
            <v>-149</v>
          </cell>
          <cell r="HX482" t="str">
            <v>mstag:deferredTax</v>
          </cell>
          <cell r="HY482">
            <v>6</v>
          </cell>
          <cell r="HZ482" t="str">
            <v>ISO4217:USD</v>
          </cell>
          <cell r="IA482" t="b">
            <v>0</v>
          </cell>
          <cell r="IB482" t="b">
            <v>0</v>
          </cell>
        </row>
        <row r="483">
          <cell r="D483" t="str">
            <v>Net decrease in deferred tax asset from exercise of ESOs in the period</v>
          </cell>
          <cell r="HX483" t="str">
            <v>mstag:netDecreaseInDeferredTaxAssetFromExerciseOfEsosInThePeriod</v>
          </cell>
          <cell r="HY483">
            <v>6</v>
          </cell>
          <cell r="HZ483" t="str">
            <v>ISO4217:USD</v>
          </cell>
          <cell r="IA483" t="b">
            <v>0</v>
          </cell>
          <cell r="IB483" t="b">
            <v>0</v>
          </cell>
        </row>
        <row r="484">
          <cell r="C484" t="str">
            <v>Net increase in income tax payable (receivable)</v>
          </cell>
          <cell r="HX484" t="str">
            <v>mstag:netIncreaseInIncomeTaxPayableReceivable</v>
          </cell>
          <cell r="HY484">
            <v>6</v>
          </cell>
          <cell r="HZ484" t="str">
            <v>ISO4217:USD</v>
          </cell>
          <cell r="IA484" t="b">
            <v>0</v>
          </cell>
          <cell r="IB484" t="b">
            <v>0</v>
          </cell>
        </row>
        <row r="485">
          <cell r="D485" t="str">
            <v>Net decrease in income tax payable due to tax benefit from exercise of ESOs</v>
          </cell>
          <cell r="HX485" t="str">
            <v>mstag:netDecreaseInIncomeTaxPayableDueToTaxBenefitFromExerciseOfEsos</v>
          </cell>
          <cell r="HY485">
            <v>6</v>
          </cell>
          <cell r="HZ485" t="str">
            <v>ISO4217:USD</v>
          </cell>
          <cell r="IA485" t="b">
            <v>0</v>
          </cell>
          <cell r="IB485" t="b">
            <v>0</v>
          </cell>
        </row>
        <row r="486">
          <cell r="C486" t="str">
            <v>Stock-based compensation charge, pretax</v>
          </cell>
          <cell r="HX486" t="str">
            <v>mstag:stockBasedCompensationChargePreTax</v>
          </cell>
          <cell r="HY486">
            <v>6</v>
          </cell>
          <cell r="HZ486" t="str">
            <v>ISO4217:USD</v>
          </cell>
          <cell r="IA486" t="b">
            <v>0</v>
          </cell>
          <cell r="IB486" t="b">
            <v>0</v>
          </cell>
        </row>
        <row r="487">
          <cell r="C487" t="str">
            <v>Tax benefit from exercise of ESOs</v>
          </cell>
          <cell r="G487">
            <v>0</v>
          </cell>
          <cell r="H487">
            <v>0</v>
          </cell>
          <cell r="I487">
            <v>119.15300000000001</v>
          </cell>
          <cell r="J487">
            <v>0</v>
          </cell>
          <cell r="K487">
            <v>0</v>
          </cell>
          <cell r="L487">
            <v>0</v>
          </cell>
          <cell r="M487">
            <v>0</v>
          </cell>
          <cell r="HX487" t="str">
            <v>mstag:taxBenefitFromExerciseOfEsosCashFlowStatement</v>
          </cell>
          <cell r="HY487">
            <v>6</v>
          </cell>
          <cell r="HZ487" t="str">
            <v>ISO4217:USD</v>
          </cell>
          <cell r="IA487" t="b">
            <v>0</v>
          </cell>
          <cell r="IB487" t="b">
            <v>0</v>
          </cell>
        </row>
        <row r="488">
          <cell r="C488" t="str">
            <v>Net decrease in other assets, operating</v>
          </cell>
          <cell r="G488">
            <v>-61.529000000000003</v>
          </cell>
          <cell r="H488">
            <v>-17.151</v>
          </cell>
          <cell r="I488">
            <v>-23.551000000000002</v>
          </cell>
          <cell r="J488">
            <v>-55.603999999999999</v>
          </cell>
          <cell r="K488">
            <v>-10.105</v>
          </cell>
          <cell r="L488">
            <v>12.875</v>
          </cell>
          <cell r="M488">
            <v>-1110.23</v>
          </cell>
          <cell r="HX488" t="str">
            <v>mstag:netDecreaseInOtherAssets</v>
          </cell>
          <cell r="HY488">
            <v>6</v>
          </cell>
          <cell r="HZ488" t="str">
            <v>ISO4217:USD</v>
          </cell>
          <cell r="IA488" t="b">
            <v>0</v>
          </cell>
          <cell r="IB488" t="b">
            <v>0</v>
          </cell>
        </row>
        <row r="489">
          <cell r="C489" t="str">
            <v>Net decrease in trade receivables</v>
          </cell>
          <cell r="G489">
            <v>11.194000000000001</v>
          </cell>
          <cell r="H489">
            <v>33.767000000000003</v>
          </cell>
          <cell r="I489">
            <v>-70.994</v>
          </cell>
          <cell r="J489">
            <v>-103.863</v>
          </cell>
          <cell r="K489">
            <v>-59.512</v>
          </cell>
          <cell r="L489">
            <v>-107.483</v>
          </cell>
          <cell r="M489">
            <v>-146.1</v>
          </cell>
          <cell r="HX489" t="str">
            <v>mstag:netDecreaseInTradeReceivables</v>
          </cell>
          <cell r="HY489">
            <v>6</v>
          </cell>
          <cell r="HZ489" t="str">
            <v>ISO4217:USD</v>
          </cell>
          <cell r="IA489" t="b">
            <v>0</v>
          </cell>
          <cell r="IB489" t="b">
            <v>0</v>
          </cell>
        </row>
        <row r="490">
          <cell r="C490" t="str">
            <v>Net decrease in finance lease receivables</v>
          </cell>
          <cell r="HX490" t="str">
            <v>mstag:netDecreaseInFinanceLeaseReceivables</v>
          </cell>
          <cell r="HY490">
            <v>6</v>
          </cell>
          <cell r="HZ490" t="str">
            <v>ISO4217:USD</v>
          </cell>
          <cell r="IA490" t="b">
            <v>0</v>
          </cell>
          <cell r="IB490" t="b">
            <v>0</v>
          </cell>
        </row>
        <row r="491">
          <cell r="C491" t="str">
            <v>Net decrease in unbilled receivables</v>
          </cell>
          <cell r="HX491" t="str">
            <v>mstag:netDecreaseInUnbilledReceivables</v>
          </cell>
          <cell r="HY491">
            <v>6</v>
          </cell>
          <cell r="HZ491" t="str">
            <v>ISO4217:USD</v>
          </cell>
          <cell r="IA491" t="b">
            <v>0</v>
          </cell>
          <cell r="IB491" t="b">
            <v>0</v>
          </cell>
        </row>
        <row r="492">
          <cell r="C492" t="str">
            <v>Net decrease in other receivables</v>
          </cell>
          <cell r="HX492" t="str">
            <v>mstag:netDecreaseInOtherReceivables</v>
          </cell>
          <cell r="HY492">
            <v>6</v>
          </cell>
          <cell r="HZ492" t="str">
            <v>ISO4217:USD</v>
          </cell>
          <cell r="IA492" t="b">
            <v>0</v>
          </cell>
          <cell r="IB492" t="b">
            <v>0</v>
          </cell>
        </row>
        <row r="493">
          <cell r="C493" t="str">
            <v>Net decrease in prepaid expenses</v>
          </cell>
          <cell r="HX493" t="str">
            <v>mstag:netDecreaseInPrepaidExpenses</v>
          </cell>
          <cell r="HY493">
            <v>6</v>
          </cell>
          <cell r="HZ493" t="str">
            <v>ISO4217:USD</v>
          </cell>
          <cell r="IA493" t="b">
            <v>0</v>
          </cell>
          <cell r="IB493" t="b">
            <v>0</v>
          </cell>
        </row>
        <row r="494">
          <cell r="C494" t="str">
            <v>Net decrease in inventories</v>
          </cell>
          <cell r="G494">
            <v>-24.082999999999998</v>
          </cell>
          <cell r="H494">
            <v>-32.6</v>
          </cell>
          <cell r="I494">
            <v>59.561</v>
          </cell>
          <cell r="J494">
            <v>9.4149999999999991</v>
          </cell>
          <cell r="K494">
            <v>-91.116</v>
          </cell>
          <cell r="L494">
            <v>-36.595999999999997</v>
          </cell>
          <cell r="M494">
            <v>-93.26</v>
          </cell>
          <cell r="HX494" t="str">
            <v>mstag:netDecreaseInInventories</v>
          </cell>
          <cell r="HY494">
            <v>6</v>
          </cell>
          <cell r="HZ494" t="str">
            <v>ISO4217:USD</v>
          </cell>
          <cell r="IA494" t="b">
            <v>0</v>
          </cell>
          <cell r="IB494" t="b">
            <v>0</v>
          </cell>
        </row>
        <row r="495">
          <cell r="C495" t="str">
            <v>Net increase in trade and other payables</v>
          </cell>
          <cell r="G495">
            <v>32.896999999999998</v>
          </cell>
          <cell r="H495">
            <v>15.936999999999999</v>
          </cell>
          <cell r="I495">
            <v>166.41199999999998</v>
          </cell>
          <cell r="J495">
            <v>239.38800000000001</v>
          </cell>
          <cell r="K495">
            <v>124.774</v>
          </cell>
          <cell r="L495">
            <v>148.68100000000001</v>
          </cell>
          <cell r="M495">
            <v>463.6</v>
          </cell>
          <cell r="HX495" t="str">
            <v>mstag:netIncreaseInTradeAndOtherPayables</v>
          </cell>
          <cell r="HY495">
            <v>6</v>
          </cell>
          <cell r="HZ495" t="str">
            <v>ISO4217:USD</v>
          </cell>
          <cell r="IA495" t="b">
            <v>0</v>
          </cell>
          <cell r="IB495" t="b">
            <v>0</v>
          </cell>
        </row>
        <row r="496">
          <cell r="C496" t="str">
            <v>Net increase in deferred revenue</v>
          </cell>
          <cell r="G496">
            <v>0</v>
          </cell>
          <cell r="H496">
            <v>0</v>
          </cell>
          <cell r="I496">
            <v>0</v>
          </cell>
          <cell r="J496">
            <v>0</v>
          </cell>
          <cell r="K496">
            <v>-15.457000000000001</v>
          </cell>
          <cell r="L496">
            <v>2.0009999999999999</v>
          </cell>
          <cell r="M496">
            <v>239.14500000000001</v>
          </cell>
          <cell r="HX496" t="str">
            <v>mstag:netIncreaseInDeferredRevenue</v>
          </cell>
          <cell r="HY496">
            <v>6</v>
          </cell>
          <cell r="HZ496" t="str">
            <v>ISO4217:USD</v>
          </cell>
          <cell r="IA496" t="b">
            <v>0</v>
          </cell>
          <cell r="IB496" t="b">
            <v>0</v>
          </cell>
        </row>
        <row r="497">
          <cell r="C497" t="str">
            <v>Net increase in accrued expenses</v>
          </cell>
          <cell r="HX497" t="str">
            <v>mstag:netIncreaseInAccruedExpenses</v>
          </cell>
          <cell r="HY497">
            <v>6</v>
          </cell>
          <cell r="HZ497" t="str">
            <v>ISO4217:USD</v>
          </cell>
          <cell r="IA497" t="b">
            <v>0</v>
          </cell>
          <cell r="IB497" t="b">
            <v>0</v>
          </cell>
        </row>
        <row r="498">
          <cell r="C498" t="str">
            <v>Net increase in deferred compensation</v>
          </cell>
          <cell r="HX498" t="str">
            <v>mstag:netIncreaseInDeferredCompensation</v>
          </cell>
          <cell r="HY498">
            <v>6</v>
          </cell>
          <cell r="HZ498" t="str">
            <v>ISO4217:USD</v>
          </cell>
          <cell r="IA498" t="b">
            <v>0</v>
          </cell>
          <cell r="IB498" t="b">
            <v>0</v>
          </cell>
        </row>
        <row r="499">
          <cell r="C499" t="str">
            <v>Proceeds from issuance and cash used to repay short term borrowings</v>
          </cell>
          <cell r="G499">
            <v>0</v>
          </cell>
          <cell r="H499">
            <v>0</v>
          </cell>
          <cell r="I499">
            <v>0</v>
          </cell>
          <cell r="J499">
            <v>0</v>
          </cell>
          <cell r="K499">
            <v>0</v>
          </cell>
          <cell r="L499">
            <v>-149.69200000000001</v>
          </cell>
          <cell r="M499">
            <v>0</v>
          </cell>
          <cell r="HX499" t="str">
            <v>mstag:proceedsFromIssuanceAndCashUsedToRepayShortTermBorrowings</v>
          </cell>
          <cell r="HY499">
            <v>6</v>
          </cell>
          <cell r="HZ499" t="str">
            <v>ISO4217:USD</v>
          </cell>
          <cell r="IA499" t="b">
            <v>0</v>
          </cell>
          <cell r="IB499" t="b">
            <v>0</v>
          </cell>
        </row>
        <row r="500">
          <cell r="C500" t="str">
            <v>Proceeds from issuance and cash used to repay long term debt</v>
          </cell>
          <cell r="HX500" t="str">
            <v>mstag:proceedsFromIssuanceAndCashUsedToRepayLongTermDebt</v>
          </cell>
          <cell r="HY500">
            <v>6</v>
          </cell>
          <cell r="HZ500" t="str">
            <v>ISO4217:USD</v>
          </cell>
          <cell r="IA500" t="b">
            <v>0</v>
          </cell>
          <cell r="IB500" t="b">
            <v>0</v>
          </cell>
        </row>
        <row r="501">
          <cell r="C501" t="str">
            <v>Net increase in other liabilities, operating</v>
          </cell>
          <cell r="G501">
            <v>0</v>
          </cell>
          <cell r="H501">
            <v>0</v>
          </cell>
          <cell r="I501">
            <v>0</v>
          </cell>
          <cell r="J501">
            <v>0</v>
          </cell>
          <cell r="K501">
            <v>0</v>
          </cell>
          <cell r="L501">
            <v>552.18499999999995</v>
          </cell>
          <cell r="HX501" t="str">
            <v>mstag:netIncreaseInOtherLiabilitiesOperating</v>
          </cell>
          <cell r="HY501">
            <v>6</v>
          </cell>
          <cell r="HZ501" t="str">
            <v>ISO4217:USD</v>
          </cell>
          <cell r="IA501" t="b">
            <v>0</v>
          </cell>
          <cell r="IB501" t="b">
            <v>0</v>
          </cell>
        </row>
        <row r="502">
          <cell r="C502" t="str">
            <v>Net increase in minority interests in shareholders' equity</v>
          </cell>
          <cell r="HX502" t="str">
            <v>mstag:netIncreaseInMinorityInterestsInShareholdersEquity</v>
          </cell>
          <cell r="HY502">
            <v>6</v>
          </cell>
          <cell r="HZ502" t="str">
            <v>ISO4217:USD</v>
          </cell>
          <cell r="IA502" t="b">
            <v>0</v>
          </cell>
          <cell r="IB502" t="b">
            <v>0</v>
          </cell>
        </row>
        <row r="503">
          <cell r="C503" t="str">
            <v>Net issuance of preferred stock</v>
          </cell>
          <cell r="G503" t="str">
            <v/>
          </cell>
          <cell r="H503" t="str">
            <v/>
          </cell>
          <cell r="I503" t="str">
            <v/>
          </cell>
          <cell r="J503" t="str">
            <v/>
          </cell>
          <cell r="K503" t="str">
            <v/>
          </cell>
          <cell r="L503" t="str">
            <v/>
          </cell>
          <cell r="M503" t="str">
            <v/>
          </cell>
          <cell r="HX503" t="str">
            <v>mstag:netIssuanceOfPreferredStock</v>
          </cell>
          <cell r="HY503">
            <v>6</v>
          </cell>
          <cell r="HZ503" t="str">
            <v>ISO4217:USD</v>
          </cell>
          <cell r="IA503" t="b">
            <v>0</v>
          </cell>
          <cell r="IB503" t="b">
            <v>0</v>
          </cell>
        </row>
        <row r="504">
          <cell r="D504" t="str">
            <v>Issuances of preferred stock</v>
          </cell>
          <cell r="HX504" t="str">
            <v>mstag:issuancesOfPreferredStock</v>
          </cell>
          <cell r="HY504">
            <v>6</v>
          </cell>
          <cell r="HZ504" t="str">
            <v>ISO4217:USD</v>
          </cell>
          <cell r="IA504" t="b">
            <v>0</v>
          </cell>
          <cell r="IB504" t="b">
            <v>0</v>
          </cell>
        </row>
        <row r="505">
          <cell r="D505" t="str">
            <v>Redemptions, retirements and repurchases of preferred stock</v>
          </cell>
          <cell r="HX505" t="str">
            <v>mstag:redemptionsRetirementsAndRepurchasesOfPreferredStock</v>
          </cell>
          <cell r="HY505">
            <v>6</v>
          </cell>
          <cell r="HZ505" t="str">
            <v>ISO4217:USD</v>
          </cell>
          <cell r="IA505" t="b">
            <v>0</v>
          </cell>
          <cell r="IB505" t="b">
            <v>0</v>
          </cell>
        </row>
        <row r="506">
          <cell r="C506" t="str">
            <v>Proceeds from issuance/(funds used to repurchase) common stock</v>
          </cell>
          <cell r="G506">
            <v>87.259</v>
          </cell>
          <cell r="H506">
            <v>107.938</v>
          </cell>
          <cell r="I506">
            <v>160.203</v>
          </cell>
          <cell r="J506">
            <v>180.37899999999999</v>
          </cell>
          <cell r="K506">
            <v>67.162000000000006</v>
          </cell>
          <cell r="L506">
            <v>-618.58799999999997</v>
          </cell>
          <cell r="M506">
            <v>325.52</v>
          </cell>
          <cell r="HX506" t="str">
            <v>mstag:proceedsFromIssuanceFundsUsedToRepurchaseCommonStock</v>
          </cell>
          <cell r="HY506">
            <v>6</v>
          </cell>
          <cell r="HZ506" t="str">
            <v>ISO4217:USD</v>
          </cell>
          <cell r="IA506" t="b">
            <v>0</v>
          </cell>
          <cell r="IB506" t="b">
            <v>0</v>
          </cell>
        </row>
        <row r="507">
          <cell r="D507" t="str">
            <v>Proceeds from issuance of common stock</v>
          </cell>
          <cell r="G507">
            <v>87.259</v>
          </cell>
          <cell r="H507">
            <v>107.938</v>
          </cell>
          <cell r="I507">
            <v>160.203</v>
          </cell>
          <cell r="J507">
            <v>180.37899999999999</v>
          </cell>
          <cell r="K507">
            <v>106.866</v>
          </cell>
          <cell r="L507">
            <v>74.164000000000001</v>
          </cell>
          <cell r="HX507" t="str">
            <v>mstag:proceedsFromIssuanceOfCommonStock</v>
          </cell>
          <cell r="HY507">
            <v>6</v>
          </cell>
          <cell r="HZ507" t="str">
            <v>ISO4217:USD</v>
          </cell>
          <cell r="IA507" t="b">
            <v>0</v>
          </cell>
          <cell r="IB507" t="b">
            <v>0</v>
          </cell>
        </row>
        <row r="508">
          <cell r="D508" t="str">
            <v>Funds used to repurchase common stock</v>
          </cell>
          <cell r="G508">
            <v>0</v>
          </cell>
          <cell r="H508">
            <v>0</v>
          </cell>
          <cell r="I508">
            <v>0</v>
          </cell>
          <cell r="J508">
            <v>0</v>
          </cell>
          <cell r="K508">
            <v>39.704000000000001</v>
          </cell>
          <cell r="L508">
            <v>692.75199999999995</v>
          </cell>
          <cell r="HX508" t="str">
            <v>mstag:fundsUsedToRepurchaseCommonStock</v>
          </cell>
          <cell r="HY508">
            <v>6</v>
          </cell>
          <cell r="HZ508" t="str">
            <v>ISO4217:USD</v>
          </cell>
          <cell r="IA508" t="b">
            <v>0</v>
          </cell>
          <cell r="IB508" t="b">
            <v>0</v>
          </cell>
        </row>
        <row r="509">
          <cell r="C509" t="str">
            <v>Cash dividends paid</v>
          </cell>
          <cell r="HX509" t="str">
            <v>mstag:cashDividendsPaid</v>
          </cell>
          <cell r="HY509">
            <v>6</v>
          </cell>
          <cell r="HZ509" t="str">
            <v>ISO4217:USD</v>
          </cell>
          <cell r="IA509" t="b">
            <v>0</v>
          </cell>
          <cell r="IB509" t="b">
            <v>0</v>
          </cell>
        </row>
        <row r="510">
          <cell r="C510" t="str">
            <v>Net decrease in notes receivable</v>
          </cell>
          <cell r="HX510" t="str">
            <v>mstag:netDecreaseInNotesReceivable</v>
          </cell>
          <cell r="HY510">
            <v>6</v>
          </cell>
          <cell r="HZ510" t="str">
            <v>ISO4217:USD</v>
          </cell>
          <cell r="IA510" t="b">
            <v>0</v>
          </cell>
          <cell r="IB510" t="b">
            <v>0</v>
          </cell>
        </row>
        <row r="511">
          <cell r="C511" t="str">
            <v>Net decrease in other assets, nonoperating</v>
          </cell>
          <cell r="HX511" t="str">
            <v>mstag:netDecreaseInOtherAssetsNonOperating</v>
          </cell>
          <cell r="HY511">
            <v>6</v>
          </cell>
          <cell r="HZ511" t="str">
            <v>ISO4217:USD</v>
          </cell>
          <cell r="IA511" t="b">
            <v>0</v>
          </cell>
          <cell r="IB511" t="b">
            <v>0</v>
          </cell>
        </row>
        <row r="512">
          <cell r="C512" t="str">
            <v>Net increase in dividends payable</v>
          </cell>
          <cell r="HX512" t="str">
            <v>mstag:netIncreaseInDividendsPayable</v>
          </cell>
          <cell r="HY512">
            <v>6</v>
          </cell>
          <cell r="HZ512" t="str">
            <v>ISO4217:USD</v>
          </cell>
          <cell r="IA512" t="b">
            <v>0</v>
          </cell>
          <cell r="IB512" t="b">
            <v>0</v>
          </cell>
        </row>
        <row r="513">
          <cell r="C513" t="str">
            <v>Net increase in other liabilities, nonoperating</v>
          </cell>
          <cell r="G513">
            <v>0</v>
          </cell>
          <cell r="H513">
            <v>0</v>
          </cell>
          <cell r="I513">
            <v>0</v>
          </cell>
          <cell r="J513">
            <v>0</v>
          </cell>
          <cell r="K513">
            <v>0</v>
          </cell>
          <cell r="L513">
            <v>0</v>
          </cell>
          <cell r="M513">
            <v>56.1</v>
          </cell>
          <cell r="HX513" t="str">
            <v>mstag:netIncreaseInOtherLiabilitiesNonOperating</v>
          </cell>
          <cell r="HY513">
            <v>6</v>
          </cell>
          <cell r="HZ513" t="str">
            <v>ISO4217:USD</v>
          </cell>
          <cell r="IA513" t="b">
            <v>0</v>
          </cell>
          <cell r="IB513" t="b">
            <v>0</v>
          </cell>
        </row>
        <row r="514">
          <cell r="C514" t="str">
            <v>Contribution to pension and other post retirement plan assets</v>
          </cell>
          <cell r="HX514" t="str">
            <v>mstag:contributionToPensionAndOtherPostRetirementPlanAssets</v>
          </cell>
          <cell r="HY514">
            <v>6</v>
          </cell>
          <cell r="HZ514" t="str">
            <v>ISO4217:USD</v>
          </cell>
          <cell r="IA514" t="b">
            <v>0</v>
          </cell>
          <cell r="IB514" t="b">
            <v>0</v>
          </cell>
        </row>
        <row r="515">
          <cell r="C515" t="str">
            <v>Net increase in securitized assets, cash flow statement</v>
          </cell>
          <cell r="HX515" t="str">
            <v>mstag:netIncreaseInSecuritizedAssetsCashFlowStatement</v>
          </cell>
          <cell r="HY515">
            <v>6</v>
          </cell>
          <cell r="HZ515" t="str">
            <v>ISO4217:USD</v>
          </cell>
          <cell r="IA515" t="b">
            <v>0</v>
          </cell>
          <cell r="IB515" t="b">
            <v>0</v>
          </cell>
        </row>
        <row r="516">
          <cell r="C516" t="str">
            <v>Net decrease in investments, nonoperating</v>
          </cell>
          <cell r="G516">
            <v>-68.186000000000035</v>
          </cell>
          <cell r="H516">
            <v>-273.92699999999996</v>
          </cell>
          <cell r="I516">
            <v>8.4469999999999459</v>
          </cell>
          <cell r="J516">
            <v>-136.43600000000004</v>
          </cell>
          <cell r="K516">
            <v>-576.10900000000004</v>
          </cell>
          <cell r="L516">
            <v>174.39500000000021</v>
          </cell>
          <cell r="HX516" t="str">
            <v>mstag:netDecreaseInInvestmentsNonOperating</v>
          </cell>
          <cell r="HY516">
            <v>6</v>
          </cell>
          <cell r="HZ516" t="str">
            <v>ISO4217:USD</v>
          </cell>
          <cell r="IA516" t="b">
            <v>0</v>
          </cell>
          <cell r="IB516" t="b">
            <v>0</v>
          </cell>
        </row>
        <row r="517">
          <cell r="C517" t="str">
            <v>Net cash flow from discontinued operations</v>
          </cell>
          <cell r="HX517" t="str">
            <v>mstag:netCashFlowFromDiscontinuedOperations</v>
          </cell>
          <cell r="HY517">
            <v>6</v>
          </cell>
          <cell r="HZ517" t="str">
            <v>ISO4217:USD</v>
          </cell>
          <cell r="IA517" t="b">
            <v>0</v>
          </cell>
          <cell r="IB517" t="b">
            <v>0</v>
          </cell>
        </row>
        <row r="518">
          <cell r="C518" t="str">
            <v>Other cash flow</v>
          </cell>
          <cell r="G518">
            <v>0</v>
          </cell>
          <cell r="H518">
            <v>0</v>
          </cell>
          <cell r="I518">
            <v>0</v>
          </cell>
          <cell r="J518">
            <v>0</v>
          </cell>
          <cell r="K518">
            <v>5.6379999999999999</v>
          </cell>
          <cell r="L518">
            <v>0</v>
          </cell>
          <cell r="M518">
            <v>47.655000000000001</v>
          </cell>
          <cell r="HX518" t="str">
            <v>mstag:otherCashFlow</v>
          </cell>
          <cell r="HY518">
            <v>6</v>
          </cell>
          <cell r="HZ518" t="str">
            <v>ISO4217:USD</v>
          </cell>
          <cell r="IA518" t="b">
            <v>0</v>
          </cell>
          <cell r="IB518" t="b">
            <v>0</v>
          </cell>
        </row>
        <row r="519">
          <cell r="C519" t="str">
            <v>Effect of foreign exchange rates on cash</v>
          </cell>
          <cell r="HX519" t="str">
            <v>mstag:effectOfForeignExchangeRatesOnCash</v>
          </cell>
          <cell r="HY519">
            <v>6</v>
          </cell>
          <cell r="HZ519" t="str">
            <v>ISO4217:USD</v>
          </cell>
          <cell r="IA519" t="b">
            <v>0</v>
          </cell>
          <cell r="IB519" t="b">
            <v>0</v>
          </cell>
        </row>
        <row r="520">
          <cell r="B520" t="str">
            <v>Changes in shareholders equity</v>
          </cell>
          <cell r="HY520">
            <v>0</v>
          </cell>
          <cell r="HZ520" t="str">
            <v>ms_eqr_gcim_String:ms_eqr_gcim_string</v>
          </cell>
          <cell r="IA520" t="b">
            <v>0</v>
          </cell>
          <cell r="IB520" t="b">
            <v>0</v>
          </cell>
        </row>
        <row r="521">
          <cell r="C521" t="str">
            <v>Common dividends</v>
          </cell>
          <cell r="G521">
            <v>0</v>
          </cell>
          <cell r="H521">
            <v>0</v>
          </cell>
          <cell r="I521">
            <v>0</v>
          </cell>
          <cell r="J521">
            <v>0</v>
          </cell>
          <cell r="K521">
            <v>0</v>
          </cell>
          <cell r="L521">
            <v>0</v>
          </cell>
          <cell r="M521">
            <v>0</v>
          </cell>
          <cell r="HX521" t="str">
            <v>mstag:commonDividends</v>
          </cell>
          <cell r="HY521">
            <v>6</v>
          </cell>
          <cell r="HZ521" t="str">
            <v>ISO4217:USD</v>
          </cell>
          <cell r="IA521" t="b">
            <v>0</v>
          </cell>
          <cell r="IB521" t="b">
            <v>0</v>
          </cell>
        </row>
        <row r="522">
          <cell r="C522" t="str">
            <v>Common dividends attributable to current-period earnings</v>
          </cell>
          <cell r="HX522" t="str">
            <v>mstag:commonDividendsAttributableToCurrentPeriodEarnings</v>
          </cell>
          <cell r="HY522">
            <v>6</v>
          </cell>
          <cell r="HZ522" t="str">
            <v>ISO4217:USD</v>
          </cell>
          <cell r="IA522" t="b">
            <v>0</v>
          </cell>
          <cell r="IB522" t="b">
            <v>0</v>
          </cell>
        </row>
        <row r="523">
          <cell r="C523" t="str">
            <v>Net issuance (repurchase) of common stock</v>
          </cell>
          <cell r="G523">
            <v>101.239</v>
          </cell>
          <cell r="H523">
            <v>125.28</v>
          </cell>
          <cell r="I523">
            <v>3883.2519999999995</v>
          </cell>
          <cell r="J523">
            <v>406.46800000000002</v>
          </cell>
          <cell r="K523">
            <v>115.27599999999998</v>
          </cell>
          <cell r="L523">
            <v>-601.64199999999994</v>
          </cell>
          <cell r="M523">
            <v>590.29999999999995</v>
          </cell>
          <cell r="HX523" t="str">
            <v>mstag:netIssuanceRepurchaseOfCommonStock</v>
          </cell>
          <cell r="HY523">
            <v>6</v>
          </cell>
          <cell r="HZ523" t="str">
            <v>ISO4217:USD</v>
          </cell>
          <cell r="IA523" t="b">
            <v>0</v>
          </cell>
          <cell r="IB523" t="b">
            <v>0</v>
          </cell>
        </row>
        <row r="524">
          <cell r="D524" t="str">
            <v>Issuance of common stock</v>
          </cell>
          <cell r="G524">
            <v>101.239</v>
          </cell>
          <cell r="H524">
            <v>125.28</v>
          </cell>
          <cell r="I524">
            <v>3883.2519999999995</v>
          </cell>
          <cell r="J524">
            <v>406.46800000000002</v>
          </cell>
          <cell r="K524">
            <v>154.97999999999999</v>
          </cell>
          <cell r="L524">
            <v>91.11</v>
          </cell>
          <cell r="M524" t="str">
            <v/>
          </cell>
          <cell r="HX524" t="str">
            <v>mstag:issuanceOfCommonStock</v>
          </cell>
          <cell r="HY524">
            <v>6</v>
          </cell>
          <cell r="HZ524" t="str">
            <v>ISO4217:USD</v>
          </cell>
          <cell r="IA524" t="b">
            <v>0</v>
          </cell>
          <cell r="IB524" t="b">
            <v>0</v>
          </cell>
        </row>
        <row r="525">
          <cell r="E525" t="str">
            <v>Share issuance related to employee stock purchase and option plans</v>
          </cell>
          <cell r="G525">
            <v>87.259</v>
          </cell>
          <cell r="H525">
            <v>107.94800000000001</v>
          </cell>
          <cell r="I525">
            <v>160.54500000000002</v>
          </cell>
          <cell r="J525">
            <v>180.39500000000001</v>
          </cell>
          <cell r="K525">
            <v>106.866</v>
          </cell>
          <cell r="L525">
            <v>74.164000000000001</v>
          </cell>
          <cell r="HX525" t="str">
            <v>mstag:shareIssuanceRelatedToEmployeeStockPurchaseAndOptionPlans</v>
          </cell>
          <cell r="HY525">
            <v>6</v>
          </cell>
          <cell r="HZ525" t="str">
            <v>ISO4217:USD</v>
          </cell>
          <cell r="IA525" t="b">
            <v>0</v>
          </cell>
          <cell r="IB525" t="b">
            <v>0</v>
          </cell>
        </row>
        <row r="526">
          <cell r="E526" t="str">
            <v>Other share issuance</v>
          </cell>
          <cell r="HX526" t="str">
            <v>mstag:otherShareIssuance</v>
          </cell>
          <cell r="HY526">
            <v>6</v>
          </cell>
          <cell r="HZ526" t="str">
            <v>ISO4217:USD</v>
          </cell>
          <cell r="IA526" t="b">
            <v>0</v>
          </cell>
          <cell r="IB526" t="b">
            <v>0</v>
          </cell>
        </row>
        <row r="527">
          <cell r="E527" t="str">
            <v>Amortization of deferred compensation expense</v>
          </cell>
          <cell r="HX527" t="str">
            <v>mstag:amortizationOfDeferredCompensationExpense</v>
          </cell>
          <cell r="HY527">
            <v>6</v>
          </cell>
          <cell r="HZ527" t="str">
            <v>ISO4217:USD</v>
          </cell>
          <cell r="IA527" t="b">
            <v>0</v>
          </cell>
          <cell r="IB527" t="b">
            <v>0</v>
          </cell>
        </row>
        <row r="528">
          <cell r="E528" t="str">
            <v>Tax benefit from exercise of employee stock options</v>
          </cell>
          <cell r="G528">
            <v>13.98</v>
          </cell>
          <cell r="H528">
            <v>17.332000000000001</v>
          </cell>
          <cell r="I528">
            <v>82.987000000000009</v>
          </cell>
          <cell r="J528">
            <v>226.07300000000001</v>
          </cell>
          <cell r="K528">
            <v>48.113999999999997</v>
          </cell>
          <cell r="L528">
            <v>16.946000000000002</v>
          </cell>
          <cell r="HX528" t="str">
            <v>mstag:taxBenefitFromExerciseOfEsos</v>
          </cell>
          <cell r="HY528">
            <v>6</v>
          </cell>
          <cell r="HZ528" t="str">
            <v>ISO4217:USD</v>
          </cell>
          <cell r="IA528" t="b">
            <v>0</v>
          </cell>
          <cell r="IB528" t="b">
            <v>0</v>
          </cell>
        </row>
        <row r="529">
          <cell r="E529" t="str">
            <v>Other changes in share capital</v>
          </cell>
          <cell r="G529">
            <v>0</v>
          </cell>
          <cell r="H529">
            <v>0</v>
          </cell>
          <cell r="I529">
            <v>3639.7199999999993</v>
          </cell>
          <cell r="J529">
            <v>0</v>
          </cell>
          <cell r="K529">
            <v>0</v>
          </cell>
          <cell r="L529">
            <v>0</v>
          </cell>
          <cell r="HX529" t="str">
            <v>mstag:otherChangesInShareCapital</v>
          </cell>
          <cell r="HY529">
            <v>6</v>
          </cell>
          <cell r="HZ529" t="str">
            <v>ISO4217:USD</v>
          </cell>
          <cell r="IA529" t="b">
            <v>0</v>
          </cell>
          <cell r="IB529" t="b">
            <v>0</v>
          </cell>
        </row>
        <row r="530">
          <cell r="D530" t="str">
            <v>Repurchase of common stock</v>
          </cell>
          <cell r="G530">
            <v>0</v>
          </cell>
          <cell r="H530">
            <v>0</v>
          </cell>
          <cell r="I530">
            <v>0</v>
          </cell>
          <cell r="J530">
            <v>0</v>
          </cell>
          <cell r="K530">
            <v>39.704000000000001</v>
          </cell>
          <cell r="L530">
            <v>692.75199999999995</v>
          </cell>
          <cell r="HX530" t="str">
            <v>mstag:repurchaseOfCommonStock</v>
          </cell>
          <cell r="HY530">
            <v>6</v>
          </cell>
          <cell r="HZ530" t="str">
            <v>ISO4217:USD</v>
          </cell>
          <cell r="IA530" t="b">
            <v>0</v>
          </cell>
          <cell r="IB530" t="b">
            <v>0</v>
          </cell>
        </row>
        <row r="531">
          <cell r="C531" t="str">
            <v>Bonus to directors and corporate auditors (Japan)</v>
          </cell>
          <cell r="HX531" t="str">
            <v>mstag:bonusToDirectorsAndCorporateAuditorsJapan</v>
          </cell>
          <cell r="HY531">
            <v>6</v>
          </cell>
          <cell r="HZ531" t="str">
            <v>ISO4217:USD</v>
          </cell>
          <cell r="IA531" t="b">
            <v>0</v>
          </cell>
          <cell r="IB531" t="b">
            <v>0</v>
          </cell>
        </row>
        <row r="532">
          <cell r="C532" t="str">
            <v>Bonus to directors and supervisors (Taiwan)</v>
          </cell>
          <cell r="HX532" t="str">
            <v>mstag:bonusToDirectorsAndSupervisorsTaiwan</v>
          </cell>
          <cell r="HY532">
            <v>6</v>
          </cell>
          <cell r="HZ532" t="str">
            <v>ISO4217:USD</v>
          </cell>
          <cell r="IA532" t="b">
            <v>0</v>
          </cell>
          <cell r="IB532" t="b">
            <v>0</v>
          </cell>
        </row>
        <row r="533">
          <cell r="C533" t="str">
            <v>Employee cash bonus (Taiwan)</v>
          </cell>
          <cell r="HX533" t="str">
            <v>mstag:employeeCashBonusTaiwan</v>
          </cell>
          <cell r="HY533">
            <v>6</v>
          </cell>
          <cell r="HZ533" t="str">
            <v>ISO4217:USD</v>
          </cell>
          <cell r="IA533" t="b">
            <v>0</v>
          </cell>
          <cell r="IB533" t="b">
            <v>0</v>
          </cell>
        </row>
        <row r="534">
          <cell r="C534" t="str">
            <v>Employee stock bonus (Taiwan)</v>
          </cell>
          <cell r="HX534" t="str">
            <v>mstag:employeeStockBonusTaiwan</v>
          </cell>
          <cell r="HY534">
            <v>6</v>
          </cell>
          <cell r="HZ534" t="str">
            <v>ISO4217:USD</v>
          </cell>
          <cell r="IA534" t="b">
            <v>0</v>
          </cell>
          <cell r="IB534" t="b">
            <v>0</v>
          </cell>
        </row>
        <row r="535">
          <cell r="C535" t="str">
            <v>Change in accumulated other comprehensive income (loss) or other reserves</v>
          </cell>
          <cell r="G535">
            <v>-0.11700000000000001</v>
          </cell>
          <cell r="H535">
            <v>5.431</v>
          </cell>
          <cell r="I535">
            <v>200.23600000000002</v>
          </cell>
          <cell r="J535">
            <v>72.119</v>
          </cell>
          <cell r="K535">
            <v>-19.896000000000001</v>
          </cell>
          <cell r="L535">
            <v>-43.08</v>
          </cell>
          <cell r="M535">
            <v>28.549801041422199</v>
          </cell>
          <cell r="HX535" t="str">
            <v>mstag:changeInAccumulatedOtherComprehensiveIncomeLossOrOtherReserves</v>
          </cell>
          <cell r="HY535">
            <v>6</v>
          </cell>
          <cell r="HZ535" t="str">
            <v>ISO4217:USD</v>
          </cell>
          <cell r="IA535" t="b">
            <v>0</v>
          </cell>
          <cell r="IB535" t="b">
            <v>0</v>
          </cell>
        </row>
        <row r="536">
          <cell r="D536" t="str">
            <v>Change in unrealized gains (losses) on AFS securities</v>
          </cell>
          <cell r="G536">
            <v>-0.11700000000000001</v>
          </cell>
          <cell r="H536">
            <v>5.431</v>
          </cell>
          <cell r="I536">
            <v>220.57300000000001</v>
          </cell>
          <cell r="J536">
            <v>72.119</v>
          </cell>
          <cell r="K536">
            <v>-27.741</v>
          </cell>
          <cell r="L536">
            <v>-38.777999999999999</v>
          </cell>
          <cell r="HX536" t="str">
            <v>mstag:changeInUnrealizedGainsLossesOnAfsSecurities</v>
          </cell>
          <cell r="HY536">
            <v>6</v>
          </cell>
          <cell r="HZ536" t="str">
            <v>ISO4217:USD</v>
          </cell>
          <cell r="IA536" t="b">
            <v>0</v>
          </cell>
          <cell r="IB536" t="b">
            <v>0</v>
          </cell>
        </row>
        <row r="537">
          <cell r="D537" t="str">
            <v>Change in foreign currency translation</v>
          </cell>
          <cell r="HX537" t="str">
            <v>mstag:changeInForeignCurrencyTranslation</v>
          </cell>
          <cell r="HY537">
            <v>6</v>
          </cell>
          <cell r="HZ537" t="str">
            <v>ISO4217:USD</v>
          </cell>
          <cell r="IA537" t="b">
            <v>0</v>
          </cell>
          <cell r="IB537" t="b">
            <v>0</v>
          </cell>
        </row>
        <row r="538">
          <cell r="D538" t="str">
            <v>Change in minimum pension liability</v>
          </cell>
          <cell r="HX538" t="str">
            <v>mstag:changeInMinimumPensionLiability</v>
          </cell>
          <cell r="HY538">
            <v>6</v>
          </cell>
          <cell r="HZ538" t="str">
            <v>ISO4217:USD</v>
          </cell>
          <cell r="IA538" t="b">
            <v>0</v>
          </cell>
          <cell r="IB538" t="b">
            <v>0</v>
          </cell>
        </row>
        <row r="539">
          <cell r="D539" t="str">
            <v>Change in cash flow hedges</v>
          </cell>
          <cell r="G539">
            <v>0</v>
          </cell>
          <cell r="H539">
            <v>0</v>
          </cell>
          <cell r="I539">
            <v>0</v>
          </cell>
          <cell r="J539">
            <v>0</v>
          </cell>
          <cell r="K539">
            <v>7.8449999999999998</v>
          </cell>
          <cell r="L539">
            <v>-4.3019999999999996</v>
          </cell>
          <cell r="HX539" t="str">
            <v>mstag:changeInCashFlowHedges</v>
          </cell>
          <cell r="HY539">
            <v>6</v>
          </cell>
          <cell r="HZ539" t="str">
            <v>ISO4217:USD</v>
          </cell>
          <cell r="IA539" t="b">
            <v>0</v>
          </cell>
          <cell r="IB539" t="b">
            <v>0</v>
          </cell>
        </row>
        <row r="540">
          <cell r="D540" t="str">
            <v>Other change in accumulated other comprehensive income (loss)</v>
          </cell>
          <cell r="G540">
            <v>0</v>
          </cell>
          <cell r="H540">
            <v>0</v>
          </cell>
          <cell r="I540">
            <v>-20.337</v>
          </cell>
          <cell r="J540">
            <v>0</v>
          </cell>
          <cell r="K540">
            <v>0</v>
          </cell>
          <cell r="L540">
            <v>0</v>
          </cell>
          <cell r="HX540" t="str">
            <v>mstag:otherChangeInAccumulatedOtherComprehensiveIncomeLoss</v>
          </cell>
          <cell r="HY540">
            <v>6</v>
          </cell>
          <cell r="HZ540" t="str">
            <v>ISO4217:USD</v>
          </cell>
          <cell r="IA540" t="b">
            <v>0</v>
          </cell>
          <cell r="IB540" t="b">
            <v>0</v>
          </cell>
        </row>
        <row r="541">
          <cell r="D541" t="str">
            <v>Change in revaluation reserves</v>
          </cell>
          <cell r="HX541" t="str">
            <v>mstag:changeInRevaluationReserves</v>
          </cell>
          <cell r="HY541">
            <v>6</v>
          </cell>
          <cell r="HZ541" t="str">
            <v>ISO4217:USD</v>
          </cell>
          <cell r="IA541" t="b">
            <v>0</v>
          </cell>
          <cell r="IB541" t="b">
            <v>0</v>
          </cell>
        </row>
        <row r="542">
          <cell r="D542" t="str">
            <v>Change in unearned compensation reserve</v>
          </cell>
          <cell r="HX542" t="str">
            <v>mstag:changeInUnearnedCompensationReserve</v>
          </cell>
          <cell r="HY542">
            <v>6</v>
          </cell>
          <cell r="HZ542" t="str">
            <v>ISO4217:USD</v>
          </cell>
          <cell r="IA542" t="b">
            <v>0</v>
          </cell>
          <cell r="IB542" t="b">
            <v>0</v>
          </cell>
        </row>
        <row r="543">
          <cell r="B543" t="str">
            <v>Operating metrics</v>
          </cell>
          <cell r="HY543">
            <v>0</v>
          </cell>
          <cell r="HZ543" t="str">
            <v>ms_eqr_gcim_String:ms_eqr_gcim_string</v>
          </cell>
          <cell r="IA543" t="b">
            <v>0</v>
          </cell>
          <cell r="IB543" t="b">
            <v>0</v>
          </cell>
        </row>
        <row r="544">
          <cell r="C544" t="str">
            <v>Cumulative unrecognized gain (loss) on other investments, gross of tax, operating</v>
          </cell>
          <cell r="HX544" t="str">
            <v>mstag:cumulativeUnrealizedGainLossOnOtherInvestmentsGrossOfTaxOperating</v>
          </cell>
          <cell r="HY544">
            <v>6</v>
          </cell>
          <cell r="HZ544" t="str">
            <v>ISO4217:USD</v>
          </cell>
          <cell r="IA544" t="b">
            <v>0</v>
          </cell>
          <cell r="IB544" t="b">
            <v>0</v>
          </cell>
        </row>
        <row r="545">
          <cell r="C545" t="str">
            <v>Cumulative unrecognized gain (loss) on other investments, gross of tax, nonoperating</v>
          </cell>
          <cell r="HX545" t="str">
            <v>mstag:cumulativeUnrealizedGainLossOnOtherInvestmentsGrossOfTaxNonOperating</v>
          </cell>
          <cell r="HY545">
            <v>6</v>
          </cell>
          <cell r="HZ545" t="str">
            <v>ISO4217:USD</v>
          </cell>
          <cell r="IA545" t="b">
            <v>0</v>
          </cell>
          <cell r="IB545" t="b">
            <v>0</v>
          </cell>
        </row>
        <row r="546">
          <cell r="C546" t="str">
            <v>Current period unrecognized gain (loss) on other investments, gross of tax, operating</v>
          </cell>
          <cell r="G546" t="str">
            <v/>
          </cell>
          <cell r="H546" t="str">
            <v/>
          </cell>
          <cell r="I546" t="str">
            <v/>
          </cell>
          <cell r="J546" t="str">
            <v/>
          </cell>
          <cell r="K546" t="str">
            <v/>
          </cell>
          <cell r="L546" t="str">
            <v/>
          </cell>
          <cell r="M546" t="str">
            <v/>
          </cell>
          <cell r="HX546" t="str">
            <v>mstag:unrealizedGainLossOnOtherInvestmentsGrossOfTaxOperating</v>
          </cell>
          <cell r="HY546">
            <v>6</v>
          </cell>
          <cell r="HZ546" t="str">
            <v>ISO4217:USD</v>
          </cell>
          <cell r="IA546" t="b">
            <v>0</v>
          </cell>
          <cell r="IB546" t="b">
            <v>0</v>
          </cell>
        </row>
        <row r="547">
          <cell r="D547" t="str">
            <v>Current period unrecognized gain (loss) on other investments, gross of tax, operating, recurring</v>
          </cell>
          <cell r="HX547" t="str">
            <v>mstag:currentPeriodUnrecognizedGainLossOnOtherInvestmentsGrossOfTaxOperatingRecurring</v>
          </cell>
          <cell r="HY547">
            <v>6</v>
          </cell>
          <cell r="HZ547" t="str">
            <v>ISO4217:USD</v>
          </cell>
          <cell r="IA547" t="b">
            <v>0</v>
          </cell>
          <cell r="IB547" t="b">
            <v>0</v>
          </cell>
        </row>
        <row r="548">
          <cell r="D548" t="str">
            <v>Current period unrecognized gain (loss) on other investments, gross of tax, operating, one time</v>
          </cell>
          <cell r="HX548" t="str">
            <v>mstag:currentPeriodUnrecognizedGainLossOnOtherInvestmentsGrossOfTaxOperatingOneTime</v>
          </cell>
          <cell r="HY548">
            <v>6</v>
          </cell>
          <cell r="HZ548" t="str">
            <v>ISO4217:USD</v>
          </cell>
          <cell r="IA548" t="b">
            <v>0</v>
          </cell>
          <cell r="IB548" t="b">
            <v>0</v>
          </cell>
        </row>
        <row r="549">
          <cell r="C549" t="str">
            <v>Current period unrecognized gain (loss) on other investments, gross of tax, nonoperating</v>
          </cell>
          <cell r="G549" t="str">
            <v/>
          </cell>
          <cell r="H549" t="str">
            <v/>
          </cell>
          <cell r="I549" t="str">
            <v/>
          </cell>
          <cell r="J549" t="str">
            <v/>
          </cell>
          <cell r="K549" t="str">
            <v/>
          </cell>
          <cell r="L549" t="str">
            <v/>
          </cell>
          <cell r="M549" t="str">
            <v/>
          </cell>
          <cell r="HX549" t="str">
            <v>mstag:unrealizedGainLossOnOtherInvestmentsGrossOfTaxNonOperating</v>
          </cell>
          <cell r="HY549">
            <v>6</v>
          </cell>
          <cell r="HZ549" t="str">
            <v>ISO4217:USD</v>
          </cell>
          <cell r="IA549" t="b">
            <v>0</v>
          </cell>
          <cell r="IB549" t="b">
            <v>0</v>
          </cell>
        </row>
        <row r="550">
          <cell r="D550" t="str">
            <v>Current period unrecognized gain (loss) on other investments, gross of tax, nonoperating, recurring</v>
          </cell>
          <cell r="HX550" t="str">
            <v>mstag:currentPeriodUnrecognizedGainLossOnOtherInvestmentsGrossOfTaxNonOperatingRecurring</v>
          </cell>
          <cell r="HY550">
            <v>6</v>
          </cell>
          <cell r="HZ550" t="str">
            <v>ISO4217:USD</v>
          </cell>
          <cell r="IA550" t="b">
            <v>0</v>
          </cell>
          <cell r="IB550" t="b">
            <v>0</v>
          </cell>
        </row>
        <row r="551">
          <cell r="D551" t="str">
            <v>Current period unrecognized gain (loss) on other investments, gross of tax, nonoperating, one time</v>
          </cell>
          <cell r="HX551" t="str">
            <v>mstag:currentPeriodUnrecognizedGainLossOnOtherInvestmentsGrossOfTaxNonOperatingOneTime</v>
          </cell>
          <cell r="HY551">
            <v>6</v>
          </cell>
          <cell r="HZ551" t="str">
            <v>ISO4217:USD</v>
          </cell>
          <cell r="IA551" t="b">
            <v>0</v>
          </cell>
          <cell r="IB551" t="b">
            <v>0</v>
          </cell>
        </row>
        <row r="552">
          <cell r="C552" t="str">
            <v>Distribution metrics</v>
          </cell>
          <cell r="HY552">
            <v>0</v>
          </cell>
          <cell r="HZ552" t="str">
            <v>ms_eqr_gcim_String:ms_eqr_gcim_string</v>
          </cell>
          <cell r="IA552" t="b">
            <v>0</v>
          </cell>
          <cell r="IB552" t="b">
            <v>0</v>
          </cell>
        </row>
        <row r="553">
          <cell r="D553" t="str">
            <v>Number of gas customers, average</v>
          </cell>
          <cell r="HX553" t="str">
            <v>mstag:numberOfGasCustomersAverage</v>
          </cell>
          <cell r="HY553">
            <v>6</v>
          </cell>
          <cell r="HZ553" t="str">
            <v>ms_eqr_gcim_Decimal:ms_eqr_gcim_decimal</v>
          </cell>
          <cell r="IA553" t="b">
            <v>0</v>
          </cell>
          <cell r="IB553" t="b">
            <v>0</v>
          </cell>
        </row>
        <row r="554">
          <cell r="D554" t="str">
            <v>Number of gas customers, end of period</v>
          </cell>
          <cell r="HX554" t="str">
            <v>mstag:numberOfGasCustomersEndOfPeriod</v>
          </cell>
          <cell r="HY554">
            <v>6</v>
          </cell>
          <cell r="HZ554" t="str">
            <v>ms_eqr_gcim_Decimal:ms_eqr_gcim_decimal</v>
          </cell>
          <cell r="IA554" t="b">
            <v>0</v>
          </cell>
          <cell r="IB554" t="b">
            <v>0</v>
          </cell>
        </row>
        <row r="555">
          <cell r="C555" t="str">
            <v>Heating degree days</v>
          </cell>
          <cell r="HX555" t="str">
            <v>mstag:heatingDegreeDays</v>
          </cell>
          <cell r="HY555">
            <v>6</v>
          </cell>
          <cell r="HZ555" t="str">
            <v>ms_eqr_gcim_Decimal:ms_eqr_gcim_decimal</v>
          </cell>
          <cell r="IA555" t="b">
            <v>0</v>
          </cell>
          <cell r="IB555" t="b">
            <v>0</v>
          </cell>
        </row>
        <row r="556">
          <cell r="C556" t="str">
            <v>Revenue concentration metrics</v>
          </cell>
          <cell r="HY556">
            <v>0</v>
          </cell>
          <cell r="HZ556" t="str">
            <v>ms_eqr_gcim_String:ms_eqr_gcim_string</v>
          </cell>
          <cell r="IA556" t="b">
            <v>0</v>
          </cell>
          <cell r="IB556" t="b">
            <v>0</v>
          </cell>
        </row>
        <row r="557">
          <cell r="D557" t="str">
            <v>Top 3 drugs as percent of total sales</v>
          </cell>
          <cell r="G557">
            <v>0.39169088733116775</v>
          </cell>
          <cell r="H557">
            <v>0.56714962385065482</v>
          </cell>
          <cell r="I557">
            <v>0.66307381387739395</v>
          </cell>
          <cell r="J557">
            <v>0.74051474614722679</v>
          </cell>
          <cell r="K557">
            <v>0.81215216019278214</v>
          </cell>
          <cell r="L557">
            <v>0.85288408208541333</v>
          </cell>
          <cell r="HX557" t="str">
            <v>mstag:top3DrugsAsPercentOfTotalSales</v>
          </cell>
          <cell r="HY557">
            <v>0</v>
          </cell>
          <cell r="HZ557" t="str">
            <v>ms_eqr_gcim_Decimal:ms_eqr_gcim_decimal</v>
          </cell>
          <cell r="IA557" t="b">
            <v>0</v>
          </cell>
          <cell r="IB557" t="b">
            <v>0</v>
          </cell>
        </row>
        <row r="558">
          <cell r="D558" t="str">
            <v>Top 10 drugs as percent of total sales</v>
          </cell>
          <cell r="HX558" t="str">
            <v>mstag:top10DrugsAsPercentOfTotalSales</v>
          </cell>
          <cell r="HY558">
            <v>0</v>
          </cell>
          <cell r="HZ558" t="str">
            <v>ms_eqr_gcim_Decimal:ms_eqr_gcim_decimal</v>
          </cell>
          <cell r="IA558" t="b">
            <v>0</v>
          </cell>
          <cell r="IB558" t="b">
            <v>0</v>
          </cell>
        </row>
        <row r="559">
          <cell r="D559" t="str">
            <v>Generic products as percent of total sales</v>
          </cell>
          <cell r="HX559" t="str">
            <v>mstag:genericProductsAsPercentOfTotalSales</v>
          </cell>
          <cell r="HY559">
            <v>0</v>
          </cell>
          <cell r="HZ559" t="str">
            <v>ms_eqr_gcim_Decimal:ms_eqr_gcim_decimal</v>
          </cell>
          <cell r="IA559" t="b">
            <v>0</v>
          </cell>
          <cell r="IB559" t="b">
            <v>0</v>
          </cell>
        </row>
        <row r="560">
          <cell r="D560" t="str">
            <v>Nongeneric (patented) products as percent of total sales</v>
          </cell>
          <cell r="HX560" t="str">
            <v>mstag:nonGenericPatentedProductsAsPercentOfTotalSales</v>
          </cell>
          <cell r="HY560">
            <v>0</v>
          </cell>
          <cell r="HZ560" t="str">
            <v>ms_eqr_gcim_Decimal:ms_eqr_gcim_decimal</v>
          </cell>
          <cell r="IA560" t="b">
            <v>0</v>
          </cell>
          <cell r="IB560" t="b">
            <v>0</v>
          </cell>
        </row>
        <row r="561">
          <cell r="D561" t="str">
            <v>Hospital products as percent of total sales</v>
          </cell>
          <cell r="HX561" t="str">
            <v>mstag:hospitalProductsAsPercentOfTotalSales</v>
          </cell>
          <cell r="HY561">
            <v>0</v>
          </cell>
          <cell r="HZ561" t="str">
            <v>ms_eqr_gcim_Decimal:ms_eqr_gcim_decimal</v>
          </cell>
          <cell r="IA561" t="b">
            <v>0</v>
          </cell>
          <cell r="IB561" t="b">
            <v>0</v>
          </cell>
        </row>
        <row r="562">
          <cell r="D562" t="str">
            <v>Primary care products as percent of total sales</v>
          </cell>
          <cell r="HX562" t="str">
            <v>mstag:primaryCareProductsAsPercentOfTotalSales</v>
          </cell>
          <cell r="HY562">
            <v>0</v>
          </cell>
          <cell r="HZ562" t="str">
            <v>ms_eqr_gcim_Decimal:ms_eqr_gcim_decimal</v>
          </cell>
          <cell r="IA562" t="b">
            <v>0</v>
          </cell>
          <cell r="IB562" t="b">
            <v>0</v>
          </cell>
        </row>
        <row r="563">
          <cell r="D563" t="str">
            <v>Pills/tablets/capsules as percent of total sales</v>
          </cell>
          <cell r="HX563" t="str">
            <v>mstag:pillstabletscapsulesAsPercentOfTotalSales</v>
          </cell>
          <cell r="HY563">
            <v>0</v>
          </cell>
          <cell r="HZ563" t="str">
            <v>ms_eqr_gcim_Decimal:ms_eqr_gcim_decimal</v>
          </cell>
          <cell r="IA563" t="b">
            <v>0</v>
          </cell>
          <cell r="IB563" t="b">
            <v>0</v>
          </cell>
        </row>
        <row r="564">
          <cell r="D564" t="str">
            <v>Biological products as percent of total sales</v>
          </cell>
          <cell r="HX564" t="str">
            <v>mstag:biologicalProductsAsPercentOfTotalSales</v>
          </cell>
          <cell r="HY564">
            <v>0</v>
          </cell>
          <cell r="HZ564" t="str">
            <v>ms_eqr_gcim_Decimal:ms_eqr_gcim_decimal</v>
          </cell>
          <cell r="IA564" t="b">
            <v>0</v>
          </cell>
          <cell r="IB564" t="b">
            <v>0</v>
          </cell>
        </row>
        <row r="565">
          <cell r="D565" t="str">
            <v>Chemical products as percent of total sales</v>
          </cell>
          <cell r="HX565" t="str">
            <v>mstag:chemicalProductsAsPercentOfTotalSales</v>
          </cell>
          <cell r="HY565">
            <v>0</v>
          </cell>
          <cell r="HZ565" t="str">
            <v>ms_eqr_gcim_Decimal:ms_eqr_gcim_decimal</v>
          </cell>
          <cell r="IA565" t="b">
            <v>0</v>
          </cell>
          <cell r="IB565" t="b">
            <v>0</v>
          </cell>
        </row>
        <row r="566">
          <cell r="D566" t="str">
            <v>Other products as a percent of total sales</v>
          </cell>
          <cell r="HX566" t="str">
            <v>mstag:otherProductsAsAPercentOfTotalSales</v>
          </cell>
          <cell r="HY566">
            <v>0</v>
          </cell>
          <cell r="HZ566" t="str">
            <v>ms_eqr_gcim_Decimal:ms_eqr_gcim_decimal</v>
          </cell>
          <cell r="IA566" t="b">
            <v>0</v>
          </cell>
          <cell r="IB566" t="b">
            <v>0</v>
          </cell>
        </row>
        <row r="567">
          <cell r="C567" t="str">
            <v>Pipeline segmentation</v>
          </cell>
          <cell r="HY567">
            <v>0</v>
          </cell>
          <cell r="HZ567" t="str">
            <v>ms_eqr_gcim_String:ms_eqr_gcim_string</v>
          </cell>
          <cell r="IA567" t="b">
            <v>0</v>
          </cell>
          <cell r="IB567" t="b">
            <v>0</v>
          </cell>
        </row>
        <row r="568">
          <cell r="D568" t="str">
            <v>Total number of drugs in Phase 1 trials</v>
          </cell>
          <cell r="G568">
            <v>2</v>
          </cell>
          <cell r="H568">
            <v>1</v>
          </cell>
          <cell r="I568">
            <v>1</v>
          </cell>
          <cell r="J568">
            <v>4</v>
          </cell>
          <cell r="K568">
            <v>1</v>
          </cell>
          <cell r="L568">
            <v>0</v>
          </cell>
          <cell r="HX568" t="str">
            <v>mstag:totalNumberOfDrugsInPhase1Trials</v>
          </cell>
          <cell r="HY568">
            <v>0</v>
          </cell>
          <cell r="HZ568" t="str">
            <v>ms_eqr_gcim_Decimal:ms_eqr_gcim_decimal</v>
          </cell>
          <cell r="IA568" t="b">
            <v>0</v>
          </cell>
          <cell r="IB568" t="b">
            <v>0</v>
          </cell>
        </row>
        <row r="569">
          <cell r="D569" t="str">
            <v>Total number of drugs in Phase 2 trials</v>
          </cell>
          <cell r="G569">
            <v>5</v>
          </cell>
          <cell r="H569">
            <v>7</v>
          </cell>
          <cell r="I569">
            <v>5</v>
          </cell>
          <cell r="J569">
            <v>4</v>
          </cell>
          <cell r="K569">
            <v>3</v>
          </cell>
          <cell r="L569">
            <v>2</v>
          </cell>
          <cell r="HX569" t="str">
            <v>mstag:totalNumberOfDrugsInPhase2Trials</v>
          </cell>
          <cell r="HY569">
            <v>0</v>
          </cell>
          <cell r="HZ569" t="str">
            <v>ms_eqr_gcim_Decimal:ms_eqr_gcim_decimal</v>
          </cell>
          <cell r="IA569" t="b">
            <v>0</v>
          </cell>
          <cell r="IB569" t="b">
            <v>0</v>
          </cell>
        </row>
        <row r="570">
          <cell r="D570" t="str">
            <v>Total number of drugs in Phase 3 trials</v>
          </cell>
          <cell r="G570">
            <v>9</v>
          </cell>
          <cell r="H570">
            <v>7</v>
          </cell>
          <cell r="I570">
            <v>5</v>
          </cell>
          <cell r="J570">
            <v>8</v>
          </cell>
          <cell r="K570">
            <v>6</v>
          </cell>
          <cell r="L570">
            <v>5</v>
          </cell>
          <cell r="HX570" t="str">
            <v>mstag:totalNumberOfDrugsInPhase3Trials</v>
          </cell>
          <cell r="HY570">
            <v>0</v>
          </cell>
          <cell r="HZ570" t="str">
            <v>ms_eqr_gcim_Decimal:ms_eqr_gcim_decimal</v>
          </cell>
          <cell r="IA570" t="b">
            <v>0</v>
          </cell>
          <cell r="IB570" t="b">
            <v>0</v>
          </cell>
        </row>
        <row r="571">
          <cell r="D571" t="str">
            <v>Total number of drugs in Phase 2 or 3 trials</v>
          </cell>
          <cell r="G571">
            <v>7</v>
          </cell>
          <cell r="H571">
            <v>8</v>
          </cell>
          <cell r="I571">
            <v>6</v>
          </cell>
          <cell r="J571">
            <v>8</v>
          </cell>
          <cell r="K571">
            <v>4</v>
          </cell>
          <cell r="L571">
            <v>2</v>
          </cell>
          <cell r="HX571" t="str">
            <v>mstag:totalNumberOfDrugsInPhase2Or3Trials</v>
          </cell>
          <cell r="HY571">
            <v>0</v>
          </cell>
          <cell r="HZ571" t="str">
            <v>ms_eqr_gcim_Decimal:ms_eqr_gcim_decimal</v>
          </cell>
          <cell r="IA571" t="b">
            <v>0</v>
          </cell>
          <cell r="IB571" t="b">
            <v>0</v>
          </cell>
        </row>
        <row r="572">
          <cell r="D572" t="str">
            <v>Total number of marketed products</v>
          </cell>
          <cell r="G572">
            <v>6</v>
          </cell>
          <cell r="H572">
            <v>7</v>
          </cell>
          <cell r="I572">
            <v>8</v>
          </cell>
          <cell r="J572">
            <v>9</v>
          </cell>
          <cell r="K572">
            <v>10</v>
          </cell>
          <cell r="L572">
            <v>10</v>
          </cell>
          <cell r="HX572" t="str">
            <v>mstag:totalNumberOfMarketedProducts</v>
          </cell>
          <cell r="HY572">
            <v>0</v>
          </cell>
          <cell r="HZ572" t="str">
            <v>ms_eqr_gcim_Decimal:ms_eqr_gcim_decimal</v>
          </cell>
          <cell r="IA572" t="b">
            <v>0</v>
          </cell>
          <cell r="IB572" t="b">
            <v>0</v>
          </cell>
        </row>
        <row r="573">
          <cell r="D573" t="str">
            <v>Percent Phase 2</v>
          </cell>
          <cell r="G573">
            <v>0.3125</v>
          </cell>
          <cell r="H573">
            <v>0.46666666666666667</v>
          </cell>
          <cell r="I573">
            <v>0.45454545454545453</v>
          </cell>
          <cell r="J573">
            <v>0.25</v>
          </cell>
          <cell r="K573">
            <v>0.3</v>
          </cell>
          <cell r="L573">
            <v>0.4</v>
          </cell>
          <cell r="HX573" t="str">
            <v>mstag:percentPhase2</v>
          </cell>
          <cell r="HY573">
            <v>0</v>
          </cell>
          <cell r="HZ573" t="str">
            <v>ms_eqr_gcim_Decimal:ms_eqr_gcim_decimal</v>
          </cell>
          <cell r="IA573" t="b">
            <v>0</v>
          </cell>
          <cell r="IB573" t="b">
            <v>0</v>
          </cell>
        </row>
        <row r="574">
          <cell r="D574" t="str">
            <v>Percent Phase 3</v>
          </cell>
          <cell r="G574">
            <v>0.5625</v>
          </cell>
          <cell r="H574">
            <v>0.46666666666666667</v>
          </cell>
          <cell r="I574">
            <v>0.45454545454545453</v>
          </cell>
          <cell r="J574">
            <v>0.5</v>
          </cell>
          <cell r="K574">
            <v>0.6</v>
          </cell>
          <cell r="L574">
            <v>0.7142857142857143</v>
          </cell>
          <cell r="HX574" t="str">
            <v>mstag:percentPhase3</v>
          </cell>
          <cell r="HY574">
            <v>0</v>
          </cell>
          <cell r="HZ574" t="str">
            <v>ms_eqr_gcim_Decimal:ms_eqr_gcim_decimal</v>
          </cell>
          <cell r="IA574" t="b">
            <v>0</v>
          </cell>
          <cell r="IB574" t="b">
            <v>0</v>
          </cell>
        </row>
        <row r="575">
          <cell r="C575" t="str">
            <v>Estimated net option expense if reported</v>
          </cell>
          <cell r="HX575" t="str">
            <v>mstag:estimatedNetOptionExpenseIfReported</v>
          </cell>
          <cell r="HY575">
            <v>6</v>
          </cell>
          <cell r="HZ575" t="str">
            <v>ISO4217:USD</v>
          </cell>
          <cell r="IA575" t="b">
            <v>0</v>
          </cell>
          <cell r="IB575" t="b">
            <v>0</v>
          </cell>
        </row>
        <row r="576">
          <cell r="C576" t="str">
            <v>Unrecorded goodwill from poolings, write-offs, and cumulative amortization</v>
          </cell>
          <cell r="G576">
            <v>0</v>
          </cell>
          <cell r="H576">
            <v>0</v>
          </cell>
          <cell r="I576">
            <v>690.20899999999995</v>
          </cell>
          <cell r="J576">
            <v>843.49400000000003</v>
          </cell>
          <cell r="K576">
            <v>843.49400000000003</v>
          </cell>
          <cell r="L576">
            <v>843.49400000000003</v>
          </cell>
          <cell r="M576">
            <v>843.49400000000003</v>
          </cell>
          <cell r="HX576" t="str">
            <v>mstag:unrecordedGoodwillFromPoolingAndAmortizedOrWrittenOffGoodwill</v>
          </cell>
          <cell r="HY576">
            <v>6</v>
          </cell>
          <cell r="HZ576" t="str">
            <v>ISO4217:USD</v>
          </cell>
          <cell r="IA576" t="b">
            <v>0</v>
          </cell>
          <cell r="IB576" t="b">
            <v>0</v>
          </cell>
        </row>
        <row r="577">
          <cell r="D577" t="str">
            <v>Unrecorded goodwill from poolings</v>
          </cell>
          <cell r="HX577" t="str">
            <v>mstag:unrecordedGoodwillFromPoolings</v>
          </cell>
          <cell r="HY577">
            <v>6</v>
          </cell>
          <cell r="HZ577" t="str">
            <v>ISO4217:USD</v>
          </cell>
          <cell r="IA577" t="b">
            <v>0</v>
          </cell>
          <cell r="IB577" t="b">
            <v>0</v>
          </cell>
        </row>
        <row r="578">
          <cell r="D578" t="str">
            <v>Nonimpairment write-offs</v>
          </cell>
          <cell r="HX578" t="str">
            <v>mstag:nonImpairmentWriteOffs</v>
          </cell>
          <cell r="HY578">
            <v>6</v>
          </cell>
          <cell r="HZ578" t="str">
            <v>ISO4217:USD</v>
          </cell>
          <cell r="IA578" t="b">
            <v>0</v>
          </cell>
          <cell r="IB578" t="b">
            <v>0</v>
          </cell>
        </row>
        <row r="579">
          <cell r="D579" t="str">
            <v>Cumulative goodwill impairments reported</v>
          </cell>
          <cell r="HX579" t="str">
            <v>mstag:cumulativeGoodwillImpairmentsReported</v>
          </cell>
          <cell r="HY579">
            <v>6</v>
          </cell>
          <cell r="HZ579" t="str">
            <v>ISO4217:USD</v>
          </cell>
          <cell r="IA579" t="b">
            <v>0</v>
          </cell>
          <cell r="IB579" t="b">
            <v>0</v>
          </cell>
        </row>
        <row r="580">
          <cell r="D580" t="str">
            <v>Cumulative amortization</v>
          </cell>
          <cell r="HX580" t="str">
            <v>mstag:cumulativeAmortization</v>
          </cell>
          <cell r="HY580">
            <v>6</v>
          </cell>
          <cell r="HZ580" t="str">
            <v>ISO4217:USD</v>
          </cell>
          <cell r="IA580" t="b">
            <v>0</v>
          </cell>
          <cell r="IB580" t="b">
            <v>0</v>
          </cell>
        </row>
        <row r="581">
          <cell r="C581" t="str">
            <v>Analyst estimated goodwill impairments</v>
          </cell>
          <cell r="HX581" t="str">
            <v>mstag:analystEstimatedGoodwillImpairments</v>
          </cell>
          <cell r="HY581">
            <v>6</v>
          </cell>
          <cell r="HZ581" t="str">
            <v>ISO4217:USD</v>
          </cell>
          <cell r="IA581" t="b">
            <v>0</v>
          </cell>
          <cell r="IB581" t="b">
            <v>0</v>
          </cell>
        </row>
        <row r="582">
          <cell r="C582" t="str">
            <v>Cumulative indefinite life intangible amortization and impairments reported</v>
          </cell>
          <cell r="G582" t="str">
            <v/>
          </cell>
          <cell r="H582" t="str">
            <v/>
          </cell>
          <cell r="I582" t="str">
            <v/>
          </cell>
          <cell r="J582" t="str">
            <v/>
          </cell>
          <cell r="K582" t="str">
            <v/>
          </cell>
          <cell r="L582" t="str">
            <v/>
          </cell>
          <cell r="M582" t="str">
            <v/>
          </cell>
          <cell r="HX582" t="str">
            <v>mstag:cumulativeIndefiniteLifeIntangibleAmortizationAndImpairmentsReported</v>
          </cell>
          <cell r="HY582">
            <v>6</v>
          </cell>
          <cell r="HZ582" t="str">
            <v>ISO4217:USD</v>
          </cell>
          <cell r="IA582" t="b">
            <v>0</v>
          </cell>
          <cell r="IB582" t="b">
            <v>0</v>
          </cell>
        </row>
        <row r="583">
          <cell r="D583" t="str">
            <v>Cumulative indefinite life intangible amortization</v>
          </cell>
          <cell r="HX583" t="str">
            <v>mstag:cumulativeIndefiniteLifeIntangibleAmortization</v>
          </cell>
          <cell r="HY583">
            <v>6</v>
          </cell>
          <cell r="HZ583" t="str">
            <v>ISO4217:USD</v>
          </cell>
          <cell r="IA583" t="b">
            <v>0</v>
          </cell>
          <cell r="IB583" t="b">
            <v>0</v>
          </cell>
        </row>
        <row r="584">
          <cell r="D584" t="str">
            <v>Cumulative indefinite life intangible impairments reported</v>
          </cell>
          <cell r="HX584" t="str">
            <v>mstag:cumulativeIndefiniteLifeIntangibleImpairmentsReported</v>
          </cell>
          <cell r="HY584">
            <v>6</v>
          </cell>
          <cell r="HZ584" t="str">
            <v>ISO4217:USD</v>
          </cell>
          <cell r="IA584" t="b">
            <v>0</v>
          </cell>
          <cell r="IB584" t="b">
            <v>0</v>
          </cell>
        </row>
        <row r="585">
          <cell r="C585" t="str">
            <v>Adjustment for cash taxes paid</v>
          </cell>
          <cell r="HX585" t="str">
            <v>mstag:adjustmentForCashTaxesPaid</v>
          </cell>
          <cell r="HY585">
            <v>6</v>
          </cell>
          <cell r="HZ585" t="str">
            <v>ISO4217:USD</v>
          </cell>
          <cell r="IA585" t="b">
            <v>0</v>
          </cell>
          <cell r="IB585" t="b">
            <v>0</v>
          </cell>
        </row>
        <row r="586">
          <cell r="C586" t="str">
            <v>Net cash used (from) one-time items</v>
          </cell>
          <cell r="HX586" t="str">
            <v>mstag:netCashUsedFromOneTimeItems</v>
          </cell>
          <cell r="HY586">
            <v>6</v>
          </cell>
          <cell r="HZ586" t="str">
            <v>ISO4217:USD</v>
          </cell>
          <cell r="IA586" t="b">
            <v>0</v>
          </cell>
          <cell r="IB586" t="b">
            <v>0</v>
          </cell>
        </row>
        <row r="587">
          <cell r="C587" t="str">
            <v>Net increase in beginning net operating assets from change in consolidation of investments</v>
          </cell>
          <cell r="HX587" t="str">
            <v>mstag:adjustmentToNetOperatingAssetsFor1stTimeConsolidationOfInvestments</v>
          </cell>
          <cell r="HY587">
            <v>6</v>
          </cell>
          <cell r="HZ587" t="str">
            <v>ISO4217:USD</v>
          </cell>
          <cell r="IA587" t="b">
            <v>0</v>
          </cell>
          <cell r="IB587" t="b">
            <v>0</v>
          </cell>
        </row>
        <row r="588">
          <cell r="C588" t="str">
            <v>Net increase in beginning net deferred tax assets (operating) from change in consolidation of investments</v>
          </cell>
          <cell r="HX588" t="str">
            <v>mstag:adjustmentToNetDeferredTaxAssetsOperatingFor1stTimeConsolidationOfInvestments</v>
          </cell>
          <cell r="HY588">
            <v>6</v>
          </cell>
          <cell r="HZ588" t="str">
            <v>ISO4217:USD</v>
          </cell>
          <cell r="IA588" t="b">
            <v>0</v>
          </cell>
          <cell r="IB588" t="b">
            <v>0</v>
          </cell>
        </row>
        <row r="589">
          <cell r="C589" t="str">
            <v>Net increase in beginning net deferred tax assets (financing) from change in consolidation of investments</v>
          </cell>
          <cell r="HX589" t="str">
            <v>mstag:adjustmentToNetDeferredTaxAssetsFinancingFor1stTimeConsolidationOfInvestments</v>
          </cell>
          <cell r="HY589">
            <v>6</v>
          </cell>
          <cell r="HZ589" t="str">
            <v>ISO4217:USD</v>
          </cell>
          <cell r="IA589" t="b">
            <v>0</v>
          </cell>
          <cell r="IB589" t="b">
            <v>0</v>
          </cell>
        </row>
        <row r="590">
          <cell r="C590" t="str">
            <v>Net increase in beginning net debt from change in consolidation of investments</v>
          </cell>
          <cell r="HX590" t="str">
            <v>mstag:adjustmentToNetDebtFor1stTimeConsolidationOfInvestments</v>
          </cell>
          <cell r="HY590">
            <v>6</v>
          </cell>
          <cell r="HZ590" t="str">
            <v>ISO4217:USD</v>
          </cell>
          <cell r="IA590" t="b">
            <v>0</v>
          </cell>
          <cell r="IB590" t="b">
            <v>0</v>
          </cell>
        </row>
        <row r="591">
          <cell r="C591" t="str">
            <v>Net decrease in beginning net operating assets from discontinued operations</v>
          </cell>
          <cell r="HX591" t="str">
            <v>mstag:adjustmentToNetOperatingAssetsForDiscontinuedOperations</v>
          </cell>
          <cell r="HY591">
            <v>6</v>
          </cell>
          <cell r="HZ591" t="str">
            <v>ISO4217:USD</v>
          </cell>
          <cell r="IA591" t="b">
            <v>0</v>
          </cell>
          <cell r="IB591" t="b">
            <v>0</v>
          </cell>
        </row>
        <row r="592">
          <cell r="C592" t="str">
            <v>Net decrease in beginning net deferred tax assets (operating) from discontinued operations</v>
          </cell>
          <cell r="HX592" t="str">
            <v>mstag:adjustmentToNetDeferredTaxAssetsOperatingForDiscontinuedOperations</v>
          </cell>
          <cell r="HY592">
            <v>6</v>
          </cell>
          <cell r="HZ592" t="str">
            <v>ISO4217:USD</v>
          </cell>
          <cell r="IA592" t="b">
            <v>0</v>
          </cell>
          <cell r="IB592" t="b">
            <v>0</v>
          </cell>
        </row>
        <row r="593">
          <cell r="C593" t="str">
            <v>Net decrease in beginning net deferred tax assets (financing) from discontinued operations</v>
          </cell>
          <cell r="HX593" t="str">
            <v>mstag:adjustmentToNetDeferredTaxAssetsFinancingForDiscontinuedOperations</v>
          </cell>
          <cell r="HY593">
            <v>6</v>
          </cell>
          <cell r="HZ593" t="str">
            <v>ISO4217:USD</v>
          </cell>
          <cell r="IA593" t="b">
            <v>0</v>
          </cell>
          <cell r="IB593" t="b">
            <v>0</v>
          </cell>
        </row>
        <row r="594">
          <cell r="C594" t="str">
            <v>Net decrease in beginning net debt from discontinued operations</v>
          </cell>
          <cell r="HX594" t="str">
            <v>mstag:adjustmentToNetDebtForDiscontinuedOperations</v>
          </cell>
          <cell r="HY594">
            <v>6</v>
          </cell>
          <cell r="HZ594" t="str">
            <v>ISO4217:USD</v>
          </cell>
          <cell r="IA594" t="b">
            <v>0</v>
          </cell>
          <cell r="IB594" t="b">
            <v>0</v>
          </cell>
        </row>
        <row r="595">
          <cell r="C595" t="str">
            <v>Risk free rate</v>
          </cell>
          <cell r="HX595" t="str">
            <v>mstag:riskFreeRate</v>
          </cell>
          <cell r="HY595">
            <v>0</v>
          </cell>
          <cell r="HZ595" t="str">
            <v>ms_eqr_gcim_Decimal:ms_eqr_gcim_decimal</v>
          </cell>
          <cell r="IA595" t="b">
            <v>0</v>
          </cell>
          <cell r="IB595" t="b">
            <v>0</v>
          </cell>
        </row>
        <row r="596">
          <cell r="C596" t="str">
            <v>Beta</v>
          </cell>
          <cell r="HX596" t="str">
            <v>mstag:beta</v>
          </cell>
          <cell r="HY596">
            <v>0</v>
          </cell>
          <cell r="HZ596" t="str">
            <v>ms_eqr_gcim_Decimal:ms_eqr_gcim_decimal</v>
          </cell>
          <cell r="IA596" t="b">
            <v>0</v>
          </cell>
          <cell r="IB596" t="b">
            <v>0</v>
          </cell>
        </row>
        <row r="597">
          <cell r="C597" t="str">
            <v>Equity risk premium</v>
          </cell>
          <cell r="HX597" t="str">
            <v>mstag:equityRiskPremium</v>
          </cell>
          <cell r="HY597">
            <v>0</v>
          </cell>
          <cell r="HZ597" t="str">
            <v>ms_eqr_gcim_Decimal:ms_eqr_gcim_decimal</v>
          </cell>
          <cell r="IA597" t="b">
            <v>0</v>
          </cell>
          <cell r="IB597" t="b">
            <v>0</v>
          </cell>
        </row>
        <row r="598">
          <cell r="C598" t="str">
            <v>Weighted average cost of capital (WACC)</v>
          </cell>
          <cell r="HX598" t="str">
            <v>mstag:weightedAverageCostOfCapitalWacc</v>
          </cell>
          <cell r="HY598">
            <v>0</v>
          </cell>
          <cell r="HZ598" t="str">
            <v>ms_eqr_gcim_Decimal:ms_eqr_gcim_decimal</v>
          </cell>
          <cell r="IA598" t="b">
            <v>0</v>
          </cell>
          <cell r="IB598" t="b">
            <v>0</v>
          </cell>
        </row>
        <row r="599">
          <cell r="C599" t="str">
            <v>Market value of investments, nonoperating</v>
          </cell>
          <cell r="HX599" t="str">
            <v>mstag:marketValueOfInvestmentsNonOperating</v>
          </cell>
          <cell r="HY599">
            <v>6</v>
          </cell>
          <cell r="HZ599" t="str">
            <v>ISO4217:USD</v>
          </cell>
          <cell r="IA599" t="b">
            <v>0</v>
          </cell>
          <cell r="IB599" t="b">
            <v>0</v>
          </cell>
        </row>
        <row r="600">
          <cell r="C600" t="str">
            <v>Market value of short- and long-term debt</v>
          </cell>
          <cell r="G600" t="str">
            <v/>
          </cell>
          <cell r="H600" t="str">
            <v/>
          </cell>
          <cell r="I600" t="str">
            <v/>
          </cell>
          <cell r="J600" t="str">
            <v/>
          </cell>
          <cell r="K600" t="str">
            <v/>
          </cell>
          <cell r="L600" t="str">
            <v/>
          </cell>
          <cell r="M600" t="str">
            <v/>
          </cell>
          <cell r="HX600" t="str">
            <v>mstag:marketValueOfShortAndLongTermDebt</v>
          </cell>
          <cell r="HY600">
            <v>6</v>
          </cell>
          <cell r="HZ600" t="str">
            <v>ISO4217:USD</v>
          </cell>
          <cell r="IA600" t="b">
            <v>0</v>
          </cell>
          <cell r="IB600" t="b">
            <v>0</v>
          </cell>
        </row>
        <row r="601">
          <cell r="D601" t="str">
            <v>Market value of short-term borrowings</v>
          </cell>
          <cell r="HX601" t="str">
            <v>mstag:marketValueOfShortTermBorrowings</v>
          </cell>
          <cell r="HY601">
            <v>6</v>
          </cell>
          <cell r="HZ601" t="str">
            <v>ISO4217:USD</v>
          </cell>
          <cell r="IA601" t="b">
            <v>0</v>
          </cell>
          <cell r="IB601" t="b">
            <v>0</v>
          </cell>
        </row>
        <row r="602">
          <cell r="D602" t="str">
            <v>Market value of long-term debt</v>
          </cell>
          <cell r="HX602" t="str">
            <v>mstag:marketValueOfLongTermDebt</v>
          </cell>
          <cell r="HY602">
            <v>6</v>
          </cell>
          <cell r="HZ602" t="str">
            <v>ISO4217:USD</v>
          </cell>
          <cell r="IA602" t="b">
            <v>0</v>
          </cell>
          <cell r="IB602" t="b">
            <v>0</v>
          </cell>
        </row>
        <row r="603">
          <cell r="C603" t="str">
            <v>Market value of preferred equity</v>
          </cell>
          <cell r="HX603" t="str">
            <v>mstag:marketValueOfPreferredEquity</v>
          </cell>
          <cell r="HY603">
            <v>6</v>
          </cell>
          <cell r="HZ603" t="str">
            <v>ISO4217:USD</v>
          </cell>
          <cell r="IA603" t="b">
            <v>0</v>
          </cell>
          <cell r="IB603" t="b">
            <v>0</v>
          </cell>
        </row>
        <row r="604">
          <cell r="C604" t="str">
            <v>Market value of trust preferred securities</v>
          </cell>
          <cell r="HX604" t="str">
            <v>mstag:marketValueOfTrustPreferredSecurities</v>
          </cell>
          <cell r="HY604">
            <v>6</v>
          </cell>
          <cell r="HZ604" t="str">
            <v>ISO4217:USD</v>
          </cell>
          <cell r="IA604" t="b">
            <v>0</v>
          </cell>
          <cell r="IB604" t="b">
            <v>0</v>
          </cell>
        </row>
        <row r="605">
          <cell r="C605" t="str">
            <v>Market value of minority interests in shareholders' equity</v>
          </cell>
          <cell r="HX605" t="str">
            <v>mstag:marketValueOfMinorityInterestsInShareholdersEquity</v>
          </cell>
          <cell r="HY605">
            <v>6</v>
          </cell>
          <cell r="HZ605" t="str">
            <v>ISO4217:USD</v>
          </cell>
          <cell r="IA605" t="b">
            <v>0</v>
          </cell>
          <cell r="IB605" t="b">
            <v>0</v>
          </cell>
        </row>
        <row r="606">
          <cell r="C606" t="str">
            <v>Share of market value of associates accounted for under the equity method (operating)</v>
          </cell>
          <cell r="HX606" t="str">
            <v>mstag:shareOfMarketValueOfAssociatesAccountedForUnderTheEquityMethodOperating</v>
          </cell>
          <cell r="HY606">
            <v>6</v>
          </cell>
          <cell r="HZ606" t="str">
            <v>ISO4217:USD</v>
          </cell>
          <cell r="IA606" t="b">
            <v>0</v>
          </cell>
          <cell r="IB606" t="b">
            <v>0</v>
          </cell>
        </row>
        <row r="607">
          <cell r="C607" t="str">
            <v>Share of market value of associates accounted for under the equity method (nonoperating)</v>
          </cell>
          <cell r="HX607" t="str">
            <v>mstag:shareOfMarketValueOfAssociatesAccountedForUnderTheEquityMethodNonOperating</v>
          </cell>
          <cell r="HY607">
            <v>6</v>
          </cell>
          <cell r="HZ607" t="str">
            <v>ISO4217:USD</v>
          </cell>
          <cell r="IA607" t="b">
            <v>0</v>
          </cell>
          <cell r="IB607" t="b">
            <v>0</v>
          </cell>
        </row>
        <row r="608">
          <cell r="C608" t="str">
            <v>Equity share of market value of excluded significant investments</v>
          </cell>
          <cell r="HX608" t="str">
            <v>mstag:equityShareOfMarketValueOfExcludedSignificantInvestments</v>
          </cell>
          <cell r="HY608">
            <v>6</v>
          </cell>
          <cell r="HZ608" t="str">
            <v>ISO4217:USD</v>
          </cell>
          <cell r="IA608" t="b">
            <v>0</v>
          </cell>
          <cell r="IB608" t="b">
            <v>0</v>
          </cell>
        </row>
        <row r="609">
          <cell r="C609" t="str">
            <v>Equity share of book value of excluded significant investments</v>
          </cell>
          <cell r="HX609" t="str">
            <v>mstag:equityShareOfBookValueOfExcludedSignificantInvestments</v>
          </cell>
          <cell r="HY609">
            <v>6</v>
          </cell>
          <cell r="HZ609" t="str">
            <v>ISO4217:USD</v>
          </cell>
          <cell r="IA609" t="b">
            <v>0</v>
          </cell>
          <cell r="IB609" t="b">
            <v>0</v>
          </cell>
        </row>
        <row r="610">
          <cell r="C610" t="str">
            <v>After tax earnings from excluded significant investments</v>
          </cell>
          <cell r="HX610" t="str">
            <v>mstag:afterTaxEarningsFromExcludedSignificantInvestments</v>
          </cell>
          <cell r="HY610">
            <v>6</v>
          </cell>
          <cell r="HZ610" t="str">
            <v>ISO4217:USD</v>
          </cell>
          <cell r="IA610" t="b">
            <v>0</v>
          </cell>
          <cell r="IB610" t="b">
            <v>0</v>
          </cell>
        </row>
        <row r="611">
          <cell r="C611" t="str">
            <v>Current market value of investments, nonoperating</v>
          </cell>
          <cell r="HX611" t="str">
            <v>mstag:currentMarketValueOfInvestmentsNonOperating</v>
          </cell>
          <cell r="HY611">
            <v>6</v>
          </cell>
          <cell r="HZ611" t="str">
            <v>ISO4217:USD</v>
          </cell>
          <cell r="IA611" t="b">
            <v>0</v>
          </cell>
          <cell r="IB611" t="b">
            <v>0</v>
          </cell>
        </row>
        <row r="612">
          <cell r="C612" t="str">
            <v>Current market value of short- and long-term debt</v>
          </cell>
          <cell r="G612" t="str">
            <v/>
          </cell>
          <cell r="H612" t="str">
            <v/>
          </cell>
          <cell r="I612" t="str">
            <v/>
          </cell>
          <cell r="J612" t="str">
            <v/>
          </cell>
          <cell r="K612" t="str">
            <v/>
          </cell>
          <cell r="L612" t="str">
            <v/>
          </cell>
          <cell r="M612" t="str">
            <v/>
          </cell>
          <cell r="HX612" t="str">
            <v>mstag:currentMarketValueOfShortAndLongTermDebt</v>
          </cell>
          <cell r="HY612">
            <v>6</v>
          </cell>
          <cell r="HZ612" t="str">
            <v>ISO4217:USD</v>
          </cell>
          <cell r="IA612" t="b">
            <v>0</v>
          </cell>
          <cell r="IB612" t="b">
            <v>0</v>
          </cell>
        </row>
        <row r="613">
          <cell r="D613" t="str">
            <v>Current market value of short-term borrowings</v>
          </cell>
          <cell r="HX613" t="str">
            <v>mstag:currentMarketValueOfShortTermBorrowings</v>
          </cell>
          <cell r="HY613">
            <v>6</v>
          </cell>
          <cell r="HZ613" t="str">
            <v>ISO4217:USD</v>
          </cell>
          <cell r="IA613" t="b">
            <v>0</v>
          </cell>
          <cell r="IB613" t="b">
            <v>0</v>
          </cell>
        </row>
        <row r="614">
          <cell r="D614" t="str">
            <v>Current market value of long-term debt</v>
          </cell>
          <cell r="HX614" t="str">
            <v>mstag:currentMarketValueOfLongTermDebt</v>
          </cell>
          <cell r="HY614">
            <v>6</v>
          </cell>
          <cell r="HZ614" t="str">
            <v>ISO4217:USD</v>
          </cell>
          <cell r="IA614" t="b">
            <v>0</v>
          </cell>
          <cell r="IB614" t="b">
            <v>0</v>
          </cell>
        </row>
        <row r="615">
          <cell r="C615" t="str">
            <v>Current market value of preferred equity</v>
          </cell>
          <cell r="HX615" t="str">
            <v>mstag:currentMarketValueOfPreferredEquity</v>
          </cell>
          <cell r="HY615">
            <v>6</v>
          </cell>
          <cell r="HZ615" t="str">
            <v>ISO4217:USD</v>
          </cell>
          <cell r="IA615" t="b">
            <v>0</v>
          </cell>
          <cell r="IB615" t="b">
            <v>0</v>
          </cell>
        </row>
        <row r="616">
          <cell r="C616" t="str">
            <v>Current market value of trust preferred securities</v>
          </cell>
          <cell r="HX616" t="str">
            <v>mstag:currentMarketValueOfTrustPreferredSecurities</v>
          </cell>
          <cell r="HY616">
            <v>6</v>
          </cell>
          <cell r="HZ616" t="str">
            <v>ISO4217:USD</v>
          </cell>
          <cell r="IA616" t="b">
            <v>0</v>
          </cell>
          <cell r="IB616" t="b">
            <v>0</v>
          </cell>
        </row>
        <row r="617">
          <cell r="C617" t="str">
            <v>Current market value of minority interests in shareholders equity</v>
          </cell>
          <cell r="HX617" t="str">
            <v>mstag:currentMarketValueOfMinorityInterestsInShareholdersEquity</v>
          </cell>
          <cell r="HY617">
            <v>6</v>
          </cell>
          <cell r="HZ617" t="str">
            <v>ISO4217:USD</v>
          </cell>
          <cell r="IA617" t="b">
            <v>0</v>
          </cell>
          <cell r="IB617" t="b">
            <v>0</v>
          </cell>
        </row>
        <row r="618">
          <cell r="C618" t="str">
            <v>Current share of market value of associates accounted for under the equity method, operating</v>
          </cell>
          <cell r="HX618" t="str">
            <v>mstag:currentShareOfMarketValueOfAssociatesAccountedForUnderTheEquityMethodOperating</v>
          </cell>
          <cell r="HY618">
            <v>6</v>
          </cell>
          <cell r="HZ618" t="str">
            <v>ISO4217:USD</v>
          </cell>
          <cell r="IA618" t="b">
            <v>0</v>
          </cell>
          <cell r="IB618" t="b">
            <v>0</v>
          </cell>
        </row>
        <row r="619">
          <cell r="C619" t="str">
            <v>Current share of market value of associates accounted for under the equity method, nonoperating</v>
          </cell>
          <cell r="HX619" t="str">
            <v>mstag:currentShareOfMarketValueOfAssociatesAccountedForUnderTheEquityMethodNonOperating</v>
          </cell>
          <cell r="HY619">
            <v>6</v>
          </cell>
          <cell r="HZ619" t="str">
            <v>ISO4217:USD</v>
          </cell>
          <cell r="IA619" t="b">
            <v>0</v>
          </cell>
          <cell r="IB619" t="b">
            <v>0</v>
          </cell>
        </row>
        <row r="620">
          <cell r="C620" t="str">
            <v>Market value of convertible debt included in dilutive securities</v>
          </cell>
          <cell r="HX620" t="str">
            <v>mstag:convertibleDebtIncludedInDilutiveSecurities</v>
          </cell>
          <cell r="HY620">
            <v>6</v>
          </cell>
          <cell r="HZ620" t="str">
            <v>ISO4217:USD</v>
          </cell>
          <cell r="IA620" t="b">
            <v>0</v>
          </cell>
          <cell r="IB620" t="b">
            <v>0</v>
          </cell>
        </row>
        <row r="621">
          <cell r="C621" t="str">
            <v>Market value of convertible preferred equity included in dilutive securities</v>
          </cell>
          <cell r="HX621" t="str">
            <v>mstag:convertiblePreferredEquityIncludedInDilutiveSecurities</v>
          </cell>
          <cell r="HY621">
            <v>6</v>
          </cell>
          <cell r="HZ621" t="str">
            <v>ISO4217:USD</v>
          </cell>
          <cell r="IA621" t="b">
            <v>0</v>
          </cell>
          <cell r="IB621" t="b">
            <v>0</v>
          </cell>
        </row>
        <row r="622">
          <cell r="C622" t="str">
            <v>Book value of convertible debt included in dilutive securities</v>
          </cell>
          <cell r="HX622" t="str">
            <v>mstag:bookValueOfConvertibleDebtIncludedInDilutiveSecurities</v>
          </cell>
          <cell r="HY622">
            <v>6</v>
          </cell>
          <cell r="HZ622" t="str">
            <v>ISO4217:USD</v>
          </cell>
          <cell r="IA622" t="b">
            <v>0</v>
          </cell>
          <cell r="IB622" t="b">
            <v>0</v>
          </cell>
        </row>
        <row r="623">
          <cell r="C623" t="str">
            <v>Book value of convertible preferred equity included in dilutive securities</v>
          </cell>
          <cell r="HX623" t="str">
            <v>mstag:bookValueOfConvertiblePreferredEquityIncludedInDilutiveSecurities</v>
          </cell>
          <cell r="HY623">
            <v>6</v>
          </cell>
          <cell r="HZ623" t="str">
            <v>ISO4217:USD</v>
          </cell>
          <cell r="IA623" t="b">
            <v>0</v>
          </cell>
          <cell r="IB623" t="b">
            <v>0</v>
          </cell>
        </row>
        <row r="624">
          <cell r="C624" t="str">
            <v>Market value of excluded minority interests in shareholders' equity</v>
          </cell>
          <cell r="HX624" t="str">
            <v>mstag:marketValueOfExcludedMinorityInterestsInShareholdersEquity</v>
          </cell>
          <cell r="HY624">
            <v>6</v>
          </cell>
          <cell r="HZ624" t="str">
            <v>ISO4217:USD</v>
          </cell>
          <cell r="IA624" t="b">
            <v>0</v>
          </cell>
          <cell r="IB624" t="b">
            <v>0</v>
          </cell>
        </row>
        <row r="625">
          <cell r="C625" t="str">
            <v>Book value of excluded minority interests in shareholders' equity</v>
          </cell>
          <cell r="HX625" t="str">
            <v>mstag:bookValueOfExcludedMinorityInterestsInShareholdersEquity</v>
          </cell>
          <cell r="HY625">
            <v>6</v>
          </cell>
          <cell r="HZ625" t="str">
            <v>ISO4217:USD</v>
          </cell>
          <cell r="IA625" t="b">
            <v>0</v>
          </cell>
          <cell r="IB625" t="b">
            <v>0</v>
          </cell>
        </row>
        <row r="626">
          <cell r="C626" t="str">
            <v>Percentage of EBITDA attributable to entities with excluded minority interest</v>
          </cell>
          <cell r="HX626" t="str">
            <v>mstag:percentageOfEbitdaAttributableToEntitiesWithExcludedMinorityInterest</v>
          </cell>
          <cell r="HY626">
            <v>0</v>
          </cell>
          <cell r="HZ626" t="str">
            <v>ms_eqr_gcim_Decimal:ms_eqr_gcim_decimal</v>
          </cell>
          <cell r="IA626" t="b">
            <v>0</v>
          </cell>
          <cell r="IB626" t="b">
            <v>0</v>
          </cell>
        </row>
        <row r="627">
          <cell r="C627" t="str">
            <v>Minority share in entities with excluded minority interest (%)</v>
          </cell>
          <cell r="HX627" t="str">
            <v>mstag:minorityShareInEntitiesWithExcludedMinorityInterestPercent</v>
          </cell>
          <cell r="HY627">
            <v>6</v>
          </cell>
          <cell r="HZ627" t="str">
            <v>ms_eqr_gcim_Decimal:ms_eqr_gcim_decimal</v>
          </cell>
          <cell r="IA627" t="b">
            <v>0</v>
          </cell>
          <cell r="IB627" t="b">
            <v>0</v>
          </cell>
        </row>
        <row r="628">
          <cell r="C628" t="str">
            <v>Net financial obligations of entities with excluded minority interest</v>
          </cell>
          <cell r="HX628" t="str">
            <v>mstag:netFinancialObligationsOfEntitiesWithExcludedMinorityInterest</v>
          </cell>
          <cell r="HY628">
            <v>6</v>
          </cell>
          <cell r="HZ628" t="str">
            <v>ISO4217:USD</v>
          </cell>
          <cell r="IA628" t="b">
            <v>0</v>
          </cell>
          <cell r="IB628" t="b">
            <v>0</v>
          </cell>
        </row>
        <row r="629">
          <cell r="C629" t="str">
            <v>Net financial obligations of entities consolidated using the equity method included in majority EV</v>
          </cell>
          <cell r="HX629" t="str">
            <v>mstag:netFinancialObligationsOfEntitiesConsolidatedUsingTheEquityMethodIncludedInMajorityEv</v>
          </cell>
          <cell r="HY629">
            <v>6</v>
          </cell>
          <cell r="HZ629" t="str">
            <v>ISO4217:USD</v>
          </cell>
          <cell r="IA629" t="b">
            <v>0</v>
          </cell>
          <cell r="IB629" t="b">
            <v>0</v>
          </cell>
        </row>
        <row r="630">
          <cell r="C630" t="str">
            <v>Majority share of entities consolidated using the equity method included in majority EV (%)</v>
          </cell>
          <cell r="HX630" t="str">
            <v>mstag:majorityShareOfEntitiesConsolidatedUsingTheEquityMethodIncludedInMajorityEvPercent</v>
          </cell>
          <cell r="HY630">
            <v>0</v>
          </cell>
          <cell r="HZ630" t="str">
            <v>ms_eqr_gcim_Decimal:ms_eqr_gcim_decimal</v>
          </cell>
          <cell r="IA630" t="b">
            <v>0</v>
          </cell>
          <cell r="IB630" t="b">
            <v>0</v>
          </cell>
        </row>
        <row r="631">
          <cell r="C631" t="str">
            <v>EBITDA of entities consolidated using the equity method included in majority EBITDA</v>
          </cell>
          <cell r="HX631" t="str">
            <v>mstag:ebitdaOfEntitiesConsolidatedUsingTheEquityMethodIncludedInMajorityEbitda</v>
          </cell>
          <cell r="HY631">
            <v>6</v>
          </cell>
          <cell r="HZ631" t="str">
            <v>ISO4217:USD</v>
          </cell>
          <cell r="IA631" t="b">
            <v>0</v>
          </cell>
          <cell r="IB631" t="b">
            <v>0</v>
          </cell>
        </row>
        <row r="632">
          <cell r="C632" t="str">
            <v>Market value of investments accounted for using the equity method excluded from majority EV</v>
          </cell>
          <cell r="HX632" t="str">
            <v>mstag:marketValueOfInvestmentsAccountedForUsingTheEquityMethodExcludedFromMajorityEv</v>
          </cell>
          <cell r="HY632">
            <v>6</v>
          </cell>
          <cell r="HZ632" t="str">
            <v>ISO4217:USD</v>
          </cell>
          <cell r="IA632" t="b">
            <v>0</v>
          </cell>
          <cell r="IB632" t="b">
            <v>0</v>
          </cell>
        </row>
        <row r="633">
          <cell r="C633" t="str">
            <v>Book value of investments accounted for using the equity method excluded from majority EV</v>
          </cell>
          <cell r="HX633" t="str">
            <v>mstag:bookValueOfInvestmentsAccountedForUsingTheEquityMethodExcludedFromMajorityEv</v>
          </cell>
          <cell r="HY633">
            <v>6</v>
          </cell>
          <cell r="HZ633" t="str">
            <v>ISO4217:USD</v>
          </cell>
          <cell r="IA633" t="b">
            <v>0</v>
          </cell>
          <cell r="IB633" t="b">
            <v>0</v>
          </cell>
        </row>
        <row r="634">
          <cell r="C634" t="str">
            <v>Current market value of investments accounted for using the equity method excluded from majority EV</v>
          </cell>
          <cell r="HX634" t="str">
            <v>mstag:currentMarketValueOfInvestmentsAccountedForUsingTheEquityMethodExcludedFromMajorityEv</v>
          </cell>
          <cell r="HY634">
            <v>6</v>
          </cell>
          <cell r="HZ634" t="str">
            <v>ISO4217:USD</v>
          </cell>
          <cell r="IA634" t="b">
            <v>0</v>
          </cell>
          <cell r="IB634" t="b">
            <v>0</v>
          </cell>
        </row>
        <row r="635">
          <cell r="C635" t="str">
            <v>Current market value of excluded minority interests in shareholders' equity</v>
          </cell>
          <cell r="HX635" t="str">
            <v>mstag:currentMarketValueOfExcludedMinorityInterestsInShareholdersEquity</v>
          </cell>
          <cell r="HY635">
            <v>6</v>
          </cell>
          <cell r="HZ635" t="str">
            <v>ISO4217:USD</v>
          </cell>
          <cell r="IA635" t="b">
            <v>0</v>
          </cell>
          <cell r="IB635" t="b">
            <v>0</v>
          </cell>
        </row>
        <row r="636">
          <cell r="C636" t="str">
            <v>LIFO reserve</v>
          </cell>
          <cell r="HX636" t="str">
            <v>mstag:lifoReserve</v>
          </cell>
          <cell r="HY636">
            <v>6</v>
          </cell>
          <cell r="HZ636" t="str">
            <v>ISO4217:USD</v>
          </cell>
          <cell r="IA636" t="b">
            <v>0</v>
          </cell>
          <cell r="IB636" t="b">
            <v>0</v>
          </cell>
        </row>
        <row r="637">
          <cell r="C637" t="str">
            <v>Change in LIFO reserve</v>
          </cell>
          <cell r="HX637" t="str">
            <v>mstag:changeInLifoReserve</v>
          </cell>
          <cell r="HY637">
            <v>6</v>
          </cell>
          <cell r="HZ637" t="str">
            <v>ISO4217:USD</v>
          </cell>
          <cell r="IA637" t="b">
            <v>0</v>
          </cell>
          <cell r="IB637" t="b">
            <v>0</v>
          </cell>
        </row>
        <row r="638">
          <cell r="C638" t="str">
            <v>Inventory obsolescence reserve</v>
          </cell>
          <cell r="HX638" t="str">
            <v>mstag:inventoryObsolescenceReserve</v>
          </cell>
          <cell r="HY638">
            <v>6</v>
          </cell>
          <cell r="HZ638" t="str">
            <v>ISO4217:USD</v>
          </cell>
          <cell r="IA638" t="b">
            <v>0</v>
          </cell>
          <cell r="IB638" t="b">
            <v>0</v>
          </cell>
        </row>
        <row r="639">
          <cell r="C639" t="str">
            <v>Taxes</v>
          </cell>
          <cell r="HY639">
            <v>0</v>
          </cell>
          <cell r="HZ639" t="str">
            <v>ms_eqr_gcim_String:ms_eqr_gcim_string</v>
          </cell>
          <cell r="IA639" t="b">
            <v>0</v>
          </cell>
          <cell r="IB639" t="b">
            <v>0</v>
          </cell>
        </row>
        <row r="640">
          <cell r="D640" t="str">
            <v>Deferred tax assets, operating</v>
          </cell>
          <cell r="G640">
            <v>202.113</v>
          </cell>
          <cell r="H640">
            <v>221.36500000000001</v>
          </cell>
          <cell r="I640">
            <v>337.589</v>
          </cell>
          <cell r="J640">
            <v>546.26900000000001</v>
          </cell>
          <cell r="K640">
            <v>511.61599999999999</v>
          </cell>
          <cell r="L640">
            <v>683.36400000000003</v>
          </cell>
          <cell r="HX640" t="str">
            <v>mstag:deferredTaxAssetsOperating</v>
          </cell>
          <cell r="HY640">
            <v>6</v>
          </cell>
          <cell r="HZ640" t="str">
            <v>ISO4217:USD</v>
          </cell>
          <cell r="IA640" t="b">
            <v>0</v>
          </cell>
          <cell r="IB640" t="b">
            <v>0</v>
          </cell>
        </row>
        <row r="641">
          <cell r="D641" t="str">
            <v>Deferred tax assets, financing</v>
          </cell>
          <cell r="HX641" t="str">
            <v>mstag:deferredTaxAssetsFinancing</v>
          </cell>
          <cell r="HY641">
            <v>6</v>
          </cell>
          <cell r="HZ641" t="str">
            <v>ISO4217:USD</v>
          </cell>
          <cell r="IA641" t="b">
            <v>0</v>
          </cell>
          <cell r="IB641" t="b">
            <v>0</v>
          </cell>
        </row>
        <row r="642">
          <cell r="D642" t="str">
            <v>Deferred tax assets, other</v>
          </cell>
          <cell r="HX642" t="str">
            <v>mstag:deferredTaxAssetsOther</v>
          </cell>
          <cell r="HY642">
            <v>6</v>
          </cell>
          <cell r="HZ642" t="str">
            <v>ISO4217:USD</v>
          </cell>
          <cell r="IA642" t="b">
            <v>0</v>
          </cell>
          <cell r="IB642" t="b">
            <v>0</v>
          </cell>
        </row>
        <row r="643">
          <cell r="D643" t="str">
            <v>Valuation allowance in deferred taxes</v>
          </cell>
          <cell r="G643">
            <v>48.508000000000003</v>
          </cell>
          <cell r="H643">
            <v>62.844000000000001</v>
          </cell>
          <cell r="I643">
            <v>0</v>
          </cell>
          <cell r="J643">
            <v>0</v>
          </cell>
          <cell r="K643">
            <v>0</v>
          </cell>
          <cell r="L643">
            <v>0</v>
          </cell>
          <cell r="HX643" t="str">
            <v>mstag:valuationAllowanceInDeferredTaxes</v>
          </cell>
          <cell r="HY643">
            <v>6</v>
          </cell>
          <cell r="HZ643" t="str">
            <v>ISO4217:USD</v>
          </cell>
          <cell r="IA643" t="b">
            <v>0</v>
          </cell>
          <cell r="IB643" t="b">
            <v>0</v>
          </cell>
        </row>
        <row r="644">
          <cell r="D644" t="str">
            <v>Deferred tax liabilities, operating</v>
          </cell>
          <cell r="G644">
            <v>82.396000000000001</v>
          </cell>
          <cell r="H644">
            <v>117.104</v>
          </cell>
          <cell r="I644">
            <v>882.13300000000004</v>
          </cell>
          <cell r="J644">
            <v>855.49800000000005</v>
          </cell>
          <cell r="K644">
            <v>819.85799999999995</v>
          </cell>
          <cell r="L644">
            <v>768.57899999999995</v>
          </cell>
          <cell r="HX644" t="str">
            <v>mstag:deferredTaxLiabilitiesOperating</v>
          </cell>
          <cell r="HY644">
            <v>6</v>
          </cell>
          <cell r="HZ644" t="str">
            <v>ISO4217:USD</v>
          </cell>
          <cell r="IA644" t="b">
            <v>0</v>
          </cell>
          <cell r="IB644" t="b">
            <v>0</v>
          </cell>
        </row>
        <row r="645">
          <cell r="D645" t="str">
            <v>Deferred tax liabilities, financing</v>
          </cell>
          <cell r="HX645" t="str">
            <v>mstag:deferredTaxLiabilitiesFinancing</v>
          </cell>
          <cell r="HY645">
            <v>6</v>
          </cell>
          <cell r="HZ645" t="str">
            <v>ISO4217:USD</v>
          </cell>
          <cell r="IA645" t="b">
            <v>0</v>
          </cell>
          <cell r="IB645" t="b">
            <v>0</v>
          </cell>
        </row>
        <row r="646">
          <cell r="D646" t="str">
            <v>Deferred tax liabilities, other</v>
          </cell>
          <cell r="HX646" t="str">
            <v>mstag:deferredTaxLiabilitiesOther</v>
          </cell>
          <cell r="HY646">
            <v>6</v>
          </cell>
          <cell r="HZ646" t="str">
            <v>ISO4217:USD</v>
          </cell>
          <cell r="IA646" t="b">
            <v>0</v>
          </cell>
          <cell r="IB646" t="b">
            <v>0</v>
          </cell>
        </row>
        <row r="647">
          <cell r="D647" t="str">
            <v>Cash taxes paid</v>
          </cell>
          <cell r="G647">
            <v>15.474</v>
          </cell>
          <cell r="H647">
            <v>26.189</v>
          </cell>
          <cell r="I647">
            <v>18.739999999999998</v>
          </cell>
          <cell r="J647">
            <v>-5.0049999999999999</v>
          </cell>
          <cell r="K647">
            <v>36.450000000000003</v>
          </cell>
          <cell r="L647">
            <v>128.108</v>
          </cell>
          <cell r="HX647" t="str">
            <v>mstag:cashTaxesPaid</v>
          </cell>
          <cell r="HY647">
            <v>6</v>
          </cell>
          <cell r="HZ647" t="str">
            <v>ISO4217:USD</v>
          </cell>
          <cell r="IA647" t="b">
            <v>0</v>
          </cell>
          <cell r="IB647" t="b">
            <v>0</v>
          </cell>
        </row>
        <row r="648">
          <cell r="D648" t="str">
            <v>Fair value of NOL</v>
          </cell>
          <cell r="HX648" t="str">
            <v>mstag:fairValueOfNol</v>
          </cell>
          <cell r="HY648">
            <v>6</v>
          </cell>
          <cell r="HZ648" t="str">
            <v>ISO4217:USD</v>
          </cell>
          <cell r="IA648" t="b">
            <v>0</v>
          </cell>
          <cell r="IB648" t="b">
            <v>0</v>
          </cell>
        </row>
        <row r="649">
          <cell r="D649" t="str">
            <v>Dividend tax credit (%)</v>
          </cell>
          <cell r="HX649" t="str">
            <v>mstag:dividendTaxCreditPercent</v>
          </cell>
          <cell r="HY649">
            <v>0</v>
          </cell>
          <cell r="HZ649" t="str">
            <v>ms_eqr_gcim_Decimal:ms_eqr_gcim_decimal</v>
          </cell>
          <cell r="IA649" t="b">
            <v>0</v>
          </cell>
          <cell r="IB649" t="b">
            <v>0</v>
          </cell>
        </row>
        <row r="650">
          <cell r="C650" t="str">
            <v>Dividend franking percentage</v>
          </cell>
          <cell r="HX650" t="str">
            <v>mstag:dividendFrankingPercentage</v>
          </cell>
          <cell r="HY650">
            <v>0</v>
          </cell>
          <cell r="HZ650" t="str">
            <v>ms_eqr_gcim_Decimal:ms_eqr_gcim_decimal</v>
          </cell>
          <cell r="IA650" t="b">
            <v>0</v>
          </cell>
          <cell r="IB650" t="b">
            <v>0</v>
          </cell>
        </row>
        <row r="651">
          <cell r="C651" t="str">
            <v>Tax withheld on dividends paid</v>
          </cell>
          <cell r="HX651" t="str">
            <v>mstag:taxWithheldOnDividendsPaid</v>
          </cell>
          <cell r="HY651">
            <v>6</v>
          </cell>
          <cell r="HZ651" t="str">
            <v>ISO4217:USD</v>
          </cell>
          <cell r="IA651" t="b">
            <v>0</v>
          </cell>
          <cell r="IB651" t="b">
            <v>0</v>
          </cell>
        </row>
        <row r="652">
          <cell r="C652" t="str">
            <v>Special dividends paid</v>
          </cell>
          <cell r="HX652" t="str">
            <v>mstag:specialDividendsPaid</v>
          </cell>
          <cell r="HY652">
            <v>6</v>
          </cell>
          <cell r="HZ652" t="str">
            <v>ISO4217:USD</v>
          </cell>
          <cell r="IA652" t="b">
            <v>0</v>
          </cell>
          <cell r="IB652" t="b">
            <v>0</v>
          </cell>
        </row>
        <row r="653">
          <cell r="C653" t="str">
            <v>Off balance sheet</v>
          </cell>
          <cell r="HY653">
            <v>0</v>
          </cell>
          <cell r="HZ653" t="str">
            <v>ms_eqr_gcim_String:ms_eqr_gcim_string</v>
          </cell>
          <cell r="IA653" t="b">
            <v>0</v>
          </cell>
          <cell r="IB653" t="b">
            <v>0</v>
          </cell>
        </row>
        <row r="654">
          <cell r="D654" t="str">
            <v>Securitized assets</v>
          </cell>
          <cell r="G654" t="str">
            <v/>
          </cell>
          <cell r="H654" t="str">
            <v/>
          </cell>
          <cell r="I654" t="str">
            <v/>
          </cell>
          <cell r="J654" t="str">
            <v/>
          </cell>
          <cell r="K654" t="str">
            <v/>
          </cell>
          <cell r="L654" t="str">
            <v/>
          </cell>
          <cell r="M654" t="str">
            <v/>
          </cell>
          <cell r="HX654" t="str">
            <v>mstag:securitizedAssetsNonFinancialServices</v>
          </cell>
          <cell r="HY654">
            <v>6</v>
          </cell>
          <cell r="HZ654" t="str">
            <v>ISO4217:USD</v>
          </cell>
          <cell r="IA654" t="b">
            <v>0</v>
          </cell>
          <cell r="IB654" t="b">
            <v>0</v>
          </cell>
        </row>
        <row r="655">
          <cell r="E655" t="str">
            <v>Securitized receivables</v>
          </cell>
          <cell r="HX655" t="str">
            <v>mstag:securitizedReceivablesNonFinancialServices</v>
          </cell>
          <cell r="HY655">
            <v>6</v>
          </cell>
          <cell r="HZ655" t="str">
            <v>ISO4217:USD</v>
          </cell>
          <cell r="IA655" t="b">
            <v>0</v>
          </cell>
          <cell r="IB655" t="b">
            <v>0</v>
          </cell>
        </row>
        <row r="656">
          <cell r="D656" t="str">
            <v>Commitments and contingencies</v>
          </cell>
          <cell r="HX656" t="str">
            <v>mstag:commitmentsAndContingencies</v>
          </cell>
          <cell r="HY656">
            <v>6</v>
          </cell>
          <cell r="HZ656" t="str">
            <v>ISO4217:USD</v>
          </cell>
          <cell r="IA656" t="b">
            <v>0</v>
          </cell>
          <cell r="IB656" t="b">
            <v>0</v>
          </cell>
        </row>
        <row r="657">
          <cell r="D657" t="str">
            <v>Unguaranteed residual value in sales-financed leases</v>
          </cell>
          <cell r="HX657" t="str">
            <v>mstag:unguaranteedResidualValueInSalesFinancedLeases</v>
          </cell>
          <cell r="HY657">
            <v>6</v>
          </cell>
          <cell r="HZ657" t="str">
            <v>ISO4217:USD</v>
          </cell>
          <cell r="IA657" t="b">
            <v>0</v>
          </cell>
          <cell r="IB657" t="b">
            <v>0</v>
          </cell>
        </row>
        <row r="658">
          <cell r="C658" t="str">
            <v>Total number of employees</v>
          </cell>
          <cell r="G658">
            <v>3242</v>
          </cell>
          <cell r="H658">
            <v>3389</v>
          </cell>
          <cell r="I658">
            <v>3883</v>
          </cell>
          <cell r="J658">
            <v>4459</v>
          </cell>
          <cell r="K658">
            <v>4950</v>
          </cell>
          <cell r="L658">
            <v>5252</v>
          </cell>
          <cell r="HX658" t="str">
            <v>mstag:totalNumberOfEmployees</v>
          </cell>
          <cell r="HY658">
            <v>0</v>
          </cell>
          <cell r="HZ658" t="str">
            <v>ms_eqr_gcim_Decimal:ms_eqr_gcim_decimal</v>
          </cell>
          <cell r="IA658" t="b">
            <v>0</v>
          </cell>
          <cell r="IB658" t="b">
            <v>0</v>
          </cell>
        </row>
        <row r="659">
          <cell r="C659" t="str">
            <v>Average number of employees</v>
          </cell>
          <cell r="G659" t="str">
            <v>ND</v>
          </cell>
          <cell r="H659">
            <v>3315.5</v>
          </cell>
          <cell r="I659">
            <v>3636</v>
          </cell>
          <cell r="J659">
            <v>4171</v>
          </cell>
          <cell r="K659">
            <v>4704.5</v>
          </cell>
          <cell r="L659">
            <v>5101</v>
          </cell>
          <cell r="HX659" t="str">
            <v>mstag:averageNumberOfEmployees</v>
          </cell>
          <cell r="HY659">
            <v>0</v>
          </cell>
          <cell r="HZ659" t="str">
            <v>ms_eqr_gcim_Decimal:ms_eqr_gcim_decimal</v>
          </cell>
          <cell r="IA659" t="b">
            <v>0</v>
          </cell>
          <cell r="IB659" t="b">
            <v>0</v>
          </cell>
        </row>
        <row r="660">
          <cell r="C660" t="str">
            <v>Net effect of revaluation reserves on book value</v>
          </cell>
          <cell r="HX660" t="str">
            <v>mstag:netEffectOfRevaluationReservesOnBookValue</v>
          </cell>
          <cell r="HY660">
            <v>6</v>
          </cell>
          <cell r="HZ660" t="str">
            <v>ISO4217:USD</v>
          </cell>
          <cell r="IA660" t="b">
            <v>0</v>
          </cell>
          <cell r="IB660" t="b">
            <v>0</v>
          </cell>
        </row>
        <row r="661">
          <cell r="C661" t="str">
            <v>Interest on other interest-bearing liabilities</v>
          </cell>
          <cell r="G661" t="str">
            <v/>
          </cell>
          <cell r="H661" t="str">
            <v/>
          </cell>
          <cell r="I661" t="str">
            <v/>
          </cell>
          <cell r="J661" t="str">
            <v/>
          </cell>
          <cell r="K661" t="str">
            <v/>
          </cell>
          <cell r="L661" t="str">
            <v/>
          </cell>
          <cell r="M661" t="str">
            <v/>
          </cell>
          <cell r="HX661" t="str">
            <v>mstag:interestOnOtherInterestBearingLiabilities</v>
          </cell>
          <cell r="HY661">
            <v>6</v>
          </cell>
          <cell r="HZ661" t="str">
            <v>ISO4217:USD</v>
          </cell>
          <cell r="IA661" t="b">
            <v>0</v>
          </cell>
          <cell r="IB661" t="b">
            <v>0</v>
          </cell>
        </row>
        <row r="662">
          <cell r="D662" t="str">
            <v>Interest on other interest-bearing liabilities reported as finance costs</v>
          </cell>
          <cell r="HX662" t="str">
            <v>mstag:interestOnOtherInterestBearingLiabilitiesReportedAsFinanceCosts</v>
          </cell>
          <cell r="HY662">
            <v>6</v>
          </cell>
          <cell r="HZ662" t="str">
            <v>ISO4217:USD</v>
          </cell>
          <cell r="IA662" t="b">
            <v>0</v>
          </cell>
          <cell r="IB662" t="b">
            <v>0</v>
          </cell>
        </row>
        <row r="663">
          <cell r="D663" t="str">
            <v>Interest on other interest-bearing liabilities reported as operating costs</v>
          </cell>
          <cell r="HX663" t="str">
            <v>mstag:interestOnOtherInterestBearingLiabilitiesReportedAsOperatingCosts</v>
          </cell>
          <cell r="HY663">
            <v>6</v>
          </cell>
          <cell r="HZ663" t="str">
            <v>ISO4217:USD</v>
          </cell>
          <cell r="IA663" t="b">
            <v>0</v>
          </cell>
          <cell r="IB663" t="b">
            <v>0</v>
          </cell>
        </row>
        <row r="664">
          <cell r="B664" t="str">
            <v>Pensions and other postretirement benefit plans</v>
          </cell>
          <cell r="HY664">
            <v>0</v>
          </cell>
          <cell r="HZ664" t="str">
            <v>ms_eqr_gcim_String:ms_eqr_gcim_string</v>
          </cell>
          <cell r="IA664" t="b">
            <v>0</v>
          </cell>
          <cell r="IB664" t="b">
            <v>0</v>
          </cell>
        </row>
        <row r="665">
          <cell r="C665" t="str">
            <v>Pensions (interest and returns classified by company as operating)</v>
          </cell>
          <cell r="HY665">
            <v>0</v>
          </cell>
          <cell r="HZ665" t="str">
            <v>ms_eqr_gcim_String:ms_eqr_gcim_string</v>
          </cell>
          <cell r="IA665" t="b">
            <v>0</v>
          </cell>
          <cell r="IB665" t="b">
            <v>0</v>
          </cell>
        </row>
        <row r="666">
          <cell r="D666" t="str">
            <v>Net periodic pension expense (pensions)</v>
          </cell>
          <cell r="G666" t="str">
            <v/>
          </cell>
          <cell r="H666" t="str">
            <v/>
          </cell>
          <cell r="I666" t="str">
            <v/>
          </cell>
          <cell r="J666" t="str">
            <v/>
          </cell>
          <cell r="K666" t="str">
            <v/>
          </cell>
          <cell r="L666" t="str">
            <v/>
          </cell>
          <cell r="M666" t="str">
            <v/>
          </cell>
          <cell r="HX666" t="str">
            <v>mstag:netPeriodicPensionExpensePensions</v>
          </cell>
          <cell r="HY666">
            <v>6</v>
          </cell>
          <cell r="HZ666" t="str">
            <v>ISO4217:USD</v>
          </cell>
          <cell r="IA666" t="b">
            <v>0</v>
          </cell>
          <cell r="IB666" t="b">
            <v>0</v>
          </cell>
        </row>
        <row r="667">
          <cell r="E667" t="str">
            <v>Service cost (pensions)</v>
          </cell>
          <cell r="HX667" t="str">
            <v>mstag:serviceCostPensions</v>
          </cell>
          <cell r="HY667">
            <v>6</v>
          </cell>
          <cell r="HZ667" t="str">
            <v>ISO4217:USD</v>
          </cell>
          <cell r="IA667" t="b">
            <v>0</v>
          </cell>
          <cell r="IB667" t="b">
            <v>0</v>
          </cell>
        </row>
        <row r="668">
          <cell r="E668" t="str">
            <v>Interest cost (pensions)</v>
          </cell>
          <cell r="HX668" t="str">
            <v>mstag:interestCostPensions</v>
          </cell>
          <cell r="HY668">
            <v>6</v>
          </cell>
          <cell r="HZ668" t="str">
            <v>ISO4217:USD</v>
          </cell>
          <cell r="IA668" t="b">
            <v>0</v>
          </cell>
          <cell r="IB668" t="b">
            <v>0</v>
          </cell>
        </row>
        <row r="669">
          <cell r="E669" t="str">
            <v>Expected return on plan assets (pensions)</v>
          </cell>
          <cell r="HX669" t="str">
            <v>mstag:expectedReturnOnPlanAssetsPensions</v>
          </cell>
          <cell r="HY669">
            <v>6</v>
          </cell>
          <cell r="HZ669" t="str">
            <v>ISO4217:USD</v>
          </cell>
          <cell r="IA669" t="b">
            <v>0</v>
          </cell>
          <cell r="IB669" t="b">
            <v>0</v>
          </cell>
        </row>
        <row r="670">
          <cell r="E670" t="str">
            <v>Amortization of prior service cost (pensions)</v>
          </cell>
          <cell r="HX670" t="str">
            <v>mstag:amortizationOfPriorServiceCostPensions</v>
          </cell>
          <cell r="HY670">
            <v>6</v>
          </cell>
          <cell r="HZ670" t="str">
            <v>ISO4217:USD</v>
          </cell>
          <cell r="IA670" t="b">
            <v>0</v>
          </cell>
          <cell r="IB670" t="b">
            <v>0</v>
          </cell>
        </row>
        <row r="671">
          <cell r="E671" t="str">
            <v>Net actuarial gain (loss) recognized (pensions)</v>
          </cell>
          <cell r="HX671" t="str">
            <v>mstag:netActuarialGainLossRecognizedPensions</v>
          </cell>
          <cell r="HY671">
            <v>6</v>
          </cell>
          <cell r="HZ671" t="str">
            <v>ISO4217:USD</v>
          </cell>
          <cell r="IA671" t="b">
            <v>0</v>
          </cell>
          <cell r="IB671" t="b">
            <v>0</v>
          </cell>
        </row>
        <row r="672">
          <cell r="E672" t="str">
            <v>Nonrecurring pension items</v>
          </cell>
          <cell r="HX672" t="str">
            <v>mstag:nonRecurringPensionItems</v>
          </cell>
          <cell r="HY672">
            <v>6</v>
          </cell>
          <cell r="HZ672" t="str">
            <v>ISO4217:USD</v>
          </cell>
          <cell r="IA672" t="b">
            <v>0</v>
          </cell>
          <cell r="IB672" t="b">
            <v>0</v>
          </cell>
        </row>
        <row r="673">
          <cell r="E673" t="str">
            <v>Other net pension expense</v>
          </cell>
          <cell r="HX673" t="str">
            <v>mstag:otherNetPensionExpense</v>
          </cell>
          <cell r="HY673">
            <v>6</v>
          </cell>
          <cell r="HZ673" t="str">
            <v>ISO4217:USD</v>
          </cell>
          <cell r="IA673" t="b">
            <v>0</v>
          </cell>
          <cell r="IB673" t="b">
            <v>0</v>
          </cell>
        </row>
        <row r="674">
          <cell r="D674" t="str">
            <v>Net benefits paid to retirees (pensions)</v>
          </cell>
          <cell r="G674" t="str">
            <v/>
          </cell>
          <cell r="H674" t="str">
            <v/>
          </cell>
          <cell r="I674" t="str">
            <v/>
          </cell>
          <cell r="J674" t="str">
            <v/>
          </cell>
          <cell r="K674" t="str">
            <v/>
          </cell>
          <cell r="L674" t="str">
            <v/>
          </cell>
          <cell r="M674" t="str">
            <v/>
          </cell>
          <cell r="HX674" t="str">
            <v>mstag:netBenefitsPaidToRetireesPensions</v>
          </cell>
          <cell r="HY674">
            <v>6</v>
          </cell>
          <cell r="HZ674" t="str">
            <v>ISO4217:USD</v>
          </cell>
          <cell r="IA674" t="b">
            <v>0</v>
          </cell>
          <cell r="IB674" t="b">
            <v>0</v>
          </cell>
        </row>
        <row r="675">
          <cell r="E675" t="str">
            <v>Benefits paid to retirees, in obligation (pensions)</v>
          </cell>
          <cell r="HX675" t="str">
            <v>mstag:benefitsPaidToRetireesPensions</v>
          </cell>
          <cell r="HY675">
            <v>6</v>
          </cell>
          <cell r="HZ675" t="str">
            <v>ISO4217:USD</v>
          </cell>
          <cell r="IA675" t="b">
            <v>0</v>
          </cell>
          <cell r="IB675" t="b">
            <v>0</v>
          </cell>
        </row>
        <row r="676">
          <cell r="E676" t="str">
            <v>Benefits paid to retirees, in assets (pensions)</v>
          </cell>
          <cell r="HX676" t="str">
            <v>mstag:benefitsPaidToRetireesInAssetsPensions</v>
          </cell>
          <cell r="HY676">
            <v>6</v>
          </cell>
          <cell r="HZ676" t="str">
            <v>ISO4217:USD</v>
          </cell>
          <cell r="IA676" t="b">
            <v>0</v>
          </cell>
          <cell r="IB676" t="b">
            <v>0</v>
          </cell>
        </row>
        <row r="677">
          <cell r="D677" t="str">
            <v>Actual return on plan assets (pensions)</v>
          </cell>
          <cell r="HX677" t="str">
            <v>mstag:actualReturnOnPlanAssetsPensions</v>
          </cell>
          <cell r="HY677">
            <v>6</v>
          </cell>
          <cell r="HZ677" t="str">
            <v>ISO4217:USD</v>
          </cell>
          <cell r="IA677" t="b">
            <v>0</v>
          </cell>
          <cell r="IB677" t="b">
            <v>0</v>
          </cell>
        </row>
        <row r="678">
          <cell r="D678" t="str">
            <v>Contribution to plan assets (pensions)</v>
          </cell>
          <cell r="HX678" t="str">
            <v>mstag:contributionToPlanAssetsPensions</v>
          </cell>
          <cell r="HY678">
            <v>6</v>
          </cell>
          <cell r="HZ678" t="str">
            <v>ISO4217:USD</v>
          </cell>
          <cell r="IA678" t="b">
            <v>0</v>
          </cell>
          <cell r="IB678" t="b">
            <v>0</v>
          </cell>
        </row>
        <row r="679">
          <cell r="D679" t="str">
            <v>Projected benefit obligation (pensions)</v>
          </cell>
          <cell r="HX679" t="str">
            <v>mstag:projectedBenefitObligationPensions</v>
          </cell>
          <cell r="HY679">
            <v>6</v>
          </cell>
          <cell r="HZ679" t="str">
            <v>ISO4217:USD</v>
          </cell>
          <cell r="IA679" t="b">
            <v>0</v>
          </cell>
          <cell r="IB679" t="b">
            <v>0</v>
          </cell>
        </row>
        <row r="680">
          <cell r="D680" t="str">
            <v>Plan assets at fair value (pensions)</v>
          </cell>
          <cell r="HX680" t="str">
            <v>mstag:planAssetsAtFairValuePensions</v>
          </cell>
          <cell r="HY680">
            <v>6</v>
          </cell>
          <cell r="HZ680" t="str">
            <v>ISO4217:USD</v>
          </cell>
          <cell r="IA680" t="b">
            <v>0</v>
          </cell>
          <cell r="IB680" t="b">
            <v>0</v>
          </cell>
        </row>
        <row r="681">
          <cell r="D681" t="str">
            <v>Net pension prepaid asset (accrued liability)</v>
          </cell>
          <cell r="HX681" t="str">
            <v>mstag:netPensionPrepaidAssetAccruedLiability</v>
          </cell>
          <cell r="HY681">
            <v>6</v>
          </cell>
          <cell r="HZ681" t="str">
            <v>ISO4217:USD</v>
          </cell>
          <cell r="IA681" t="b">
            <v>0</v>
          </cell>
          <cell r="IB681" t="b">
            <v>0</v>
          </cell>
        </row>
        <row r="682">
          <cell r="D682" t="str">
            <v>Intangible asset (pensions)</v>
          </cell>
          <cell r="HX682" t="str">
            <v>mstag:intangibleAssetPensions</v>
          </cell>
          <cell r="HY682">
            <v>6</v>
          </cell>
          <cell r="HZ682" t="str">
            <v>ISO4217:USD</v>
          </cell>
          <cell r="IA682" t="b">
            <v>0</v>
          </cell>
          <cell r="IB682" t="b">
            <v>0</v>
          </cell>
        </row>
        <row r="683">
          <cell r="D683" t="str">
            <v>Accumulated other comprehensive income (pensions)</v>
          </cell>
          <cell r="HX683" t="str">
            <v>mstag:accumulatedOtherComprehensiveIncomePensions</v>
          </cell>
          <cell r="HY683">
            <v>6</v>
          </cell>
          <cell r="HZ683" t="str">
            <v>ISO4217:USD</v>
          </cell>
          <cell r="IA683" t="b">
            <v>0</v>
          </cell>
          <cell r="IB683" t="b">
            <v>0</v>
          </cell>
        </row>
        <row r="684">
          <cell r="D684" t="str">
            <v>Weighted average discount rate (pensions)</v>
          </cell>
          <cell r="HX684" t="str">
            <v>mstag:weightedAverageDiscountRatePensions</v>
          </cell>
          <cell r="HY684">
            <v>0</v>
          </cell>
          <cell r="HZ684" t="str">
            <v>ms_eqr_gcim_Decimal:ms_eqr_gcim_decimal</v>
          </cell>
          <cell r="IA684" t="b">
            <v>0</v>
          </cell>
          <cell r="IB684" t="b">
            <v>0</v>
          </cell>
        </row>
        <row r="685">
          <cell r="D685" t="str">
            <v>Expected long-term rate of return on plan assets (pensions)</v>
          </cell>
          <cell r="HX685" t="str">
            <v>mstag:expectedLongTermRateOfReturnOnPlanAssetsPensions</v>
          </cell>
          <cell r="HY685">
            <v>0</v>
          </cell>
          <cell r="HZ685" t="str">
            <v>ms_eqr_gcim_Decimal:ms_eqr_gcim_decimal</v>
          </cell>
          <cell r="IA685" t="b">
            <v>0</v>
          </cell>
          <cell r="IB685" t="b">
            <v>0</v>
          </cell>
        </row>
        <row r="686">
          <cell r="D686" t="str">
            <v>Rate of increase in future compensation levels</v>
          </cell>
          <cell r="HX686" t="str">
            <v>mstag:rateOfIncreaseInFutureCompensationLevels</v>
          </cell>
          <cell r="HY686">
            <v>0</v>
          </cell>
          <cell r="HZ686" t="str">
            <v>ms_eqr_gcim_Decimal:ms_eqr_gcim_decimal</v>
          </cell>
          <cell r="IA686" t="b">
            <v>0</v>
          </cell>
          <cell r="IB686" t="b">
            <v>0</v>
          </cell>
        </row>
        <row r="687">
          <cell r="C687" t="str">
            <v>Pensions (interest and returns classified by company as financing)</v>
          </cell>
          <cell r="HY687">
            <v>0</v>
          </cell>
          <cell r="HZ687" t="str">
            <v>ms_eqr_gcim_String:ms_eqr_gcim_string</v>
          </cell>
          <cell r="IA687" t="b">
            <v>0</v>
          </cell>
          <cell r="IB687" t="b">
            <v>0</v>
          </cell>
        </row>
        <row r="688">
          <cell r="D688" t="str">
            <v>Net periodic pension expense (pensions)</v>
          </cell>
          <cell r="G688" t="str">
            <v/>
          </cell>
          <cell r="H688" t="str">
            <v/>
          </cell>
          <cell r="I688" t="str">
            <v/>
          </cell>
          <cell r="J688" t="str">
            <v/>
          </cell>
          <cell r="K688" t="str">
            <v/>
          </cell>
          <cell r="L688" t="str">
            <v/>
          </cell>
          <cell r="M688" t="str">
            <v/>
          </cell>
          <cell r="HX688" t="str">
            <v>mstag:netPeriodicPensionExpensePensionsClassifiedAsFinancing</v>
          </cell>
          <cell r="HY688">
            <v>0</v>
          </cell>
          <cell r="HZ688" t="str">
            <v>ISO4217:USD</v>
          </cell>
          <cell r="IA688" t="b">
            <v>0</v>
          </cell>
          <cell r="IB688" t="b">
            <v>0</v>
          </cell>
        </row>
        <row r="689">
          <cell r="E689" t="str">
            <v>Service cost (pensions)</v>
          </cell>
          <cell r="HX689" t="str">
            <v>mstag:serviceCostPensionsClassifiedAsFinancing</v>
          </cell>
          <cell r="HY689">
            <v>0</v>
          </cell>
          <cell r="HZ689" t="str">
            <v>ISO4217:USD</v>
          </cell>
          <cell r="IA689" t="b">
            <v>0</v>
          </cell>
          <cell r="IB689" t="b">
            <v>0</v>
          </cell>
        </row>
        <row r="690">
          <cell r="E690" t="str">
            <v>Interest cost (pensions)</v>
          </cell>
          <cell r="HX690" t="str">
            <v>mstag:interestCostPensionsClassifiedAsFinancing</v>
          </cell>
          <cell r="HY690">
            <v>0</v>
          </cell>
          <cell r="HZ690" t="str">
            <v>ISO4217:USD</v>
          </cell>
          <cell r="IA690" t="b">
            <v>0</v>
          </cell>
          <cell r="IB690" t="b">
            <v>0</v>
          </cell>
        </row>
        <row r="691">
          <cell r="E691" t="str">
            <v>Expected return on plan assets (pensions)</v>
          </cell>
          <cell r="HX691" t="str">
            <v>mstag:expectedReturnOnPlanAssetsPensionsClassifiedAsFinancing</v>
          </cell>
          <cell r="HY691">
            <v>0</v>
          </cell>
          <cell r="HZ691" t="str">
            <v>ISO4217:USD</v>
          </cell>
          <cell r="IA691" t="b">
            <v>0</v>
          </cell>
          <cell r="IB691" t="b">
            <v>0</v>
          </cell>
        </row>
        <row r="692">
          <cell r="E692" t="str">
            <v>Amortization of prior service cost (pensions)</v>
          </cell>
          <cell r="HX692" t="str">
            <v>mstag:amortizationOfPriorServiceCostPensionsClassifiedAsFinancing</v>
          </cell>
          <cell r="HY692">
            <v>0</v>
          </cell>
          <cell r="HZ692" t="str">
            <v>ISO4217:USD</v>
          </cell>
          <cell r="IA692" t="b">
            <v>0</v>
          </cell>
          <cell r="IB692" t="b">
            <v>0</v>
          </cell>
        </row>
        <row r="693">
          <cell r="E693" t="str">
            <v>Net actuarial gain (loss) recognized (pensions)</v>
          </cell>
          <cell r="HX693" t="str">
            <v>mstag:netActuarialGainLossRecognizedPensionsClassifiedAsFinancing</v>
          </cell>
          <cell r="HY693">
            <v>0</v>
          </cell>
          <cell r="HZ693" t="str">
            <v>ISO4217:USD</v>
          </cell>
          <cell r="IA693" t="b">
            <v>0</v>
          </cell>
          <cell r="IB693" t="b">
            <v>0</v>
          </cell>
        </row>
        <row r="694">
          <cell r="E694" t="str">
            <v>Nonrecurring pension items</v>
          </cell>
          <cell r="HX694" t="str">
            <v>mstag:nonRecurringPensionItemsClassifiedAsFinancing</v>
          </cell>
          <cell r="HY694">
            <v>0</v>
          </cell>
          <cell r="HZ694" t="str">
            <v>ISO4217:USD</v>
          </cell>
          <cell r="IA694" t="b">
            <v>0</v>
          </cell>
          <cell r="IB694" t="b">
            <v>0</v>
          </cell>
        </row>
        <row r="695">
          <cell r="E695" t="str">
            <v>Other net pension expense</v>
          </cell>
          <cell r="HX695" t="str">
            <v>mstag:otherNetPensionExpenseClassifiedAsFinancing</v>
          </cell>
          <cell r="HY695">
            <v>0</v>
          </cell>
          <cell r="HZ695" t="str">
            <v>ISO4217:USD</v>
          </cell>
          <cell r="IA695" t="b">
            <v>0</v>
          </cell>
          <cell r="IB695" t="b">
            <v>0</v>
          </cell>
        </row>
        <row r="696">
          <cell r="D696" t="str">
            <v>Net benefits paid to retirees (pensions)</v>
          </cell>
          <cell r="G696" t="str">
            <v/>
          </cell>
          <cell r="H696" t="str">
            <v/>
          </cell>
          <cell r="I696" t="str">
            <v/>
          </cell>
          <cell r="J696" t="str">
            <v/>
          </cell>
          <cell r="K696" t="str">
            <v/>
          </cell>
          <cell r="L696" t="str">
            <v/>
          </cell>
          <cell r="M696" t="str">
            <v/>
          </cell>
          <cell r="HX696" t="str">
            <v>mstag:netBenefitsPaidToRetireesPensionsAsFinancing</v>
          </cell>
          <cell r="HY696">
            <v>6</v>
          </cell>
          <cell r="HZ696" t="str">
            <v>ISO4217:USD</v>
          </cell>
          <cell r="IA696" t="b">
            <v>0</v>
          </cell>
          <cell r="IB696" t="b">
            <v>0</v>
          </cell>
        </row>
        <row r="697">
          <cell r="E697" t="str">
            <v>Benefits paid to retirees, in obligation (pensions)</v>
          </cell>
          <cell r="HX697" t="str">
            <v>mstag:benefitsPaidToRetireesPensionsClassifiedAsFinancing</v>
          </cell>
          <cell r="HY697">
            <v>0</v>
          </cell>
          <cell r="HZ697" t="str">
            <v>ISO4217:USD</v>
          </cell>
          <cell r="IA697" t="b">
            <v>0</v>
          </cell>
          <cell r="IB697" t="b">
            <v>0</v>
          </cell>
        </row>
        <row r="698">
          <cell r="E698" t="str">
            <v>Benefits paid to retirees, in assets (pensions)</v>
          </cell>
          <cell r="HX698" t="str">
            <v>mstag:benefitsPaidToRetireesInAssetsPensionsAsFinancing</v>
          </cell>
          <cell r="HY698">
            <v>6</v>
          </cell>
          <cell r="HZ698" t="str">
            <v>ISO4217:USD</v>
          </cell>
          <cell r="IA698" t="b">
            <v>0</v>
          </cell>
          <cell r="IB698" t="b">
            <v>0</v>
          </cell>
        </row>
        <row r="699">
          <cell r="D699" t="str">
            <v>Actual return on plan assets (pensions)</v>
          </cell>
          <cell r="HX699" t="str">
            <v>mstag:actualReturnOnPlanAssetsPensionsClassifiedAsFinancing</v>
          </cell>
          <cell r="HY699">
            <v>0</v>
          </cell>
          <cell r="HZ699" t="str">
            <v>ISO4217:USD</v>
          </cell>
          <cell r="IA699" t="b">
            <v>0</v>
          </cell>
          <cell r="IB699" t="b">
            <v>0</v>
          </cell>
        </row>
        <row r="700">
          <cell r="D700" t="str">
            <v>Contribution to plan assets (pensions)</v>
          </cell>
          <cell r="HX700" t="str">
            <v>mstag:contributionToPlanAssetsPensionsClassifiedAsFinancing</v>
          </cell>
          <cell r="HY700">
            <v>0</v>
          </cell>
          <cell r="HZ700" t="str">
            <v>ISO4217:USD</v>
          </cell>
          <cell r="IA700" t="b">
            <v>0</v>
          </cell>
          <cell r="IB700" t="b">
            <v>0</v>
          </cell>
        </row>
        <row r="701">
          <cell r="D701" t="str">
            <v>Projected benefit obligation (pensions)</v>
          </cell>
          <cell r="HX701" t="str">
            <v>mstag:projectedBenefitObligationPensionsClassifiedAsFinancing</v>
          </cell>
          <cell r="HY701">
            <v>0</v>
          </cell>
          <cell r="HZ701" t="str">
            <v>ISO4217:USD</v>
          </cell>
          <cell r="IA701" t="b">
            <v>0</v>
          </cell>
          <cell r="IB701" t="b">
            <v>0</v>
          </cell>
        </row>
        <row r="702">
          <cell r="D702" t="str">
            <v>Plan assets at fair value (pensions)</v>
          </cell>
          <cell r="HX702" t="str">
            <v>mstag:planAssetsAtFairValuePensionsClassifiedAsFinancing</v>
          </cell>
          <cell r="HY702">
            <v>0</v>
          </cell>
          <cell r="HZ702" t="str">
            <v>ISO4217:USD</v>
          </cell>
          <cell r="IA702" t="b">
            <v>0</v>
          </cell>
          <cell r="IB702" t="b">
            <v>0</v>
          </cell>
        </row>
        <row r="703">
          <cell r="D703" t="str">
            <v>Net pension prepaid asset (accrued liability)</v>
          </cell>
          <cell r="HX703" t="str">
            <v>mstag:netPensionPrepaidAssetAccruedLiabilityClassifiedAsFinancing</v>
          </cell>
          <cell r="HY703">
            <v>0</v>
          </cell>
          <cell r="HZ703" t="str">
            <v>ISO4217:USD</v>
          </cell>
          <cell r="IA703" t="b">
            <v>0</v>
          </cell>
          <cell r="IB703" t="b">
            <v>0</v>
          </cell>
        </row>
        <row r="704">
          <cell r="D704" t="str">
            <v>Intangible asset (pensions)</v>
          </cell>
          <cell r="HX704" t="str">
            <v>mstag:intangibleAssetPensionsClassifiedAsFinancing</v>
          </cell>
          <cell r="HY704">
            <v>0</v>
          </cell>
          <cell r="HZ704" t="str">
            <v>ISO4217:USD</v>
          </cell>
          <cell r="IA704" t="b">
            <v>0</v>
          </cell>
          <cell r="IB704" t="b">
            <v>0</v>
          </cell>
        </row>
        <row r="705">
          <cell r="D705" t="str">
            <v>Accumulated other comprehensive income (pensions)</v>
          </cell>
          <cell r="HX705" t="str">
            <v>mstag:accumulatedOtherComprehensiveIncomePensionsClassifiedAsFinancing</v>
          </cell>
          <cell r="HY705">
            <v>0</v>
          </cell>
          <cell r="HZ705" t="str">
            <v>ISO4217:USD</v>
          </cell>
          <cell r="IA705" t="b">
            <v>0</v>
          </cell>
          <cell r="IB705" t="b">
            <v>0</v>
          </cell>
        </row>
        <row r="706">
          <cell r="D706" t="str">
            <v>Weighted average discount rate (pensions)</v>
          </cell>
          <cell r="HX706" t="str">
            <v>mstag:weightedAverageDiscountRatePensionsClassifiedAsFinancing</v>
          </cell>
          <cell r="HY706">
            <v>0</v>
          </cell>
          <cell r="HZ706" t="str">
            <v>ms_eqr_gcim_Decimal:ms_eqr_gcim_decimal</v>
          </cell>
          <cell r="IA706" t="b">
            <v>0</v>
          </cell>
          <cell r="IB706" t="b">
            <v>0</v>
          </cell>
        </row>
        <row r="707">
          <cell r="D707" t="str">
            <v>Expected long-term rate of return on plan assets (pensions)</v>
          </cell>
          <cell r="HX707" t="str">
            <v>mstag:expectedLongTermRateOfReturnOnPlanAssetsPensionsClassifiedAsFinancing</v>
          </cell>
          <cell r="HY707">
            <v>0</v>
          </cell>
          <cell r="HZ707" t="str">
            <v>ms_eqr_gcim_Decimal:ms_eqr_gcim_decimal</v>
          </cell>
          <cell r="IA707" t="b">
            <v>0</v>
          </cell>
          <cell r="IB707" t="b">
            <v>0</v>
          </cell>
        </row>
        <row r="708">
          <cell r="D708" t="str">
            <v>Rate of increase in future compensation levels</v>
          </cell>
          <cell r="HX708" t="str">
            <v>mstag:rateOfIncreaseInFutureCompensationLevelsClassifiedAsFinancing</v>
          </cell>
          <cell r="HY708">
            <v>0</v>
          </cell>
          <cell r="HZ708" t="str">
            <v>ms_eqr_gcim_Decimal:ms_eqr_gcim_decimal</v>
          </cell>
          <cell r="IA708" t="b">
            <v>0</v>
          </cell>
          <cell r="IB708" t="b">
            <v>0</v>
          </cell>
        </row>
        <row r="709">
          <cell r="C709" t="str">
            <v>Pensions (companies reporting under SSAP 24)</v>
          </cell>
          <cell r="HY709">
            <v>0</v>
          </cell>
          <cell r="HZ709" t="str">
            <v>ms_eqr_gcim_String:ms_eqr_gcim_string</v>
          </cell>
          <cell r="IA709" t="b">
            <v>0</v>
          </cell>
          <cell r="IB709" t="b">
            <v>0</v>
          </cell>
        </row>
        <row r="710">
          <cell r="D710" t="str">
            <v>Net periodic pension expense (pensions)</v>
          </cell>
          <cell r="HX710" t="str">
            <v>mstag:netPeriodicPensionExpensePensionsUnderSSAP24</v>
          </cell>
          <cell r="HY710">
            <v>0</v>
          </cell>
          <cell r="HZ710" t="str">
            <v>ISO4217:USD</v>
          </cell>
          <cell r="IA710" t="b">
            <v>0</v>
          </cell>
          <cell r="IB710" t="b">
            <v>0</v>
          </cell>
        </row>
        <row r="711">
          <cell r="D711" t="str">
            <v>Service cost (pensions)</v>
          </cell>
          <cell r="HX711" t="str">
            <v>mstag:serviceCostPensionsUnderSSAP24</v>
          </cell>
          <cell r="HY711">
            <v>0</v>
          </cell>
          <cell r="HZ711" t="str">
            <v>ISO4217:USD</v>
          </cell>
          <cell r="IA711" t="b">
            <v>0</v>
          </cell>
          <cell r="IB711" t="b">
            <v>0</v>
          </cell>
        </row>
        <row r="712">
          <cell r="D712" t="str">
            <v>Prior service cost (pensions)</v>
          </cell>
          <cell r="HX712" t="str">
            <v>mstag:priorServiceCostPensionsUnderSSAP24</v>
          </cell>
          <cell r="HY712">
            <v>0</v>
          </cell>
          <cell r="HZ712" t="str">
            <v>ISO4217:USD</v>
          </cell>
          <cell r="IA712" t="b">
            <v>0</v>
          </cell>
          <cell r="IB712" t="b">
            <v>0</v>
          </cell>
        </row>
        <row r="713">
          <cell r="D713" t="str">
            <v>Interest cost (pensions)</v>
          </cell>
          <cell r="HX713" t="str">
            <v>mstag:interestCostPensionsUnderSSAP24</v>
          </cell>
          <cell r="HY713">
            <v>0</v>
          </cell>
          <cell r="HZ713" t="str">
            <v>ISO4217:USD</v>
          </cell>
          <cell r="IA713" t="b">
            <v>0</v>
          </cell>
          <cell r="IB713" t="b">
            <v>0</v>
          </cell>
        </row>
        <row r="714">
          <cell r="D714" t="str">
            <v>Expected return on plan assets (pensions)</v>
          </cell>
          <cell r="HX714" t="str">
            <v>mstag:expectedReturnOnPlanAssetsPensionsUnderSSAP24</v>
          </cell>
          <cell r="HY714">
            <v>0</v>
          </cell>
          <cell r="HZ714" t="str">
            <v>ISO4217:USD</v>
          </cell>
          <cell r="IA714" t="b">
            <v>0</v>
          </cell>
          <cell r="IB714" t="b">
            <v>0</v>
          </cell>
        </row>
        <row r="715">
          <cell r="C715" t="str">
            <v>Other postemployment benefits</v>
          </cell>
          <cell r="HY715">
            <v>0</v>
          </cell>
          <cell r="HZ715" t="str">
            <v>ms_eqr_gcim_String:ms_eqr_gcim_string</v>
          </cell>
          <cell r="IA715" t="b">
            <v>0</v>
          </cell>
          <cell r="IB715" t="b">
            <v>0</v>
          </cell>
        </row>
        <row r="716">
          <cell r="D716" t="str">
            <v>Net periodic expense (OPEB)</v>
          </cell>
          <cell r="G716" t="str">
            <v/>
          </cell>
          <cell r="H716" t="str">
            <v/>
          </cell>
          <cell r="I716" t="str">
            <v/>
          </cell>
          <cell r="J716" t="str">
            <v/>
          </cell>
          <cell r="K716" t="str">
            <v/>
          </cell>
          <cell r="L716" t="str">
            <v/>
          </cell>
          <cell r="M716" t="str">
            <v/>
          </cell>
          <cell r="HX716" t="str">
            <v>mstag:netPeriodicExpenseOpeb</v>
          </cell>
          <cell r="HY716">
            <v>6</v>
          </cell>
          <cell r="HZ716" t="str">
            <v>ISO4217:USD</v>
          </cell>
          <cell r="IA716" t="b">
            <v>0</v>
          </cell>
          <cell r="IB716" t="b">
            <v>0</v>
          </cell>
        </row>
        <row r="717">
          <cell r="E717" t="str">
            <v>Service cost (OPEB)</v>
          </cell>
          <cell r="HX717" t="str">
            <v>mstag:serviceCostOpeb</v>
          </cell>
          <cell r="HY717">
            <v>6</v>
          </cell>
          <cell r="HZ717" t="str">
            <v>ISO4217:USD</v>
          </cell>
          <cell r="IA717" t="b">
            <v>0</v>
          </cell>
          <cell r="IB717" t="b">
            <v>0</v>
          </cell>
        </row>
        <row r="718">
          <cell r="E718" t="str">
            <v>Interest cost (OPEB)</v>
          </cell>
          <cell r="HX718" t="str">
            <v>mstag:interestCostOpeb</v>
          </cell>
          <cell r="HY718">
            <v>6</v>
          </cell>
          <cell r="HZ718" t="str">
            <v>ISO4217:USD</v>
          </cell>
          <cell r="IA718" t="b">
            <v>0</v>
          </cell>
          <cell r="IB718" t="b">
            <v>0</v>
          </cell>
        </row>
        <row r="719">
          <cell r="E719" t="str">
            <v>Expected return on plan assets (OPEB)</v>
          </cell>
          <cell r="HX719" t="str">
            <v>mstag:expectedReturnOnPlanAssetsOpeb</v>
          </cell>
          <cell r="HY719">
            <v>6</v>
          </cell>
          <cell r="HZ719" t="str">
            <v>ISO4217:USD</v>
          </cell>
          <cell r="IA719" t="b">
            <v>0</v>
          </cell>
          <cell r="IB719" t="b">
            <v>0</v>
          </cell>
        </row>
        <row r="720">
          <cell r="E720" t="str">
            <v>Amortization of prior service cost (OPEB)</v>
          </cell>
          <cell r="HX720" t="str">
            <v>mstag:amortizationOfPriorServiceCostOpeb</v>
          </cell>
          <cell r="HY720">
            <v>6</v>
          </cell>
          <cell r="HZ720" t="str">
            <v>ISO4217:USD</v>
          </cell>
          <cell r="IA720" t="b">
            <v>0</v>
          </cell>
          <cell r="IB720" t="b">
            <v>0</v>
          </cell>
        </row>
        <row r="721">
          <cell r="E721" t="str">
            <v>Net actuarial gain (loss) recognized (OPEB)</v>
          </cell>
          <cell r="HX721" t="str">
            <v>mstag:netActuarialGainLossRecognizedOpeb</v>
          </cell>
          <cell r="HY721">
            <v>6</v>
          </cell>
          <cell r="HZ721" t="str">
            <v>ISO4217:USD</v>
          </cell>
          <cell r="IA721" t="b">
            <v>0</v>
          </cell>
          <cell r="IB721" t="b">
            <v>0</v>
          </cell>
        </row>
        <row r="722">
          <cell r="E722" t="str">
            <v>Nonrecurring OPEB items</v>
          </cell>
          <cell r="HX722" t="str">
            <v>mstag:nonRecurringOpebItems</v>
          </cell>
          <cell r="HY722">
            <v>6</v>
          </cell>
          <cell r="HZ722" t="str">
            <v>ISO4217:USD</v>
          </cell>
          <cell r="IA722" t="b">
            <v>0</v>
          </cell>
          <cell r="IB722" t="b">
            <v>0</v>
          </cell>
        </row>
        <row r="723">
          <cell r="E723" t="str">
            <v>Other net expense (OPEB)</v>
          </cell>
          <cell r="HX723" t="str">
            <v>mstag:otherNetExpenseOpeb</v>
          </cell>
          <cell r="HY723">
            <v>6</v>
          </cell>
          <cell r="HZ723" t="str">
            <v>ISO4217:USD</v>
          </cell>
          <cell r="IA723" t="b">
            <v>0</v>
          </cell>
          <cell r="IB723" t="b">
            <v>0</v>
          </cell>
        </row>
        <row r="724">
          <cell r="D724" t="str">
            <v>Net benefits paid to retirees (OPEB)</v>
          </cell>
          <cell r="G724" t="str">
            <v/>
          </cell>
          <cell r="H724" t="str">
            <v/>
          </cell>
          <cell r="I724" t="str">
            <v/>
          </cell>
          <cell r="J724" t="str">
            <v/>
          </cell>
          <cell r="K724" t="str">
            <v/>
          </cell>
          <cell r="L724" t="str">
            <v/>
          </cell>
          <cell r="M724" t="str">
            <v/>
          </cell>
          <cell r="HX724" t="str">
            <v>mstag:netBenefitsPaidToRetireesOpeb</v>
          </cell>
          <cell r="HY724">
            <v>6</v>
          </cell>
          <cell r="HZ724" t="str">
            <v>ISO4217:USD</v>
          </cell>
          <cell r="IA724" t="b">
            <v>0</v>
          </cell>
          <cell r="IB724" t="b">
            <v>0</v>
          </cell>
        </row>
        <row r="725">
          <cell r="E725" t="str">
            <v>Benefits paid to retirees, in obligation (OPEB)</v>
          </cell>
          <cell r="HX725" t="str">
            <v>mstag:benefitsPaidToRetireesOpeb</v>
          </cell>
          <cell r="HY725">
            <v>6</v>
          </cell>
          <cell r="HZ725" t="str">
            <v>ISO4217:USD</v>
          </cell>
          <cell r="IA725" t="b">
            <v>0</v>
          </cell>
          <cell r="IB725" t="b">
            <v>0</v>
          </cell>
        </row>
        <row r="726">
          <cell r="E726" t="str">
            <v>Benefits paid to retirees, in assets (OPEB)</v>
          </cell>
          <cell r="HX726" t="str">
            <v>mstag:benefitsPaidToRetireesInAssetsOpeb</v>
          </cell>
          <cell r="HY726">
            <v>6</v>
          </cell>
          <cell r="HZ726" t="str">
            <v>ISO4217:USD</v>
          </cell>
          <cell r="IA726" t="b">
            <v>0</v>
          </cell>
          <cell r="IB726" t="b">
            <v>0</v>
          </cell>
        </row>
        <row r="727">
          <cell r="D727" t="str">
            <v>Actual return on plan assets (OPEB)</v>
          </cell>
          <cell r="HX727" t="str">
            <v>mstag:actualReturnOnPlanAssetsOpeb</v>
          </cell>
          <cell r="HY727">
            <v>6</v>
          </cell>
          <cell r="HZ727" t="str">
            <v>ISO4217:USD</v>
          </cell>
          <cell r="IA727" t="b">
            <v>0</v>
          </cell>
          <cell r="IB727" t="b">
            <v>0</v>
          </cell>
        </row>
        <row r="728">
          <cell r="D728" t="str">
            <v>Contribution to plan assets (OPEB)</v>
          </cell>
          <cell r="HX728" t="str">
            <v>mstag:contributionToPlanAssetsOpeb</v>
          </cell>
          <cell r="HY728">
            <v>6</v>
          </cell>
          <cell r="HZ728" t="str">
            <v>ISO4217:USD</v>
          </cell>
          <cell r="IA728" t="b">
            <v>0</v>
          </cell>
          <cell r="IB728" t="b">
            <v>0</v>
          </cell>
        </row>
        <row r="729">
          <cell r="D729" t="str">
            <v>Projected benefit obligation (OPEB)</v>
          </cell>
          <cell r="HX729" t="str">
            <v>mstag:projectedBenefitObligationOpeb</v>
          </cell>
          <cell r="HY729">
            <v>6</v>
          </cell>
          <cell r="HZ729" t="str">
            <v>ISO4217:USD</v>
          </cell>
          <cell r="IA729" t="b">
            <v>0</v>
          </cell>
          <cell r="IB729" t="b">
            <v>0</v>
          </cell>
        </row>
        <row r="730">
          <cell r="D730" t="str">
            <v>Plan assets at fair value (OPEB)</v>
          </cell>
          <cell r="HX730" t="str">
            <v>mstag:planAssetsAtFairValueOpeb</v>
          </cell>
          <cell r="HY730">
            <v>6</v>
          </cell>
          <cell r="HZ730" t="str">
            <v>ISO4217:USD</v>
          </cell>
          <cell r="IA730" t="b">
            <v>0</v>
          </cell>
          <cell r="IB730" t="b">
            <v>0</v>
          </cell>
        </row>
        <row r="731">
          <cell r="D731" t="str">
            <v>Net OPEB assets (liabilities) recognized in the balance sheet</v>
          </cell>
          <cell r="HX731" t="str">
            <v>mstag:netOpebAssetsLiabilitiesRecognizedInTheBalanceSheet</v>
          </cell>
          <cell r="HY731">
            <v>6</v>
          </cell>
          <cell r="HZ731" t="str">
            <v>ISO4217:USD</v>
          </cell>
          <cell r="IA731" t="b">
            <v>0</v>
          </cell>
          <cell r="IB731" t="b">
            <v>0</v>
          </cell>
        </row>
        <row r="732">
          <cell r="D732" t="str">
            <v>Weighted average discount rate (OPEB)</v>
          </cell>
          <cell r="HX732" t="str">
            <v>mstag:weightedAverageDiscountRateOpeb</v>
          </cell>
          <cell r="HY732">
            <v>0</v>
          </cell>
          <cell r="HZ732" t="str">
            <v>ms_eqr_gcim_Decimal:ms_eqr_gcim_decimal</v>
          </cell>
          <cell r="IA732" t="b">
            <v>0</v>
          </cell>
          <cell r="IB732" t="b">
            <v>0</v>
          </cell>
        </row>
        <row r="733">
          <cell r="D733" t="str">
            <v>Expected long term rate of return on plan assets (OPEB)</v>
          </cell>
          <cell r="HX733" t="str">
            <v>mstag:expectedLongTermRateOfReturnOnPlanAssetsOpeb</v>
          </cell>
          <cell r="HY733">
            <v>0</v>
          </cell>
          <cell r="HZ733" t="str">
            <v>ms_eqr_gcim_Decimal:ms_eqr_gcim_decimal</v>
          </cell>
          <cell r="IA733" t="b">
            <v>0</v>
          </cell>
          <cell r="IB733" t="b">
            <v>0</v>
          </cell>
        </row>
        <row r="734">
          <cell r="D734" t="str">
            <v>Expected rate of healthcare cost increase, short term</v>
          </cell>
          <cell r="HX734" t="str">
            <v>mstag:expectedRateOfHealthCareCostIncreaseShortTerm</v>
          </cell>
          <cell r="HY734">
            <v>0</v>
          </cell>
          <cell r="HZ734" t="str">
            <v>ms_eqr_gcim_Decimal:ms_eqr_gcim_decimal</v>
          </cell>
          <cell r="IA734" t="b">
            <v>0</v>
          </cell>
          <cell r="IB734" t="b">
            <v>0</v>
          </cell>
        </row>
        <row r="735">
          <cell r="D735" t="str">
            <v>Expected rate of healthcare cost increase, long term</v>
          </cell>
          <cell r="HX735" t="str">
            <v>mstag:expectedRateOfHealthCareCostIncreaseLongTerm</v>
          </cell>
          <cell r="HY735">
            <v>0</v>
          </cell>
          <cell r="HZ735" t="str">
            <v>ms_eqr_gcim_Decimal:ms_eqr_gcim_decimal</v>
          </cell>
          <cell r="IA735" t="b">
            <v>0</v>
          </cell>
          <cell r="IB735" t="b">
            <v>0</v>
          </cell>
        </row>
        <row r="737">
          <cell r="M737" t="str">
            <v>Values in the System :</v>
          </cell>
        </row>
        <row r="738">
          <cell r="M738">
            <v>63</v>
          </cell>
        </row>
        <row r="741">
          <cell r="A741" t="str">
            <v>Additional Data Items to be collected (these items are not in the taxonomy)</v>
          </cell>
        </row>
        <row r="742">
          <cell r="B742" t="str">
            <v>Leases</v>
          </cell>
        </row>
        <row r="743">
          <cell r="C743" t="str">
            <v>Year 1 Minimum Rental Payment</v>
          </cell>
          <cell r="G743">
            <v>15.068</v>
          </cell>
          <cell r="H743">
            <v>25.855</v>
          </cell>
          <cell r="I743">
            <v>33.090000000000003</v>
          </cell>
          <cell r="J743">
            <v>47.545000000000002</v>
          </cell>
          <cell r="K743">
            <v>4.8</v>
          </cell>
          <cell r="L743">
            <v>4.8</v>
          </cell>
          <cell r="M743">
            <v>6.5</v>
          </cell>
        </row>
        <row r="744">
          <cell r="C744" t="str">
            <v>Year 2 Minimum Rental Payment</v>
          </cell>
          <cell r="G744">
            <v>15.622</v>
          </cell>
          <cell r="H744">
            <v>23.591000000000001</v>
          </cell>
          <cell r="I744">
            <v>31.873000000000001</v>
          </cell>
          <cell r="J744">
            <v>48.029000000000003</v>
          </cell>
          <cell r="K744">
            <v>3</v>
          </cell>
          <cell r="L744">
            <v>3.3</v>
          </cell>
          <cell r="M744">
            <v>6.9</v>
          </cell>
        </row>
        <row r="745">
          <cell r="C745" t="str">
            <v>Year 3 Minimum Rental Payment</v>
          </cell>
          <cell r="G745">
            <v>15.196</v>
          </cell>
          <cell r="H745">
            <v>22.47</v>
          </cell>
          <cell r="I745">
            <v>28.492999999999999</v>
          </cell>
          <cell r="J745">
            <v>46.418999999999997</v>
          </cell>
          <cell r="K745">
            <v>1.7</v>
          </cell>
          <cell r="L745">
            <v>3.1</v>
          </cell>
          <cell r="M745">
            <v>5.8</v>
          </cell>
        </row>
        <row r="746">
          <cell r="C746" t="str">
            <v>Year 4 Minimum Rental Payment</v>
          </cell>
          <cell r="G746">
            <v>14.95</v>
          </cell>
          <cell r="H746">
            <v>19.626999999999999</v>
          </cell>
          <cell r="I746">
            <v>27.497</v>
          </cell>
          <cell r="J746">
            <v>41.847999999999999</v>
          </cell>
          <cell r="K746">
            <v>1.6</v>
          </cell>
          <cell r="L746">
            <v>2.6</v>
          </cell>
          <cell r="M746">
            <v>5.8</v>
          </cell>
        </row>
        <row r="747">
          <cell r="C747" t="str">
            <v>Year 5 Minimum Rental Payment</v>
          </cell>
          <cell r="G747">
            <v>14.968999999999999</v>
          </cell>
          <cell r="H747">
            <v>18.637</v>
          </cell>
          <cell r="I747">
            <v>24.611000000000001</v>
          </cell>
          <cell r="J747">
            <v>32.972999999999999</v>
          </cell>
          <cell r="K747">
            <v>1.6</v>
          </cell>
          <cell r="L747">
            <v>2.4</v>
          </cell>
          <cell r="M747">
            <v>5.8</v>
          </cell>
        </row>
        <row r="748">
          <cell r="C748" t="str">
            <v>Reported Cummulative Payments beyond Year 5</v>
          </cell>
          <cell r="G748">
            <v>14.759</v>
          </cell>
          <cell r="H748">
            <v>36.707000000000001</v>
          </cell>
          <cell r="I748">
            <v>23.83</v>
          </cell>
          <cell r="J748">
            <v>1.7310000000000001</v>
          </cell>
          <cell r="K748">
            <v>4.3</v>
          </cell>
          <cell r="L748">
            <v>5.2</v>
          </cell>
          <cell r="M748">
            <v>24.1</v>
          </cell>
        </row>
        <row r="749">
          <cell r="C749" t="str">
            <v>Current year minmum rental payment</v>
          </cell>
        </row>
        <row r="751">
          <cell r="C751" t="str">
            <v>Foot Working:</v>
          </cell>
        </row>
        <row r="752">
          <cell r="B752" t="str">
            <v>A</v>
          </cell>
          <cell r="C752" t="str">
            <v>Income statement</v>
          </cell>
        </row>
        <row r="753">
          <cell r="C753">
            <v>1</v>
          </cell>
          <cell r="D753" t="str">
            <v>Revenue, gross</v>
          </cell>
        </row>
        <row r="754">
          <cell r="F754" t="str">
            <v>Product sales</v>
          </cell>
          <cell r="G754">
            <v>584.88900000000001</v>
          </cell>
          <cell r="H754">
            <v>717.79499999999996</v>
          </cell>
          <cell r="I754">
            <v>1039.095</v>
          </cell>
          <cell r="J754">
            <v>1278.3440000000001</v>
          </cell>
          <cell r="K754">
            <v>1742.8969999999999</v>
          </cell>
          <cell r="L754">
            <v>2163.665</v>
          </cell>
        </row>
        <row r="755">
          <cell r="F755" t="str">
            <v>Contract revenue</v>
          </cell>
          <cell r="G755">
            <v>121.587</v>
          </cell>
          <cell r="H755">
            <v>114.795</v>
          </cell>
          <cell r="I755">
            <v>83.242000000000004</v>
          </cell>
          <cell r="J755">
            <v>160.363</v>
          </cell>
          <cell r="K755">
            <v>36.659999999999997</v>
          </cell>
          <cell r="L755">
            <v>54.442999999999998</v>
          </cell>
        </row>
        <row r="756">
          <cell r="G756">
            <v>706.476</v>
          </cell>
          <cell r="H756">
            <v>832.58999999999992</v>
          </cell>
          <cell r="I756">
            <v>1122.337</v>
          </cell>
          <cell r="J756">
            <v>1438.7070000000001</v>
          </cell>
          <cell r="K756">
            <v>1779.557</v>
          </cell>
          <cell r="L756">
            <v>2218.1080000000002</v>
          </cell>
        </row>
        <row r="759">
          <cell r="C759">
            <v>2</v>
          </cell>
          <cell r="D759" t="str">
            <v>Cost of sales, without depreciation</v>
          </cell>
          <cell r="G759">
            <v>102.536</v>
          </cell>
          <cell r="H759">
            <v>138.62299999999999</v>
          </cell>
          <cell r="I759">
            <v>285.54899999999998</v>
          </cell>
          <cell r="J759">
            <v>364.892</v>
          </cell>
          <cell r="K759">
            <v>354.44200000000001</v>
          </cell>
          <cell r="L759">
            <v>441.63</v>
          </cell>
        </row>
        <row r="760">
          <cell r="F760" t="str">
            <v>Less: Depreciation</v>
          </cell>
          <cell r="G760">
            <v>-65.533000000000001</v>
          </cell>
          <cell r="H760">
            <v>-78.100999999999999</v>
          </cell>
          <cell r="I760">
            <v>-90.281999999999996</v>
          </cell>
          <cell r="J760">
            <v>-88.804000000000002</v>
          </cell>
          <cell r="K760">
            <v>-96.290999999999997</v>
          </cell>
          <cell r="L760">
            <v>-104.55500000000001</v>
          </cell>
        </row>
        <row r="761">
          <cell r="G761">
            <v>37.003</v>
          </cell>
          <cell r="H761">
            <v>60.521999999999991</v>
          </cell>
          <cell r="I761">
            <v>195.267</v>
          </cell>
          <cell r="J761">
            <v>276.08799999999997</v>
          </cell>
          <cell r="K761">
            <v>258.15100000000001</v>
          </cell>
          <cell r="L761">
            <v>337.07499999999999</v>
          </cell>
        </row>
        <row r="764">
          <cell r="C764">
            <v>2</v>
          </cell>
          <cell r="D764" t="str">
            <v>General and administrative expenses</v>
          </cell>
          <cell r="G764">
            <v>470.923</v>
          </cell>
          <cell r="H764">
            <v>358.93099999999998</v>
          </cell>
          <cell r="I764">
            <v>393.65700000000004</v>
          </cell>
          <cell r="J764">
            <v>368.22399999999999</v>
          </cell>
          <cell r="K764">
            <v>446.90600000000001</v>
          </cell>
          <cell r="L764">
            <v>546.27599999999995</v>
          </cell>
        </row>
        <row r="765">
          <cell r="F765" t="str">
            <v>Less: Advertisement charges</v>
          </cell>
          <cell r="G765">
            <v>-41.8</v>
          </cell>
          <cell r="H765">
            <v>-47.7</v>
          </cell>
          <cell r="I765">
            <v>-80</v>
          </cell>
          <cell r="J765">
            <v>-86.5</v>
          </cell>
          <cell r="K765">
            <v>-91.9</v>
          </cell>
          <cell r="L765">
            <v>-111.7</v>
          </cell>
        </row>
        <row r="766">
          <cell r="G766">
            <v>429.12299999999999</v>
          </cell>
          <cell r="H766">
            <v>311.23099999999999</v>
          </cell>
          <cell r="I766">
            <v>313.65700000000004</v>
          </cell>
          <cell r="J766">
            <v>281.72399999999999</v>
          </cell>
          <cell r="K766">
            <v>355.00599999999997</v>
          </cell>
          <cell r="L766">
            <v>434.57599999999996</v>
          </cell>
        </row>
        <row r="767">
          <cell r="C767">
            <v>3</v>
          </cell>
          <cell r="D767" t="str">
            <v>Statutory Tax Rate</v>
          </cell>
        </row>
        <row r="768">
          <cell r="E768" t="str">
            <v>For 2002 , the statutory tax rate is as follows:</v>
          </cell>
        </row>
        <row r="769">
          <cell r="E769">
            <v>1</v>
          </cell>
          <cell r="F769" t="str">
            <v>Tax at U.S. statutory rate of 35%</v>
          </cell>
          <cell r="H769">
            <v>88.427999999999997</v>
          </cell>
          <cell r="I769">
            <v>-578.83100000000002</v>
          </cell>
          <cell r="J769">
            <v>1.391</v>
          </cell>
          <cell r="K769">
            <v>99.045000000000002</v>
          </cell>
          <cell r="L769">
            <v>10412</v>
          </cell>
        </row>
        <row r="770">
          <cell r="E770">
            <v>2</v>
          </cell>
          <cell r="F770" t="str">
            <v>State taxes</v>
          </cell>
          <cell r="H770">
            <v>7.4909999999999997</v>
          </cell>
          <cell r="I770">
            <v>-17.552999999999997</v>
          </cell>
          <cell r="J770">
            <v>0.95899999999999996</v>
          </cell>
          <cell r="K770">
            <v>16.219000000000001</v>
          </cell>
          <cell r="L770">
            <v>837</v>
          </cell>
        </row>
        <row r="771">
          <cell r="F771" t="str">
            <v>Total (A)</v>
          </cell>
          <cell r="H771">
            <v>95.918999999999997</v>
          </cell>
          <cell r="I771">
            <v>-596.38400000000001</v>
          </cell>
          <cell r="J771">
            <v>2.35</v>
          </cell>
          <cell r="K771">
            <v>115.26400000000001</v>
          </cell>
          <cell r="L771">
            <v>11249</v>
          </cell>
        </row>
        <row r="773">
          <cell r="F773" t="str">
            <v>Profit before taxes                                                                            (B)</v>
          </cell>
          <cell r="H773">
            <v>252.65100000000001</v>
          </cell>
          <cell r="I773">
            <v>-1157.5</v>
          </cell>
          <cell r="J773">
            <v>3.9729999999999999</v>
          </cell>
          <cell r="K773">
            <v>282.98599999999999</v>
          </cell>
          <cell r="L773">
            <v>29749</v>
          </cell>
        </row>
        <row r="775">
          <cell r="F775" t="str">
            <v>statutory tax rate  (A/B)*100</v>
          </cell>
          <cell r="H775">
            <v>0.37965018939169048</v>
          </cell>
          <cell r="I775">
            <v>0.51523455723542122</v>
          </cell>
          <cell r="J775">
            <v>0.59149257488044304</v>
          </cell>
          <cell r="K775">
            <v>0.40731343600036757</v>
          </cell>
          <cell r="L775">
            <v>0.37813035732293521</v>
          </cell>
        </row>
        <row r="777">
          <cell r="C777" t="str">
            <v>Reclassification</v>
          </cell>
        </row>
        <row r="778">
          <cell r="C778">
            <v>4</v>
          </cell>
          <cell r="D778" t="str">
            <v>Contract and other  (as disclosed in the respective year's financials)</v>
          </cell>
          <cell r="I778">
            <v>83.242000000000004</v>
          </cell>
        </row>
        <row r="779">
          <cell r="F779" t="str">
            <v>Add: Reclassification in 2000</v>
          </cell>
          <cell r="I779">
            <v>-20.337</v>
          </cell>
        </row>
        <row r="780">
          <cell r="I780">
            <v>103.57899999999999</v>
          </cell>
        </row>
        <row r="782">
          <cell r="C782">
            <v>5</v>
          </cell>
          <cell r="D782" t="str">
            <v>Amortization of taxable other intangible(as disclosed in the respective year's financials)</v>
          </cell>
          <cell r="I782">
            <v>197.74199999999999</v>
          </cell>
        </row>
        <row r="783">
          <cell r="F783" t="str">
            <v>Add: Reclassification in 2000</v>
          </cell>
          <cell r="I783">
            <v>-0.67799999999999727</v>
          </cell>
        </row>
        <row r="784">
          <cell r="I784">
            <v>198.42</v>
          </cell>
          <cell r="K784">
            <v>0</v>
          </cell>
          <cell r="L784">
            <v>0</v>
          </cell>
        </row>
        <row r="786">
          <cell r="C786">
            <v>6</v>
          </cell>
          <cell r="D786" t="str">
            <v>Current Tax (as disclosed in the respective year's financials)</v>
          </cell>
          <cell r="I786">
            <v>-203.10900000000004</v>
          </cell>
        </row>
        <row r="787">
          <cell r="F787" t="str">
            <v>Add: Reclassification in 2000</v>
          </cell>
          <cell r="I787">
            <v>-6.7</v>
          </cell>
        </row>
        <row r="788">
          <cell r="I788">
            <v>-196.40900000000005</v>
          </cell>
        </row>
        <row r="790">
          <cell r="B790" t="str">
            <v>B</v>
          </cell>
          <cell r="C790" t="str">
            <v>Balance Sheet Validation</v>
          </cell>
        </row>
        <row r="791">
          <cell r="C791">
            <v>6</v>
          </cell>
          <cell r="D791" t="str">
            <v>Other receivables, current</v>
          </cell>
        </row>
        <row r="792">
          <cell r="F792" t="str">
            <v>Accounts receivable − royalties</v>
          </cell>
          <cell r="L792">
            <v>116.423</v>
          </cell>
        </row>
        <row r="793">
          <cell r="F793" t="str">
            <v>Accounts receivable − related parties</v>
          </cell>
          <cell r="G793">
            <v>73.444000000000003</v>
          </cell>
          <cell r="H793">
            <v>22.85</v>
          </cell>
          <cell r="I793">
            <v>33.234000000000002</v>
          </cell>
          <cell r="J793">
            <v>36.298999999999999</v>
          </cell>
          <cell r="K793">
            <v>66.867000000000004</v>
          </cell>
          <cell r="L793">
            <v>0</v>
          </cell>
        </row>
        <row r="794">
          <cell r="F794" t="str">
            <v>Accounts receivable − other</v>
          </cell>
          <cell r="G794">
            <v>44.386000000000003</v>
          </cell>
          <cell r="H794">
            <v>47.48</v>
          </cell>
          <cell r="I794">
            <v>61.054000000000002</v>
          </cell>
          <cell r="J794">
            <v>63.262</v>
          </cell>
          <cell r="K794">
            <v>55.27</v>
          </cell>
          <cell r="L794">
            <v>59.151000000000003</v>
          </cell>
        </row>
        <row r="795">
          <cell r="G795">
            <v>117.83000000000001</v>
          </cell>
          <cell r="H795">
            <v>70.33</v>
          </cell>
          <cell r="I795">
            <v>94.288000000000011</v>
          </cell>
          <cell r="J795">
            <v>99.561000000000007</v>
          </cell>
          <cell r="K795">
            <v>122.137</v>
          </cell>
          <cell r="L795">
            <v>175.57400000000001</v>
          </cell>
        </row>
        <row r="796">
          <cell r="C796">
            <v>7</v>
          </cell>
          <cell r="D796" t="str">
            <v>Other assets, operating, noncurrent</v>
          </cell>
        </row>
        <row r="797">
          <cell r="F797" t="str">
            <v>Leasehold improvements</v>
          </cell>
          <cell r="G797">
            <v>3.27</v>
          </cell>
          <cell r="H797">
            <v>3.5649999999999999</v>
          </cell>
          <cell r="I797">
            <v>4.6550000000000002</v>
          </cell>
          <cell r="J797">
            <v>18.456</v>
          </cell>
          <cell r="K797">
            <v>30.632000000000001</v>
          </cell>
          <cell r="L797">
            <v>53.588999999999999</v>
          </cell>
        </row>
        <row r="798">
          <cell r="F798" t="str">
            <v>Other long−term assets</v>
          </cell>
          <cell r="G798">
            <v>177.202</v>
          </cell>
          <cell r="H798">
            <v>131.274</v>
          </cell>
          <cell r="I798">
            <v>201.101</v>
          </cell>
          <cell r="J798">
            <v>168.458</v>
          </cell>
          <cell r="K798">
            <v>70.622</v>
          </cell>
          <cell r="L798">
            <v>110.158</v>
          </cell>
        </row>
        <row r="799">
          <cell r="G799">
            <v>180.47200000000001</v>
          </cell>
          <cell r="H799">
            <v>134.839</v>
          </cell>
          <cell r="I799">
            <v>205.756</v>
          </cell>
          <cell r="J799">
            <v>186.91399999999999</v>
          </cell>
          <cell r="K799">
            <v>101.254</v>
          </cell>
          <cell r="L799">
            <v>163.74700000000001</v>
          </cell>
        </row>
        <row r="800">
          <cell r="C800">
            <v>8</v>
          </cell>
          <cell r="D800" t="str">
            <v>Other accrued expenses</v>
          </cell>
        </row>
        <row r="801">
          <cell r="F801" t="str">
            <v>Accrued royalties</v>
          </cell>
          <cell r="G801">
            <v>23.905000000000001</v>
          </cell>
          <cell r="H801">
            <v>23.391999999999999</v>
          </cell>
          <cell r="I801">
            <v>37.692</v>
          </cell>
          <cell r="J801">
            <v>34.811</v>
          </cell>
          <cell r="K801">
            <v>69.66</v>
          </cell>
          <cell r="L801">
            <v>87.081999999999994</v>
          </cell>
        </row>
        <row r="802">
          <cell r="F802" t="str">
            <v>Accrued clinical and other studies</v>
          </cell>
          <cell r="G802">
            <v>47.268999999999998</v>
          </cell>
          <cell r="H802">
            <v>35.534999999999997</v>
          </cell>
          <cell r="I802">
            <v>18.012</v>
          </cell>
          <cell r="J802">
            <v>35.625999999999998</v>
          </cell>
          <cell r="K802">
            <v>42.433999999999997</v>
          </cell>
          <cell r="L802">
            <v>59.33</v>
          </cell>
        </row>
        <row r="803">
          <cell r="F803" t="str">
            <v>Accrued marketing and promotion costs</v>
          </cell>
          <cell r="G803">
            <v>13.369</v>
          </cell>
          <cell r="H803">
            <v>9.4169999999999998</v>
          </cell>
          <cell r="I803">
            <v>17.896999999999998</v>
          </cell>
          <cell r="J803">
            <v>21.228999999999999</v>
          </cell>
          <cell r="K803">
            <v>28.395</v>
          </cell>
          <cell r="L803">
            <v>39.100999999999999</v>
          </cell>
        </row>
        <row r="804">
          <cell r="F804" t="str">
            <v>Accrued collaborations</v>
          </cell>
          <cell r="G804">
            <v>0</v>
          </cell>
          <cell r="H804">
            <v>0</v>
          </cell>
          <cell r="I804">
            <v>20.707999999999998</v>
          </cell>
          <cell r="J804">
            <v>111.254</v>
          </cell>
          <cell r="K804">
            <v>71.046000000000006</v>
          </cell>
          <cell r="L804">
            <v>103.432</v>
          </cell>
        </row>
        <row r="805">
          <cell r="F805" t="str">
            <v>Accrued legal settlement</v>
          </cell>
          <cell r="H805">
            <v>0</v>
          </cell>
          <cell r="I805">
            <v>200</v>
          </cell>
          <cell r="J805">
            <v>0</v>
          </cell>
          <cell r="K805">
            <v>0</v>
          </cell>
          <cell r="L805">
            <v>0</v>
          </cell>
        </row>
        <row r="806">
          <cell r="G806">
            <v>84.543000000000006</v>
          </cell>
          <cell r="H806">
            <v>68.343999999999994</v>
          </cell>
          <cell r="I806">
            <v>294.30899999999997</v>
          </cell>
          <cell r="J806">
            <v>202.92000000000002</v>
          </cell>
          <cell r="K806">
            <v>211.53500000000003</v>
          </cell>
          <cell r="L806">
            <v>288.94499999999999</v>
          </cell>
        </row>
        <row r="807">
          <cell r="C807">
            <v>9</v>
          </cell>
          <cell r="D807" t="str">
            <v>Other liabilities, operating, current</v>
          </cell>
        </row>
        <row r="808">
          <cell r="F808" t="str">
            <v>Hedge payable</v>
          </cell>
          <cell r="G808">
            <v>0</v>
          </cell>
          <cell r="H808">
            <v>5.42</v>
          </cell>
          <cell r="I808">
            <v>33.499000000000002</v>
          </cell>
          <cell r="J808">
            <v>32.171999999999997</v>
          </cell>
        </row>
        <row r="809">
          <cell r="F809" t="str">
            <v>Other</v>
          </cell>
          <cell r="G809">
            <v>55.677999999999997</v>
          </cell>
          <cell r="H809">
            <v>72.218999999999994</v>
          </cell>
          <cell r="I809">
            <v>47.52</v>
          </cell>
          <cell r="J809">
            <v>66.337999999999994</v>
          </cell>
        </row>
        <row r="810">
          <cell r="F810" t="str">
            <v>Accrued liabilities − related parties</v>
          </cell>
          <cell r="G810">
            <v>15.427</v>
          </cell>
          <cell r="H810">
            <v>10.945</v>
          </cell>
          <cell r="I810">
            <v>14.96</v>
          </cell>
          <cell r="J810">
            <v>12.265000000000001</v>
          </cell>
        </row>
        <row r="811">
          <cell r="G811">
            <v>71.10499999999999</v>
          </cell>
          <cell r="H811">
            <v>88.584000000000003</v>
          </cell>
          <cell r="I811">
            <v>95.979000000000013</v>
          </cell>
          <cell r="J811">
            <v>110.77499999999999</v>
          </cell>
        </row>
        <row r="812">
          <cell r="B812" t="str">
            <v>C</v>
          </cell>
          <cell r="C812" t="str">
            <v>Cash Flow Validation</v>
          </cell>
        </row>
        <row r="813">
          <cell r="C813">
            <v>10</v>
          </cell>
          <cell r="D813" t="str">
            <v>Net decrease in investments, nonoperating</v>
          </cell>
        </row>
        <row r="814">
          <cell r="F814" t="str">
            <v>Gain on sales of securities available−for−sale and other</v>
          </cell>
          <cell r="G814">
            <v>-13.202999999999999</v>
          </cell>
          <cell r="H814">
            <v>-9.5419999999999998</v>
          </cell>
          <cell r="I814">
            <v>-19.375</v>
          </cell>
          <cell r="J814">
            <v>-132.30699999999999</v>
          </cell>
          <cell r="K814">
            <v>-39.398000000000003</v>
          </cell>
          <cell r="L814">
            <v>-53.71</v>
          </cell>
        </row>
        <row r="815">
          <cell r="F815" t="str">
            <v>Loss on sales of securities available−for−sale</v>
          </cell>
          <cell r="G815">
            <v>2.0960000000000001</v>
          </cell>
          <cell r="H815">
            <v>1.8089999999999999</v>
          </cell>
          <cell r="I815">
            <v>1.8050000000000002</v>
          </cell>
          <cell r="J815">
            <v>3.9569999999999999</v>
          </cell>
          <cell r="K815">
            <v>2.0110000000000001</v>
          </cell>
          <cell r="L815">
            <v>5.8680000000000003</v>
          </cell>
        </row>
        <row r="816">
          <cell r="F816" t="str">
            <v>Write−down of securities available−for−sale</v>
          </cell>
          <cell r="G816">
            <v>4</v>
          </cell>
          <cell r="H816">
            <v>20.248999999999999</v>
          </cell>
          <cell r="I816">
            <v>13.422000000000001</v>
          </cell>
          <cell r="J816">
            <v>4.8</v>
          </cell>
          <cell r="K816">
            <v>27.504000000000001</v>
          </cell>
          <cell r="L816">
            <v>40.759</v>
          </cell>
        </row>
        <row r="817">
          <cell r="F817" t="str">
            <v>Investments in trading securities</v>
          </cell>
          <cell r="G817">
            <v>-109.13200000000001</v>
          </cell>
          <cell r="H817">
            <v>12.725</v>
          </cell>
          <cell r="I817">
            <v>-10.158999999999999</v>
          </cell>
          <cell r="J817">
            <v>-20.963000000000001</v>
          </cell>
          <cell r="K817">
            <v>-85.712000000000003</v>
          </cell>
          <cell r="L817">
            <v>-121.986</v>
          </cell>
        </row>
        <row r="818">
          <cell r="F818" t="str">
            <v>Purchases of securities available−for−sale</v>
          </cell>
          <cell r="G818">
            <v>-512.72699999999998</v>
          </cell>
          <cell r="H818">
            <v>-800.78800000000001</v>
          </cell>
          <cell r="I818">
            <v>-595.06799999999998</v>
          </cell>
          <cell r="J818">
            <v>-560.40499999999997</v>
          </cell>
          <cell r="K818">
            <v>-1559.23</v>
          </cell>
          <cell r="L818">
            <v>-806.44399999999996</v>
          </cell>
        </row>
        <row r="819">
          <cell r="F819" t="str">
            <v>Proceeds from sales and maturities of securities available−for−sale</v>
          </cell>
          <cell r="G819">
            <v>410.39499999999998</v>
          </cell>
          <cell r="H819">
            <v>430.93599999999998</v>
          </cell>
          <cell r="I819">
            <v>627.06299999999999</v>
          </cell>
          <cell r="J819">
            <v>574.14499999999998</v>
          </cell>
          <cell r="K819">
            <v>1084.546</v>
          </cell>
          <cell r="L819">
            <v>1746.1980000000001</v>
          </cell>
        </row>
        <row r="820">
          <cell r="F820" t="str">
            <v>Purchases of nonmarketable equity securities</v>
          </cell>
          <cell r="G820">
            <v>0</v>
          </cell>
          <cell r="H820">
            <v>-29.044</v>
          </cell>
          <cell r="I820">
            <v>-52.957999999999998</v>
          </cell>
          <cell r="J820">
            <v>-5.6630000000000003</v>
          </cell>
          <cell r="K820">
            <v>-5.83</v>
          </cell>
          <cell r="L820">
            <v>-6.29</v>
          </cell>
        </row>
        <row r="821">
          <cell r="F821" t="str">
            <v>Transfer to restricted cash</v>
          </cell>
          <cell r="G821">
            <v>0</v>
          </cell>
          <cell r="H821">
            <v>0</v>
          </cell>
          <cell r="I821">
            <v>-56.6</v>
          </cell>
          <cell r="J821">
            <v>0</v>
          </cell>
          <cell r="K821">
            <v>0</v>
          </cell>
          <cell r="L821">
            <v>-630</v>
          </cell>
        </row>
        <row r="822">
          <cell r="F822" t="str">
            <v>Write−down of nonmarketable securities</v>
          </cell>
          <cell r="G822">
            <v>0</v>
          </cell>
          <cell r="H822">
            <v>16.689</v>
          </cell>
          <cell r="I822">
            <v>0.432</v>
          </cell>
          <cell r="J822">
            <v>0</v>
          </cell>
          <cell r="K822">
            <v>0</v>
          </cell>
          <cell r="L822">
            <v>0</v>
          </cell>
        </row>
        <row r="823">
          <cell r="F823" t="str">
            <v>Purchases of securities held−to−maturity</v>
          </cell>
          <cell r="G823">
            <v>-304.93200000000002</v>
          </cell>
          <cell r="H823">
            <v>-327.69</v>
          </cell>
          <cell r="I823">
            <v>-186.61199999999999</v>
          </cell>
          <cell r="J823">
            <v>0</v>
          </cell>
          <cell r="K823">
            <v>0</v>
          </cell>
          <cell r="L823">
            <v>0</v>
          </cell>
        </row>
        <row r="824">
          <cell r="F824" t="str">
            <v>Proceeds from maturities of securities held−to−maturity</v>
          </cell>
          <cell r="G824">
            <v>455.31700000000001</v>
          </cell>
          <cell r="H824">
            <v>410.72899999999998</v>
          </cell>
          <cell r="I824">
            <v>286.49699999999996</v>
          </cell>
          <cell r="J824">
            <v>0</v>
          </cell>
          <cell r="K824">
            <v>0</v>
          </cell>
          <cell r="L824">
            <v>0</v>
          </cell>
        </row>
        <row r="825">
          <cell r="G825">
            <v>-68.186000000000035</v>
          </cell>
          <cell r="H825">
            <v>-273.92699999999996</v>
          </cell>
          <cell r="I825">
            <v>8.4469999999999459</v>
          </cell>
          <cell r="J825">
            <v>-136.43600000000004</v>
          </cell>
          <cell r="K825">
            <v>-576.10900000000004</v>
          </cell>
          <cell r="L825">
            <v>174.39500000000021</v>
          </cell>
        </row>
        <row r="827">
          <cell r="B827" t="str">
            <v>D</v>
          </cell>
          <cell r="C827" t="str">
            <v>Changes in Shareholders Equity Validation</v>
          </cell>
        </row>
        <row r="828">
          <cell r="C828">
            <v>11</v>
          </cell>
          <cell r="D828" t="str">
            <v>Other changes in share capital</v>
          </cell>
        </row>
        <row r="829">
          <cell r="E829" t="str">
            <v>A</v>
          </cell>
          <cell r="F829" t="str">
            <v>Period from January 1 to June 30, 1999</v>
          </cell>
        </row>
        <row r="830">
          <cell r="F830" t="str">
            <v xml:space="preserve"> - Change in Special common Stock</v>
          </cell>
          <cell r="I830">
            <v>-4.1619999999999999</v>
          </cell>
        </row>
        <row r="831">
          <cell r="F831" t="str">
            <v xml:space="preserve"> - Change in common stock</v>
          </cell>
          <cell r="I831">
            <v>4.0540000000000003</v>
          </cell>
        </row>
        <row r="832">
          <cell r="F832" t="str">
            <v xml:space="preserve"> - Changes in Additional Paid - Capital</v>
          </cell>
          <cell r="I832">
            <v>5361.9719999999998</v>
          </cell>
        </row>
        <row r="833">
          <cell r="F833" t="str">
            <v xml:space="preserve"> - Amortization of good−will, intangibles and fair value adjustment to inventories, net of tax</v>
          </cell>
          <cell r="I833">
            <v>-500.5</v>
          </cell>
        </row>
        <row r="834">
          <cell r="F834" t="str">
            <v xml:space="preserve"> - In−process research and development</v>
          </cell>
          <cell r="I834">
            <v>-1221.644</v>
          </cell>
        </row>
        <row r="835">
          <cell r="F835" t="str">
            <v>Total (A + B)</v>
          </cell>
          <cell r="I835">
            <v>3639.7199999999993</v>
          </cell>
        </row>
        <row r="837">
          <cell r="D837" t="str">
            <v>Calculation of Top 3 drugs as percent of total sales</v>
          </cell>
        </row>
        <row r="838">
          <cell r="F838" t="str">
            <v>Rituxan</v>
          </cell>
          <cell r="G838">
            <v>5.5</v>
          </cell>
          <cell r="H838">
            <v>162.6</v>
          </cell>
          <cell r="I838">
            <v>279.39999999999998</v>
          </cell>
          <cell r="J838">
            <v>444.1</v>
          </cell>
          <cell r="K838">
            <v>818.6</v>
          </cell>
          <cell r="L838">
            <v>1162.9000000000001</v>
          </cell>
        </row>
        <row r="839">
          <cell r="F839" t="str">
            <v>Herceptin</v>
          </cell>
          <cell r="G839">
            <v>0</v>
          </cell>
          <cell r="H839">
            <v>30.5</v>
          </cell>
          <cell r="I839">
            <v>188.4</v>
          </cell>
          <cell r="J839">
            <v>275.89999999999998</v>
          </cell>
          <cell r="K839">
            <v>346.7</v>
          </cell>
          <cell r="L839">
            <v>385.2</v>
          </cell>
        </row>
        <row r="840">
          <cell r="F840" t="str">
            <v>Growth Hormone</v>
          </cell>
          <cell r="G840">
            <v>223.6</v>
          </cell>
          <cell r="H840">
            <v>214</v>
          </cell>
          <cell r="I840">
            <v>221.2</v>
          </cell>
          <cell r="J840">
            <v>226.6</v>
          </cell>
          <cell r="K840">
            <v>250.2</v>
          </cell>
          <cell r="L840">
            <v>297.2</v>
          </cell>
        </row>
        <row r="841">
          <cell r="F841" t="str">
            <v>Total (A)</v>
          </cell>
          <cell r="G841">
            <v>229.1</v>
          </cell>
          <cell r="H841">
            <v>407.1</v>
          </cell>
          <cell r="I841">
            <v>689</v>
          </cell>
          <cell r="J841">
            <v>946.6</v>
          </cell>
          <cell r="K841">
            <v>1415.5</v>
          </cell>
          <cell r="L841">
            <v>1845.3000000000002</v>
          </cell>
        </row>
        <row r="843">
          <cell r="F843" t="str">
            <v>Total Product sales (B)</v>
          </cell>
          <cell r="G843">
            <v>584.9</v>
          </cell>
          <cell r="H843">
            <v>717.8</v>
          </cell>
          <cell r="I843">
            <v>1039.0999999999999</v>
          </cell>
          <cell r="J843">
            <v>1278.3</v>
          </cell>
          <cell r="K843">
            <v>1742.9</v>
          </cell>
          <cell r="L843">
            <v>2163.6</v>
          </cell>
        </row>
        <row r="845">
          <cell r="F845" t="str">
            <v>Percent       (A/B)*100</v>
          </cell>
          <cell r="G845">
            <v>0.39169088733116775</v>
          </cell>
          <cell r="H845">
            <v>0.56714962385065482</v>
          </cell>
          <cell r="I845">
            <v>0.66307381387739395</v>
          </cell>
          <cell r="J845">
            <v>0.74051474614722679</v>
          </cell>
          <cell r="K845">
            <v>0.81215216019278214</v>
          </cell>
          <cell r="L845">
            <v>0.85288408208541333</v>
          </cell>
        </row>
      </sheetData>
      <sheetData sheetId="18" refreshError="1">
        <row r="2">
          <cell r="B2" t="str">
            <v>Rituxan - Adoption Rates</v>
          </cell>
        </row>
        <row r="3">
          <cell r="B3" t="str">
            <v>Rolling 4 Quarter Averages</v>
          </cell>
          <cell r="C3" t="str">
            <v>3Q03</v>
          </cell>
          <cell r="D3" t="str">
            <v>1Q04</v>
          </cell>
          <cell r="E3" t="str">
            <v>2Q04</v>
          </cell>
          <cell r="F3" t="str">
            <v>3Q04</v>
          </cell>
          <cell r="G3" t="str">
            <v>4Q04</v>
          </cell>
          <cell r="H3" t="str">
            <v>2Q05</v>
          </cell>
          <cell r="I3" t="str">
            <v>3Q05</v>
          </cell>
          <cell r="L3" t="str">
            <v>Phase I/II PTK787 with FOLFOX4</v>
          </cell>
          <cell r="O3" t="str">
            <v>Phase I/II PTK787 with FOLFIRI</v>
          </cell>
        </row>
        <row r="4">
          <cell r="B4" t="str">
            <v>Overall NHL &amp; CLL</v>
          </cell>
          <cell r="C4">
            <v>0.7</v>
          </cell>
          <cell r="D4">
            <v>0.68</v>
          </cell>
          <cell r="E4">
            <v>0.7</v>
          </cell>
          <cell r="F4">
            <v>0.72</v>
          </cell>
          <cell r="G4">
            <v>0.75</v>
          </cell>
          <cell r="H4">
            <v>0.78</v>
          </cell>
          <cell r="I4">
            <v>0.8</v>
          </cell>
          <cell r="L4" t="str">
            <v>n=28</v>
          </cell>
          <cell r="O4" t="str">
            <v>n=16</v>
          </cell>
        </row>
        <row r="5">
          <cell r="B5" t="str">
            <v>NHL</v>
          </cell>
          <cell r="L5" t="str">
            <v>Dose ranges</v>
          </cell>
          <cell r="M5" t="str">
            <v>500-2,000 mg</v>
          </cell>
          <cell r="O5" t="str">
            <v>Dose ranges</v>
          </cell>
          <cell r="P5" t="str">
            <v>500-1,250 mg</v>
          </cell>
        </row>
        <row r="6">
          <cell r="B6" t="str">
            <v>Front-line Indolent</v>
          </cell>
          <cell r="C6">
            <v>0.8</v>
          </cell>
          <cell r="D6">
            <v>0.76</v>
          </cell>
          <cell r="E6">
            <v>0.8</v>
          </cell>
          <cell r="F6">
            <v>0.85</v>
          </cell>
          <cell r="G6">
            <v>0.85</v>
          </cell>
          <cell r="H6">
            <v>0.87</v>
          </cell>
          <cell r="I6">
            <v>0.89</v>
          </cell>
          <cell r="L6" t="str">
            <v>MTD</v>
          </cell>
          <cell r="M6" t="str">
            <v>1,250 mg</v>
          </cell>
          <cell r="O6" t="str">
            <v>MTD</v>
          </cell>
          <cell r="P6" t="str">
            <v>1,250 mg</v>
          </cell>
        </row>
        <row r="7">
          <cell r="B7" t="str">
            <v>Relapsed indolent</v>
          </cell>
          <cell r="C7">
            <v>0.76</v>
          </cell>
          <cell r="D7">
            <v>0.75</v>
          </cell>
          <cell r="E7">
            <v>0.76</v>
          </cell>
          <cell r="F7">
            <v>0.77</v>
          </cell>
          <cell r="G7">
            <v>0.77</v>
          </cell>
          <cell r="H7">
            <v>0.75</v>
          </cell>
          <cell r="I7">
            <v>0.77</v>
          </cell>
          <cell r="L7" t="str">
            <v>CR</v>
          </cell>
          <cell r="M7" t="str">
            <v>1 (4%)</v>
          </cell>
          <cell r="O7" t="str">
            <v>CR</v>
          </cell>
          <cell r="P7">
            <v>0</v>
          </cell>
        </row>
        <row r="8">
          <cell r="B8" t="str">
            <v>Front-line aggressive</v>
          </cell>
          <cell r="C8">
            <v>0.81</v>
          </cell>
          <cell r="D8">
            <v>0.82</v>
          </cell>
          <cell r="E8">
            <v>0.81</v>
          </cell>
          <cell r="F8">
            <v>0.83</v>
          </cell>
          <cell r="G8">
            <v>0.83</v>
          </cell>
          <cell r="H8">
            <v>0.87</v>
          </cell>
          <cell r="I8">
            <v>0.87</v>
          </cell>
          <cell r="L8" t="str">
            <v>PR</v>
          </cell>
          <cell r="M8" t="str">
            <v>14 (50%)</v>
          </cell>
          <cell r="O8" t="str">
            <v>PR</v>
          </cell>
          <cell r="P8" t="str">
            <v>4 (33%)</v>
          </cell>
        </row>
        <row r="9">
          <cell r="B9" t="str">
            <v>Relapsed aggressive</v>
          </cell>
          <cell r="C9">
            <v>0.55000000000000004</v>
          </cell>
          <cell r="D9">
            <v>0.55000000000000004</v>
          </cell>
          <cell r="E9">
            <v>0.55000000000000004</v>
          </cell>
          <cell r="F9">
            <v>0.56000000000000005</v>
          </cell>
          <cell r="G9">
            <v>0.64</v>
          </cell>
          <cell r="H9">
            <v>0.64</v>
          </cell>
          <cell r="I9">
            <v>0.67</v>
          </cell>
          <cell r="L9" t="str">
            <v>SD</v>
          </cell>
          <cell r="M9" t="str">
            <v>9 (32%)</v>
          </cell>
          <cell r="O9" t="str">
            <v>SD</v>
          </cell>
          <cell r="P9" t="str">
            <v>5 (42%)</v>
          </cell>
        </row>
        <row r="10">
          <cell r="B10" t="str">
            <v>CLL</v>
          </cell>
          <cell r="L10" t="str">
            <v>median PFS</v>
          </cell>
          <cell r="M10" t="str">
            <v>11 months</v>
          </cell>
          <cell r="O10" t="str">
            <v>median TTP</v>
          </cell>
          <cell r="P10" t="str">
            <v>6.7 months</v>
          </cell>
        </row>
        <row r="11">
          <cell r="B11" t="str">
            <v>Front-line CLL</v>
          </cell>
          <cell r="C11">
            <v>0.52</v>
          </cell>
          <cell r="D11">
            <v>0.46</v>
          </cell>
          <cell r="E11">
            <v>0.52</v>
          </cell>
          <cell r="F11">
            <v>0.56999999999999995</v>
          </cell>
          <cell r="G11">
            <v>0.63</v>
          </cell>
          <cell r="H11">
            <v>0.65</v>
          </cell>
          <cell r="I11">
            <v>0.69</v>
          </cell>
          <cell r="L11" t="str">
            <v>median OS</v>
          </cell>
          <cell r="M11" t="str">
            <v>16.6 months</v>
          </cell>
          <cell r="O11" t="str">
            <v>median OS</v>
          </cell>
          <cell r="P11" t="str">
            <v>&gt;9 months</v>
          </cell>
        </row>
        <row r="12">
          <cell r="B12" t="str">
            <v>Relapsed CLL</v>
          </cell>
          <cell r="C12">
            <v>0.55000000000000004</v>
          </cell>
          <cell r="D12">
            <v>0.57999999999999996</v>
          </cell>
          <cell r="E12">
            <v>0.55000000000000004</v>
          </cell>
          <cell r="F12">
            <v>0.55000000000000004</v>
          </cell>
          <cell r="G12">
            <v>0.56999999999999995</v>
          </cell>
          <cell r="H12">
            <v>0.67</v>
          </cell>
          <cell r="I12">
            <v>0.68</v>
          </cell>
          <cell r="L12" t="str">
            <v>Adverse events:</v>
          </cell>
          <cell r="M12" t="str">
            <v>Ataxia</v>
          </cell>
          <cell r="O12" t="str">
            <v>Adverse events:</v>
          </cell>
          <cell r="P12" t="str">
            <v>hypertension</v>
          </cell>
        </row>
        <row r="13">
          <cell r="B13" t="str">
            <v>MDs using maintenance</v>
          </cell>
          <cell r="C13">
            <v>0.59</v>
          </cell>
          <cell r="D13">
            <v>0.55000000000000004</v>
          </cell>
          <cell r="E13">
            <v>0.59</v>
          </cell>
          <cell r="F13">
            <v>0.62</v>
          </cell>
          <cell r="G13">
            <v>0.65</v>
          </cell>
          <cell r="H13">
            <v>0.7</v>
          </cell>
          <cell r="I13">
            <v>0.75</v>
          </cell>
          <cell r="M13" t="str">
            <v>neutropenia</v>
          </cell>
          <cell r="P13" t="str">
            <v>fatigue</v>
          </cell>
        </row>
        <row r="14">
          <cell r="B14" t="str">
            <v>Patients receiving maint.</v>
          </cell>
          <cell r="C14">
            <v>0.09</v>
          </cell>
          <cell r="F14">
            <v>0.1</v>
          </cell>
          <cell r="G14">
            <v>0.15</v>
          </cell>
          <cell r="H14">
            <v>0.19</v>
          </cell>
          <cell r="I14">
            <v>0.2</v>
          </cell>
          <cell r="M14" t="str">
            <v>thrombocytopenia</v>
          </cell>
          <cell r="P14" t="str">
            <v>dizziness</v>
          </cell>
        </row>
        <row r="15">
          <cell r="S15" t="str">
            <v>AC + Taxotere + Herceptin</v>
          </cell>
          <cell r="T15" t="str">
            <v>Taxotere + carboplatin + Herceptin</v>
          </cell>
          <cell r="U15" t="str">
            <v>AC + Taxotere (control)</v>
          </cell>
        </row>
        <row r="16">
          <cell r="R16" t="str">
            <v>Reduction in Disease Recurrence (Primary Endpoint)</v>
          </cell>
          <cell r="S16" t="str">
            <v>51%*</v>
          </cell>
          <cell r="T16" t="str">
            <v>39%*</v>
          </cell>
          <cell r="U16" t="str">
            <v>-</v>
          </cell>
        </row>
        <row r="17">
          <cell r="R17" t="str">
            <v>Clinicallly Significant Cardiac Adverse Events</v>
          </cell>
          <cell r="S17">
            <v>2.3E-2</v>
          </cell>
          <cell r="T17">
            <v>1.2999999999999999E-2</v>
          </cell>
          <cell r="U17">
            <v>1.2999999999999999E-2</v>
          </cell>
        </row>
        <row r="18">
          <cell r="L18" t="str">
            <v>Ph II RCC data</v>
          </cell>
          <cell r="R18" t="str">
            <v>Note: * Statistically significant; AC = doxorubicin plus cyclophosphamide</v>
          </cell>
        </row>
        <row r="19">
          <cell r="B19" t="str">
            <v>Avastin - Adoption Rates</v>
          </cell>
          <cell r="L19" t="str">
            <v>Avastin</v>
          </cell>
          <cell r="M19" t="str">
            <v>10mg</v>
          </cell>
          <cell r="N19" t="str">
            <v>3mg</v>
          </cell>
          <cell r="O19" t="str">
            <v>Placebo</v>
          </cell>
        </row>
        <row r="20">
          <cell r="B20" t="str">
            <v>Colorectal cancer</v>
          </cell>
          <cell r="C20" t="str">
            <v>3Q04</v>
          </cell>
          <cell r="D20" t="str">
            <v>4Q04</v>
          </cell>
          <cell r="E20" t="str">
            <v>1Q05</v>
          </cell>
          <cell r="F20" t="str">
            <v>2Q05</v>
          </cell>
          <cell r="G20" t="str">
            <v>3Q05</v>
          </cell>
          <cell r="H20" t="str">
            <v>3Q05</v>
          </cell>
          <cell r="I20" t="str">
            <v>3Q05</v>
          </cell>
          <cell r="L20" t="str">
            <v>n=</v>
          </cell>
          <cell r="M20">
            <v>39</v>
          </cell>
          <cell r="N20">
            <v>37</v>
          </cell>
          <cell r="O20">
            <v>40</v>
          </cell>
        </row>
        <row r="21">
          <cell r="B21" t="str">
            <v xml:space="preserve">Front-line </v>
          </cell>
          <cell r="C21">
            <v>0.4</v>
          </cell>
          <cell r="D21">
            <v>0.55000000000000004</v>
          </cell>
          <cell r="E21">
            <v>0.61</v>
          </cell>
          <cell r="F21">
            <v>0.64</v>
          </cell>
          <cell r="G21">
            <v>0.67</v>
          </cell>
          <cell r="H21">
            <v>0.67</v>
          </cell>
          <cell r="I21">
            <v>0.67</v>
          </cell>
          <cell r="L21" t="str">
            <v>TTP</v>
          </cell>
          <cell r="M21">
            <v>4.8</v>
          </cell>
          <cell r="N21">
            <v>3</v>
          </cell>
          <cell r="O21">
            <v>2.5</v>
          </cell>
        </row>
        <row r="22">
          <cell r="B22" t="str">
            <v>Refractory</v>
          </cell>
          <cell r="D22">
            <v>0.37</v>
          </cell>
          <cell r="E22">
            <v>0.47</v>
          </cell>
          <cell r="F22">
            <v>0.35</v>
          </cell>
          <cell r="G22">
            <v>0.4</v>
          </cell>
          <cell r="H22">
            <v>0.4</v>
          </cell>
          <cell r="I22">
            <v>0.4</v>
          </cell>
          <cell r="L22" t="str">
            <v>progression free</v>
          </cell>
        </row>
        <row r="23">
          <cell r="L23" t="str">
            <v>4 months</v>
          </cell>
          <cell r="M23">
            <v>0.64</v>
          </cell>
          <cell r="N23">
            <v>0.39</v>
          </cell>
          <cell r="O23">
            <v>0.2</v>
          </cell>
        </row>
        <row r="24">
          <cell r="B24" t="str">
            <v>Avastin - Off label use</v>
          </cell>
          <cell r="L24" t="str">
            <v>8 months</v>
          </cell>
          <cell r="M24">
            <v>0.3</v>
          </cell>
          <cell r="N24">
            <v>0.14000000000000001</v>
          </cell>
          <cell r="O24">
            <v>0.05</v>
          </cell>
        </row>
        <row r="25">
          <cell r="C25" t="str">
            <v>2Q05</v>
          </cell>
          <cell r="D25" t="str">
            <v>3Q05</v>
          </cell>
          <cell r="L25" t="str">
            <v>RR</v>
          </cell>
          <cell r="M25">
            <v>0.1</v>
          </cell>
          <cell r="N25">
            <v>0</v>
          </cell>
          <cell r="O25">
            <v>0</v>
          </cell>
        </row>
        <row r="26">
          <cell r="B26" t="str">
            <v>Avastin sales</v>
          </cell>
          <cell r="C26">
            <v>245</v>
          </cell>
          <cell r="D26">
            <v>325</v>
          </cell>
        </row>
        <row r="27">
          <cell r="B27" t="str">
            <v>% of Avastin sales</v>
          </cell>
          <cell r="C27">
            <v>0.1</v>
          </cell>
          <cell r="D27">
            <v>0.15</v>
          </cell>
        </row>
        <row r="28">
          <cell r="B28" t="str">
            <v>Off-label sales</v>
          </cell>
          <cell r="C28">
            <v>24.5</v>
          </cell>
          <cell r="D28">
            <v>48.75</v>
          </cell>
          <cell r="L28" t="str">
            <v>Ph II pancreatic data</v>
          </cell>
        </row>
        <row r="29">
          <cell r="L29" t="str">
            <v>Pancreatic CA</v>
          </cell>
          <cell r="M29" t="str">
            <v>Gem + 10mg Avastin</v>
          </cell>
        </row>
        <row r="30">
          <cell r="L30" t="str">
            <v>n=</v>
          </cell>
          <cell r="M30">
            <v>52</v>
          </cell>
        </row>
        <row r="31">
          <cell r="B31" t="str">
            <v>Lucentis Phase III results</v>
          </cell>
          <cell r="L31" t="str">
            <v>PFS</v>
          </cell>
          <cell r="M31" t="str">
            <v>5.4 mos</v>
          </cell>
        </row>
        <row r="32">
          <cell r="B32" t="str">
            <v>ANCHOR</v>
          </cell>
          <cell r="C32" t="str">
            <v>0.3 mg</v>
          </cell>
          <cell r="D32" t="str">
            <v>0.5 mg</v>
          </cell>
          <cell r="E32" t="str">
            <v>Visudyne</v>
          </cell>
          <cell r="L32" t="str">
            <v>median survival</v>
          </cell>
          <cell r="M32" t="str">
            <v>8.8 mos</v>
          </cell>
        </row>
        <row r="33">
          <cell r="B33" t="str">
            <v>Maintenance of vision</v>
          </cell>
          <cell r="C33">
            <v>0.94</v>
          </cell>
          <cell r="D33">
            <v>0.96</v>
          </cell>
          <cell r="E33">
            <v>0.64</v>
          </cell>
          <cell r="L33" t="str">
            <v>6-month survival</v>
          </cell>
          <cell r="M33">
            <v>0.77</v>
          </cell>
        </row>
        <row r="34">
          <cell r="B34" t="str">
            <v>Change in visual acuity</v>
          </cell>
          <cell r="C34" t="str">
            <v>improved</v>
          </cell>
          <cell r="D34" t="str">
            <v>improved</v>
          </cell>
          <cell r="E34" t="str">
            <v>declined</v>
          </cell>
        </row>
        <row r="35">
          <cell r="B35" t="str">
            <v>Cererbrovascular events</v>
          </cell>
          <cell r="C35" t="str">
            <v>equal</v>
          </cell>
          <cell r="D35" t="str">
            <v>equal</v>
          </cell>
          <cell r="E35" t="str">
            <v>equal</v>
          </cell>
          <cell r="L35" t="str">
            <v>PR</v>
          </cell>
          <cell r="M35">
            <v>0.21</v>
          </cell>
        </row>
        <row r="36">
          <cell r="B36" t="str">
            <v>Myocardial infarction</v>
          </cell>
          <cell r="C36" t="str">
            <v>-</v>
          </cell>
          <cell r="D36" t="str">
            <v>higher</v>
          </cell>
          <cell r="E36" t="str">
            <v>-</v>
          </cell>
          <cell r="L36" t="str">
            <v>SD</v>
          </cell>
          <cell r="M36">
            <v>0.46</v>
          </cell>
        </row>
        <row r="38">
          <cell r="B38" t="str">
            <v>MARINA</v>
          </cell>
          <cell r="C38" t="str">
            <v>0.3 mg</v>
          </cell>
          <cell r="D38" t="str">
            <v>0.5 mg</v>
          </cell>
          <cell r="E38" t="str">
            <v>Sham</v>
          </cell>
        </row>
        <row r="39">
          <cell r="B39" t="str">
            <v>Maintenance of vision</v>
          </cell>
          <cell r="C39">
            <v>0.95</v>
          </cell>
          <cell r="D39">
            <v>0.95</v>
          </cell>
          <cell r="E39">
            <v>0.62</v>
          </cell>
        </row>
        <row r="40">
          <cell r="B40" t="str">
            <v>Letters gained</v>
          </cell>
          <cell r="C40" t="str">
            <v>+6.5</v>
          </cell>
          <cell r="D40" t="str">
            <v>+7.2</v>
          </cell>
          <cell r="E40" t="str">
            <v>-10.5</v>
          </cell>
        </row>
        <row r="41">
          <cell r="B41" t="str">
            <v>Cererbrovascular events</v>
          </cell>
          <cell r="C41">
            <v>1</v>
          </cell>
          <cell r="D41">
            <v>3</v>
          </cell>
          <cell r="E41">
            <v>1</v>
          </cell>
        </row>
        <row r="42">
          <cell r="B42" t="str">
            <v>Myocardial infarction</v>
          </cell>
          <cell r="C42">
            <v>1</v>
          </cell>
          <cell r="D42">
            <v>1</v>
          </cell>
          <cell r="E42">
            <v>1</v>
          </cell>
        </row>
        <row r="46">
          <cell r="B46" t="str">
            <v>Macugen + Visudyne Phase II data</v>
          </cell>
        </row>
        <row r="48">
          <cell r="C48" t="str">
            <v>Macugen + Visudyne</v>
          </cell>
          <cell r="D48" t="str">
            <v>Lucentis + Visudyne</v>
          </cell>
        </row>
        <row r="49">
          <cell r="B49" t="str">
            <v>Patients</v>
          </cell>
          <cell r="C49" t="str">
            <v>10* (100%)</v>
          </cell>
        </row>
        <row r="50">
          <cell r="B50" t="str">
            <v>Stable vision or better</v>
          </cell>
          <cell r="C50" t="str">
            <v>9 (90%)</v>
          </cell>
        </row>
        <row r="51">
          <cell r="B51" t="str">
            <v>At least 15 letter gain</v>
          </cell>
          <cell r="C51" t="str">
            <v>6 (60%)</v>
          </cell>
        </row>
        <row r="52">
          <cell r="B52" t="str">
            <v>Patients needing further Visudyne therapy after 3 months</v>
          </cell>
          <cell r="C52" t="str">
            <v>4 (40%)</v>
          </cell>
        </row>
        <row r="53">
          <cell r="B53" t="str">
            <v>Note: * 11 patients treated q monthly for 3 months; 10 patients were evaluated</v>
          </cell>
        </row>
      </sheetData>
      <sheetData sheetId="19" refreshError="1"/>
      <sheetData sheetId="20" refreshError="1"/>
      <sheetData sheetId="21" refreshError="1">
        <row r="4">
          <cell r="D4" t="str">
            <v>(For Marketing Pack)</v>
          </cell>
        </row>
        <row r="6">
          <cell r="F6" t="str">
            <v>2005A</v>
          </cell>
          <cell r="H6" t="str">
            <v>2006E</v>
          </cell>
          <cell r="J6" t="str">
            <v>2007E</v>
          </cell>
          <cell r="L6" t="str">
            <v>2008E</v>
          </cell>
        </row>
        <row r="7">
          <cell r="D7" t="str">
            <v>Rituxan</v>
          </cell>
          <cell r="F7">
            <v>1989.431</v>
          </cell>
          <cell r="H7">
            <v>2357</v>
          </cell>
          <cell r="J7">
            <v>2711.0807564833267</v>
          </cell>
          <cell r="L7">
            <v>2933.6966005063991</v>
          </cell>
        </row>
        <row r="8">
          <cell r="D8" t="str">
            <v>Avastin</v>
          </cell>
          <cell r="F8">
            <v>1216.7529999999999</v>
          </cell>
          <cell r="H8">
            <v>1993.36</v>
          </cell>
          <cell r="J8">
            <v>2925.9611602894643</v>
          </cell>
          <cell r="L8">
            <v>3882.0494573955039</v>
          </cell>
        </row>
        <row r="9">
          <cell r="D9" t="str">
            <v>Herceptin</v>
          </cell>
          <cell r="F9">
            <v>763.86799999999994</v>
          </cell>
          <cell r="H9">
            <v>1380</v>
          </cell>
          <cell r="J9">
            <v>1581.6482618585742</v>
          </cell>
          <cell r="L9">
            <v>1676.8953104490511</v>
          </cell>
        </row>
        <row r="10">
          <cell r="D10" t="str">
            <v>Xolair</v>
          </cell>
          <cell r="F10">
            <v>323.79700000000003</v>
          </cell>
          <cell r="H10">
            <v>423</v>
          </cell>
          <cell r="J10">
            <v>496.67639851943272</v>
          </cell>
          <cell r="L10">
            <v>549.18117450569844</v>
          </cell>
        </row>
        <row r="11">
          <cell r="D11" t="str">
            <v>Total Revenues</v>
          </cell>
          <cell r="F11">
            <v>6633.4230000000007</v>
          </cell>
          <cell r="H11">
            <v>9120.36</v>
          </cell>
          <cell r="J11">
            <v>11279.125121683228</v>
          </cell>
          <cell r="L11">
            <v>13104.186311101828</v>
          </cell>
        </row>
        <row r="12">
          <cell r="D12" t="str">
            <v>EPS</v>
          </cell>
          <cell r="F12">
            <v>1.2834315032439099</v>
          </cell>
          <cell r="H12">
            <v>1.9766562870511628</v>
          </cell>
          <cell r="J12">
            <v>2.6131703146035923</v>
          </cell>
          <cell r="L12">
            <v>3.2657035401917991</v>
          </cell>
        </row>
        <row r="13">
          <cell r="D13" t="str">
            <v>Consensus</v>
          </cell>
          <cell r="F13">
            <v>1.28</v>
          </cell>
          <cell r="H13">
            <v>1.81</v>
          </cell>
          <cell r="J13">
            <v>2.4500000000000002</v>
          </cell>
          <cell r="L13">
            <v>3.12</v>
          </cell>
        </row>
      </sheetData>
      <sheetData sheetId="22" refreshError="1"/>
      <sheetData sheetId="23" refreshError="1"/>
      <sheetData sheetId="24" refreshError="1">
        <row r="6">
          <cell r="D6" t="str">
            <v>Biogen Idec Oceanside Plant</v>
          </cell>
          <cell r="E6" t="str">
            <v>Vacaville Expansion</v>
          </cell>
        </row>
        <row r="7">
          <cell r="C7" t="str">
            <v>Current</v>
          </cell>
          <cell r="D7">
            <v>2007</v>
          </cell>
          <cell r="E7">
            <v>2009</v>
          </cell>
          <cell r="F7" t="str">
            <v>Total</v>
          </cell>
        </row>
        <row r="8">
          <cell r="B8" t="str">
            <v>clear</v>
          </cell>
          <cell r="D8">
            <v>280</v>
          </cell>
          <cell r="E8">
            <v>370</v>
          </cell>
          <cell r="F8">
            <v>0</v>
          </cell>
        </row>
        <row r="9">
          <cell r="B9" t="str">
            <v>green</v>
          </cell>
          <cell r="C9">
            <v>280</v>
          </cell>
          <cell r="D9">
            <v>90</v>
          </cell>
          <cell r="E9">
            <v>200</v>
          </cell>
          <cell r="F9">
            <v>570</v>
          </cell>
        </row>
        <row r="12">
          <cell r="I12" t="str">
            <v>Ex-US Exposure</v>
          </cell>
        </row>
        <row r="13">
          <cell r="I13" t="str">
            <v>Sales to Collab.</v>
          </cell>
          <cell r="J13">
            <v>2005</v>
          </cell>
          <cell r="K13" t="str">
            <v>1Q06</v>
          </cell>
        </row>
        <row r="14">
          <cell r="I14" t="str">
            <v>Total</v>
          </cell>
          <cell r="J14">
            <v>326.39999999999998</v>
          </cell>
          <cell r="K14">
            <v>75</v>
          </cell>
        </row>
        <row r="15">
          <cell r="I15" t="str">
            <v>Avastin</v>
          </cell>
          <cell r="J15">
            <v>84.031999999999996</v>
          </cell>
          <cell r="K15">
            <v>18</v>
          </cell>
        </row>
        <row r="16">
          <cell r="I16" t="str">
            <v>Herceptin</v>
          </cell>
          <cell r="J16">
            <v>16.621000000000002</v>
          </cell>
          <cell r="K16">
            <v>5</v>
          </cell>
        </row>
        <row r="17">
          <cell r="I17" t="str">
            <v>Rituxan</v>
          </cell>
          <cell r="J17">
            <v>157.9</v>
          </cell>
          <cell r="K17">
            <v>32</v>
          </cell>
        </row>
        <row r="18">
          <cell r="I18" t="str">
            <v>Nutropin</v>
          </cell>
          <cell r="J18">
            <v>4.8</v>
          </cell>
          <cell r="K18">
            <v>1</v>
          </cell>
        </row>
        <row r="19">
          <cell r="I19" t="str">
            <v>Pulmozyme</v>
          </cell>
          <cell r="J19">
            <v>35.4</v>
          </cell>
          <cell r="K19">
            <v>13</v>
          </cell>
        </row>
        <row r="20">
          <cell r="I20" t="str">
            <v>Raptiva</v>
          </cell>
          <cell r="J20">
            <v>14.9</v>
          </cell>
          <cell r="K20">
            <v>2</v>
          </cell>
        </row>
        <row r="21">
          <cell r="I21" t="str">
            <v>Thrombolytics</v>
          </cell>
          <cell r="J21">
            <v>8.3000000000000007</v>
          </cell>
          <cell r="K21">
            <v>3</v>
          </cell>
        </row>
        <row r="22">
          <cell r="I22" t="str">
            <v>Xolair</v>
          </cell>
          <cell r="J22">
            <v>7</v>
          </cell>
          <cell r="K22">
            <v>1</v>
          </cell>
        </row>
        <row r="23">
          <cell r="I23" t="str">
            <v>Other</v>
          </cell>
          <cell r="J23">
            <v>27</v>
          </cell>
          <cell r="K23">
            <v>0</v>
          </cell>
        </row>
        <row r="24">
          <cell r="I24" t="str">
            <v>Royalties</v>
          </cell>
        </row>
        <row r="25">
          <cell r="I25" t="str">
            <v>% Roche</v>
          </cell>
          <cell r="J25">
            <v>0.53</v>
          </cell>
          <cell r="K25">
            <v>0.57999999999999996</v>
          </cell>
        </row>
        <row r="26">
          <cell r="I26" t="str">
            <v>ex-US Royalties</v>
          </cell>
          <cell r="J26">
            <v>495.60140999999999</v>
          </cell>
          <cell r="K26">
            <v>165.88</v>
          </cell>
        </row>
        <row r="27">
          <cell r="I27" t="str">
            <v>Total</v>
          </cell>
          <cell r="J27">
            <v>822.00140999999996</v>
          </cell>
          <cell r="K27">
            <v>240.88</v>
          </cell>
        </row>
        <row r="28">
          <cell r="I28" t="str">
            <v>Total Rev</v>
          </cell>
          <cell r="J28">
            <v>6633.4230000000007</v>
          </cell>
          <cell r="K28">
            <v>1986</v>
          </cell>
        </row>
        <row r="29">
          <cell r="I29" t="str">
            <v>% ex-US</v>
          </cell>
          <cell r="J29">
            <v>0.12391813547847015</v>
          </cell>
          <cell r="K29">
            <v>0.12128902316213494</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wareTaxoPres"/>
      <sheetName val="LOG"/>
      <sheetName val="Changes to Model"/>
      <sheetName val="MS Est. Vs Actual"/>
      <sheetName val="Quarterly"/>
      <sheetName val="mwareValPrintout"/>
      <sheetName val="Annual"/>
      <sheetName val="Balance Sheet "/>
      <sheetName val="Model_Template"/>
      <sheetName val="Cashflow"/>
      <sheetName val="DCF Valuation"/>
      <sheetName val="US RA Model"/>
      <sheetName val="US Epo Model"/>
      <sheetName val="Int'l Epo Model"/>
      <sheetName val="ProcritAranesp"/>
      <sheetName val="__FDSCACHE__"/>
      <sheetName val="CSFs"/>
      <sheetName val="ESO"/>
      <sheetName val="Figures"/>
      <sheetName val="Marketing"/>
      <sheetName val="mwareDates"/>
      <sheetName val="NY UPLOAD shadow"/>
      <sheetName val="mwareSettings"/>
      <sheetName val="mStartup"/>
      <sheetName val="MainCode"/>
    </sheetNames>
    <sheetDataSet>
      <sheetData sheetId="0" refreshError="1"/>
      <sheetData sheetId="1" refreshError="1"/>
      <sheetData sheetId="2" refreshError="1">
        <row r="2">
          <cell r="B2" t="str">
            <v>Changes To Model</v>
          </cell>
        </row>
        <row r="3">
          <cell r="C3">
            <v>2003</v>
          </cell>
          <cell r="E3">
            <v>2004</v>
          </cell>
          <cell r="G3">
            <v>2005</v>
          </cell>
          <cell r="I3">
            <v>2006</v>
          </cell>
          <cell r="K3">
            <v>2007</v>
          </cell>
          <cell r="M3">
            <v>2008</v>
          </cell>
          <cell r="O3" t="str">
            <v>Comments</v>
          </cell>
        </row>
        <row r="4">
          <cell r="B4" t="str">
            <v>Aranesp</v>
          </cell>
          <cell r="O4" t="str">
            <v>Modestly decreasing estimates in outer years due to slowing EU growth (FOBs are likely to mute growth further)</v>
          </cell>
        </row>
        <row r="5">
          <cell r="B5" t="str">
            <v xml:space="preserve">   Current</v>
          </cell>
          <cell r="E5">
            <v>2472.9</v>
          </cell>
          <cell r="G5">
            <v>3273</v>
          </cell>
          <cell r="I5">
            <v>3913</v>
          </cell>
          <cell r="K5">
            <v>4350</v>
          </cell>
          <cell r="M5">
            <v>4725</v>
          </cell>
        </row>
        <row r="6">
          <cell r="B6" t="str">
            <v xml:space="preserve">   Prior</v>
          </cell>
          <cell r="E6">
            <v>2472.9</v>
          </cell>
          <cell r="G6">
            <v>3273</v>
          </cell>
          <cell r="I6">
            <v>3950</v>
          </cell>
          <cell r="K6">
            <v>4525</v>
          </cell>
          <cell r="M6">
            <v>4915</v>
          </cell>
        </row>
        <row r="7">
          <cell r="B7" t="str">
            <v>Epogen</v>
          </cell>
          <cell r="O7" t="str">
            <v>Company expects product to stabilize in mid 2006</v>
          </cell>
        </row>
        <row r="8">
          <cell r="B8" t="str">
            <v xml:space="preserve">   Current</v>
          </cell>
          <cell r="E8">
            <v>2600.6</v>
          </cell>
          <cell r="G8">
            <v>2455</v>
          </cell>
          <cell r="I8">
            <v>2514</v>
          </cell>
          <cell r="K8">
            <v>2572.1174973954289</v>
          </cell>
          <cell r="M8">
            <v>2632.2299063233218</v>
          </cell>
        </row>
        <row r="9">
          <cell r="B9" t="str">
            <v xml:space="preserve">   Prior</v>
          </cell>
          <cell r="E9">
            <v>2600.6</v>
          </cell>
          <cell r="G9">
            <v>2455</v>
          </cell>
          <cell r="I9">
            <v>2520</v>
          </cell>
          <cell r="K9">
            <v>2626.2090016806937</v>
          </cell>
          <cell r="M9">
            <v>2700.9100577285003</v>
          </cell>
        </row>
        <row r="10">
          <cell r="B10" t="str">
            <v>Neulasta</v>
          </cell>
        </row>
        <row r="11">
          <cell r="B11" t="str">
            <v xml:space="preserve">   Current</v>
          </cell>
          <cell r="E11">
            <v>1739.6</v>
          </cell>
          <cell r="G11">
            <v>2288</v>
          </cell>
          <cell r="I11">
            <v>2603</v>
          </cell>
          <cell r="K11">
            <v>2889.3300000000004</v>
          </cell>
          <cell r="M11">
            <v>3149.3697000000006</v>
          </cell>
        </row>
        <row r="12">
          <cell r="B12" t="str">
            <v xml:space="preserve">   Prior</v>
          </cell>
          <cell r="E12">
            <v>1739.6</v>
          </cell>
          <cell r="G12">
            <v>2288</v>
          </cell>
          <cell r="I12">
            <v>2675</v>
          </cell>
          <cell r="K12">
            <v>3022.75</v>
          </cell>
          <cell r="M12">
            <v>3234.3424999999997</v>
          </cell>
        </row>
        <row r="13">
          <cell r="B13" t="str">
            <v>Neupogen</v>
          </cell>
        </row>
        <row r="14">
          <cell r="B14" t="str">
            <v xml:space="preserve">   Current</v>
          </cell>
          <cell r="E14">
            <v>1175.1999999999998</v>
          </cell>
          <cell r="G14">
            <v>1216</v>
          </cell>
          <cell r="I14">
            <v>1188</v>
          </cell>
          <cell r="K14">
            <v>1188</v>
          </cell>
          <cell r="M14">
            <v>1188</v>
          </cell>
        </row>
        <row r="15">
          <cell r="B15" t="str">
            <v xml:space="preserve">   Prior</v>
          </cell>
          <cell r="E15">
            <v>1175.2</v>
          </cell>
          <cell r="G15">
            <v>1216</v>
          </cell>
          <cell r="I15">
            <v>1240</v>
          </cell>
          <cell r="K15">
            <v>1240</v>
          </cell>
          <cell r="M15">
            <v>1240</v>
          </cell>
        </row>
        <row r="16">
          <cell r="B16" t="str">
            <v>Enbrel</v>
          </cell>
          <cell r="O16" t="str">
            <v xml:space="preserve">Weak trends of past several quarters continue into 2006.  lowering forward estimates as Humira compeition grows in derm and multiple new entrants begin to crowd rheumatology. </v>
          </cell>
        </row>
        <row r="17">
          <cell r="B17" t="str">
            <v xml:space="preserve">   Current</v>
          </cell>
          <cell r="E17">
            <v>1900.3</v>
          </cell>
          <cell r="G17">
            <v>2573</v>
          </cell>
          <cell r="I17">
            <v>2793</v>
          </cell>
          <cell r="K17">
            <v>3016.8307284116399</v>
          </cell>
          <cell r="M17">
            <v>3233.3473223083402</v>
          </cell>
        </row>
        <row r="18">
          <cell r="B18" t="str">
            <v xml:space="preserve">   Prior</v>
          </cell>
          <cell r="E18">
            <v>1900.3</v>
          </cell>
          <cell r="G18">
            <v>2573</v>
          </cell>
          <cell r="I18">
            <v>3020</v>
          </cell>
          <cell r="K18">
            <v>3292.3139849108829</v>
          </cell>
          <cell r="M18">
            <v>3541.0791290486823</v>
          </cell>
        </row>
        <row r="19">
          <cell r="B19" t="str">
            <v>Panitumumab</v>
          </cell>
        </row>
        <row r="20">
          <cell r="B20" t="str">
            <v xml:space="preserve">   Current</v>
          </cell>
          <cell r="E20">
            <v>0</v>
          </cell>
          <cell r="G20">
            <v>0</v>
          </cell>
          <cell r="I20">
            <v>35</v>
          </cell>
          <cell r="K20">
            <v>225</v>
          </cell>
          <cell r="M20">
            <v>475</v>
          </cell>
        </row>
        <row r="21">
          <cell r="B21" t="str">
            <v xml:space="preserve">   Prior</v>
          </cell>
          <cell r="E21">
            <v>0</v>
          </cell>
          <cell r="G21">
            <v>0</v>
          </cell>
          <cell r="I21">
            <v>40</v>
          </cell>
          <cell r="K21">
            <v>260</v>
          </cell>
          <cell r="M21">
            <v>500</v>
          </cell>
        </row>
        <row r="22">
          <cell r="B22" t="str">
            <v>Total Revenues ($MM)</v>
          </cell>
          <cell r="O22" t="str">
            <v>2006 guidance: $13.9B-$14.4B</v>
          </cell>
        </row>
        <row r="23">
          <cell r="B23" t="str">
            <v xml:space="preserve">   Current</v>
          </cell>
          <cell r="C23">
            <v>8356</v>
          </cell>
          <cell r="E23">
            <v>10549.9</v>
          </cell>
          <cell r="G23">
            <v>12430</v>
          </cell>
          <cell r="I23">
            <v>13779</v>
          </cell>
          <cell r="K23">
            <v>15089.778225807069</v>
          </cell>
          <cell r="M23">
            <v>16371.308428631663</v>
          </cell>
        </row>
        <row r="24">
          <cell r="B24" t="str">
            <v xml:space="preserve">   Prior</v>
          </cell>
          <cell r="C24">
            <v>8356</v>
          </cell>
          <cell r="E24">
            <v>10549.9</v>
          </cell>
          <cell r="G24">
            <v>12430</v>
          </cell>
          <cell r="I24">
            <v>14220</v>
          </cell>
          <cell r="K24">
            <v>15846.422986591579</v>
          </cell>
          <cell r="M24">
            <v>17265.642986777184</v>
          </cell>
        </row>
        <row r="25">
          <cell r="B25" t="str">
            <v>SG&amp;A ($MM)</v>
          </cell>
          <cell r="O25" t="str">
            <v>2006 Guidance: ~10% growth</v>
          </cell>
        </row>
        <row r="26">
          <cell r="B26" t="str">
            <v xml:space="preserve">   Current</v>
          </cell>
          <cell r="C26">
            <v>1952.6</v>
          </cell>
          <cell r="E26">
            <v>2556</v>
          </cell>
          <cell r="G26">
            <v>2792</v>
          </cell>
          <cell r="I26">
            <v>3027.1130000000003</v>
          </cell>
          <cell r="K26">
            <v>3266.9369858872305</v>
          </cell>
          <cell r="M26">
            <v>3544.388274798755</v>
          </cell>
        </row>
        <row r="27">
          <cell r="B27" t="str">
            <v xml:space="preserve">   Prior</v>
          </cell>
          <cell r="C27">
            <v>1952.6</v>
          </cell>
          <cell r="E27">
            <v>2556</v>
          </cell>
          <cell r="G27">
            <v>2792</v>
          </cell>
          <cell r="I27">
            <v>3075.85</v>
          </cell>
          <cell r="K27">
            <v>3422.8273651037807</v>
          </cell>
          <cell r="M27">
            <v>4100.5902093595814</v>
          </cell>
        </row>
        <row r="28">
          <cell r="B28" t="str">
            <v>R&amp;D ($MM)</v>
          </cell>
          <cell r="O28" t="str">
            <v xml:space="preserve">2006 Guidance: 30-40% YoY growth.  </v>
          </cell>
        </row>
        <row r="29">
          <cell r="B29" t="str">
            <v xml:space="preserve">   Current</v>
          </cell>
          <cell r="C29">
            <v>1655.4</v>
          </cell>
          <cell r="E29">
            <v>2028</v>
          </cell>
          <cell r="G29">
            <v>2302</v>
          </cell>
          <cell r="I29">
            <v>3009</v>
          </cell>
          <cell r="K29">
            <v>3327.2960987904589</v>
          </cell>
          <cell r="M29">
            <v>3601.6878542989657</v>
          </cell>
        </row>
        <row r="30">
          <cell r="B30" t="str">
            <v xml:space="preserve">   Prior</v>
          </cell>
          <cell r="C30">
            <v>1655.4</v>
          </cell>
          <cell r="E30">
            <v>2028</v>
          </cell>
          <cell r="G30">
            <v>2302</v>
          </cell>
          <cell r="I30">
            <v>3085</v>
          </cell>
          <cell r="K30">
            <v>3406.9809421171894</v>
          </cell>
          <cell r="M30">
            <v>3712.1132421570946</v>
          </cell>
        </row>
        <row r="31">
          <cell r="B31" t="str">
            <v>Interest, Other Income</v>
          </cell>
        </row>
        <row r="32">
          <cell r="B32" t="str">
            <v xml:space="preserve">   Current</v>
          </cell>
          <cell r="C32">
            <v>113.4</v>
          </cell>
          <cell r="D32">
            <v>-0.21359223300970864</v>
          </cell>
          <cell r="E32">
            <v>99.7</v>
          </cell>
          <cell r="F32">
            <v>0</v>
          </cell>
          <cell r="G32">
            <v>157</v>
          </cell>
          <cell r="H32">
            <v>0</v>
          </cell>
          <cell r="I32">
            <v>329</v>
          </cell>
          <cell r="J32">
            <v>0</v>
          </cell>
          <cell r="K32">
            <v>210.7171588806757</v>
          </cell>
          <cell r="L32">
            <v>0</v>
          </cell>
          <cell r="M32">
            <v>265.32581027251831</v>
          </cell>
        </row>
        <row r="33">
          <cell r="B33" t="str">
            <v xml:space="preserve">   Prior</v>
          </cell>
          <cell r="C33">
            <v>113.4</v>
          </cell>
          <cell r="E33">
            <v>99.7</v>
          </cell>
          <cell r="F33">
            <v>0</v>
          </cell>
          <cell r="G33">
            <v>157</v>
          </cell>
          <cell r="H33">
            <v>0</v>
          </cell>
          <cell r="I33">
            <v>150</v>
          </cell>
          <cell r="J33">
            <v>0</v>
          </cell>
          <cell r="K33">
            <v>315.22233834199102</v>
          </cell>
          <cell r="L33">
            <v>0</v>
          </cell>
          <cell r="M33">
            <v>365.3511463110907</v>
          </cell>
        </row>
        <row r="34">
          <cell r="B34" t="str">
            <v xml:space="preserve">Net Income ($MM) </v>
          </cell>
        </row>
        <row r="35">
          <cell r="B35" t="str">
            <v xml:space="preserve">   Current</v>
          </cell>
          <cell r="C35">
            <v>2595.2999999999993</v>
          </cell>
          <cell r="E35">
            <v>3106.7999999999993</v>
          </cell>
          <cell r="G35">
            <v>4023</v>
          </cell>
          <cell r="I35">
            <v>4335.4931825000003</v>
          </cell>
          <cell r="K35">
            <v>4671.2119694975627</v>
          </cell>
          <cell r="M35">
            <v>5157.5244034755797</v>
          </cell>
        </row>
        <row r="36">
          <cell r="B36" t="str">
            <v xml:space="preserve">   Prior</v>
          </cell>
          <cell r="C36">
            <v>2595.2999999999993</v>
          </cell>
          <cell r="E36">
            <v>3106.8</v>
          </cell>
          <cell r="G36">
            <v>4023</v>
          </cell>
          <cell r="I36">
            <v>4374.7203599999993</v>
          </cell>
          <cell r="K36">
            <v>5087.6113248185175</v>
          </cell>
          <cell r="M36">
            <v>5324.9044680685165</v>
          </cell>
        </row>
        <row r="37">
          <cell r="B37" t="str">
            <v>EPS, diluted</v>
          </cell>
          <cell r="O37" t="str">
            <v>2006 guidance: $3.60-$3.70;  Our number increases as we include the accretive effects of recent convertible debt deal (and corresponding increase in the share buyback program)</v>
          </cell>
        </row>
        <row r="38">
          <cell r="B38" t="str">
            <v xml:space="preserve">   Current</v>
          </cell>
          <cell r="C38">
            <v>1.9281575037147096</v>
          </cell>
          <cell r="D38">
            <v>0.26723815197704903</v>
          </cell>
          <cell r="E38">
            <v>2.36950115525927</v>
          </cell>
          <cell r="F38">
            <v>0.22889398334642563</v>
          </cell>
          <cell r="G38">
            <v>3.2027027027027026</v>
          </cell>
          <cell r="H38">
            <v>0.35163584773701628</v>
          </cell>
          <cell r="I38">
            <v>3.6698689952539394</v>
          </cell>
          <cell r="J38">
            <v>0.14586626856030183</v>
          </cell>
          <cell r="K38">
            <v>4.1013211403748855</v>
          </cell>
          <cell r="L38">
            <v>0.11756608905629107</v>
          </cell>
          <cell r="M38">
            <v>4.6347096976234399</v>
          </cell>
        </row>
        <row r="39">
          <cell r="B39" t="str">
            <v xml:space="preserve">   Prior</v>
          </cell>
          <cell r="C39">
            <v>1.93</v>
          </cell>
          <cell r="E39">
            <v>2.36950115525927</v>
          </cell>
          <cell r="F39">
            <v>0.22889398334642563</v>
          </cell>
          <cell r="G39">
            <v>3.2027027027027026</v>
          </cell>
          <cell r="H39">
            <v>0.35163584773701628</v>
          </cell>
          <cell r="I39">
            <v>3.5527748531150061</v>
          </cell>
          <cell r="J39">
            <v>0.10930522839877832</v>
          </cell>
          <cell r="K39">
            <v>4.2311682835580111</v>
          </cell>
          <cell r="L39">
            <v>0.19094748710242704</v>
          </cell>
          <cell r="M39">
            <v>4.52644990794027</v>
          </cell>
        </row>
        <row r="40">
          <cell r="B40" t="str">
            <v>EPS, diluted (incl options expense)</v>
          </cell>
        </row>
        <row r="41">
          <cell r="B41" t="str">
            <v xml:space="preserve">   Current</v>
          </cell>
          <cell r="C41">
            <v>1288.4000000000001</v>
          </cell>
          <cell r="D41">
            <v>0.11694841785869103</v>
          </cell>
          <cell r="E41">
            <v>1270.6500000000001</v>
          </cell>
          <cell r="F41">
            <v>-1.3776777398323503E-2</v>
          </cell>
          <cell r="H41">
            <v>0</v>
          </cell>
          <cell r="I41">
            <v>3.4469575326902331</v>
          </cell>
          <cell r="J41">
            <v>0</v>
          </cell>
          <cell r="K41">
            <v>3.8627394026015285</v>
          </cell>
          <cell r="L41">
            <v>0</v>
          </cell>
          <cell r="M41">
            <v>4.3704543642262941</v>
          </cell>
        </row>
        <row r="42">
          <cell r="B42" t="str">
            <v xml:space="preserve">   Prior</v>
          </cell>
          <cell r="C42">
            <v>1.93</v>
          </cell>
          <cell r="E42">
            <v>2.36950115525927</v>
          </cell>
          <cell r="F42">
            <v>0.22889398334642563</v>
          </cell>
          <cell r="H42">
            <v>0</v>
          </cell>
          <cell r="I42">
            <v>3.445528989912801</v>
          </cell>
          <cell r="J42">
            <v>0</v>
          </cell>
          <cell r="K42">
            <v>4.0830286251359063</v>
          </cell>
          <cell r="L42">
            <v>0</v>
          </cell>
          <cell r="M42">
            <v>4.3555918887894087</v>
          </cell>
        </row>
        <row r="43">
          <cell r="B43" t="str">
            <v>Basic Shares Outstanding</v>
          </cell>
        </row>
        <row r="44">
          <cell r="B44" t="str">
            <v xml:space="preserve">   Current</v>
          </cell>
          <cell r="C44">
            <v>1288.4000000000001</v>
          </cell>
          <cell r="D44">
            <v>0.11694841785869103</v>
          </cell>
          <cell r="E44">
            <v>1270.6500000000001</v>
          </cell>
          <cell r="F44">
            <v>-1.3776777398323503E-2</v>
          </cell>
          <cell r="G44">
            <v>1236</v>
          </cell>
          <cell r="H44">
            <v>-2.726950773226311E-2</v>
          </cell>
          <cell r="I44">
            <v>1161.7770232500002</v>
          </cell>
          <cell r="J44">
            <v>-6.0050952063106622E-2</v>
          </cell>
          <cell r="K44">
            <v>1120.8980000000001</v>
          </cell>
          <cell r="L44">
            <v>-3.5186634295489405E-2</v>
          </cell>
          <cell r="M44">
            <v>1095.4242875</v>
          </cell>
        </row>
        <row r="45">
          <cell r="B45" t="str">
            <v xml:space="preserve">   Prior</v>
          </cell>
          <cell r="C45">
            <v>1288.4000000000001</v>
          </cell>
          <cell r="D45">
            <v>1288.8</v>
          </cell>
          <cell r="E45">
            <v>1270.6500000000001</v>
          </cell>
          <cell r="F45">
            <v>-1.3776777398323503E-2</v>
          </cell>
          <cell r="G45">
            <v>1236</v>
          </cell>
          <cell r="H45">
            <v>-2.726950773226311E-2</v>
          </cell>
          <cell r="I45">
            <v>1210.68759275</v>
          </cell>
          <cell r="J45">
            <v>-2.0479293891585759E-2</v>
          </cell>
          <cell r="K45">
            <v>1186.1795999999999</v>
          </cell>
          <cell r="L45">
            <v>-2.0243036186016972E-2</v>
          </cell>
          <cell r="M45">
            <v>1161.278558</v>
          </cell>
        </row>
        <row r="46">
          <cell r="B46" t="str">
            <v>Diluted Shares Outstanding</v>
          </cell>
        </row>
        <row r="47">
          <cell r="B47" t="str">
            <v xml:space="preserve">   Current</v>
          </cell>
          <cell r="C47">
            <v>1346</v>
          </cell>
          <cell r="D47">
            <v>0.16688339835283927</v>
          </cell>
          <cell r="E47">
            <v>1320.05</v>
          </cell>
          <cell r="F47">
            <v>-1.9279346210995585E-2</v>
          </cell>
          <cell r="G47">
            <v>1258</v>
          </cell>
          <cell r="H47">
            <v>-4.7005795235028902E-2</v>
          </cell>
          <cell r="I47">
            <v>1173.37546275</v>
          </cell>
          <cell r="J47">
            <v>-6.726910751192372E-2</v>
          </cell>
          <cell r="K47">
            <v>1139.9282839554037</v>
          </cell>
          <cell r="L47">
            <v>-2.8505094793960795E-2</v>
          </cell>
          <cell r="M47">
            <v>1113.6672499945955</v>
          </cell>
        </row>
        <row r="48">
          <cell r="B48" t="str">
            <v xml:space="preserve">   Prior</v>
          </cell>
          <cell r="C48">
            <v>1346</v>
          </cell>
          <cell r="D48">
            <v>1321.4</v>
          </cell>
          <cell r="E48">
            <v>1320.05</v>
          </cell>
          <cell r="F48">
            <v>-1.9279346210995585E-2</v>
          </cell>
          <cell r="G48">
            <v>1258</v>
          </cell>
          <cell r="H48">
            <v>-4.7005795235028902E-2</v>
          </cell>
          <cell r="I48">
            <v>1224.4789892499998</v>
          </cell>
          <cell r="J48">
            <v>-2.6646272456279929E-2</v>
          </cell>
          <cell r="K48">
            <v>1203.3582650456426</v>
          </cell>
          <cell r="L48">
            <v>-1.724874366141127E-2</v>
          </cell>
          <cell r="M48">
            <v>1177.2812195978543</v>
          </cell>
        </row>
        <row r="49">
          <cell r="B49" t="str">
            <v>Cash Flow (Burn)</v>
          </cell>
          <cell r="O49" t="str">
            <v>Expect major future use of cash to remain share buybacks.</v>
          </cell>
        </row>
        <row r="50">
          <cell r="B50" t="str">
            <v xml:space="preserve">   Current</v>
          </cell>
          <cell r="C50">
            <v>2209.7999999999993</v>
          </cell>
          <cell r="E50">
            <v>2361</v>
          </cell>
          <cell r="G50">
            <v>4044</v>
          </cell>
          <cell r="I50">
            <v>1546.8396302380957</v>
          </cell>
          <cell r="K50">
            <v>3846.2174306950965</v>
          </cell>
          <cell r="M50">
            <v>4301.980800635979</v>
          </cell>
        </row>
        <row r="51">
          <cell r="B51" t="str">
            <v xml:space="preserve">   Prior</v>
          </cell>
          <cell r="C51">
            <v>2209.8000000000002</v>
          </cell>
          <cell r="E51">
            <v>2361</v>
          </cell>
          <cell r="G51">
            <v>4044</v>
          </cell>
          <cell r="I51">
            <v>1991.8408502380951</v>
          </cell>
          <cell r="K51">
            <v>4169.2864625840475</v>
          </cell>
          <cell r="M51">
            <v>4542.0155215014902</v>
          </cell>
        </row>
      </sheetData>
      <sheetData sheetId="3" refreshError="1">
        <row r="2">
          <cell r="B2" t="str">
            <v>Earnings Snapshot</v>
          </cell>
        </row>
        <row r="3">
          <cell r="C3" t="str">
            <v>1Q05</v>
          </cell>
          <cell r="D3" t="str">
            <v>1Q06</v>
          </cell>
          <cell r="E3" t="str">
            <v>1Q06</v>
          </cell>
          <cell r="F3" t="str">
            <v>% var.</v>
          </cell>
          <cell r="G3" t="str">
            <v>Y/Y</v>
          </cell>
        </row>
        <row r="4">
          <cell r="C4" t="str">
            <v>Actual</v>
          </cell>
          <cell r="D4" t="str">
            <v>MS Est</v>
          </cell>
          <cell r="E4" t="str">
            <v>Actual</v>
          </cell>
          <cell r="F4" t="str">
            <v>from est.</v>
          </cell>
          <cell r="G4" t="str">
            <v>% chg.</v>
          </cell>
          <cell r="H4" t="str">
            <v>Comments</v>
          </cell>
        </row>
        <row r="5">
          <cell r="B5" t="str">
            <v>Revenues:</v>
          </cell>
        </row>
        <row r="6">
          <cell r="B6" t="str">
            <v>Epogen</v>
          </cell>
          <cell r="C6">
            <v>583</v>
          </cell>
          <cell r="D6">
            <v>610</v>
          </cell>
          <cell r="E6">
            <v>604</v>
          </cell>
          <cell r="F6">
            <v>-9.8360655737704805E-3</v>
          </cell>
          <cell r="G6">
            <v>3.6020583190394584E-2</v>
          </cell>
        </row>
        <row r="7">
          <cell r="B7" t="str">
            <v xml:space="preserve">Aranesp - US </v>
          </cell>
          <cell r="C7">
            <v>447</v>
          </cell>
          <cell r="D7">
            <v>615</v>
          </cell>
          <cell r="E7">
            <v>596</v>
          </cell>
          <cell r="F7">
            <v>-3.0894308943089421E-2</v>
          </cell>
          <cell r="G7">
            <v>0.33333333333333326</v>
          </cell>
          <cell r="H7" t="str">
            <v xml:space="preserve">Consistent with weak IMS trends for 1Q, as physician inventory drawdowns likely weighed on early quarter results.  Wholesale inventories ended 1Q modestly below trend. </v>
          </cell>
        </row>
        <row r="8">
          <cell r="B8" t="str">
            <v>Aranesp - ex US</v>
          </cell>
          <cell r="C8">
            <v>276</v>
          </cell>
          <cell r="D8">
            <v>310</v>
          </cell>
          <cell r="E8">
            <v>297</v>
          </cell>
          <cell r="F8">
            <v>-4.1935483870967794E-2</v>
          </cell>
          <cell r="G8">
            <v>7.6086956521739024E-2</v>
          </cell>
        </row>
        <row r="9">
          <cell r="B9" t="str">
            <v>Neupogen -WW</v>
          </cell>
          <cell r="C9">
            <v>294</v>
          </cell>
          <cell r="D9">
            <v>310</v>
          </cell>
          <cell r="E9">
            <v>288</v>
          </cell>
          <cell r="F9">
            <v>-7.096774193548383E-2</v>
          </cell>
          <cell r="G9">
            <v>-2.0408163265306145E-2</v>
          </cell>
        </row>
        <row r="10">
          <cell r="B10" t="str">
            <v>Neulasta - WW</v>
          </cell>
          <cell r="C10">
            <v>501</v>
          </cell>
          <cell r="D10">
            <v>640</v>
          </cell>
          <cell r="E10">
            <v>608</v>
          </cell>
          <cell r="F10">
            <v>-5.0000000000000044E-2</v>
          </cell>
          <cell r="G10">
            <v>0.21357285429141726</v>
          </cell>
          <cell r="H10" t="str">
            <v xml:space="preserve">Consistent with weak IMS trends for 1Q, as physician inventory drawdowns likely weighed on early quarter results.  Wholesale inventories ended 1Q modestly below trend. </v>
          </cell>
        </row>
        <row r="11">
          <cell r="B11" t="str">
            <v>Enbrel</v>
          </cell>
          <cell r="C11">
            <v>592</v>
          </cell>
          <cell r="D11">
            <v>710</v>
          </cell>
          <cell r="E11">
            <v>658</v>
          </cell>
          <cell r="F11">
            <v>-7.3239436619718323E-2</v>
          </cell>
          <cell r="G11">
            <v>0.1114864864864864</v>
          </cell>
          <cell r="H11" t="str">
            <v>Weakness due to competitive pressures in anti-TNF market with slowing market growth and meaningful share loss</v>
          </cell>
        </row>
        <row r="12">
          <cell r="B12" t="str">
            <v>Sensipar</v>
          </cell>
          <cell r="C12">
            <v>25</v>
          </cell>
          <cell r="D12">
            <v>56</v>
          </cell>
          <cell r="E12">
            <v>61</v>
          </cell>
          <cell r="F12">
            <v>8.9285714285714191E-2</v>
          </cell>
        </row>
        <row r="13">
          <cell r="B13" t="str">
            <v>Other Revenue</v>
          </cell>
          <cell r="C13">
            <v>111</v>
          </cell>
          <cell r="D13">
            <v>110</v>
          </cell>
          <cell r="E13">
            <v>92</v>
          </cell>
          <cell r="F13">
            <v>-0.16363636363636369</v>
          </cell>
          <cell r="G13">
            <v>-0.1711711711711712</v>
          </cell>
        </row>
        <row r="14">
          <cell r="B14" t="str">
            <v>Total Revenues</v>
          </cell>
          <cell r="C14">
            <v>2833</v>
          </cell>
          <cell r="D14">
            <v>3376</v>
          </cell>
          <cell r="E14">
            <v>3217</v>
          </cell>
          <cell r="F14">
            <v>-4.7097156398104301E-2</v>
          </cell>
          <cell r="G14">
            <v>0.13554535827744441</v>
          </cell>
        </row>
        <row r="15">
          <cell r="B15" t="str">
            <v>Operating Expenses:</v>
          </cell>
        </row>
        <row r="16">
          <cell r="B16" t="str">
            <v xml:space="preserve">   Cost of Product Revenue</v>
          </cell>
          <cell r="C16">
            <v>489</v>
          </cell>
          <cell r="D16">
            <v>559.34100000000001</v>
          </cell>
          <cell r="E16">
            <v>552</v>
          </cell>
          <cell r="F16">
            <v>-1.312437314625603E-2</v>
          </cell>
          <cell r="G16">
            <v>0.12883435582822078</v>
          </cell>
        </row>
        <row r="17">
          <cell r="B17" t="str">
            <v xml:space="preserve">   R&amp;D</v>
          </cell>
          <cell r="C17">
            <v>521</v>
          </cell>
          <cell r="D17">
            <v>675</v>
          </cell>
          <cell r="E17">
            <v>624</v>
          </cell>
          <cell r="F17">
            <v>-7.5555555555555598E-2</v>
          </cell>
          <cell r="G17">
            <v>0.19769673704414581</v>
          </cell>
          <cell r="H17" t="str">
            <v>R&amp;D expected to ramp significantly over rest of year</v>
          </cell>
        </row>
        <row r="18">
          <cell r="B18" t="str">
            <v xml:space="preserve">   SG&amp;A</v>
          </cell>
          <cell r="C18">
            <v>577</v>
          </cell>
          <cell r="D18">
            <v>666.76</v>
          </cell>
          <cell r="E18">
            <v>652</v>
          </cell>
          <cell r="F18">
            <v>-2.21369008338832E-2</v>
          </cell>
          <cell r="G18">
            <v>0.12998266897746968</v>
          </cell>
        </row>
        <row r="19">
          <cell r="B19" t="str">
            <v>Total Operating Expenses</v>
          </cell>
          <cell r="C19">
            <v>1587</v>
          </cell>
          <cell r="D19">
            <v>1901.1009999999999</v>
          </cell>
          <cell r="E19">
            <v>1828</v>
          </cell>
          <cell r="F19">
            <v>-3.8451928645558464E-2</v>
          </cell>
          <cell r="G19">
            <v>0.15185885318210457</v>
          </cell>
        </row>
        <row r="20">
          <cell r="B20" t="str">
            <v>Operating Income (Loss)</v>
          </cell>
          <cell r="C20">
            <v>1246</v>
          </cell>
          <cell r="D20">
            <v>1474.8990000000001</v>
          </cell>
          <cell r="E20">
            <v>1389</v>
          </cell>
          <cell r="F20">
            <v>-5.8240598169773006E-2</v>
          </cell>
          <cell r="G20">
            <v>0.1147672552166934</v>
          </cell>
        </row>
        <row r="21">
          <cell r="B21" t="str">
            <v xml:space="preserve">   Net Other Income</v>
          </cell>
          <cell r="C21">
            <v>10</v>
          </cell>
          <cell r="D21">
            <v>-4</v>
          </cell>
          <cell r="E21">
            <v>80</v>
          </cell>
          <cell r="F21">
            <v>-21</v>
          </cell>
          <cell r="G21">
            <v>7</v>
          </cell>
          <cell r="H21" t="str">
            <v>Significant increase to interest income following debt offering</v>
          </cell>
        </row>
        <row r="22">
          <cell r="B22" t="str">
            <v xml:space="preserve">   Tax Rate</v>
          </cell>
          <cell r="C22">
            <v>332</v>
          </cell>
          <cell r="D22">
            <v>353.01576</v>
          </cell>
          <cell r="E22">
            <v>368</v>
          </cell>
          <cell r="F22">
            <v>4.2446376898300553E-2</v>
          </cell>
          <cell r="G22">
            <v>0.10843373493975905</v>
          </cell>
        </row>
        <row r="23">
          <cell r="B23" t="str">
            <v xml:space="preserve">Net Income (Loss)                   </v>
          </cell>
          <cell r="C23">
            <v>924</v>
          </cell>
          <cell r="D23">
            <v>1117.8832400000001</v>
          </cell>
          <cell r="E23">
            <v>1101</v>
          </cell>
          <cell r="F23">
            <v>-1.5102865304609248E-2</v>
          </cell>
          <cell r="G23">
            <v>0.19155844155844148</v>
          </cell>
        </row>
        <row r="24">
          <cell r="B24" t="str">
            <v>EPS, Basic</v>
          </cell>
          <cell r="C24">
            <v>0.73979183346677346</v>
          </cell>
          <cell r="D24">
            <v>0.90958766476810426</v>
          </cell>
          <cell r="E24">
            <v>0.91597337770382692</v>
          </cell>
          <cell r="F24">
            <v>7.0204480371340861E-3</v>
          </cell>
          <cell r="G24">
            <v>0.23815016098709929</v>
          </cell>
        </row>
        <row r="25">
          <cell r="B25" t="str">
            <v>EPS, Diluted</v>
          </cell>
          <cell r="C25">
            <v>0.72024709302325585</v>
          </cell>
          <cell r="D25">
            <v>0.90014741753821415</v>
          </cell>
          <cell r="E25">
            <v>0.90691927512355852</v>
          </cell>
          <cell r="F25">
            <v>7.5230539502790794E-3</v>
          </cell>
          <cell r="G25">
            <v>0.25917797365448769</v>
          </cell>
        </row>
        <row r="26">
          <cell r="B26" t="str">
            <v>Consensus EPS</v>
          </cell>
          <cell r="D26">
            <v>0.88</v>
          </cell>
        </row>
        <row r="27">
          <cell r="B27" t="str">
            <v xml:space="preserve">Basic Shares Outstanding </v>
          </cell>
          <cell r="C27">
            <v>1249</v>
          </cell>
          <cell r="D27">
            <v>1229</v>
          </cell>
          <cell r="E27">
            <v>1202</v>
          </cell>
          <cell r="F27">
            <v>-2.1969080553295384E-2</v>
          </cell>
          <cell r="G27">
            <v>-3.7630104083266613E-2</v>
          </cell>
          <cell r="H27" t="str">
            <v>Company purchased 47 M shares in 1Q</v>
          </cell>
        </row>
        <row r="28">
          <cell r="B28" t="str">
            <v>Diluted Shares Outstanding</v>
          </cell>
          <cell r="C28">
            <v>1290</v>
          </cell>
          <cell r="D28">
            <v>1243</v>
          </cell>
          <cell r="E28">
            <v>1214</v>
          </cell>
          <cell r="F28">
            <v>-2.3330651649235756E-2</v>
          </cell>
          <cell r="G28">
            <v>-5.8914728682170514E-2</v>
          </cell>
        </row>
        <row r="30">
          <cell r="B30" t="str">
            <v>Source: Company data and Morgan Stanley Research</v>
          </cell>
        </row>
      </sheetData>
      <sheetData sheetId="4" refreshError="1">
        <row r="1">
          <cell r="B1" t="str">
            <v>Amgen Quarterly Income Statement</v>
          </cell>
        </row>
        <row r="2">
          <cell r="B2" t="str">
            <v>(Dollars in millions except per-share data)</v>
          </cell>
        </row>
        <row r="4">
          <cell r="C4" t="str">
            <v>1Q02A</v>
          </cell>
          <cell r="D4" t="str">
            <v>2Q02A</v>
          </cell>
          <cell r="E4" t="str">
            <v>3Q02A</v>
          </cell>
          <cell r="F4" t="str">
            <v>4Q02A</v>
          </cell>
          <cell r="G4" t="str">
            <v>2002A</v>
          </cell>
          <cell r="I4" t="str">
            <v>1Q03A</v>
          </cell>
          <cell r="K4" t="str">
            <v>2Q03A</v>
          </cell>
          <cell r="M4" t="str">
            <v>3Q03A</v>
          </cell>
          <cell r="O4" t="str">
            <v>4Q03A</v>
          </cell>
          <cell r="Q4" t="str">
            <v>2003A</v>
          </cell>
          <cell r="T4" t="str">
            <v>1Q04A</v>
          </cell>
          <cell r="U4" t="str">
            <v>% chg</v>
          </cell>
          <cell r="V4" t="str">
            <v>2Q04A</v>
          </cell>
          <cell r="W4" t="str">
            <v>% chg</v>
          </cell>
          <cell r="X4" t="str">
            <v>3Q04A</v>
          </cell>
          <cell r="Y4" t="str">
            <v>% chg</v>
          </cell>
          <cell r="Z4" t="str">
            <v>4Q04A</v>
          </cell>
          <cell r="AA4" t="str">
            <v>% chg</v>
          </cell>
          <cell r="AB4" t="str">
            <v>2004A</v>
          </cell>
          <cell r="AC4" t="str">
            <v>% chg</v>
          </cell>
          <cell r="AF4" t="str">
            <v>1Q05A</v>
          </cell>
          <cell r="AG4" t="str">
            <v>% chg</v>
          </cell>
          <cell r="AH4" t="str">
            <v>2Q05A</v>
          </cell>
          <cell r="AI4" t="str">
            <v>% chg</v>
          </cell>
          <cell r="AJ4" t="str">
            <v>3Q05A</v>
          </cell>
          <cell r="AK4" t="str">
            <v>% chg</v>
          </cell>
          <cell r="AL4" t="str">
            <v>4Q05A</v>
          </cell>
          <cell r="AM4" t="str">
            <v>% chg</v>
          </cell>
          <cell r="AN4" t="str">
            <v>2005A</v>
          </cell>
          <cell r="AO4" t="str">
            <v>% chg</v>
          </cell>
          <cell r="AR4" t="str">
            <v>1Q06A</v>
          </cell>
          <cell r="AS4" t="str">
            <v>% chg</v>
          </cell>
          <cell r="AT4" t="str">
            <v>2Q06E</v>
          </cell>
          <cell r="AU4" t="str">
            <v>% chg</v>
          </cell>
          <cell r="AV4" t="str">
            <v>3Q06E</v>
          </cell>
          <cell r="AW4" t="str">
            <v>% chg</v>
          </cell>
          <cell r="AX4" t="str">
            <v>4Q06E</v>
          </cell>
          <cell r="AY4" t="str">
            <v>% chg</v>
          </cell>
          <cell r="AZ4" t="str">
            <v>2006E</v>
          </cell>
          <cell r="BA4" t="str">
            <v>% chg</v>
          </cell>
          <cell r="BB4" t="str">
            <v>guidance</v>
          </cell>
        </row>
        <row r="5">
          <cell r="B5" t="str">
            <v>Epogen</v>
          </cell>
          <cell r="C5">
            <v>512</v>
          </cell>
          <cell r="D5">
            <v>570</v>
          </cell>
          <cell r="E5">
            <v>558</v>
          </cell>
          <cell r="F5">
            <v>620</v>
          </cell>
          <cell r="G5">
            <v>2260</v>
          </cell>
          <cell r="I5">
            <v>547.1</v>
          </cell>
          <cell r="K5">
            <v>611.1</v>
          </cell>
          <cell r="M5">
            <v>625.9</v>
          </cell>
          <cell r="O5">
            <v>650.59999999999991</v>
          </cell>
          <cell r="Q5">
            <v>2434.6999999999998</v>
          </cell>
          <cell r="T5">
            <v>590</v>
          </cell>
          <cell r="U5">
            <v>7.8413452750868196E-2</v>
          </cell>
          <cell r="V5">
            <v>632.6</v>
          </cell>
          <cell r="W5">
            <v>3.5182457862870331E-2</v>
          </cell>
          <cell r="X5">
            <v>681</v>
          </cell>
          <cell r="Y5">
            <v>8.8033232145710238E-2</v>
          </cell>
          <cell r="Z5">
            <v>697</v>
          </cell>
          <cell r="AA5">
            <v>7.1318782662158187E-2</v>
          </cell>
          <cell r="AB5">
            <v>2600.6</v>
          </cell>
          <cell r="AC5">
            <v>6.8139811886474666E-2</v>
          </cell>
          <cell r="AF5">
            <v>583</v>
          </cell>
          <cell r="AG5">
            <v>-1.1864406779661052E-2</v>
          </cell>
          <cell r="AH5">
            <v>647</v>
          </cell>
          <cell r="AI5">
            <v>2.2763199494151065E-2</v>
          </cell>
          <cell r="AJ5">
            <v>599</v>
          </cell>
          <cell r="AK5">
            <v>-0.1204111600587372</v>
          </cell>
          <cell r="AL5">
            <v>626</v>
          </cell>
          <cell r="AM5">
            <v>-0.10186513629842175</v>
          </cell>
          <cell r="AN5">
            <v>2455</v>
          </cell>
          <cell r="AO5">
            <v>-5.598707990463736E-2</v>
          </cell>
          <cell r="AR5">
            <v>604</v>
          </cell>
          <cell r="AS5">
            <v>3.6020583190394584E-2</v>
          </cell>
          <cell r="AT5">
            <v>630</v>
          </cell>
          <cell r="AU5">
            <v>-2.6275115919629055E-2</v>
          </cell>
          <cell r="AV5">
            <v>640</v>
          </cell>
          <cell r="AW5">
            <v>6.8447412353923154E-2</v>
          </cell>
          <cell r="AX5">
            <v>640</v>
          </cell>
          <cell r="AY5">
            <v>2.2364217252396124E-2</v>
          </cell>
          <cell r="AZ5">
            <v>2514</v>
          </cell>
          <cell r="BA5">
            <v>2.4032586558044855E-2</v>
          </cell>
        </row>
        <row r="6">
          <cell r="B6" t="str">
            <v xml:space="preserve">Aranesp - US </v>
          </cell>
          <cell r="F6">
            <v>150</v>
          </cell>
          <cell r="I6">
            <v>157.9</v>
          </cell>
          <cell r="K6">
            <v>216.6</v>
          </cell>
          <cell r="M6">
            <v>283.89999999999998</v>
          </cell>
          <cell r="O6">
            <v>321.5</v>
          </cell>
          <cell r="Q6">
            <v>979.9</v>
          </cell>
          <cell r="T6">
            <v>329.6</v>
          </cell>
          <cell r="V6">
            <v>380.7</v>
          </cell>
          <cell r="X6">
            <v>374</v>
          </cell>
          <cell r="Z6">
            <v>449</v>
          </cell>
          <cell r="AA6">
            <v>0.39657853810264387</v>
          </cell>
          <cell r="AB6">
            <v>1533.3</v>
          </cell>
          <cell r="AF6">
            <v>447</v>
          </cell>
          <cell r="AG6">
            <v>0.3561893203883495</v>
          </cell>
          <cell r="AH6">
            <v>536</v>
          </cell>
          <cell r="AI6">
            <v>0.40793275545048591</v>
          </cell>
          <cell r="AJ6">
            <v>542</v>
          </cell>
          <cell r="AK6">
            <v>0.44919786096256686</v>
          </cell>
          <cell r="AL6">
            <v>579</v>
          </cell>
          <cell r="AM6">
            <v>0.28953229398663693</v>
          </cell>
          <cell r="AN6">
            <v>2104</v>
          </cell>
          <cell r="AO6">
            <v>0.37220374355964259</v>
          </cell>
          <cell r="AR6">
            <v>596</v>
          </cell>
          <cell r="AS6">
            <v>0.33333333333333326</v>
          </cell>
          <cell r="AT6">
            <v>645</v>
          </cell>
          <cell r="AU6">
            <v>0.20335820895522394</v>
          </cell>
          <cell r="AV6">
            <v>665</v>
          </cell>
          <cell r="AW6">
            <v>0.22693726937269365</v>
          </cell>
          <cell r="AX6">
            <v>690</v>
          </cell>
          <cell r="AY6">
            <v>0.19170984455958551</v>
          </cell>
          <cell r="AZ6">
            <v>2596</v>
          </cell>
          <cell r="BA6">
            <v>0.23384030418250945</v>
          </cell>
        </row>
        <row r="7">
          <cell r="B7" t="str">
            <v>Aranesp - ex US</v>
          </cell>
          <cell r="F7">
            <v>57</v>
          </cell>
          <cell r="I7">
            <v>96.9</v>
          </cell>
          <cell r="K7">
            <v>131.1</v>
          </cell>
          <cell r="M7">
            <v>154.4</v>
          </cell>
          <cell r="O7">
            <v>181.5</v>
          </cell>
          <cell r="Q7">
            <v>563.9</v>
          </cell>
          <cell r="T7">
            <v>213</v>
          </cell>
          <cell r="V7">
            <v>236.6</v>
          </cell>
          <cell r="X7">
            <v>234</v>
          </cell>
          <cell r="Z7">
            <v>256</v>
          </cell>
          <cell r="AA7">
            <v>0.41046831955922869</v>
          </cell>
          <cell r="AB7">
            <v>939.6</v>
          </cell>
          <cell r="AF7">
            <v>276</v>
          </cell>
          <cell r="AG7">
            <v>0.29577464788732399</v>
          </cell>
          <cell r="AH7">
            <v>301</v>
          </cell>
          <cell r="AI7">
            <v>0.27218934911242609</v>
          </cell>
          <cell r="AJ7">
            <v>298</v>
          </cell>
          <cell r="AK7">
            <v>0.27350427350427342</v>
          </cell>
          <cell r="AL7">
            <v>294</v>
          </cell>
          <cell r="AM7">
            <v>0.1484375</v>
          </cell>
          <cell r="AN7">
            <v>1169</v>
          </cell>
          <cell r="AO7">
            <v>0.2441464452958706</v>
          </cell>
          <cell r="AR7">
            <v>297</v>
          </cell>
          <cell r="AS7">
            <v>7.6086956521739024E-2</v>
          </cell>
          <cell r="AT7">
            <v>320</v>
          </cell>
          <cell r="AU7">
            <v>6.3122923588039948E-2</v>
          </cell>
          <cell r="AV7">
            <v>340</v>
          </cell>
          <cell r="AW7">
            <v>0.14093959731543615</v>
          </cell>
          <cell r="AX7">
            <v>360</v>
          </cell>
          <cell r="AY7">
            <v>0.22448979591836737</v>
          </cell>
          <cell r="AZ7">
            <v>1317</v>
          </cell>
          <cell r="BA7">
            <v>0.1266039349871686</v>
          </cell>
        </row>
        <row r="8">
          <cell r="B8" t="str">
            <v>Aranesp-WW</v>
          </cell>
          <cell r="C8">
            <v>39</v>
          </cell>
          <cell r="D8">
            <v>56</v>
          </cell>
          <cell r="E8">
            <v>114</v>
          </cell>
          <cell r="F8">
            <v>207</v>
          </cell>
          <cell r="G8">
            <v>416</v>
          </cell>
          <cell r="I8">
            <v>254.8</v>
          </cell>
          <cell r="K8">
            <v>347.7</v>
          </cell>
          <cell r="M8">
            <v>438.29999999999995</v>
          </cell>
          <cell r="O8">
            <v>503</v>
          </cell>
          <cell r="Q8">
            <v>1543.8</v>
          </cell>
          <cell r="T8">
            <v>542.6</v>
          </cell>
          <cell r="U8">
            <v>1.1295133437990579</v>
          </cell>
          <cell r="V8">
            <v>617.29999999999995</v>
          </cell>
          <cell r="W8">
            <v>0.77538107563991931</v>
          </cell>
          <cell r="X8">
            <v>608</v>
          </cell>
          <cell r="Y8">
            <v>0.38717773214693141</v>
          </cell>
          <cell r="Z8">
            <v>705</v>
          </cell>
          <cell r="AA8">
            <v>0.40159045725646125</v>
          </cell>
          <cell r="AB8">
            <v>2472.9</v>
          </cell>
          <cell r="AC8">
            <v>0.60182666148464836</v>
          </cell>
          <cell r="AF8">
            <v>723</v>
          </cell>
          <cell r="AG8">
            <v>0.33247327681533356</v>
          </cell>
          <cell r="AH8">
            <v>837</v>
          </cell>
          <cell r="AI8">
            <v>0.35590474647659165</v>
          </cell>
          <cell r="AJ8">
            <v>840</v>
          </cell>
          <cell r="AK8">
            <v>0.38157894736842102</v>
          </cell>
          <cell r="AL8">
            <v>873</v>
          </cell>
          <cell r="AM8">
            <v>0.23829787234042543</v>
          </cell>
          <cell r="AN8">
            <v>3273</v>
          </cell>
          <cell r="AO8">
            <v>0.32354725221399971</v>
          </cell>
          <cell r="AR8">
            <v>893</v>
          </cell>
          <cell r="AS8">
            <v>0.23513139695712315</v>
          </cell>
          <cell r="AT8">
            <v>965</v>
          </cell>
          <cell r="AU8">
            <v>0.15292712066905612</v>
          </cell>
          <cell r="AV8">
            <v>1005</v>
          </cell>
          <cell r="AW8">
            <v>0.1964285714285714</v>
          </cell>
          <cell r="AX8">
            <v>1050</v>
          </cell>
          <cell r="AY8">
            <v>0.20274914089347074</v>
          </cell>
          <cell r="AZ8">
            <v>3913</v>
          </cell>
          <cell r="BA8">
            <v>0.19553926061717086</v>
          </cell>
        </row>
        <row r="9">
          <cell r="B9" t="str">
            <v xml:space="preserve">    Neupogen - US</v>
          </cell>
          <cell r="M9">
            <v>227.9</v>
          </cell>
          <cell r="O9">
            <v>225.3</v>
          </cell>
          <cell r="Q9">
            <v>880.5</v>
          </cell>
          <cell r="T9">
            <v>172.3</v>
          </cell>
          <cell r="V9">
            <v>194.5</v>
          </cell>
          <cell r="X9">
            <v>207</v>
          </cell>
          <cell r="Y9">
            <v>-9.1706888986397561E-2</v>
          </cell>
          <cell r="Z9">
            <v>204</v>
          </cell>
          <cell r="AA9">
            <v>-9.4540612516644473E-2</v>
          </cell>
          <cell r="AB9">
            <v>777.8</v>
          </cell>
          <cell r="AC9">
            <v>-0.11663827370812041</v>
          </cell>
          <cell r="AF9">
            <v>182</v>
          </cell>
          <cell r="AG9">
            <v>5.6297156123041203E-2</v>
          </cell>
          <cell r="AH9">
            <v>208</v>
          </cell>
          <cell r="AI9">
            <v>6.9408740359897081E-2</v>
          </cell>
          <cell r="AJ9">
            <v>205</v>
          </cell>
          <cell r="AK9">
            <v>-9.6618357487923134E-3</v>
          </cell>
          <cell r="AL9">
            <v>210</v>
          </cell>
          <cell r="AM9">
            <v>2.9411764705882248E-2</v>
          </cell>
          <cell r="AN9">
            <v>805</v>
          </cell>
          <cell r="AO9">
            <v>3.4970429416302462E-2</v>
          </cell>
          <cell r="AR9">
            <v>191</v>
          </cell>
          <cell r="AS9">
            <v>4.9450549450549497E-2</v>
          </cell>
          <cell r="AT9">
            <v>201</v>
          </cell>
          <cell r="AV9">
            <v>210</v>
          </cell>
          <cell r="AX9">
            <v>206.99999999999997</v>
          </cell>
          <cell r="AZ9">
            <v>809</v>
          </cell>
        </row>
        <row r="10">
          <cell r="B10" t="str">
            <v xml:space="preserve">    Neupogen - ex US</v>
          </cell>
          <cell r="M10">
            <v>102.5</v>
          </cell>
          <cell r="O10">
            <v>96.2</v>
          </cell>
          <cell r="Q10">
            <v>386.2</v>
          </cell>
          <cell r="T10">
            <v>96.7</v>
          </cell>
          <cell r="V10">
            <v>100.7</v>
          </cell>
          <cell r="X10">
            <v>95</v>
          </cell>
          <cell r="Y10">
            <v>-7.3170731707317027E-2</v>
          </cell>
          <cell r="Z10">
            <v>105</v>
          </cell>
          <cell r="AA10">
            <v>9.1476091476091481E-2</v>
          </cell>
          <cell r="AB10">
            <v>397.4</v>
          </cell>
          <cell r="AC10">
            <v>2.9000517866390352E-2</v>
          </cell>
          <cell r="AF10">
            <v>112</v>
          </cell>
          <cell r="AG10">
            <v>0.15822130299896586</v>
          </cell>
          <cell r="AH10">
            <v>104</v>
          </cell>
          <cell r="AI10">
            <v>3.2770605759682159E-2</v>
          </cell>
          <cell r="AJ10">
            <v>100</v>
          </cell>
          <cell r="AK10">
            <v>5.2631578947368363E-2</v>
          </cell>
          <cell r="AL10">
            <v>95</v>
          </cell>
          <cell r="AM10">
            <v>-9.5238095238095233E-2</v>
          </cell>
          <cell r="AN10">
            <v>411</v>
          </cell>
          <cell r="AO10">
            <v>3.4222445898339338E-2</v>
          </cell>
          <cell r="AR10">
            <v>97</v>
          </cell>
          <cell r="AS10">
            <v>-0.1339285714285714</v>
          </cell>
          <cell r="AT10">
            <v>98.999999999999986</v>
          </cell>
          <cell r="AV10">
            <v>90.000000000000014</v>
          </cell>
          <cell r="AX10">
            <v>93.000000000000014</v>
          </cell>
          <cell r="AZ10">
            <v>379</v>
          </cell>
        </row>
        <row r="11">
          <cell r="B11" t="str">
            <v>Neupogen -WW</v>
          </cell>
          <cell r="C11">
            <v>355</v>
          </cell>
          <cell r="D11">
            <v>363</v>
          </cell>
          <cell r="E11">
            <v>332</v>
          </cell>
          <cell r="F11">
            <v>329</v>
          </cell>
          <cell r="G11">
            <v>1379</v>
          </cell>
          <cell r="I11">
            <v>284</v>
          </cell>
          <cell r="K11">
            <v>330.8</v>
          </cell>
          <cell r="M11">
            <v>330.4</v>
          </cell>
          <cell r="O11">
            <v>321.5</v>
          </cell>
          <cell r="Q11">
            <v>1266.7</v>
          </cell>
          <cell r="T11">
            <v>269</v>
          </cell>
          <cell r="U11">
            <v>-5.2816901408450745E-2</v>
          </cell>
          <cell r="V11">
            <v>295.2</v>
          </cell>
          <cell r="W11">
            <v>-0.10761789600967353</v>
          </cell>
          <cell r="X11">
            <v>302</v>
          </cell>
          <cell r="Y11">
            <v>-8.5956416464890939E-2</v>
          </cell>
          <cell r="Z11">
            <v>309</v>
          </cell>
          <cell r="AA11">
            <v>-3.8880248833592534E-2</v>
          </cell>
          <cell r="AB11">
            <v>1175.1999999999998</v>
          </cell>
          <cell r="AC11">
            <v>-7.2234941185758461E-2</v>
          </cell>
          <cell r="AF11">
            <v>294</v>
          </cell>
          <cell r="AG11">
            <v>9.2936802973977661E-2</v>
          </cell>
          <cell r="AH11">
            <v>312</v>
          </cell>
          <cell r="AI11">
            <v>5.6910569105691033E-2</v>
          </cell>
          <cell r="AJ11">
            <v>305</v>
          </cell>
          <cell r="AK11">
            <v>9.9337748344370258E-3</v>
          </cell>
          <cell r="AL11">
            <v>305</v>
          </cell>
          <cell r="AM11">
            <v>-1.2944983818770184E-2</v>
          </cell>
          <cell r="AN11">
            <v>1216</v>
          </cell>
          <cell r="AO11">
            <v>3.4717494894486167E-2</v>
          </cell>
          <cell r="AR11">
            <v>288</v>
          </cell>
          <cell r="AS11">
            <v>-2.0408163265306145E-2</v>
          </cell>
          <cell r="AT11">
            <v>300</v>
          </cell>
          <cell r="AU11">
            <v>-3.8461538461538436E-2</v>
          </cell>
          <cell r="AV11">
            <v>300</v>
          </cell>
          <cell r="AW11">
            <v>-1.6393442622950838E-2</v>
          </cell>
          <cell r="AX11">
            <v>300</v>
          </cell>
          <cell r="AY11">
            <v>-1.6393442622950838E-2</v>
          </cell>
          <cell r="AZ11">
            <v>1188</v>
          </cell>
          <cell r="BA11">
            <v>-2.3026315789473673E-2</v>
          </cell>
        </row>
        <row r="12">
          <cell r="B12" t="str">
            <v xml:space="preserve">    Neulasta - US</v>
          </cell>
          <cell r="M12">
            <v>304.3</v>
          </cell>
          <cell r="O12">
            <v>328</v>
          </cell>
          <cell r="Q12">
            <v>1175.7</v>
          </cell>
          <cell r="T12">
            <v>336.3</v>
          </cell>
          <cell r="V12">
            <v>362.2</v>
          </cell>
          <cell r="X12">
            <v>384</v>
          </cell>
          <cell r="Y12">
            <v>0.26191258626355562</v>
          </cell>
          <cell r="Z12">
            <v>394</v>
          </cell>
          <cell r="AA12">
            <v>0.20121951219512191</v>
          </cell>
          <cell r="AB12">
            <v>1476.5</v>
          </cell>
          <cell r="AC12">
            <v>0.25584758016500797</v>
          </cell>
          <cell r="AF12">
            <v>416</v>
          </cell>
          <cell r="AG12">
            <v>0.23699078203984536</v>
          </cell>
          <cell r="AH12">
            <v>490</v>
          </cell>
          <cell r="AI12">
            <v>0.35284373274434011</v>
          </cell>
          <cell r="AJ12">
            <v>475</v>
          </cell>
          <cell r="AK12">
            <v>0.23697916666666674</v>
          </cell>
          <cell r="AL12">
            <v>519</v>
          </cell>
          <cell r="AM12">
            <v>0.31725888324873086</v>
          </cell>
          <cell r="AN12">
            <v>1900</v>
          </cell>
          <cell r="AO12">
            <v>0.28682695563833382</v>
          </cell>
          <cell r="AR12">
            <v>497</v>
          </cell>
          <cell r="AS12">
            <v>0.19471153846153855</v>
          </cell>
          <cell r="AT12">
            <v>531.19999999999993</v>
          </cell>
          <cell r="AV12">
            <v>543.59375</v>
          </cell>
          <cell r="AX12">
            <v>572.69999999999993</v>
          </cell>
          <cell r="AZ12">
            <v>2144.4937499999996</v>
          </cell>
        </row>
        <row r="13">
          <cell r="B13" t="str">
            <v xml:space="preserve">    Neulasta - ex US</v>
          </cell>
          <cell r="M13">
            <v>22.6</v>
          </cell>
          <cell r="O13">
            <v>38.700000000000003</v>
          </cell>
          <cell r="Q13">
            <v>79.3</v>
          </cell>
          <cell r="T13">
            <v>58.4</v>
          </cell>
          <cell r="V13">
            <v>63.7</v>
          </cell>
          <cell r="X13">
            <v>66</v>
          </cell>
          <cell r="Y13">
            <v>1.9203539823008846</v>
          </cell>
          <cell r="Z13">
            <v>75</v>
          </cell>
          <cell r="AA13">
            <v>0.9379844961240309</v>
          </cell>
          <cell r="AB13">
            <v>263.10000000000002</v>
          </cell>
          <cell r="AC13">
            <v>2.3177805800756626</v>
          </cell>
          <cell r="AF13">
            <v>85</v>
          </cell>
          <cell r="AG13">
            <v>0.45547945205479445</v>
          </cell>
          <cell r="AH13">
            <v>97</v>
          </cell>
          <cell r="AI13">
            <v>0.52276295133437989</v>
          </cell>
          <cell r="AJ13">
            <v>102</v>
          </cell>
          <cell r="AK13">
            <v>0.54545454545454541</v>
          </cell>
          <cell r="AL13">
            <v>104</v>
          </cell>
          <cell r="AM13">
            <v>0.38666666666666671</v>
          </cell>
          <cell r="AN13">
            <v>388</v>
          </cell>
          <cell r="AO13">
            <v>0.47472443937666275</v>
          </cell>
          <cell r="AR13">
            <v>111</v>
          </cell>
          <cell r="AS13">
            <v>0.30588235294117649</v>
          </cell>
          <cell r="AT13">
            <v>108.80000000000003</v>
          </cell>
          <cell r="AV13">
            <v>121.40624999999999</v>
          </cell>
          <cell r="AX13">
            <v>117.30000000000003</v>
          </cell>
          <cell r="AZ13">
            <v>458.50625000000002</v>
          </cell>
        </row>
        <row r="14">
          <cell r="B14" t="str">
            <v>Neulasta - WW</v>
          </cell>
          <cell r="C14">
            <v>0</v>
          </cell>
          <cell r="D14">
            <v>110</v>
          </cell>
          <cell r="E14">
            <v>142</v>
          </cell>
          <cell r="F14">
            <v>212</v>
          </cell>
          <cell r="G14">
            <v>464</v>
          </cell>
          <cell r="I14">
            <v>257.89999999999998</v>
          </cell>
          <cell r="K14">
            <v>303.5</v>
          </cell>
          <cell r="M14">
            <v>326.90000000000003</v>
          </cell>
          <cell r="O14">
            <v>366.7</v>
          </cell>
          <cell r="Q14">
            <v>1255</v>
          </cell>
          <cell r="T14">
            <v>394.7</v>
          </cell>
          <cell r="U14">
            <v>0.53043815432338115</v>
          </cell>
          <cell r="V14">
            <v>425.9</v>
          </cell>
          <cell r="W14">
            <v>0.40329489291598009</v>
          </cell>
          <cell r="X14">
            <v>450</v>
          </cell>
          <cell r="Y14">
            <v>0.37656775772407447</v>
          </cell>
          <cell r="Z14">
            <v>469</v>
          </cell>
          <cell r="AA14">
            <v>0.27897463866921202</v>
          </cell>
          <cell r="AB14">
            <v>1739.6</v>
          </cell>
          <cell r="AC14">
            <v>0.38613545816733064</v>
          </cell>
          <cell r="AF14">
            <v>501</v>
          </cell>
          <cell r="AG14">
            <v>0.26931846972384088</v>
          </cell>
          <cell r="AH14">
            <v>587</v>
          </cell>
          <cell r="AI14">
            <v>0.37825780699694778</v>
          </cell>
          <cell r="AJ14">
            <v>577</v>
          </cell>
          <cell r="AK14">
            <v>0.28222222222222215</v>
          </cell>
          <cell r="AL14">
            <v>623</v>
          </cell>
          <cell r="AM14">
            <v>0.32835820895522394</v>
          </cell>
          <cell r="AN14">
            <v>2288</v>
          </cell>
          <cell r="AO14">
            <v>0.31524488388135219</v>
          </cell>
          <cell r="AR14">
            <v>608</v>
          </cell>
          <cell r="AS14">
            <v>0.21357285429141726</v>
          </cell>
          <cell r="AT14">
            <v>640</v>
          </cell>
          <cell r="AU14">
            <v>9.028960817717202E-2</v>
          </cell>
          <cell r="AV14">
            <v>665</v>
          </cell>
          <cell r="AW14">
            <v>0.15251299826689779</v>
          </cell>
          <cell r="AX14">
            <v>690</v>
          </cell>
          <cell r="AY14">
            <v>0.1075441412520064</v>
          </cell>
          <cell r="AZ14">
            <v>2603</v>
          </cell>
          <cell r="BA14">
            <v>0.13767482517482521</v>
          </cell>
        </row>
        <row r="15">
          <cell r="B15" t="str">
            <v>Enbrel</v>
          </cell>
          <cell r="C15">
            <v>0</v>
          </cell>
          <cell r="D15">
            <v>0</v>
          </cell>
          <cell r="E15">
            <v>158</v>
          </cell>
          <cell r="F15">
            <v>204</v>
          </cell>
          <cell r="G15">
            <v>362</v>
          </cell>
          <cell r="I15">
            <v>274</v>
          </cell>
          <cell r="K15">
            <v>304</v>
          </cell>
          <cell r="M15">
            <v>341.6</v>
          </cell>
          <cell r="O15">
            <v>380.4</v>
          </cell>
          <cell r="Q15">
            <v>1300</v>
          </cell>
          <cell r="T15">
            <v>397.3</v>
          </cell>
          <cell r="U15">
            <v>0.44999999999999996</v>
          </cell>
          <cell r="V15">
            <v>440</v>
          </cell>
          <cell r="W15">
            <v>0.44736842105263164</v>
          </cell>
          <cell r="X15">
            <v>496</v>
          </cell>
          <cell r="Y15">
            <v>0.45199063231850101</v>
          </cell>
          <cell r="Z15">
            <v>567</v>
          </cell>
          <cell r="AA15">
            <v>0.49053627760252372</v>
          </cell>
          <cell r="AB15">
            <v>1900.3</v>
          </cell>
          <cell r="AC15">
            <v>0.46176923076923071</v>
          </cell>
          <cell r="AF15">
            <v>592</v>
          </cell>
          <cell r="AG15">
            <v>0.49005789076264783</v>
          </cell>
          <cell r="AH15">
            <v>639</v>
          </cell>
          <cell r="AI15">
            <v>0.45227272727272738</v>
          </cell>
          <cell r="AJ15">
            <v>668</v>
          </cell>
          <cell r="AK15">
            <v>0.34677419354838701</v>
          </cell>
          <cell r="AL15">
            <v>674</v>
          </cell>
          <cell r="AM15">
            <v>0.18871252204585542</v>
          </cell>
          <cell r="AN15">
            <v>2573</v>
          </cell>
          <cell r="AO15">
            <v>0.35399673735725945</v>
          </cell>
          <cell r="AR15">
            <v>658</v>
          </cell>
          <cell r="AS15">
            <v>0.1114864864864864</v>
          </cell>
          <cell r="AT15">
            <v>680</v>
          </cell>
          <cell r="AU15">
            <v>6.4162754303599412E-2</v>
          </cell>
          <cell r="AV15">
            <v>715</v>
          </cell>
          <cell r="AW15">
            <v>7.0359281437125665E-2</v>
          </cell>
          <cell r="AX15">
            <v>740</v>
          </cell>
          <cell r="AY15">
            <v>9.7922848664688367E-2</v>
          </cell>
          <cell r="AZ15">
            <v>2793</v>
          </cell>
          <cell r="BA15">
            <v>8.5503303536727637E-2</v>
          </cell>
        </row>
        <row r="16">
          <cell r="B16" t="str">
            <v>Sensipar</v>
          </cell>
          <cell r="I16">
            <v>0</v>
          </cell>
          <cell r="K16">
            <v>0</v>
          </cell>
          <cell r="M16">
            <v>0</v>
          </cell>
          <cell r="O16">
            <v>0</v>
          </cell>
          <cell r="Q16">
            <v>0</v>
          </cell>
          <cell r="T16">
            <v>0</v>
          </cell>
          <cell r="V16">
            <v>7</v>
          </cell>
          <cell r="X16">
            <v>10</v>
          </cell>
          <cell r="Z16">
            <v>18</v>
          </cell>
          <cell r="AB16">
            <v>35</v>
          </cell>
          <cell r="AF16">
            <v>25</v>
          </cell>
          <cell r="AH16">
            <v>35</v>
          </cell>
          <cell r="AI16">
            <v>4</v>
          </cell>
          <cell r="AJ16">
            <v>40</v>
          </cell>
          <cell r="AK16">
            <v>3</v>
          </cell>
          <cell r="AL16">
            <v>51</v>
          </cell>
          <cell r="AM16">
            <v>1.8333333333333335</v>
          </cell>
          <cell r="AN16">
            <v>151</v>
          </cell>
          <cell r="AO16">
            <v>3.3142857142857141</v>
          </cell>
          <cell r="AR16">
            <v>61</v>
          </cell>
          <cell r="AS16">
            <v>1.44</v>
          </cell>
          <cell r="AT16">
            <v>65</v>
          </cell>
          <cell r="AU16">
            <v>0.85714285714285721</v>
          </cell>
          <cell r="AV16">
            <v>73</v>
          </cell>
          <cell r="AW16">
            <v>0.82499999999999996</v>
          </cell>
          <cell r="AX16">
            <v>84</v>
          </cell>
          <cell r="AY16">
            <v>0.64705882352941169</v>
          </cell>
          <cell r="AZ16">
            <v>283</v>
          </cell>
          <cell r="BA16">
            <v>0.8741721854304636</v>
          </cell>
        </row>
        <row r="17">
          <cell r="B17" t="str">
            <v>Panitumumab</v>
          </cell>
          <cell r="AX17">
            <v>35</v>
          </cell>
          <cell r="AZ17">
            <v>35</v>
          </cell>
        </row>
        <row r="18">
          <cell r="B18" t="str">
            <v>Palifermin</v>
          </cell>
          <cell r="AF18">
            <v>4</v>
          </cell>
          <cell r="AH18">
            <v>7</v>
          </cell>
          <cell r="AJ18">
            <v>8</v>
          </cell>
          <cell r="AL18">
            <v>13</v>
          </cell>
          <cell r="AN18">
            <v>32</v>
          </cell>
          <cell r="AR18">
            <v>13</v>
          </cell>
          <cell r="AT18">
            <v>18</v>
          </cell>
          <cell r="AU18">
            <v>1.5714285714285716</v>
          </cell>
          <cell r="AV18">
            <v>20</v>
          </cell>
          <cell r="AW18">
            <v>1.5</v>
          </cell>
          <cell r="AX18">
            <v>22</v>
          </cell>
          <cell r="AY18">
            <v>0.69230769230769229</v>
          </cell>
          <cell r="AZ18">
            <v>73</v>
          </cell>
        </row>
        <row r="19">
          <cell r="B19" t="str">
            <v xml:space="preserve">Other </v>
          </cell>
          <cell r="C19">
            <v>2.6</v>
          </cell>
          <cell r="D19">
            <v>16.2</v>
          </cell>
          <cell r="E19">
            <v>41.8</v>
          </cell>
          <cell r="F19">
            <v>49.6</v>
          </cell>
          <cell r="G19">
            <v>110.19999999999999</v>
          </cell>
          <cell r="I19">
            <v>18.100000000000001</v>
          </cell>
          <cell r="K19">
            <v>19.399999999999999</v>
          </cell>
          <cell r="M19">
            <v>15</v>
          </cell>
          <cell r="O19">
            <v>15.5</v>
          </cell>
          <cell r="Q19">
            <v>68</v>
          </cell>
          <cell r="T19">
            <v>14.2</v>
          </cell>
          <cell r="U19">
            <v>-0.21546961325966862</v>
          </cell>
          <cell r="V19">
            <v>13</v>
          </cell>
          <cell r="W19">
            <v>-0.32989690721649478</v>
          </cell>
          <cell r="X19">
            <v>13</v>
          </cell>
          <cell r="Y19">
            <v>-0.1333333333333333</v>
          </cell>
          <cell r="Z19">
            <v>13</v>
          </cell>
          <cell r="AA19">
            <v>-0.16129032258064513</v>
          </cell>
          <cell r="AB19">
            <v>53.2</v>
          </cell>
          <cell r="AC19">
            <v>-0.21764705882352942</v>
          </cell>
          <cell r="AF19">
            <v>13</v>
          </cell>
          <cell r="AG19">
            <v>-8.4507042253521125E-2</v>
          </cell>
          <cell r="AH19">
            <v>8</v>
          </cell>
          <cell r="AI19">
            <v>-0.38461538461538458</v>
          </cell>
          <cell r="AJ19">
            <v>12</v>
          </cell>
          <cell r="AK19">
            <v>-7.6923076923076872E-2</v>
          </cell>
          <cell r="AL19">
            <v>3</v>
          </cell>
          <cell r="AM19">
            <v>-0.76923076923076916</v>
          </cell>
          <cell r="AN19">
            <v>34</v>
          </cell>
          <cell r="AO19">
            <v>-0.36090225563909772</v>
          </cell>
          <cell r="AR19">
            <v>2</v>
          </cell>
          <cell r="AS19">
            <v>-0.84615384615384615</v>
          </cell>
          <cell r="AT19">
            <v>5</v>
          </cell>
          <cell r="AU19">
            <v>-0.375</v>
          </cell>
          <cell r="AV19">
            <v>5</v>
          </cell>
          <cell r="AW19">
            <v>-0.58333333333333326</v>
          </cell>
          <cell r="AX19">
            <v>5</v>
          </cell>
          <cell r="AY19">
            <v>0.66666666666666674</v>
          </cell>
          <cell r="AZ19">
            <v>17</v>
          </cell>
          <cell r="BA19">
            <v>-0.5</v>
          </cell>
        </row>
        <row r="20">
          <cell r="B20" t="str">
            <v>Total Product Sales</v>
          </cell>
          <cell r="C20">
            <v>908.6</v>
          </cell>
          <cell r="D20">
            <v>1115.2</v>
          </cell>
          <cell r="E20">
            <v>1345.8</v>
          </cell>
          <cell r="F20">
            <v>1621.6</v>
          </cell>
          <cell r="G20">
            <v>4991.2</v>
          </cell>
          <cell r="I20">
            <v>1635.8999999999996</v>
          </cell>
          <cell r="K20">
            <v>1916.5</v>
          </cell>
          <cell r="M20">
            <v>2078.1000000000004</v>
          </cell>
          <cell r="O20">
            <v>2237.6999999999998</v>
          </cell>
          <cell r="Q20">
            <v>7868.2</v>
          </cell>
          <cell r="T20">
            <v>2207.8000000000002</v>
          </cell>
          <cell r="U20">
            <v>0.34959349593495981</v>
          </cell>
          <cell r="V20">
            <v>2431</v>
          </cell>
          <cell r="W20">
            <v>0.26845812679363412</v>
          </cell>
          <cell r="X20">
            <v>2560</v>
          </cell>
          <cell r="Y20">
            <v>0.23189451903180758</v>
          </cell>
          <cell r="Z20">
            <v>2778</v>
          </cell>
          <cell r="AA20">
            <v>0.24145327791929216</v>
          </cell>
          <cell r="AB20">
            <v>9976.7999999999993</v>
          </cell>
          <cell r="AC20">
            <v>0.26799013751556888</v>
          </cell>
          <cell r="AF20">
            <v>2735</v>
          </cell>
          <cell r="AG20">
            <v>0.23878974544795706</v>
          </cell>
          <cell r="AH20">
            <v>3072</v>
          </cell>
          <cell r="AI20">
            <v>0.26367749897161663</v>
          </cell>
          <cell r="AJ20">
            <v>3049</v>
          </cell>
          <cell r="AK20">
            <v>0.19101562499999991</v>
          </cell>
          <cell r="AL20">
            <v>3168</v>
          </cell>
          <cell r="AM20">
            <v>0.14038876889848817</v>
          </cell>
          <cell r="AN20">
            <v>12022</v>
          </cell>
          <cell r="AO20">
            <v>0.20499558976826249</v>
          </cell>
          <cell r="AR20">
            <v>3127</v>
          </cell>
          <cell r="AS20">
            <v>0.1433272394881171</v>
          </cell>
          <cell r="AT20">
            <v>3303</v>
          </cell>
          <cell r="AU20">
            <v>7.51953125E-2</v>
          </cell>
          <cell r="AV20">
            <v>3423</v>
          </cell>
          <cell r="AW20">
            <v>0.12266316825188595</v>
          </cell>
          <cell r="AX20">
            <v>3566</v>
          </cell>
          <cell r="AY20">
            <v>0.12563131313131315</v>
          </cell>
          <cell r="AZ20">
            <v>13419</v>
          </cell>
          <cell r="BA20">
            <v>0.11620362668441198</v>
          </cell>
        </row>
        <row r="21">
          <cell r="B21" t="str">
            <v>Corporate Partner Rev.</v>
          </cell>
          <cell r="C21">
            <v>31.5</v>
          </cell>
          <cell r="D21">
            <v>53.9</v>
          </cell>
          <cell r="E21">
            <v>62.8</v>
          </cell>
          <cell r="F21">
            <v>52.1</v>
          </cell>
          <cell r="G21">
            <v>200.3</v>
          </cell>
          <cell r="I21">
            <v>33.9</v>
          </cell>
          <cell r="K21">
            <v>32.700000000000003</v>
          </cell>
          <cell r="M21">
            <v>28.8</v>
          </cell>
          <cell r="O21">
            <v>9.3000000000000007</v>
          </cell>
          <cell r="Q21">
            <v>104.69999999999999</v>
          </cell>
          <cell r="T21">
            <v>35</v>
          </cell>
          <cell r="U21">
            <v>3.2448377581121068E-2</v>
          </cell>
          <cell r="V21">
            <v>43.9</v>
          </cell>
          <cell r="W21">
            <v>0.34250764525993871</v>
          </cell>
          <cell r="X21">
            <v>38</v>
          </cell>
          <cell r="Y21">
            <v>0.31944444444444442</v>
          </cell>
          <cell r="Z21">
            <v>21</v>
          </cell>
          <cell r="AA21">
            <v>1.258064516129032</v>
          </cell>
          <cell r="AB21">
            <v>137.9</v>
          </cell>
          <cell r="AC21">
            <v>0.31709646609360087</v>
          </cell>
          <cell r="AF21">
            <v>0</v>
          </cell>
          <cell r="AG21">
            <v>-1</v>
          </cell>
          <cell r="AH21">
            <v>0</v>
          </cell>
          <cell r="AI21">
            <v>-1</v>
          </cell>
          <cell r="AK21">
            <v>-1</v>
          </cell>
          <cell r="AM21">
            <v>-1</v>
          </cell>
          <cell r="AN21">
            <v>0</v>
          </cell>
          <cell r="AO21">
            <v>-1</v>
          </cell>
          <cell r="AR21">
            <v>0</v>
          </cell>
          <cell r="AS21" t="e">
            <v>#DIV/0!</v>
          </cell>
          <cell r="AT21">
            <v>0</v>
          </cell>
          <cell r="AU21" t="e">
            <v>#DIV/0!</v>
          </cell>
          <cell r="AW21" t="e">
            <v>#DIV/0!</v>
          </cell>
          <cell r="AY21" t="e">
            <v>#DIV/0!</v>
          </cell>
          <cell r="AZ21">
            <v>0</v>
          </cell>
          <cell r="BA21" t="e">
            <v>#DIV/0!</v>
          </cell>
        </row>
        <row r="22">
          <cell r="B22" t="str">
            <v>Royalties/Corporate Partner</v>
          </cell>
          <cell r="C22">
            <v>68.400000000000006</v>
          </cell>
          <cell r="D22">
            <v>80</v>
          </cell>
          <cell r="E22">
            <v>90.7</v>
          </cell>
          <cell r="F22">
            <v>92.4</v>
          </cell>
          <cell r="G22">
            <v>331.5</v>
          </cell>
          <cell r="I22">
            <v>91.4</v>
          </cell>
          <cell r="K22">
            <v>91.9</v>
          </cell>
          <cell r="M22">
            <v>100.5</v>
          </cell>
          <cell r="O22">
            <v>99.3</v>
          </cell>
          <cell r="Q22">
            <v>383.1</v>
          </cell>
          <cell r="T22">
            <v>100.2</v>
          </cell>
          <cell r="U22">
            <v>9.6280087527352176E-2</v>
          </cell>
          <cell r="V22">
            <v>110</v>
          </cell>
          <cell r="W22">
            <v>0.19695321001088129</v>
          </cell>
          <cell r="X22">
            <v>115</v>
          </cell>
          <cell r="Y22">
            <v>0.14427860696517403</v>
          </cell>
          <cell r="Z22">
            <v>110</v>
          </cell>
          <cell r="AA22">
            <v>0.10775427995971798</v>
          </cell>
          <cell r="AB22">
            <v>435.2</v>
          </cell>
          <cell r="AC22">
            <v>0.13599582354476625</v>
          </cell>
          <cell r="AF22">
            <v>98</v>
          </cell>
          <cell r="AG22">
            <v>-2.1956087824351322E-2</v>
          </cell>
          <cell r="AH22">
            <v>100</v>
          </cell>
          <cell r="AI22">
            <v>-9.0909090909090939E-2</v>
          </cell>
          <cell r="AJ22">
            <v>107</v>
          </cell>
          <cell r="AK22">
            <v>-6.956521739130439E-2</v>
          </cell>
          <cell r="AL22">
            <v>103</v>
          </cell>
          <cell r="AM22">
            <v>-6.3636363636363602E-2</v>
          </cell>
          <cell r="AN22">
            <v>408</v>
          </cell>
          <cell r="AO22">
            <v>-6.25E-2</v>
          </cell>
          <cell r="AR22">
            <v>90</v>
          </cell>
          <cell r="AS22">
            <v>-8.1632653061224469E-2</v>
          </cell>
          <cell r="AT22">
            <v>90</v>
          </cell>
          <cell r="AU22">
            <v>-9.9999999999999978E-2</v>
          </cell>
          <cell r="AV22">
            <v>90</v>
          </cell>
          <cell r="AW22">
            <v>-0.15887850467289721</v>
          </cell>
          <cell r="AX22">
            <v>90</v>
          </cell>
          <cell r="AY22">
            <v>-0.12621359223300976</v>
          </cell>
          <cell r="AZ22">
            <v>360</v>
          </cell>
          <cell r="BA22">
            <v>-0.11764705882352944</v>
          </cell>
        </row>
        <row r="23">
          <cell r="B23" t="str">
            <v>Total Revenues</v>
          </cell>
          <cell r="C23">
            <v>1008.5</v>
          </cell>
          <cell r="D23">
            <v>1249.1000000000001</v>
          </cell>
          <cell r="E23">
            <v>1499.3</v>
          </cell>
          <cell r="F23">
            <v>1766.1</v>
          </cell>
          <cell r="G23">
            <v>5523</v>
          </cell>
          <cell r="I23">
            <v>1761.1999999999998</v>
          </cell>
          <cell r="K23">
            <v>2041.1000000000001</v>
          </cell>
          <cell r="M23">
            <v>2207.4000000000005</v>
          </cell>
          <cell r="O23">
            <v>2346.3000000000002</v>
          </cell>
          <cell r="Q23">
            <v>8356</v>
          </cell>
          <cell r="T23">
            <v>2343</v>
          </cell>
          <cell r="U23">
            <v>0.33034294799000685</v>
          </cell>
          <cell r="V23">
            <v>2584.9</v>
          </cell>
          <cell r="W23">
            <v>0.26642496692959683</v>
          </cell>
          <cell r="X23">
            <v>2713</v>
          </cell>
          <cell r="Y23">
            <v>0.22904774848237719</v>
          </cell>
          <cell r="Z23">
            <v>2909</v>
          </cell>
          <cell r="AA23">
            <v>0.23982440438136621</v>
          </cell>
          <cell r="AB23">
            <v>10549.9</v>
          </cell>
          <cell r="AC23">
            <v>0.26255385351842975</v>
          </cell>
          <cell r="AF23">
            <v>2833</v>
          </cell>
          <cell r="AG23">
            <v>8574.9360605018901</v>
          </cell>
          <cell r="AH23">
            <v>3172</v>
          </cell>
          <cell r="AI23">
            <v>0.22712677473016352</v>
          </cell>
          <cell r="AJ23">
            <v>3156</v>
          </cell>
          <cell r="AK23">
            <v>0.16328787320309623</v>
          </cell>
          <cell r="AL23">
            <v>3271</v>
          </cell>
          <cell r="AM23">
            <v>0.12444138879339972</v>
          </cell>
          <cell r="AN23">
            <v>12430</v>
          </cell>
          <cell r="AO23">
            <v>0.17821022000208542</v>
          </cell>
          <cell r="AR23">
            <v>3217</v>
          </cell>
          <cell r="AS23">
            <v>0.13554535827744441</v>
          </cell>
          <cell r="AT23">
            <v>3393</v>
          </cell>
          <cell r="AU23">
            <v>6.9672131147541005E-2</v>
          </cell>
          <cell r="AV23">
            <v>3513</v>
          </cell>
          <cell r="AW23">
            <v>0.1131178707224334</v>
          </cell>
          <cell r="AX23">
            <v>3656</v>
          </cell>
          <cell r="AY23">
            <v>0.11770100886579038</v>
          </cell>
          <cell r="AZ23">
            <v>13779</v>
          </cell>
          <cell r="BA23">
            <v>0.10852775543041027</v>
          </cell>
        </row>
        <row r="24">
          <cell r="B24" t="str">
            <v>Operating Expenses:</v>
          </cell>
          <cell r="AC24">
            <v>11921.386999999999</v>
          </cell>
        </row>
        <row r="25">
          <cell r="B25" t="str">
            <v xml:space="preserve">   Cost of Sales</v>
          </cell>
          <cell r="C25">
            <v>103.6</v>
          </cell>
          <cell r="D25">
            <v>131.9</v>
          </cell>
          <cell r="E25">
            <v>226.4</v>
          </cell>
          <cell r="F25">
            <v>278.39999999999998</v>
          </cell>
          <cell r="G25">
            <v>740.3</v>
          </cell>
          <cell r="I25">
            <v>283.3</v>
          </cell>
          <cell r="K25">
            <v>329.1</v>
          </cell>
          <cell r="M25">
            <v>340</v>
          </cell>
          <cell r="O25">
            <v>388.3</v>
          </cell>
          <cell r="Q25">
            <v>1340.7</v>
          </cell>
          <cell r="T25">
            <v>371.5</v>
          </cell>
          <cell r="U25">
            <v>0.31133074479350498</v>
          </cell>
          <cell r="V25">
            <v>435</v>
          </cell>
          <cell r="W25">
            <v>0.32178669097538726</v>
          </cell>
          <cell r="X25">
            <v>447</v>
          </cell>
          <cell r="Y25">
            <v>0.31470588235294117</v>
          </cell>
          <cell r="Z25">
            <v>476</v>
          </cell>
          <cell r="AA25">
            <v>0.22585629667782636</v>
          </cell>
          <cell r="AB25">
            <v>1729.5</v>
          </cell>
          <cell r="AC25">
            <v>0.28999776236294461</v>
          </cell>
          <cell r="AF25">
            <v>489</v>
          </cell>
          <cell r="AG25">
            <v>0.31628532974428003</v>
          </cell>
          <cell r="AH25">
            <v>530</v>
          </cell>
          <cell r="AI25">
            <v>0.21839080459770122</v>
          </cell>
          <cell r="AJ25">
            <v>505</v>
          </cell>
          <cell r="AK25">
            <v>0.12975391498881428</v>
          </cell>
          <cell r="AL25">
            <v>511</v>
          </cell>
          <cell r="AM25">
            <v>7.3529411764705843E-2</v>
          </cell>
          <cell r="AN25">
            <v>2035</v>
          </cell>
          <cell r="AO25">
            <v>0.17664064758600762</v>
          </cell>
          <cell r="AR25">
            <v>552</v>
          </cell>
          <cell r="AS25">
            <v>0.12883435582822078</v>
          </cell>
          <cell r="AT25">
            <v>561.51</v>
          </cell>
          <cell r="AU25">
            <v>5.9452830188679195E-2</v>
          </cell>
          <cell r="AV25">
            <v>573.35250000000008</v>
          </cell>
          <cell r="AW25">
            <v>0.13535148514851492</v>
          </cell>
          <cell r="AX25">
            <v>588.39</v>
          </cell>
          <cell r="AY25">
            <v>0.15144814090019576</v>
          </cell>
          <cell r="AZ25">
            <v>2275.2525000000001</v>
          </cell>
          <cell r="BA25">
            <v>0.11806019656019662</v>
          </cell>
        </row>
        <row r="26">
          <cell r="B26" t="str">
            <v xml:space="preserve">   % of Product Revenues</v>
          </cell>
          <cell r="C26">
            <v>0.11402157164869028</v>
          </cell>
          <cell r="D26">
            <v>0.11827474892395982</v>
          </cell>
          <cell r="E26">
            <v>0.16822707683162433</v>
          </cell>
          <cell r="F26">
            <v>0.17168228909718797</v>
          </cell>
          <cell r="G26">
            <v>0.1483210450392691</v>
          </cell>
          <cell r="I26">
            <v>0.17018155143957453</v>
          </cell>
          <cell r="K26">
            <v>0.16916253587268457</v>
          </cell>
          <cell r="M26">
            <v>0.16149367210432608</v>
          </cell>
          <cell r="O26">
            <v>0.17138132904321401</v>
          </cell>
          <cell r="Q26">
            <v>0.1679799700058463</v>
          </cell>
          <cell r="T26">
            <v>0.16826705317510643</v>
          </cell>
          <cell r="V26">
            <v>0.17893870835047307</v>
          </cell>
          <cell r="X26">
            <v>0.17460937500000001</v>
          </cell>
          <cell r="Z26">
            <v>0.17134629229661627</v>
          </cell>
          <cell r="AB26">
            <v>0.17335217705075778</v>
          </cell>
          <cell r="AF26">
            <v>0.17879341864716636</v>
          </cell>
          <cell r="AH26">
            <v>0.17252604166666666</v>
          </cell>
          <cell r="AJ26">
            <v>0.16562807477861594</v>
          </cell>
          <cell r="AL26">
            <v>0.16130050505050506</v>
          </cell>
          <cell r="AN26">
            <v>0.16927299950091498</v>
          </cell>
          <cell r="AR26">
            <v>0.17652702270546849</v>
          </cell>
          <cell r="AT26">
            <v>0.17</v>
          </cell>
          <cell r="AV26">
            <v>0.16750000000000001</v>
          </cell>
          <cell r="AX26">
            <v>0.16500000000000001</v>
          </cell>
          <cell r="AZ26">
            <v>0.16955454951933827</v>
          </cell>
        </row>
        <row r="27">
          <cell r="B27" t="str">
            <v xml:space="preserve">   R&amp;D</v>
          </cell>
          <cell r="C27">
            <v>203.4</v>
          </cell>
          <cell r="D27">
            <v>233.6</v>
          </cell>
          <cell r="E27">
            <v>312.60000000000002</v>
          </cell>
          <cell r="F27">
            <v>367</v>
          </cell>
          <cell r="G27">
            <v>1116.5999999999999</v>
          </cell>
          <cell r="I27">
            <v>351.3</v>
          </cell>
          <cell r="K27">
            <v>393.7</v>
          </cell>
          <cell r="M27">
            <v>407.5</v>
          </cell>
          <cell r="O27">
            <v>502.9</v>
          </cell>
          <cell r="Q27">
            <v>1655.4</v>
          </cell>
          <cell r="T27">
            <v>432.9</v>
          </cell>
          <cell r="U27">
            <v>0.23228010247651576</v>
          </cell>
          <cell r="V27">
            <v>460.4</v>
          </cell>
          <cell r="W27">
            <v>0.16941833883667767</v>
          </cell>
          <cell r="X27">
            <v>495</v>
          </cell>
          <cell r="Y27">
            <v>0.21472392638036819</v>
          </cell>
          <cell r="Z27">
            <v>608</v>
          </cell>
          <cell r="AA27">
            <v>0.20898787035195876</v>
          </cell>
          <cell r="AB27">
            <v>1996.3</v>
          </cell>
          <cell r="AC27">
            <v>0.20593210100277859</v>
          </cell>
          <cell r="AF27">
            <v>521</v>
          </cell>
          <cell r="AG27">
            <v>0.20351120351120366</v>
          </cell>
          <cell r="AH27">
            <v>564</v>
          </cell>
          <cell r="AI27">
            <v>0.22502172024326672</v>
          </cell>
          <cell r="AJ27">
            <v>559</v>
          </cell>
          <cell r="AK27">
            <v>0.12929292929292924</v>
          </cell>
          <cell r="AL27">
            <v>658</v>
          </cell>
          <cell r="AM27">
            <v>8.2236842105263053E-2</v>
          </cell>
          <cell r="AN27">
            <v>2302</v>
          </cell>
          <cell r="AO27">
            <v>0.15313329659870756</v>
          </cell>
          <cell r="AR27">
            <v>624</v>
          </cell>
          <cell r="AS27">
            <v>0.19769673704414581</v>
          </cell>
          <cell r="AT27">
            <v>725</v>
          </cell>
          <cell r="AU27">
            <v>0.28546099290780136</v>
          </cell>
          <cell r="AV27">
            <v>785</v>
          </cell>
          <cell r="AW27">
            <v>0.40429338103756707</v>
          </cell>
          <cell r="AX27">
            <v>875</v>
          </cell>
          <cell r="AY27">
            <v>0.32978723404255317</v>
          </cell>
          <cell r="AZ27">
            <v>3009</v>
          </cell>
          <cell r="BA27">
            <v>0.30712423979148573</v>
          </cell>
        </row>
        <row r="28">
          <cell r="B28" t="str">
            <v xml:space="preserve">   % of Total Revenues</v>
          </cell>
          <cell r="G28">
            <v>0.20217273221075502</v>
          </cell>
          <cell r="Q28">
            <v>0.19810914313068456</v>
          </cell>
          <cell r="T28">
            <v>0.18476312419974392</v>
          </cell>
          <cell r="V28">
            <v>0.17811133892993924</v>
          </cell>
          <cell r="X28">
            <v>0.18245484703280501</v>
          </cell>
          <cell r="Z28">
            <v>0.20900653145410794</v>
          </cell>
          <cell r="AB28">
            <v>0.18922454241272429</v>
          </cell>
          <cell r="AF28">
            <v>0.18390398870455349</v>
          </cell>
          <cell r="AH28">
            <v>0.17780580075662042</v>
          </cell>
          <cell r="AJ28">
            <v>0.17712294043092522</v>
          </cell>
          <cell r="AL28">
            <v>0.20116172424335066</v>
          </cell>
          <cell r="AN28">
            <v>0.18519710378117457</v>
          </cell>
          <cell r="AR28">
            <v>0.19396953683556109</v>
          </cell>
          <cell r="AT28">
            <v>0.21367521367521367</v>
          </cell>
          <cell r="AV28">
            <v>0.22345573583831482</v>
          </cell>
          <cell r="AX28">
            <v>0.23933260393873085</v>
          </cell>
          <cell r="AZ28">
            <v>0.21837578924450252</v>
          </cell>
        </row>
        <row r="29">
          <cell r="B29" t="str">
            <v xml:space="preserve">   SG&amp;A</v>
          </cell>
          <cell r="C29">
            <v>245.8</v>
          </cell>
          <cell r="D29">
            <v>320.5</v>
          </cell>
          <cell r="E29">
            <v>394.9</v>
          </cell>
          <cell r="F29">
            <v>500.9</v>
          </cell>
          <cell r="G29">
            <v>1462.1</v>
          </cell>
          <cell r="I29">
            <v>390.1</v>
          </cell>
          <cell r="K29">
            <v>453.5</v>
          </cell>
          <cell r="M29">
            <v>483</v>
          </cell>
          <cell r="O29">
            <v>626</v>
          </cell>
          <cell r="Q29">
            <v>1952.6</v>
          </cell>
          <cell r="T29">
            <v>512.4</v>
          </cell>
          <cell r="U29">
            <v>0.31350935657523693</v>
          </cell>
          <cell r="V29">
            <v>586.70000000000005</v>
          </cell>
          <cell r="W29">
            <v>0.29371554575523717</v>
          </cell>
          <cell r="X29">
            <v>635</v>
          </cell>
          <cell r="Y29">
            <v>0.31469979296066253</v>
          </cell>
          <cell r="Z29">
            <v>813</v>
          </cell>
          <cell r="AA29">
            <v>0.29872204472843444</v>
          </cell>
          <cell r="AB29">
            <v>2547.1</v>
          </cell>
          <cell r="AC29">
            <v>0.30446584041790437</v>
          </cell>
          <cell r="AF29">
            <v>577</v>
          </cell>
          <cell r="AG29">
            <v>0.12607338017174086</v>
          </cell>
          <cell r="AH29">
            <v>646</v>
          </cell>
          <cell r="AI29">
            <v>0.10107380262485077</v>
          </cell>
          <cell r="AJ29">
            <v>656</v>
          </cell>
          <cell r="AK29">
            <v>3.3070866141732269E-2</v>
          </cell>
          <cell r="AL29">
            <v>913</v>
          </cell>
          <cell r="AM29">
            <v>0.12300123001230023</v>
          </cell>
          <cell r="AN29">
            <v>2792</v>
          </cell>
          <cell r="AO29">
            <v>9.6148561108711839E-2</v>
          </cell>
          <cell r="AR29">
            <v>652</v>
          </cell>
          <cell r="AS29">
            <v>0.12998266897746968</v>
          </cell>
          <cell r="AT29">
            <v>695.56499999999994</v>
          </cell>
          <cell r="AU29">
            <v>7.6726006191950358E-2</v>
          </cell>
          <cell r="AV29">
            <v>772.86</v>
          </cell>
          <cell r="AW29">
            <v>0.1781402439024391</v>
          </cell>
          <cell r="AX29">
            <v>906.68799999999999</v>
          </cell>
          <cell r="AY29">
            <v>-6.9134720700986252E-3</v>
          </cell>
          <cell r="AZ29">
            <v>3027.1130000000003</v>
          </cell>
          <cell r="BA29">
            <v>8.4209527220630465E-2</v>
          </cell>
        </row>
        <row r="30">
          <cell r="B30" t="str">
            <v xml:space="preserve">   % of Total Revenues</v>
          </cell>
          <cell r="G30">
            <v>0.26472931377874342</v>
          </cell>
          <cell r="Q30">
            <v>0.23367640019147917</v>
          </cell>
          <cell r="T30">
            <v>0.21869398207426374</v>
          </cell>
          <cell r="V30">
            <v>0.22697202986575885</v>
          </cell>
          <cell r="X30">
            <v>0.23405823811279028</v>
          </cell>
          <cell r="Z30">
            <v>0.27947748367136471</v>
          </cell>
          <cell r="AB30">
            <v>0.2414335680906928</v>
          </cell>
          <cell r="AF30">
            <v>0.20367102012001412</v>
          </cell>
          <cell r="AH30">
            <v>0.20365699873896595</v>
          </cell>
          <cell r="AJ30">
            <v>0.20785804816223066</v>
          </cell>
          <cell r="AL30">
            <v>0.27911953531030265</v>
          </cell>
          <cell r="AN30">
            <v>0.2246178600160901</v>
          </cell>
          <cell r="AR30">
            <v>0.20267329810382345</v>
          </cell>
          <cell r="AT30">
            <v>0.20499999999999999</v>
          </cell>
          <cell r="AV30">
            <v>0.22</v>
          </cell>
          <cell r="AX30">
            <v>0.248</v>
          </cell>
          <cell r="AZ30">
            <v>0.21969032585819001</v>
          </cell>
        </row>
        <row r="31">
          <cell r="B31" t="str">
            <v xml:space="preserve">   Loss of Affiliates, Net</v>
          </cell>
          <cell r="C31">
            <v>-1.7</v>
          </cell>
          <cell r="D31">
            <v>-1.7</v>
          </cell>
          <cell r="E31">
            <v>-3.4</v>
          </cell>
          <cell r="F31">
            <v>-5.8</v>
          </cell>
          <cell r="G31">
            <v>-12.6</v>
          </cell>
          <cell r="I31">
            <v>-9.6</v>
          </cell>
          <cell r="K31">
            <v>-12.3</v>
          </cell>
          <cell r="M31">
            <v>36.200000000000003</v>
          </cell>
          <cell r="O31">
            <v>-10</v>
          </cell>
          <cell r="Q31">
            <v>4.3000000000000043</v>
          </cell>
          <cell r="T31">
            <v>0</v>
          </cell>
          <cell r="U31">
            <v>-1</v>
          </cell>
          <cell r="V31">
            <v>0</v>
          </cell>
          <cell r="W31">
            <v>-1</v>
          </cell>
          <cell r="X31">
            <v>0</v>
          </cell>
          <cell r="Y31">
            <v>-1</v>
          </cell>
          <cell r="Z31">
            <v>0</v>
          </cell>
          <cell r="AA31">
            <v>-1</v>
          </cell>
          <cell r="AB31">
            <v>0</v>
          </cell>
          <cell r="AC31">
            <v>-1</v>
          </cell>
          <cell r="AF31">
            <v>0</v>
          </cell>
          <cell r="AH31">
            <v>0</v>
          </cell>
          <cell r="AJ31">
            <v>0</v>
          </cell>
          <cell r="AL31">
            <v>0</v>
          </cell>
          <cell r="AN31">
            <v>0</v>
          </cell>
          <cell r="AR31">
            <v>0</v>
          </cell>
          <cell r="AT31">
            <v>0</v>
          </cell>
          <cell r="AV31">
            <v>0</v>
          </cell>
          <cell r="AX31">
            <v>0</v>
          </cell>
          <cell r="AZ31">
            <v>0</v>
          </cell>
        </row>
        <row r="32">
          <cell r="B32" t="str">
            <v xml:space="preserve">   Other </v>
          </cell>
          <cell r="C32">
            <v>0</v>
          </cell>
          <cell r="D32">
            <v>0</v>
          </cell>
          <cell r="E32">
            <v>-35.5</v>
          </cell>
          <cell r="F32">
            <v>0</v>
          </cell>
          <cell r="G32">
            <v>0</v>
          </cell>
          <cell r="K32">
            <v>-24</v>
          </cell>
          <cell r="Q32">
            <v>-24</v>
          </cell>
          <cell r="T32">
            <v>0</v>
          </cell>
          <cell r="V32">
            <v>0</v>
          </cell>
          <cell r="X32">
            <v>0</v>
          </cell>
          <cell r="Z32">
            <v>0</v>
          </cell>
          <cell r="AB32">
            <v>0</v>
          </cell>
          <cell r="AF32">
            <v>0</v>
          </cell>
          <cell r="AH32">
            <v>0</v>
          </cell>
          <cell r="AJ32">
            <v>0</v>
          </cell>
          <cell r="AL32">
            <v>0</v>
          </cell>
          <cell r="AN32">
            <v>0</v>
          </cell>
          <cell r="AR32">
            <v>0</v>
          </cell>
          <cell r="AT32">
            <v>0</v>
          </cell>
          <cell r="AV32">
            <v>0</v>
          </cell>
          <cell r="AX32">
            <v>0</v>
          </cell>
          <cell r="AZ32">
            <v>0</v>
          </cell>
        </row>
        <row r="33">
          <cell r="B33" t="str">
            <v xml:space="preserve">   Options Expense</v>
          </cell>
        </row>
        <row r="34">
          <cell r="B34" t="str">
            <v>Total Operating Expenses</v>
          </cell>
          <cell r="C34">
            <v>551.1</v>
          </cell>
          <cell r="D34">
            <v>684.3</v>
          </cell>
          <cell r="E34">
            <v>895</v>
          </cell>
          <cell r="F34">
            <v>1140.5</v>
          </cell>
          <cell r="G34">
            <v>3461.6</v>
          </cell>
          <cell r="I34">
            <v>1015.1</v>
          </cell>
          <cell r="K34">
            <v>1140</v>
          </cell>
          <cell r="M34">
            <v>1266.7</v>
          </cell>
          <cell r="O34">
            <v>1507.2</v>
          </cell>
          <cell r="Q34">
            <v>4929.0000000000009</v>
          </cell>
          <cell r="T34">
            <v>1316.8</v>
          </cell>
          <cell r="U34">
            <v>0.76491086985658807</v>
          </cell>
          <cell r="V34">
            <v>1482.1</v>
          </cell>
          <cell r="W34">
            <v>0.64476750638108937</v>
          </cell>
          <cell r="X34">
            <v>1577</v>
          </cell>
          <cell r="Y34">
            <v>0.67641118316147453</v>
          </cell>
          <cell r="Z34">
            <v>1897</v>
          </cell>
          <cell r="AA34">
            <v>1.2607555714455962</v>
          </cell>
          <cell r="AB34">
            <v>6272.9</v>
          </cell>
          <cell r="AC34">
            <v>0.83043478260869508</v>
          </cell>
          <cell r="AF34">
            <v>1587</v>
          </cell>
          <cell r="AG34">
            <v>0.20519441069258804</v>
          </cell>
          <cell r="AH34">
            <v>1740</v>
          </cell>
          <cell r="AI34">
            <v>0.17400985088725474</v>
          </cell>
          <cell r="AJ34">
            <v>1720</v>
          </cell>
          <cell r="AK34">
            <v>9.0678503487634732E-2</v>
          </cell>
          <cell r="AL34">
            <v>2082</v>
          </cell>
          <cell r="AM34">
            <v>9.7522403795466506E-2</v>
          </cell>
          <cell r="AN34">
            <v>7129</v>
          </cell>
          <cell r="AO34">
            <v>0.13647595211146357</v>
          </cell>
          <cell r="AR34">
            <v>1828</v>
          </cell>
          <cell r="AS34">
            <v>0.15185885318210457</v>
          </cell>
          <cell r="AT34">
            <v>1982.0749999999998</v>
          </cell>
          <cell r="AU34">
            <v>0.1391235632183907</v>
          </cell>
          <cell r="AV34">
            <v>2131.2125000000001</v>
          </cell>
          <cell r="AW34">
            <v>0.23907703488372101</v>
          </cell>
          <cell r="AX34">
            <v>2370.078</v>
          </cell>
          <cell r="AY34">
            <v>0.13836599423631113</v>
          </cell>
          <cell r="AZ34">
            <v>8311.3654999999999</v>
          </cell>
          <cell r="BA34">
            <v>0.16585292467386736</v>
          </cell>
        </row>
        <row r="35">
          <cell r="B35" t="str">
            <v xml:space="preserve">Operating Income (Loss) </v>
          </cell>
          <cell r="C35">
            <v>457.4</v>
          </cell>
          <cell r="D35">
            <v>564.80000000000018</v>
          </cell>
          <cell r="E35">
            <v>604.29999999999995</v>
          </cell>
          <cell r="F35">
            <v>625.59999999999991</v>
          </cell>
          <cell r="G35">
            <v>2061.4</v>
          </cell>
          <cell r="I35">
            <v>746.0999999999998</v>
          </cell>
          <cell r="K35">
            <v>901.10000000000014</v>
          </cell>
          <cell r="M35">
            <v>940.7000000000005</v>
          </cell>
          <cell r="O35">
            <v>839.10000000000014</v>
          </cell>
          <cell r="Q35">
            <v>3427.0000000000009</v>
          </cell>
          <cell r="T35">
            <v>1026.2</v>
          </cell>
          <cell r="U35">
            <v>0.3754188446588933</v>
          </cell>
          <cell r="V35">
            <v>1102.8000000000002</v>
          </cell>
          <cell r="W35">
            <v>0.22383753190544886</v>
          </cell>
          <cell r="X35">
            <v>1136</v>
          </cell>
          <cell r="Y35">
            <v>0.20761135324758095</v>
          </cell>
          <cell r="Z35">
            <v>1012</v>
          </cell>
          <cell r="AA35">
            <v>0.20605410558932169</v>
          </cell>
          <cell r="AB35">
            <v>4277</v>
          </cell>
          <cell r="AC35">
            <v>0.24803034724248585</v>
          </cell>
          <cell r="AF35">
            <v>1246</v>
          </cell>
          <cell r="AG35">
            <v>0.2141882673942701</v>
          </cell>
          <cell r="AH35">
            <v>1432</v>
          </cell>
          <cell r="AI35">
            <v>0.29851287631483481</v>
          </cell>
          <cell r="AJ35">
            <v>1436</v>
          </cell>
          <cell r="AK35">
            <v>0.2640845070422535</v>
          </cell>
          <cell r="AL35">
            <v>1189</v>
          </cell>
          <cell r="AM35">
            <v>0.17490118577075098</v>
          </cell>
          <cell r="AN35">
            <v>5301</v>
          </cell>
          <cell r="AO35">
            <v>0.23942015431377128</v>
          </cell>
          <cell r="AR35">
            <v>1389</v>
          </cell>
          <cell r="AS35">
            <v>0.1147672552166934</v>
          </cell>
          <cell r="AT35">
            <v>1410.9250000000002</v>
          </cell>
          <cell r="AU35">
            <v>-1.4717178770949579E-2</v>
          </cell>
          <cell r="AV35">
            <v>1381.7874999999999</v>
          </cell>
          <cell r="AW35">
            <v>-3.7752437325905386E-2</v>
          </cell>
          <cell r="AX35">
            <v>1285.922</v>
          </cell>
          <cell r="AY35">
            <v>8.1515559293523943E-2</v>
          </cell>
          <cell r="AZ35">
            <v>5467.6345000000001</v>
          </cell>
          <cell r="BA35">
            <v>3.143454065270701E-2</v>
          </cell>
        </row>
        <row r="36">
          <cell r="B36" t="str">
            <v xml:space="preserve">   Interest, Other Income</v>
          </cell>
          <cell r="C36">
            <v>43.7</v>
          </cell>
          <cell r="D36">
            <v>45.5</v>
          </cell>
          <cell r="E36">
            <v>23.7</v>
          </cell>
          <cell r="F36">
            <v>31.299999999999983</v>
          </cell>
          <cell r="G36">
            <v>144.19999999999999</v>
          </cell>
          <cell r="I36">
            <v>32.799999999999997</v>
          </cell>
          <cell r="K36">
            <v>40.4</v>
          </cell>
          <cell r="M36">
            <v>17.2</v>
          </cell>
          <cell r="O36">
            <v>23</v>
          </cell>
          <cell r="Q36">
            <v>113.39999999999999</v>
          </cell>
          <cell r="T36">
            <v>28.6</v>
          </cell>
          <cell r="U36">
            <v>-0.12804878048780477</v>
          </cell>
          <cell r="V36">
            <v>17.600000000000001</v>
          </cell>
          <cell r="W36">
            <v>-0.5643564356435643</v>
          </cell>
          <cell r="X36">
            <v>22.5</v>
          </cell>
          <cell r="Y36">
            <v>0.30813953488372103</v>
          </cell>
          <cell r="Z36">
            <v>31</v>
          </cell>
          <cell r="AA36">
            <v>0.34782608695652173</v>
          </cell>
          <cell r="AB36">
            <v>99.7</v>
          </cell>
          <cell r="AC36">
            <v>-0.120811287477954</v>
          </cell>
          <cell r="AF36">
            <v>45</v>
          </cell>
          <cell r="AH36">
            <v>20</v>
          </cell>
          <cell r="AJ36">
            <v>48</v>
          </cell>
          <cell r="AL36">
            <v>44</v>
          </cell>
          <cell r="AN36">
            <v>157</v>
          </cell>
          <cell r="AR36">
            <v>114</v>
          </cell>
          <cell r="AT36">
            <v>80</v>
          </cell>
          <cell r="AV36">
            <v>70</v>
          </cell>
          <cell r="AX36">
            <v>65</v>
          </cell>
          <cell r="AZ36">
            <v>329</v>
          </cell>
        </row>
        <row r="37">
          <cell r="B37" t="str">
            <v xml:space="preserve">   Interest, Other Expense</v>
          </cell>
          <cell r="C37">
            <v>-7</v>
          </cell>
          <cell r="D37">
            <v>-12.7</v>
          </cell>
          <cell r="E37">
            <v>-11.6</v>
          </cell>
          <cell r="F37">
            <v>-12.900000000000002</v>
          </cell>
          <cell r="G37">
            <v>-44.2</v>
          </cell>
          <cell r="I37">
            <v>-6.9</v>
          </cell>
          <cell r="K37">
            <v>-8.8000000000000007</v>
          </cell>
          <cell r="M37">
            <v>-7.8</v>
          </cell>
          <cell r="O37">
            <v>-8</v>
          </cell>
          <cell r="Q37">
            <v>-31.5</v>
          </cell>
          <cell r="T37">
            <v>-7.5</v>
          </cell>
          <cell r="U37">
            <v>8.6956521739130377E-2</v>
          </cell>
          <cell r="V37">
            <v>-7.5</v>
          </cell>
          <cell r="W37">
            <v>-0.14772727272727282</v>
          </cell>
          <cell r="X37">
            <v>-7.5</v>
          </cell>
          <cell r="Y37">
            <v>-3.8461538461538436E-2</v>
          </cell>
          <cell r="Z37">
            <v>-30</v>
          </cell>
          <cell r="AA37">
            <v>2.75</v>
          </cell>
          <cell r="AB37">
            <v>-52.5</v>
          </cell>
          <cell r="AC37">
            <v>0.66666666666666674</v>
          </cell>
          <cell r="AF37">
            <v>-35</v>
          </cell>
          <cell r="AH37">
            <v>-34</v>
          </cell>
          <cell r="AJ37">
            <v>-34</v>
          </cell>
          <cell r="AL37">
            <v>-34</v>
          </cell>
          <cell r="AN37">
            <v>-137</v>
          </cell>
          <cell r="AR37">
            <v>-34</v>
          </cell>
          <cell r="AT37">
            <v>-34</v>
          </cell>
          <cell r="AV37">
            <v>-34</v>
          </cell>
          <cell r="AX37">
            <v>-34</v>
          </cell>
          <cell r="AZ37">
            <v>-136</v>
          </cell>
        </row>
        <row r="38">
          <cell r="B38" t="str">
            <v xml:space="preserve">  One-Time Gains / (Charges)</v>
          </cell>
          <cell r="C38">
            <v>0</v>
          </cell>
          <cell r="D38">
            <v>0</v>
          </cell>
          <cell r="E38">
            <v>-2991.8</v>
          </cell>
          <cell r="F38">
            <v>0</v>
          </cell>
          <cell r="G38">
            <v>-2991.8</v>
          </cell>
          <cell r="I38" t="e">
            <v>#REF!</v>
          </cell>
          <cell r="K38" t="e">
            <v>#REF!</v>
          </cell>
          <cell r="M38" t="e">
            <v>#REF!</v>
          </cell>
          <cell r="O38" t="e">
            <v>#REF!</v>
          </cell>
          <cell r="Q38" t="e">
            <v>#REF!</v>
          </cell>
          <cell r="V38">
            <v>0</v>
          </cell>
          <cell r="X38">
            <v>0</v>
          </cell>
          <cell r="AH38">
            <v>0</v>
          </cell>
          <cell r="AJ38">
            <v>0</v>
          </cell>
          <cell r="AO38" t="e">
            <v>#DIV/0!</v>
          </cell>
          <cell r="AT38">
            <v>0</v>
          </cell>
          <cell r="AV38">
            <v>0</v>
          </cell>
          <cell r="BA38" t="e">
            <v>#DIV/0!</v>
          </cell>
        </row>
        <row r="39">
          <cell r="B39" t="str">
            <v xml:space="preserve">  Other Adjustments</v>
          </cell>
          <cell r="E39">
            <v>-11.5</v>
          </cell>
          <cell r="F39">
            <v>-36.5</v>
          </cell>
          <cell r="G39">
            <v>-48</v>
          </cell>
          <cell r="I39" t="e">
            <v>#REF!</v>
          </cell>
          <cell r="K39" t="e">
            <v>#REF!</v>
          </cell>
          <cell r="M39" t="e">
            <v>#REF!</v>
          </cell>
          <cell r="O39" t="e">
            <v>#REF!</v>
          </cell>
          <cell r="Q39" t="e">
            <v>#REF!</v>
          </cell>
          <cell r="T39">
            <v>0</v>
          </cell>
          <cell r="V39">
            <v>0</v>
          </cell>
          <cell r="X39">
            <v>0</v>
          </cell>
          <cell r="Z39">
            <v>0</v>
          </cell>
          <cell r="AB39">
            <v>0</v>
          </cell>
          <cell r="AF39">
            <v>0</v>
          </cell>
          <cell r="AH39">
            <v>0</v>
          </cell>
          <cell r="AJ39">
            <v>0</v>
          </cell>
          <cell r="AL39">
            <v>0</v>
          </cell>
          <cell r="AN39">
            <v>0</v>
          </cell>
          <cell r="AO39" t="e">
            <v>#DIV/0!</v>
          </cell>
          <cell r="AR39">
            <v>0</v>
          </cell>
          <cell r="AT39">
            <v>0</v>
          </cell>
          <cell r="AV39">
            <v>0</v>
          </cell>
          <cell r="AX39">
            <v>0</v>
          </cell>
          <cell r="AZ39">
            <v>0</v>
          </cell>
          <cell r="BA39" t="e">
            <v>#DIV/0!</v>
          </cell>
        </row>
        <row r="40">
          <cell r="B40" t="str">
            <v xml:space="preserve">Pretax Income (Loss) </v>
          </cell>
          <cell r="C40">
            <v>494.09999999999997</v>
          </cell>
          <cell r="D40">
            <v>597.60000000000014</v>
          </cell>
          <cell r="E40">
            <v>616.4</v>
          </cell>
          <cell r="F40">
            <v>643.99999999999989</v>
          </cell>
          <cell r="G40">
            <v>2161.4</v>
          </cell>
          <cell r="I40">
            <v>771.99999999999977</v>
          </cell>
          <cell r="K40">
            <v>932.70000000000016</v>
          </cell>
          <cell r="M40">
            <v>950.10000000000059</v>
          </cell>
          <cell r="O40">
            <v>854.10000000000014</v>
          </cell>
          <cell r="Q40">
            <v>3508.900000000001</v>
          </cell>
          <cell r="T40">
            <v>1047.3</v>
          </cell>
          <cell r="U40">
            <v>0.35660621761658073</v>
          </cell>
          <cell r="V40">
            <v>1112.9000000000001</v>
          </cell>
          <cell r="W40">
            <v>0.19320253028840995</v>
          </cell>
          <cell r="X40">
            <v>1151</v>
          </cell>
          <cell r="Y40">
            <v>0.21145142616566592</v>
          </cell>
          <cell r="Z40">
            <v>1013</v>
          </cell>
          <cell r="AA40">
            <v>0.18604378878351469</v>
          </cell>
          <cell r="AB40">
            <v>4324.2</v>
          </cell>
          <cell r="AC40">
            <v>0.23235201915130066</v>
          </cell>
          <cell r="AF40">
            <v>1256</v>
          </cell>
          <cell r="AG40">
            <v>0.19927432445335636</v>
          </cell>
          <cell r="AH40">
            <v>1418</v>
          </cell>
          <cell r="AI40">
            <v>0.27414862072063961</v>
          </cell>
          <cell r="AJ40">
            <v>1450</v>
          </cell>
          <cell r="AK40">
            <v>0.2597741094700261</v>
          </cell>
          <cell r="AL40">
            <v>1199</v>
          </cell>
          <cell r="AM40">
            <v>0.18361303060217171</v>
          </cell>
          <cell r="AN40">
            <v>5321</v>
          </cell>
          <cell r="AO40">
            <v>0.23051662735303635</v>
          </cell>
          <cell r="AR40">
            <v>1469</v>
          </cell>
          <cell r="AS40">
            <v>0.16958598726114649</v>
          </cell>
          <cell r="AT40">
            <v>1456.9250000000002</v>
          </cell>
          <cell r="AU40">
            <v>2.7450634696756016E-2</v>
          </cell>
          <cell r="AV40">
            <v>1417.7874999999999</v>
          </cell>
          <cell r="AW40">
            <v>-2.2215517241379379E-2</v>
          </cell>
          <cell r="AX40">
            <v>1316.922</v>
          </cell>
          <cell r="AY40">
            <v>9.8350291909925058E-2</v>
          </cell>
          <cell r="AZ40">
            <v>5660.6345000000001</v>
          </cell>
          <cell r="BA40">
            <v>6.3829073482428056E-2</v>
          </cell>
        </row>
        <row r="41">
          <cell r="B41" t="str">
            <v xml:space="preserve">   Provision For Income Taxes</v>
          </cell>
          <cell r="C41">
            <v>153.19999999999999</v>
          </cell>
          <cell r="D41">
            <v>185.2</v>
          </cell>
          <cell r="E41">
            <v>155.6</v>
          </cell>
          <cell r="F41">
            <v>172.7</v>
          </cell>
          <cell r="G41">
            <v>707.4</v>
          </cell>
          <cell r="I41">
            <v>194.8</v>
          </cell>
          <cell r="K41">
            <v>241.5</v>
          </cell>
          <cell r="M41">
            <v>254.1</v>
          </cell>
          <cell r="O41">
            <v>223.2</v>
          </cell>
          <cell r="Q41">
            <v>913.59999999999991</v>
          </cell>
          <cell r="T41">
            <v>295</v>
          </cell>
          <cell r="U41">
            <v>0.51437371663244336</v>
          </cell>
          <cell r="V41">
            <v>304.3</v>
          </cell>
          <cell r="W41">
            <v>0.26004140786749486</v>
          </cell>
          <cell r="X41">
            <v>312</v>
          </cell>
          <cell r="Y41">
            <v>0.22786304604486429</v>
          </cell>
          <cell r="Z41">
            <v>264</v>
          </cell>
          <cell r="AA41">
            <v>0.18279569892473124</v>
          </cell>
          <cell r="AB41">
            <v>1175.3</v>
          </cell>
          <cell r="AC41">
            <v>0.28644921190893169</v>
          </cell>
          <cell r="AF41">
            <v>332</v>
          </cell>
          <cell r="AG41">
            <v>0.12542372881355934</v>
          </cell>
          <cell r="AH41">
            <v>314</v>
          </cell>
          <cell r="AI41">
            <v>3.1876437725928408E-2</v>
          </cell>
          <cell r="AJ41">
            <v>381</v>
          </cell>
          <cell r="AK41">
            <v>0.22115384615384626</v>
          </cell>
          <cell r="AL41">
            <v>271</v>
          </cell>
          <cell r="AM41">
            <v>2.6515151515151603E-2</v>
          </cell>
          <cell r="AN41">
            <v>1298</v>
          </cell>
          <cell r="AO41">
            <v>0.10439887688249816</v>
          </cell>
          <cell r="AR41">
            <v>368</v>
          </cell>
          <cell r="AS41">
            <v>0.10843373493975905</v>
          </cell>
          <cell r="AT41">
            <v>331.45043750000008</v>
          </cell>
          <cell r="AU41">
            <v>5.5574641719745577E-2</v>
          </cell>
          <cell r="AV41">
            <v>326.09112499999998</v>
          </cell>
          <cell r="AW41">
            <v>-0.14411778215223103</v>
          </cell>
          <cell r="AX41">
            <v>299.59975500000002</v>
          </cell>
          <cell r="AY41">
            <v>0.10553415129151289</v>
          </cell>
          <cell r="AZ41">
            <v>1325.1413175</v>
          </cell>
          <cell r="BA41">
            <v>2.0910105932203438E-2</v>
          </cell>
        </row>
        <row r="42">
          <cell r="B42" t="str">
            <v xml:space="preserve">   Effective Tax Rate</v>
          </cell>
          <cell r="C42">
            <v>0.3100586925723538</v>
          </cell>
          <cell r="D42">
            <v>0.30990629183400259</v>
          </cell>
          <cell r="E42">
            <v>0.25243348475016225</v>
          </cell>
          <cell r="F42">
            <v>0.26816770186335409</v>
          </cell>
          <cell r="G42">
            <v>0.32728786897381323</v>
          </cell>
          <cell r="I42">
            <v>0.25233160621761669</v>
          </cell>
          <cell r="K42">
            <v>0.25892569958185907</v>
          </cell>
          <cell r="M42">
            <v>0.26744553204925781</v>
          </cell>
          <cell r="O42">
            <v>0.26132771338250788</v>
          </cell>
          <cell r="Q42">
            <v>0.26036649662287314</v>
          </cell>
          <cell r="T42">
            <v>0.2816766924472453</v>
          </cell>
          <cell r="V42">
            <v>0.27342977805732771</v>
          </cell>
          <cell r="X42">
            <v>0.27106863596872283</v>
          </cell>
          <cell r="Z42">
            <v>0.26061204343534056</v>
          </cell>
          <cell r="AB42">
            <v>0.27179593913325006</v>
          </cell>
          <cell r="AF42">
            <v>0.2643312101910828</v>
          </cell>
          <cell r="AH42">
            <v>0.22143864598025387</v>
          </cell>
          <cell r="AJ42">
            <v>0.26275862068965516</v>
          </cell>
          <cell r="AL42">
            <v>0.22602168473728107</v>
          </cell>
          <cell r="AN42">
            <v>0.24393910919000189</v>
          </cell>
          <cell r="AR42">
            <v>0.25051055139550715</v>
          </cell>
          <cell r="AT42">
            <v>0.22750000000000001</v>
          </cell>
          <cell r="AV42">
            <v>0.23</v>
          </cell>
          <cell r="AX42">
            <v>0.22750000000000001</v>
          </cell>
          <cell r="AZ42">
            <v>0.2340976647582528</v>
          </cell>
          <cell r="BB42" t="str">
            <v>&lt;24%</v>
          </cell>
        </row>
        <row r="43">
          <cell r="B43" t="str">
            <v>Net Income (Loss), pro forma</v>
          </cell>
          <cell r="C43">
            <v>340.9</v>
          </cell>
          <cell r="D43">
            <v>412.40000000000015</v>
          </cell>
          <cell r="E43">
            <v>460.79999999999995</v>
          </cell>
          <cell r="F43">
            <v>471.2999999999999</v>
          </cell>
          <cell r="G43">
            <v>1454</v>
          </cell>
          <cell r="I43">
            <v>577.19999999999982</v>
          </cell>
          <cell r="K43">
            <v>691.20000000000016</v>
          </cell>
          <cell r="M43">
            <v>696.00000000000057</v>
          </cell>
          <cell r="O43">
            <v>630.90000000000009</v>
          </cell>
          <cell r="Q43">
            <v>2595.3000000000011</v>
          </cell>
          <cell r="T43">
            <v>752.3</v>
          </cell>
          <cell r="U43">
            <v>0.30336105336105379</v>
          </cell>
          <cell r="V43">
            <v>808.60000000000014</v>
          </cell>
          <cell r="W43">
            <v>0.16984953703703698</v>
          </cell>
          <cell r="X43">
            <v>839</v>
          </cell>
          <cell r="Y43">
            <v>0.20545977011494165</v>
          </cell>
          <cell r="Z43">
            <v>749</v>
          </cell>
          <cell r="AA43">
            <v>0.18719289903312708</v>
          </cell>
          <cell r="AB43">
            <v>3148.8999999999996</v>
          </cell>
          <cell r="AC43">
            <v>0.21330867337109316</v>
          </cell>
          <cell r="AF43">
            <v>924</v>
          </cell>
          <cell r="AG43">
            <v>0.22823341751960657</v>
          </cell>
          <cell r="AH43">
            <v>1104</v>
          </cell>
          <cell r="AI43">
            <v>0.36532278011377661</v>
          </cell>
          <cell r="AJ43">
            <v>1069</v>
          </cell>
          <cell r="AK43">
            <v>0.27413587604290823</v>
          </cell>
          <cell r="AL43">
            <v>928</v>
          </cell>
          <cell r="AM43">
            <v>0.23898531375166887</v>
          </cell>
          <cell r="AN43">
            <v>4023</v>
          </cell>
          <cell r="AO43">
            <v>0.27758899933310066</v>
          </cell>
          <cell r="AR43">
            <v>1101</v>
          </cell>
          <cell r="AS43">
            <v>0.19155844155844148</v>
          </cell>
          <cell r="AT43">
            <v>1125.4745625</v>
          </cell>
          <cell r="AU43">
            <v>1.9451596467391363E-2</v>
          </cell>
          <cell r="AV43">
            <v>1091.696375</v>
          </cell>
          <cell r="AW43">
            <v>2.123140785781108E-2</v>
          </cell>
          <cell r="AX43">
            <v>1017.3222450000001</v>
          </cell>
          <cell r="AY43">
            <v>9.6252419181034554E-2</v>
          </cell>
          <cell r="AZ43">
            <v>4335.4931825000003</v>
          </cell>
          <cell r="BA43">
            <v>7.7676654859557548E-2</v>
          </cell>
        </row>
        <row r="45">
          <cell r="B45" t="str">
            <v>EPS, basic</v>
          </cell>
          <cell r="C45">
            <v>0.32665772326561904</v>
          </cell>
          <cell r="D45">
            <v>0.39707298286154458</v>
          </cell>
          <cell r="E45">
            <v>0.37110413143271315</v>
          </cell>
          <cell r="F45">
            <v>0.36654223051796542</v>
          </cell>
          <cell r="G45">
            <v>1.2605114867793672</v>
          </cell>
          <cell r="I45">
            <v>0.44726850058116996</v>
          </cell>
          <cell r="K45">
            <v>0.53668763102725381</v>
          </cell>
          <cell r="M45">
            <v>0.53978594695207116</v>
          </cell>
          <cell r="O45">
            <v>0.49081997821689749</v>
          </cell>
          <cell r="Q45">
            <v>2.0143588947531827</v>
          </cell>
          <cell r="T45">
            <v>0.58801000468969822</v>
          </cell>
          <cell r="V45">
            <v>0.63759659359722454</v>
          </cell>
          <cell r="X45">
            <v>0.65959119496855345</v>
          </cell>
          <cell r="Z45">
            <v>0.59303246239113228</v>
          </cell>
          <cell r="AB45">
            <v>2.4781804588202885</v>
          </cell>
          <cell r="AF45">
            <v>0.73979183346677346</v>
          </cell>
          <cell r="AH45">
            <v>0.89537712895377131</v>
          </cell>
          <cell r="AJ45">
            <v>0.86699107866991076</v>
          </cell>
          <cell r="AL45">
            <v>0.75508543531326278</v>
          </cell>
          <cell r="AM45">
            <v>3.2572454764037184</v>
          </cell>
          <cell r="AN45">
            <v>3.2548543689320391</v>
          </cell>
          <cell r="AR45">
            <v>0.91597337770382692</v>
          </cell>
          <cell r="AT45">
            <v>0.97029524410955836</v>
          </cell>
          <cell r="AV45">
            <v>0.95068117137336827</v>
          </cell>
          <cell r="AX45">
            <v>0.89486262735353794</v>
          </cell>
          <cell r="AZ45">
            <v>3.731777351192334</v>
          </cell>
        </row>
        <row r="46">
          <cell r="B46" t="str">
            <v>EPS, diluted</v>
          </cell>
          <cell r="C46">
            <v>0.3187350313190862</v>
          </cell>
          <cell r="D46">
            <v>0.37997702038587561</v>
          </cell>
          <cell r="E46">
            <v>0.37522650398647012</v>
          </cell>
          <cell r="F46">
            <v>0.35358375389639296</v>
          </cell>
          <cell r="G46">
            <v>1.2782618118768962</v>
          </cell>
          <cell r="I46">
            <v>0.4313791762352765</v>
          </cell>
          <cell r="K46">
            <v>0.5169404231625836</v>
          </cell>
          <cell r="M46">
            <v>0.52015635432895657</v>
          </cell>
          <cell r="O46">
            <v>0.4746408582089553</v>
          </cell>
          <cell r="Q46">
            <v>1.9433692421991091</v>
          </cell>
          <cell r="T46">
            <v>0.56841932457786115</v>
          </cell>
          <cell r="V46">
            <v>0.61752959702511956</v>
          </cell>
          <cell r="X46">
            <v>0.63948390151515144</v>
          </cell>
          <cell r="Z46">
            <v>0.57566316793893124</v>
          </cell>
          <cell r="AB46">
            <v>2.4009507215635768</v>
          </cell>
          <cell r="AF46">
            <v>0.72024709302325585</v>
          </cell>
          <cell r="AH46">
            <v>0.88400000000000001</v>
          </cell>
          <cell r="AJ46">
            <v>0.85652522017614086</v>
          </cell>
          <cell r="AL46">
            <v>0.74658085277554309</v>
          </cell>
          <cell r="AN46">
            <v>3.2027027027027026</v>
          </cell>
          <cell r="AR46">
            <v>0.90691927512355852</v>
          </cell>
          <cell r="AS46">
            <v>0.25917797365448769</v>
          </cell>
          <cell r="AT46">
            <v>0.9607041873308807</v>
          </cell>
          <cell r="AU46">
            <v>8.6769442681991826E-2</v>
          </cell>
          <cell r="AV46">
            <v>0.9412839934026267</v>
          </cell>
          <cell r="AW46">
            <v>9.8956541185156954E-2</v>
          </cell>
          <cell r="AX46">
            <v>0.8860171977586101</v>
          </cell>
          <cell r="AY46">
            <v>0.18676656984262108</v>
          </cell>
          <cell r="AZ46">
            <v>3.6698689952539394</v>
          </cell>
          <cell r="BA46">
            <v>0.14586626856030183</v>
          </cell>
          <cell r="BB46" t="str">
            <v>3.60-3.70</v>
          </cell>
        </row>
        <row r="48">
          <cell r="B48" t="str">
            <v xml:space="preserve">  Options expense</v>
          </cell>
          <cell r="AR48">
            <v>68</v>
          </cell>
          <cell r="AT48">
            <v>69.372624999999999</v>
          </cell>
          <cell r="AV48">
            <v>74.592437500000017</v>
          </cell>
          <cell r="AX48">
            <v>82.952730000000003</v>
          </cell>
          <cell r="AZ48">
            <v>294.91779250000002</v>
          </cell>
        </row>
        <row r="49">
          <cell r="B49" t="str">
            <v>% of operating expense</v>
          </cell>
          <cell r="AR49">
            <v>3.7199124726477024E-2</v>
          </cell>
          <cell r="AT49">
            <v>3.5000000000000003E-2</v>
          </cell>
          <cell r="AV49">
            <v>3.5000000000000003E-2</v>
          </cell>
          <cell r="AX49">
            <v>3.5000000000000003E-2</v>
          </cell>
          <cell r="AZ49">
            <v>3.5483675035107048E-2</v>
          </cell>
        </row>
        <row r="50">
          <cell r="B50" t="str">
            <v>Net Income (incl options exp)</v>
          </cell>
          <cell r="AR50">
            <v>1050.0347174948945</v>
          </cell>
          <cell r="AT50">
            <v>1071.8842096875001</v>
          </cell>
          <cell r="AV50">
            <v>1034.260198125</v>
          </cell>
          <cell r="AX50">
            <v>953.24126107500001</v>
          </cell>
          <cell r="AZ50">
            <v>4040.5753900000004</v>
          </cell>
        </row>
        <row r="52">
          <cell r="B52" t="str">
            <v>EPS, diluted (incl option exp)</v>
          </cell>
          <cell r="AR52">
            <v>0.8676518883415435</v>
          </cell>
          <cell r="AT52">
            <v>0.92221351610314906</v>
          </cell>
          <cell r="AV52">
            <v>0.8994791153375481</v>
          </cell>
          <cell r="AX52">
            <v>0.83905724506666113</v>
          </cell>
          <cell r="AZ52">
            <v>3.5315180425397048</v>
          </cell>
        </row>
        <row r="53">
          <cell r="B53" t="str">
            <v>EPS, Reported GAAP</v>
          </cell>
          <cell r="C53">
            <v>0.32665772326561904</v>
          </cell>
          <cell r="D53">
            <v>0.39707298286154458</v>
          </cell>
          <cell r="E53">
            <v>-2.0951920753805271</v>
          </cell>
          <cell r="F53">
            <v>0.30074661689220716</v>
          </cell>
          <cell r="G53">
            <v>-1.467706978760295</v>
          </cell>
          <cell r="I53">
            <v>0.38225493994575732</v>
          </cell>
          <cell r="K53">
            <v>0.47146517586769165</v>
          </cell>
          <cell r="M53">
            <v>0.4747169225996592</v>
          </cell>
          <cell r="O53">
            <v>0.42547067060837096</v>
          </cell>
          <cell r="Q53">
            <v>1.7537255510710965</v>
          </cell>
          <cell r="T53">
            <v>0.53947162732530862</v>
          </cell>
          <cell r="V53">
            <v>0.58989118435577992</v>
          </cell>
          <cell r="X53">
            <v>0.18600628930817609</v>
          </cell>
          <cell r="Z53">
            <v>0.54758511480601746</v>
          </cell>
          <cell r="AB53">
            <v>1.8498406327470192</v>
          </cell>
          <cell r="AF53">
            <v>0.68374699759807844</v>
          </cell>
          <cell r="AH53">
            <v>0.85482562854825628</v>
          </cell>
          <cell r="AJ53">
            <v>0.78588807785888082</v>
          </cell>
          <cell r="AL53">
            <v>0.67046379170056958</v>
          </cell>
          <cell r="AN53">
            <v>2.9724919093851132</v>
          </cell>
          <cell r="AR53">
            <v>0.8327787021630616</v>
          </cell>
          <cell r="AT53">
            <v>0.38232872888881225</v>
          </cell>
          <cell r="AV53">
            <v>0.92281463432093214</v>
          </cell>
          <cell r="AX53">
            <v>0.86671461012885487</v>
          </cell>
          <cell r="AZ53">
            <v>3.1196891571852658</v>
          </cell>
        </row>
        <row r="54">
          <cell r="B54" t="str">
            <v>EPS, Reported GAAP -Diluted</v>
          </cell>
          <cell r="C54">
            <v>0.3187350313190862</v>
          </cell>
          <cell r="D54">
            <v>0.37997702038587561</v>
          </cell>
          <cell r="E54">
            <v>-2.0910697028267697</v>
          </cell>
          <cell r="F54">
            <v>0.29079616298055505</v>
          </cell>
          <cell r="G54">
            <v>-1.4499566536627657</v>
          </cell>
          <cell r="I54">
            <v>0.36922642417956869</v>
          </cell>
          <cell r="K54">
            <v>0.4545796213808464</v>
          </cell>
          <cell r="M54">
            <v>0.45791138066622195</v>
          </cell>
          <cell r="O54">
            <v>0.41195429104477616</v>
          </cell>
          <cell r="Q54">
            <v>1.6938893016344732</v>
          </cell>
          <cell r="T54">
            <v>0.52181519699812373</v>
          </cell>
          <cell r="V54">
            <v>0.57161626318585423</v>
          </cell>
          <cell r="X54">
            <v>0.18312026515151514</v>
          </cell>
          <cell r="Z54">
            <v>0.53184637404580148</v>
          </cell>
          <cell r="AB54">
            <v>1.7961251467747434</v>
          </cell>
          <cell r="AF54">
            <v>0.66598352713178288</v>
          </cell>
          <cell r="AH54">
            <v>0.84399999999999997</v>
          </cell>
          <cell r="AJ54">
            <v>0.77646116893514805</v>
          </cell>
          <cell r="AL54">
            <v>0.66291230893000808</v>
          </cell>
          <cell r="AN54">
            <v>2.9252782193958664</v>
          </cell>
          <cell r="AR54">
            <v>0.82183908045977017</v>
          </cell>
          <cell r="AS54">
            <v>0.23402313567606758</v>
          </cell>
          <cell r="AT54">
            <v>0.31933311495420447</v>
          </cell>
          <cell r="AU54">
            <v>-0.62164322872724587</v>
          </cell>
          <cell r="AV54">
            <v>0.9136929081167714</v>
          </cell>
          <cell r="AW54">
            <v>0.17673998993384976</v>
          </cell>
          <cell r="AX54">
            <v>0.85814741464158462</v>
          </cell>
          <cell r="AY54">
            <v>0.29451120922268159</v>
          </cell>
          <cell r="AZ54">
            <v>3.0888520320730564</v>
          </cell>
          <cell r="BA54">
            <v>5.5917352268452403E-2</v>
          </cell>
        </row>
        <row r="55">
          <cell r="B55" t="str">
            <v xml:space="preserve">Basic Shares Outstanding </v>
          </cell>
          <cell r="C55">
            <v>1043.5999999999999</v>
          </cell>
          <cell r="D55">
            <v>1038.5999999999999</v>
          </cell>
          <cell r="E55">
            <v>1241.7</v>
          </cell>
          <cell r="F55">
            <v>1285.8</v>
          </cell>
          <cell r="G55">
            <v>1153.5</v>
          </cell>
          <cell r="I55">
            <v>1290.5</v>
          </cell>
          <cell r="K55">
            <v>1287.9000000000001</v>
          </cell>
          <cell r="M55">
            <v>1289.4000000000001</v>
          </cell>
          <cell r="O55">
            <v>1285.4000000000001</v>
          </cell>
          <cell r="Q55">
            <v>1288.4000000000001</v>
          </cell>
          <cell r="T55">
            <v>1279.4000000000001</v>
          </cell>
          <cell r="U55">
            <v>-8.6013173188685954E-3</v>
          </cell>
          <cell r="V55">
            <v>1268.2</v>
          </cell>
          <cell r="W55">
            <v>-1.5296218650516336E-2</v>
          </cell>
          <cell r="X55">
            <v>1272</v>
          </cell>
          <cell r="Y55">
            <v>-1.349464867380179E-2</v>
          </cell>
          <cell r="Z55">
            <v>1263</v>
          </cell>
          <cell r="AA55">
            <v>-1.7426482028940482E-2</v>
          </cell>
          <cell r="AB55">
            <v>1270.6500000000001</v>
          </cell>
          <cell r="AC55">
            <v>-1.3776777398323503E-2</v>
          </cell>
          <cell r="AF55">
            <v>1249</v>
          </cell>
          <cell r="AG55">
            <v>-2.3761138033453255E-2</v>
          </cell>
          <cell r="AH55">
            <v>1233</v>
          </cell>
          <cell r="AI55">
            <v>-2.7755874467749631E-2</v>
          </cell>
          <cell r="AJ55">
            <v>1233</v>
          </cell>
          <cell r="AK55">
            <v>-3.0660377358490587E-2</v>
          </cell>
          <cell r="AL55">
            <v>1229</v>
          </cell>
          <cell r="AM55">
            <v>-2.6920031670625511E-2</v>
          </cell>
          <cell r="AN55">
            <v>1236</v>
          </cell>
          <cell r="AO55">
            <v>-2.726950773226311E-2</v>
          </cell>
          <cell r="AR55">
            <v>1202</v>
          </cell>
          <cell r="AS55">
            <v>-3.7630104083266613E-2</v>
          </cell>
          <cell r="AT55">
            <v>1159.93</v>
          </cell>
          <cell r="AU55">
            <v>-5.926196269261963E-2</v>
          </cell>
          <cell r="AV55">
            <v>1148.3307</v>
          </cell>
          <cell r="AW55">
            <v>-6.86693430656935E-2</v>
          </cell>
          <cell r="AX55">
            <v>1136.847393</v>
          </cell>
          <cell r="AY55">
            <v>-7.4981779495524759E-2</v>
          </cell>
          <cell r="AZ55">
            <v>1161.7770232500002</v>
          </cell>
          <cell r="BA55">
            <v>-6.0050952063106622E-2</v>
          </cell>
        </row>
        <row r="56">
          <cell r="B56" t="str">
            <v>Diluted Shares Outstanding</v>
          </cell>
          <cell r="C56">
            <v>1085.5999999999999</v>
          </cell>
          <cell r="D56">
            <v>1098.8</v>
          </cell>
          <cell r="E56">
            <v>1241.7</v>
          </cell>
          <cell r="F56">
            <v>1347.4</v>
          </cell>
          <cell r="G56">
            <v>1153.5</v>
          </cell>
          <cell r="I56">
            <v>1349.9</v>
          </cell>
          <cell r="K56">
            <v>1347</v>
          </cell>
          <cell r="M56">
            <v>1347.9</v>
          </cell>
          <cell r="O56">
            <v>1340</v>
          </cell>
          <cell r="Q56">
            <v>1346</v>
          </cell>
          <cell r="T56">
            <v>1332.5</v>
          </cell>
          <cell r="U56">
            <v>-1.2889843692125424E-2</v>
          </cell>
          <cell r="V56">
            <v>1317.7</v>
          </cell>
          <cell r="W56">
            <v>-2.1752041573867786E-2</v>
          </cell>
          <cell r="X56">
            <v>1320</v>
          </cell>
          <cell r="Y56">
            <v>-2.069886490095707E-2</v>
          </cell>
          <cell r="Z56">
            <v>1310</v>
          </cell>
          <cell r="AA56">
            <v>-2.2388059701492491E-2</v>
          </cell>
          <cell r="AB56">
            <v>1320.05</v>
          </cell>
          <cell r="AC56">
            <v>-1.9279346210995585E-2</v>
          </cell>
          <cell r="AF56">
            <v>1290</v>
          </cell>
          <cell r="AG56">
            <v>-3.1894934333958735E-2</v>
          </cell>
          <cell r="AH56">
            <v>1250</v>
          </cell>
          <cell r="AI56">
            <v>-5.1377400015177987E-2</v>
          </cell>
          <cell r="AJ56">
            <v>1249</v>
          </cell>
          <cell r="AK56">
            <v>-5.3787878787878829E-2</v>
          </cell>
          <cell r="AL56">
            <v>1243</v>
          </cell>
          <cell r="AM56">
            <v>-5.1145038167938917E-2</v>
          </cell>
          <cell r="AN56">
            <v>1258</v>
          </cell>
          <cell r="AO56">
            <v>-4.7005795235028902E-2</v>
          </cell>
          <cell r="AR56">
            <v>1214</v>
          </cell>
          <cell r="AS56">
            <v>-5.8914728682170514E-2</v>
          </cell>
          <cell r="AT56">
            <v>1171.51</v>
          </cell>
          <cell r="AU56">
            <v>-6.2791999999999959E-2</v>
          </cell>
          <cell r="AV56">
            <v>1159.7948999999999</v>
          </cell>
          <cell r="AW56">
            <v>-7.1421216973578949E-2</v>
          </cell>
          <cell r="AX56">
            <v>1148.1969509999999</v>
          </cell>
          <cell r="AY56">
            <v>-7.6269548672566412E-2</v>
          </cell>
          <cell r="AZ56">
            <v>1173.37546275</v>
          </cell>
          <cell r="BA56">
            <v>-6.726910751192372E-2</v>
          </cell>
        </row>
        <row r="58">
          <cell r="B58" t="str">
            <v>Amortization of Acquired Intangibles</v>
          </cell>
          <cell r="E58">
            <v>70.599999999999994</v>
          </cell>
          <cell r="F58">
            <v>84.6</v>
          </cell>
          <cell r="G58">
            <v>155.19999999999999</v>
          </cell>
          <cell r="I58">
            <v>83.9</v>
          </cell>
          <cell r="K58">
            <v>84</v>
          </cell>
          <cell r="M58">
            <v>83.9</v>
          </cell>
          <cell r="O58">
            <v>84</v>
          </cell>
          <cell r="Q58">
            <v>335.8</v>
          </cell>
          <cell r="T58">
            <v>-98.1</v>
          </cell>
          <cell r="V58">
            <v>-96.100000000000009</v>
          </cell>
          <cell r="X58">
            <v>-100</v>
          </cell>
          <cell r="Z58">
            <v>-93</v>
          </cell>
          <cell r="AB58">
            <v>-387.2</v>
          </cell>
          <cell r="AF58">
            <v>-87</v>
          </cell>
          <cell r="AH58">
            <v>-87</v>
          </cell>
          <cell r="AJ58">
            <v>-86</v>
          </cell>
          <cell r="AL58">
            <v>-87</v>
          </cell>
          <cell r="AN58">
            <v>-347</v>
          </cell>
          <cell r="AR58">
            <v>-87</v>
          </cell>
          <cell r="AT58">
            <v>-87</v>
          </cell>
          <cell r="AV58">
            <v>-87</v>
          </cell>
          <cell r="AX58">
            <v>-87</v>
          </cell>
          <cell r="AZ58">
            <v>-97</v>
          </cell>
        </row>
        <row r="59">
          <cell r="B59" t="str">
            <v>Write off of IPR&amp;D</v>
          </cell>
          <cell r="E59">
            <v>2991.8</v>
          </cell>
          <cell r="G59">
            <v>2991.8</v>
          </cell>
          <cell r="X59">
            <v>-554</v>
          </cell>
          <cell r="AB59">
            <v>-554</v>
          </cell>
          <cell r="AN59">
            <v>0</v>
          </cell>
          <cell r="AT59">
            <v>-650</v>
          </cell>
          <cell r="AZ59">
            <v>-650</v>
          </cell>
        </row>
        <row r="60">
          <cell r="B60" t="str">
            <v>legal settlements</v>
          </cell>
          <cell r="AN60">
            <v>-49</v>
          </cell>
        </row>
        <row r="61">
          <cell r="B61" t="str">
            <v>COGS</v>
          </cell>
          <cell r="X61">
            <v>4</v>
          </cell>
          <cell r="AJ61">
            <v>-47</v>
          </cell>
          <cell r="AN61">
            <v>-47</v>
          </cell>
        </row>
        <row r="62">
          <cell r="B62" t="str">
            <v>R&amp;D</v>
          </cell>
          <cell r="X62">
            <v>8</v>
          </cell>
          <cell r="AF62">
            <v>-3</v>
          </cell>
          <cell r="AH62">
            <v>-3</v>
          </cell>
          <cell r="AJ62">
            <v>-3</v>
          </cell>
          <cell r="AL62">
            <v>-3</v>
          </cell>
          <cell r="AN62">
            <v>-12</v>
          </cell>
        </row>
        <row r="63">
          <cell r="B63" t="str">
            <v>SG&amp;A</v>
          </cell>
          <cell r="X63">
            <v>4</v>
          </cell>
          <cell r="AL63">
            <v>2</v>
          </cell>
          <cell r="AN63">
            <v>2</v>
          </cell>
        </row>
        <row r="64">
          <cell r="B64" t="str">
            <v>Interest expense</v>
          </cell>
          <cell r="AF64">
            <v>-20</v>
          </cell>
          <cell r="AN64">
            <v>0</v>
          </cell>
        </row>
        <row r="65">
          <cell r="B65" t="str">
            <v>Tax provision</v>
          </cell>
          <cell r="T65">
            <v>36</v>
          </cell>
          <cell r="V65">
            <v>35.6</v>
          </cell>
          <cell r="X65">
            <v>35.6</v>
          </cell>
          <cell r="Z65">
            <v>35.6</v>
          </cell>
          <cell r="AB65">
            <v>142.79999999999998</v>
          </cell>
          <cell r="AF65">
            <v>40</v>
          </cell>
          <cell r="AH65">
            <v>40</v>
          </cell>
          <cell r="AJ65">
            <v>36</v>
          </cell>
          <cell r="AL65">
            <v>-16</v>
          </cell>
          <cell r="AN65">
            <v>104</v>
          </cell>
          <cell r="AR65">
            <v>55</v>
          </cell>
          <cell r="AT65">
            <v>55</v>
          </cell>
          <cell r="AV65">
            <v>55</v>
          </cell>
          <cell r="AX65">
            <v>55</v>
          </cell>
          <cell r="AZ65">
            <v>35.89</v>
          </cell>
        </row>
        <row r="66">
          <cell r="B66" t="str">
            <v>implied tax rate</v>
          </cell>
          <cell r="T66">
            <v>-0.3669724770642202</v>
          </cell>
          <cell r="V66">
            <v>-0.37044745057232048</v>
          </cell>
          <cell r="X66">
            <v>-0.35600000000000004</v>
          </cell>
          <cell r="Z66">
            <v>-0.3827956989247312</v>
          </cell>
          <cell r="AB66">
            <v>-0.36880165289256195</v>
          </cell>
          <cell r="AF66">
            <v>-0.45977011494252873</v>
          </cell>
          <cell r="AH66">
            <v>-0.45977011494252873</v>
          </cell>
          <cell r="AJ66">
            <v>-0.41860465116279072</v>
          </cell>
          <cell r="AL66">
            <v>0.18390804597701149</v>
          </cell>
          <cell r="AN66">
            <v>-0.29971181556195964</v>
          </cell>
          <cell r="AR66">
            <v>-0.63218390804597702</v>
          </cell>
          <cell r="AT66">
            <v>-0.63218390804597702</v>
          </cell>
          <cell r="AV66">
            <v>-0.63218390804597702</v>
          </cell>
          <cell r="AX66">
            <v>-0.63218390804597702</v>
          </cell>
        </row>
        <row r="67">
          <cell r="B67" t="str">
            <v>GAAP net income</v>
          </cell>
          <cell r="AR67">
            <v>1001</v>
          </cell>
          <cell r="AT67">
            <v>374.10193750000008</v>
          </cell>
          <cell r="AV67">
            <v>985.10393750000003</v>
          </cell>
          <cell r="AX67">
            <v>902.36951500000009</v>
          </cell>
          <cell r="AZ67">
            <v>3329.4653900000003</v>
          </cell>
        </row>
        <row r="68">
          <cell r="B68" t="str">
            <v>GAAP diluted share count</v>
          </cell>
          <cell r="AR68">
            <v>1218</v>
          </cell>
          <cell r="AT68">
            <v>1171.51</v>
          </cell>
          <cell r="AV68">
            <v>1159.7948999999999</v>
          </cell>
          <cell r="AX68">
            <v>1148.1969509999999</v>
          </cell>
          <cell r="AZ68">
            <v>1173.37546275</v>
          </cell>
        </row>
        <row r="69">
          <cell r="AR69">
            <v>1.0133111480865225</v>
          </cell>
        </row>
        <row r="70">
          <cell r="B70" t="str">
            <v>Convertible interest add-back</v>
          </cell>
          <cell r="C70">
            <v>5.1187500000000004</v>
          </cell>
          <cell r="D70">
            <v>5.1187500000000004</v>
          </cell>
          <cell r="E70">
            <v>5.1187500000000004</v>
          </cell>
          <cell r="F70">
            <v>5.1187500000000004</v>
          </cell>
          <cell r="G70">
            <v>20.475000000000001</v>
          </cell>
          <cell r="I70">
            <v>5.1187500000000004</v>
          </cell>
          <cell r="K70">
            <v>5.1187500000000004</v>
          </cell>
          <cell r="M70">
            <v>5.1187500000000004</v>
          </cell>
          <cell r="O70">
            <v>5.1187500000000004</v>
          </cell>
          <cell r="Q70">
            <v>20.475000000000001</v>
          </cell>
          <cell r="T70">
            <v>5.1187500000000004</v>
          </cell>
          <cell r="V70">
            <v>5.1187500000000004</v>
          </cell>
          <cell r="X70">
            <v>5.1187500000000004</v>
          </cell>
          <cell r="Z70">
            <v>5.1187500000000004</v>
          </cell>
          <cell r="AB70">
            <v>20.475000000000001</v>
          </cell>
          <cell r="AF70">
            <v>5.1187500000000004</v>
          </cell>
          <cell r="AH70">
            <v>1</v>
          </cell>
          <cell r="AJ70">
            <v>0.8</v>
          </cell>
          <cell r="AN70">
            <v>6</v>
          </cell>
          <cell r="AR70">
            <v>0</v>
          </cell>
          <cell r="AT70">
            <v>0</v>
          </cell>
          <cell r="AV70">
            <v>0</v>
          </cell>
          <cell r="AX70">
            <v>0</v>
          </cell>
          <cell r="AZ70">
            <v>0</v>
          </cell>
        </row>
        <row r="72">
          <cell r="B72" t="str">
            <v>EPS, GAAP</v>
          </cell>
          <cell r="Q72">
            <v>1.6938893016344732</v>
          </cell>
        </row>
        <row r="74">
          <cell r="B74" t="str">
            <v>CHECK GAAP</v>
          </cell>
          <cell r="E74">
            <v>3957.4</v>
          </cell>
        </row>
      </sheetData>
      <sheetData sheetId="5" refreshError="1"/>
      <sheetData sheetId="6" refreshError="1">
        <row r="1">
          <cell r="B1" t="str">
            <v>Amgen Annual Income Statement</v>
          </cell>
          <cell r="AO1" t="str">
            <v>ElementName</v>
          </cell>
          <cell r="AP1" t="str">
            <v>ScaleOverride</v>
          </cell>
          <cell r="AQ1" t="str">
            <v>UnitOverride</v>
          </cell>
          <cell r="AR1" t="str">
            <v>ReverseSign</v>
          </cell>
          <cell r="AS1" t="str">
            <v>IsDrivingAssumption</v>
          </cell>
          <cell r="AT1" t="str">
            <v>SegmentID</v>
          </cell>
        </row>
        <row r="2">
          <cell r="B2" t="str">
            <v>(Dollars in thousands except per-share data)</v>
          </cell>
        </row>
        <row r="4">
          <cell r="C4" t="str">
            <v>1993</v>
          </cell>
          <cell r="E4" t="str">
            <v>1994</v>
          </cell>
          <cell r="G4" t="str">
            <v>1995</v>
          </cell>
          <cell r="I4" t="str">
            <v>1996</v>
          </cell>
          <cell r="K4" t="str">
            <v>1997</v>
          </cell>
          <cell r="M4" t="str">
            <v>1998</v>
          </cell>
          <cell r="O4" t="str">
            <v>1999</v>
          </cell>
          <cell r="Q4" t="str">
            <v>2000</v>
          </cell>
          <cell r="S4" t="str">
            <v>2001A</v>
          </cell>
          <cell r="U4" t="str">
            <v>2002A</v>
          </cell>
          <cell r="W4" t="str">
            <v>2003A</v>
          </cell>
          <cell r="X4" t="str">
            <v>% chg</v>
          </cell>
          <cell r="Y4" t="str">
            <v>2004A</v>
          </cell>
          <cell r="Z4" t="str">
            <v>% chg</v>
          </cell>
          <cell r="AA4" t="str">
            <v>2005A</v>
          </cell>
          <cell r="AB4" t="str">
            <v>% chg</v>
          </cell>
          <cell r="AC4" t="str">
            <v>2006E</v>
          </cell>
          <cell r="AD4" t="str">
            <v>% chg</v>
          </cell>
          <cell r="AE4" t="str">
            <v>2007E</v>
          </cell>
          <cell r="AF4" t="str">
            <v>% chg</v>
          </cell>
          <cell r="AG4" t="str">
            <v>2008E</v>
          </cell>
          <cell r="AH4" t="str">
            <v>% chg</v>
          </cell>
          <cell r="AI4" t="str">
            <v>2009E</v>
          </cell>
          <cell r="AJ4" t="str">
            <v>% chg</v>
          </cell>
          <cell r="AK4" t="str">
            <v>2010E</v>
          </cell>
          <cell r="AL4" t="str">
            <v>% chg</v>
          </cell>
        </row>
        <row r="5">
          <cell r="B5" t="str">
            <v>Epogen</v>
          </cell>
          <cell r="C5">
            <v>586.9</v>
          </cell>
          <cell r="E5">
            <v>720.6</v>
          </cell>
          <cell r="G5">
            <v>882.6</v>
          </cell>
          <cell r="I5">
            <v>1071.9000000000001</v>
          </cell>
          <cell r="K5">
            <v>1160.8</v>
          </cell>
          <cell r="M5">
            <v>1382.1</v>
          </cell>
          <cell r="O5">
            <v>1759.1</v>
          </cell>
          <cell r="Q5">
            <v>1962.2</v>
          </cell>
          <cell r="S5">
            <v>2108.5</v>
          </cell>
          <cell r="U5">
            <v>2260.6</v>
          </cell>
          <cell r="W5">
            <v>2434.6999999999998</v>
          </cell>
          <cell r="X5">
            <v>7.701495178271256E-2</v>
          </cell>
          <cell r="Y5">
            <v>2600.6</v>
          </cell>
          <cell r="Z5">
            <v>6.8139811886474666E-2</v>
          </cell>
          <cell r="AA5">
            <v>2455</v>
          </cell>
          <cell r="AB5">
            <v>-5.598707990463736E-2</v>
          </cell>
          <cell r="AC5">
            <v>2514</v>
          </cell>
          <cell r="AD5">
            <v>2.4032586558044855E-2</v>
          </cell>
          <cell r="AE5">
            <v>2572.1174973954289</v>
          </cell>
          <cell r="AF5">
            <v>2.3117540730083208E-2</v>
          </cell>
          <cell r="AG5">
            <v>2632.2299063233218</v>
          </cell>
          <cell r="AH5">
            <v>2.3370786516853759E-2</v>
          </cell>
          <cell r="AI5">
            <v>2708.8786464932482</v>
          </cell>
          <cell r="AJ5">
            <v>2.9119318181818343E-2</v>
          </cell>
          <cell r="AK5">
            <v>2787.6683168398231</v>
          </cell>
          <cell r="AL5">
            <v>2.9085714285714159E-2</v>
          </cell>
        </row>
        <row r="6">
          <cell r="B6" t="str">
            <v>Aranesp - US</v>
          </cell>
          <cell r="S6">
            <v>27</v>
          </cell>
          <cell r="U6">
            <v>284.7</v>
          </cell>
          <cell r="W6">
            <v>979.9</v>
          </cell>
          <cell r="Y6">
            <v>1533.3</v>
          </cell>
          <cell r="AA6">
            <v>2104</v>
          </cell>
          <cell r="AB6">
            <v>0.37220374355964259</v>
          </cell>
          <cell r="AC6">
            <v>2596</v>
          </cell>
          <cell r="AD6">
            <v>0.23384030418250945</v>
          </cell>
          <cell r="AE6">
            <v>2975</v>
          </cell>
          <cell r="AF6">
            <v>0.14599383667180277</v>
          </cell>
          <cell r="AG6">
            <v>3300</v>
          </cell>
          <cell r="AH6">
            <v>0.10924369747899165</v>
          </cell>
          <cell r="AI6">
            <v>3600</v>
          </cell>
          <cell r="AJ6">
            <v>9.0909090909090828E-2</v>
          </cell>
          <cell r="AK6">
            <v>3850</v>
          </cell>
          <cell r="AL6">
            <v>6.944444444444442E-2</v>
          </cell>
        </row>
        <row r="7">
          <cell r="B7" t="str">
            <v>Aranesp, Intl.</v>
          </cell>
          <cell r="S7">
            <v>14.5</v>
          </cell>
          <cell r="U7">
            <v>130.9</v>
          </cell>
          <cell r="W7">
            <v>563.9</v>
          </cell>
          <cell r="Y7">
            <v>939.6</v>
          </cell>
          <cell r="AA7">
            <v>1169</v>
          </cell>
          <cell r="AB7">
            <v>0.2441464452958706</v>
          </cell>
          <cell r="AC7">
            <v>1317</v>
          </cell>
          <cell r="AD7">
            <v>0.1266039349871686</v>
          </cell>
          <cell r="AE7">
            <v>1375</v>
          </cell>
          <cell r="AF7">
            <v>4.4039483675019087E-2</v>
          </cell>
          <cell r="AG7">
            <v>1425</v>
          </cell>
          <cell r="AH7">
            <v>3.6363636363636376E-2</v>
          </cell>
          <cell r="AI7">
            <v>1450</v>
          </cell>
          <cell r="AJ7">
            <v>1.7543859649122862E-2</v>
          </cell>
          <cell r="AK7">
            <v>1485</v>
          </cell>
          <cell r="AL7">
            <v>2.4137931034482696E-2</v>
          </cell>
        </row>
        <row r="8">
          <cell r="B8" t="str">
            <v>Aranesp</v>
          </cell>
          <cell r="C8">
            <v>0</v>
          </cell>
          <cell r="E8">
            <v>0</v>
          </cell>
          <cell r="G8">
            <v>0</v>
          </cell>
          <cell r="I8">
            <v>0</v>
          </cell>
          <cell r="K8">
            <v>0</v>
          </cell>
          <cell r="M8">
            <v>0</v>
          </cell>
          <cell r="O8">
            <v>0</v>
          </cell>
          <cell r="Q8">
            <v>0</v>
          </cell>
          <cell r="S8">
            <v>41.5</v>
          </cell>
          <cell r="U8">
            <v>415.6</v>
          </cell>
          <cell r="W8">
            <v>1543.8</v>
          </cell>
          <cell r="X8">
            <v>2.7146294513955724</v>
          </cell>
          <cell r="Y8">
            <v>2472.9</v>
          </cell>
          <cell r="Z8">
            <v>0.60182666148464836</v>
          </cell>
          <cell r="AA8">
            <v>3273</v>
          </cell>
          <cell r="AB8">
            <v>0.32354725221399971</v>
          </cell>
          <cell r="AC8">
            <v>3913</v>
          </cell>
          <cell r="AD8">
            <v>0.19553926061717086</v>
          </cell>
          <cell r="AE8">
            <v>4350</v>
          </cell>
          <cell r="AF8">
            <v>0.1116790186557628</v>
          </cell>
          <cell r="AG8">
            <v>4725</v>
          </cell>
          <cell r="AH8">
            <v>8.6206896551724199E-2</v>
          </cell>
          <cell r="AI8">
            <v>5050</v>
          </cell>
          <cell r="AJ8">
            <v>6.8783068783068835E-2</v>
          </cell>
          <cell r="AK8">
            <v>5335</v>
          </cell>
          <cell r="AL8">
            <v>5.6435643564356486E-2</v>
          </cell>
        </row>
        <row r="9">
          <cell r="B9" t="str">
            <v>Neupogen, U.S.</v>
          </cell>
          <cell r="C9">
            <v>545.5</v>
          </cell>
          <cell r="E9">
            <v>617.20000000000005</v>
          </cell>
          <cell r="G9">
            <v>661.8</v>
          </cell>
          <cell r="I9">
            <v>731.6</v>
          </cell>
          <cell r="K9">
            <v>790</v>
          </cell>
          <cell r="M9">
            <v>853.2</v>
          </cell>
          <cell r="O9">
            <v>921.45600000000013</v>
          </cell>
          <cell r="Q9">
            <v>985.95792000000017</v>
          </cell>
          <cell r="S9">
            <v>1050.5999999999999</v>
          </cell>
          <cell r="U9">
            <v>1041.7</v>
          </cell>
          <cell r="W9">
            <v>880.5</v>
          </cell>
          <cell r="X9">
            <v>-0.15474704809446105</v>
          </cell>
          <cell r="Y9">
            <v>777.8</v>
          </cell>
          <cell r="AA9">
            <v>805</v>
          </cell>
          <cell r="AB9">
            <v>3.4970429416302462E-2</v>
          </cell>
          <cell r="AC9">
            <v>809</v>
          </cell>
          <cell r="AD9">
            <v>4.9689440993789802E-3</v>
          </cell>
          <cell r="AE9">
            <v>819.71999999999991</v>
          </cell>
          <cell r="AF9">
            <v>1.3250927070457275E-2</v>
          </cell>
          <cell r="AG9">
            <v>831.59999999999991</v>
          </cell>
          <cell r="AH9">
            <v>1.449275362318847E-2</v>
          </cell>
          <cell r="AI9">
            <v>831.59999999999991</v>
          </cell>
          <cell r="AJ9">
            <v>0</v>
          </cell>
          <cell r="AK9">
            <v>831.59999999999991</v>
          </cell>
          <cell r="AL9">
            <v>0</v>
          </cell>
        </row>
        <row r="10">
          <cell r="B10" t="str">
            <v>Neupogen, Intl.</v>
          </cell>
          <cell r="C10">
            <v>173.9</v>
          </cell>
          <cell r="E10">
            <v>211.7</v>
          </cell>
          <cell r="G10">
            <v>274.2</v>
          </cell>
          <cell r="I10">
            <v>284.7</v>
          </cell>
          <cell r="K10">
            <v>294.66449999999998</v>
          </cell>
          <cell r="M10">
            <v>309.39772499999998</v>
          </cell>
          <cell r="O10">
            <v>324.86761124999998</v>
          </cell>
          <cell r="Q10">
            <v>341.1109918125</v>
          </cell>
          <cell r="S10">
            <v>295.8</v>
          </cell>
          <cell r="U10">
            <v>337.9</v>
          </cell>
          <cell r="W10">
            <v>386.2</v>
          </cell>
          <cell r="X10">
            <v>0.14294169872743412</v>
          </cell>
          <cell r="Y10">
            <v>397.4</v>
          </cell>
          <cell r="AA10">
            <v>411</v>
          </cell>
          <cell r="AB10">
            <v>3.4222445898339338E-2</v>
          </cell>
          <cell r="AC10">
            <v>379</v>
          </cell>
          <cell r="AD10">
            <v>-7.7858880778588824E-2</v>
          </cell>
          <cell r="AE10">
            <v>368.28000000000009</v>
          </cell>
          <cell r="AF10">
            <v>-2.828496042216333E-2</v>
          </cell>
          <cell r="AG10">
            <v>356.40000000000003</v>
          </cell>
          <cell r="AH10">
            <v>-3.2258064516129115E-2</v>
          </cell>
          <cell r="AI10">
            <v>356.40000000000003</v>
          </cell>
          <cell r="AJ10">
            <v>0</v>
          </cell>
          <cell r="AK10">
            <v>356.40000000000003</v>
          </cell>
          <cell r="AL10">
            <v>0</v>
          </cell>
        </row>
        <row r="11">
          <cell r="B11" t="str">
            <v>Neupogen</v>
          </cell>
          <cell r="C11">
            <v>719.4</v>
          </cell>
          <cell r="E11">
            <v>828.90000000000009</v>
          </cell>
          <cell r="G11">
            <v>936</v>
          </cell>
          <cell r="I11">
            <v>1016.3</v>
          </cell>
          <cell r="K11">
            <v>1055.7</v>
          </cell>
          <cell r="M11">
            <v>1116.5999999999999</v>
          </cell>
          <cell r="O11">
            <v>1256.5999999999999</v>
          </cell>
          <cell r="Q11">
            <v>1223.7</v>
          </cell>
          <cell r="S11">
            <v>1346.3999999999999</v>
          </cell>
          <cell r="U11">
            <v>1379.6</v>
          </cell>
          <cell r="W11">
            <v>1266.7</v>
          </cell>
          <cell r="X11">
            <v>-8.1835314583937224E-2</v>
          </cell>
          <cell r="Y11">
            <v>1175.1999999999998</v>
          </cell>
          <cell r="Z11">
            <v>-7.2234941185758461E-2</v>
          </cell>
          <cell r="AA11">
            <v>1216</v>
          </cell>
          <cell r="AB11">
            <v>3.4717494894486167E-2</v>
          </cell>
          <cell r="AC11">
            <v>1188</v>
          </cell>
          <cell r="AD11">
            <v>-2.3026315789473673E-2</v>
          </cell>
          <cell r="AE11">
            <v>1188</v>
          </cell>
          <cell r="AF11">
            <v>0</v>
          </cell>
          <cell r="AG11">
            <v>1188</v>
          </cell>
          <cell r="AH11">
            <v>0</v>
          </cell>
          <cell r="AI11">
            <v>1188</v>
          </cell>
          <cell r="AJ11">
            <v>0</v>
          </cell>
          <cell r="AK11">
            <v>1188</v>
          </cell>
          <cell r="AL11">
            <v>0</v>
          </cell>
        </row>
        <row r="12">
          <cell r="B12" t="str">
            <v>Neulasta, U.S.</v>
          </cell>
          <cell r="Y12">
            <v>1476.5</v>
          </cell>
          <cell r="AA12">
            <v>1900</v>
          </cell>
          <cell r="AB12">
            <v>0.28682695563833382</v>
          </cell>
          <cell r="AC12">
            <v>2144.4937499999996</v>
          </cell>
          <cell r="AD12">
            <v>0.1286809210526314</v>
          </cell>
          <cell r="AE12">
            <v>2613.9768510000004</v>
          </cell>
          <cell r="AF12">
            <v>0.2189249099000643</v>
          </cell>
          <cell r="AG12">
            <v>2737.4321432400006</v>
          </cell>
          <cell r="AH12">
            <v>4.7228915662650639E-2</v>
          </cell>
          <cell r="AI12">
            <v>2764.1387982960005</v>
          </cell>
          <cell r="AJ12">
            <v>9.7560975609756184E-3</v>
          </cell>
          <cell r="AK12">
            <v>2764.1387982960005</v>
          </cell>
          <cell r="AL12">
            <v>0</v>
          </cell>
        </row>
        <row r="13">
          <cell r="B13" t="str">
            <v>Neulasta, Intl.</v>
          </cell>
          <cell r="Y13">
            <v>263.10000000000002</v>
          </cell>
          <cell r="AA13">
            <v>388</v>
          </cell>
          <cell r="AB13">
            <v>0.47472443937666275</v>
          </cell>
          <cell r="AC13">
            <v>458.50625000000002</v>
          </cell>
          <cell r="AD13">
            <v>0.18171713917525789</v>
          </cell>
          <cell r="AE13">
            <v>535.39284900000018</v>
          </cell>
          <cell r="AF13">
            <v>0.16768931503114759</v>
          </cell>
          <cell r="AG13">
            <v>600.89973876000033</v>
          </cell>
          <cell r="AH13">
            <v>0.12235294117647078</v>
          </cell>
          <cell r="AI13">
            <v>691.034699574</v>
          </cell>
          <cell r="AJ13">
            <v>0.14999999999999947</v>
          </cell>
          <cell r="AK13">
            <v>691.034699574</v>
          </cell>
          <cell r="AL13">
            <v>0</v>
          </cell>
        </row>
        <row r="14">
          <cell r="B14" t="str">
            <v>Neulasta</v>
          </cell>
          <cell r="C14">
            <v>0</v>
          </cell>
          <cell r="E14">
            <v>0</v>
          </cell>
          <cell r="G14">
            <v>0</v>
          </cell>
          <cell r="I14">
            <v>0</v>
          </cell>
          <cell r="K14">
            <v>0</v>
          </cell>
          <cell r="M14">
            <v>0</v>
          </cell>
          <cell r="O14">
            <v>0</v>
          </cell>
          <cell r="Q14">
            <v>0</v>
          </cell>
          <cell r="S14">
            <v>0</v>
          </cell>
          <cell r="U14">
            <v>463.5</v>
          </cell>
          <cell r="W14">
            <v>1255</v>
          </cell>
          <cell r="X14">
            <v>1.7076591154261056</v>
          </cell>
          <cell r="Y14">
            <v>1739.6</v>
          </cell>
          <cell r="Z14">
            <v>0.38613545816733064</v>
          </cell>
          <cell r="AA14">
            <v>2288</v>
          </cell>
          <cell r="AB14">
            <v>0.31524488388135219</v>
          </cell>
          <cell r="AC14">
            <v>2603</v>
          </cell>
          <cell r="AD14">
            <v>0.13767482517482521</v>
          </cell>
          <cell r="AE14">
            <v>2889.3300000000004</v>
          </cell>
          <cell r="AF14">
            <v>0.11</v>
          </cell>
          <cell r="AG14">
            <v>3149.3697000000006</v>
          </cell>
          <cell r="AH14">
            <v>0.09</v>
          </cell>
          <cell r="AI14">
            <v>3338.3318820000009</v>
          </cell>
          <cell r="AJ14">
            <v>0.06</v>
          </cell>
          <cell r="AK14">
            <v>3455.1734978700006</v>
          </cell>
          <cell r="AL14">
            <v>3.5000000000000003E-2</v>
          </cell>
        </row>
        <row r="15">
          <cell r="B15" t="str">
            <v xml:space="preserve">Enbrel </v>
          </cell>
          <cell r="C15">
            <v>0</v>
          </cell>
          <cell r="E15">
            <v>0</v>
          </cell>
          <cell r="G15">
            <v>0</v>
          </cell>
          <cell r="I15">
            <v>0</v>
          </cell>
          <cell r="K15">
            <v>0</v>
          </cell>
          <cell r="M15">
            <v>0</v>
          </cell>
          <cell r="O15">
            <v>0</v>
          </cell>
          <cell r="Q15">
            <v>0</v>
          </cell>
          <cell r="S15">
            <v>0</v>
          </cell>
          <cell r="U15">
            <v>362.09999999999997</v>
          </cell>
          <cell r="W15">
            <v>1300</v>
          </cell>
          <cell r="X15">
            <v>2.5901684617508978</v>
          </cell>
          <cell r="Y15">
            <v>1900.3</v>
          </cell>
          <cell r="Z15">
            <v>0.46176923076923071</v>
          </cell>
          <cell r="AA15">
            <v>2573</v>
          </cell>
          <cell r="AB15">
            <v>0.35399673735725945</v>
          </cell>
          <cell r="AC15">
            <v>2793</v>
          </cell>
          <cell r="AD15">
            <v>8.5503303536727637E-2</v>
          </cell>
          <cell r="AE15">
            <v>3016.8307284116399</v>
          </cell>
          <cell r="AF15">
            <v>8.013989560030077E-2</v>
          </cell>
          <cell r="AG15">
            <v>3233.3473223083402</v>
          </cell>
          <cell r="AH15">
            <v>7.1769553345373271E-2</v>
          </cell>
          <cell r="AI15">
            <v>3421.4242764919281</v>
          </cell>
          <cell r="AJ15">
            <v>5.8167878497295655E-2</v>
          </cell>
          <cell r="AK15">
            <v>3609.367628534259</v>
          </cell>
          <cell r="AL15">
            <v>5.4931320074408818E-2</v>
          </cell>
          <cell r="AM15">
            <v>0.19989101492097358</v>
          </cell>
          <cell r="AN15">
            <v>7.0035697760095078E-2</v>
          </cell>
        </row>
        <row r="16">
          <cell r="B16" t="str">
            <v>Sensipar</v>
          </cell>
          <cell r="C16">
            <v>0</v>
          </cell>
          <cell r="E16">
            <v>0</v>
          </cell>
          <cell r="G16">
            <v>0</v>
          </cell>
          <cell r="I16">
            <v>0</v>
          </cell>
          <cell r="K16">
            <v>0</v>
          </cell>
          <cell r="M16">
            <v>0</v>
          </cell>
          <cell r="O16">
            <v>0</v>
          </cell>
          <cell r="Q16">
            <v>0</v>
          </cell>
          <cell r="S16">
            <v>0</v>
          </cell>
          <cell r="U16">
            <v>0</v>
          </cell>
          <cell r="W16">
            <v>0</v>
          </cell>
          <cell r="Y16">
            <v>35</v>
          </cell>
          <cell r="Z16" t="str">
            <v>NM</v>
          </cell>
          <cell r="AA16">
            <v>151</v>
          </cell>
          <cell r="AB16">
            <v>3.3142857142857141</v>
          </cell>
          <cell r="AC16">
            <v>283</v>
          </cell>
          <cell r="AD16">
            <v>0.8741721854304636</v>
          </cell>
          <cell r="AE16">
            <v>382.05</v>
          </cell>
          <cell r="AF16">
            <v>0.35</v>
          </cell>
          <cell r="AG16">
            <v>458.46</v>
          </cell>
          <cell r="AH16">
            <v>0.2</v>
          </cell>
          <cell r="AI16">
            <v>495.13679999999999</v>
          </cell>
          <cell r="AJ16">
            <v>0.08</v>
          </cell>
          <cell r="AK16">
            <v>519.89364</v>
          </cell>
          <cell r="AL16">
            <v>0.05</v>
          </cell>
        </row>
        <row r="17">
          <cell r="B17" t="str">
            <v>Palifermin</v>
          </cell>
          <cell r="C17">
            <v>0</v>
          </cell>
          <cell r="E17">
            <v>0</v>
          </cell>
          <cell r="G17">
            <v>0</v>
          </cell>
          <cell r="I17">
            <v>0</v>
          </cell>
          <cell r="K17">
            <v>0</v>
          </cell>
          <cell r="M17">
            <v>0</v>
          </cell>
          <cell r="O17">
            <v>0</v>
          </cell>
          <cell r="Q17">
            <v>0</v>
          </cell>
          <cell r="S17">
            <v>0</v>
          </cell>
          <cell r="U17">
            <v>0</v>
          </cell>
          <cell r="W17">
            <v>0</v>
          </cell>
          <cell r="Y17">
            <v>0</v>
          </cell>
          <cell r="Z17" t="str">
            <v>NM</v>
          </cell>
          <cell r="AA17">
            <v>32</v>
          </cell>
          <cell r="AC17">
            <v>73</v>
          </cell>
          <cell r="AE17">
            <v>98.550000000000011</v>
          </cell>
          <cell r="AF17">
            <v>0.35</v>
          </cell>
          <cell r="AG17">
            <v>123.18750000000001</v>
          </cell>
          <cell r="AH17">
            <v>0.25</v>
          </cell>
          <cell r="AI17">
            <v>166.30312500000002</v>
          </cell>
          <cell r="AJ17">
            <v>0.35</v>
          </cell>
          <cell r="AK17">
            <v>224.50921875000006</v>
          </cell>
          <cell r="AL17">
            <v>0.35</v>
          </cell>
        </row>
        <row r="18">
          <cell r="B18" t="str">
            <v>Panitumumab</v>
          </cell>
          <cell r="U18">
            <v>0</v>
          </cell>
          <cell r="W18">
            <v>0</v>
          </cell>
          <cell r="Y18">
            <v>0</v>
          </cell>
          <cell r="Z18" t="str">
            <v>NM</v>
          </cell>
          <cell r="AA18">
            <v>0</v>
          </cell>
          <cell r="AC18">
            <v>35</v>
          </cell>
          <cell r="AE18">
            <v>225</v>
          </cell>
          <cell r="AG18">
            <v>475</v>
          </cell>
          <cell r="AI18">
            <v>700</v>
          </cell>
          <cell r="AK18">
            <v>850</v>
          </cell>
        </row>
        <row r="19">
          <cell r="B19" t="str">
            <v>AMG162</v>
          </cell>
          <cell r="AC19">
            <v>0</v>
          </cell>
          <cell r="AG19">
            <v>0</v>
          </cell>
          <cell r="AI19">
            <v>350</v>
          </cell>
          <cell r="AK19">
            <v>850</v>
          </cell>
        </row>
        <row r="20">
          <cell r="B20" t="str">
            <v xml:space="preserve">Other </v>
          </cell>
          <cell r="C20">
            <v>0</v>
          </cell>
          <cell r="E20">
            <v>0</v>
          </cell>
          <cell r="G20">
            <v>0</v>
          </cell>
          <cell r="I20">
            <v>0</v>
          </cell>
          <cell r="K20">
            <v>3.3</v>
          </cell>
          <cell r="M20">
            <v>15.8</v>
          </cell>
          <cell r="O20">
            <v>27.1</v>
          </cell>
          <cell r="Q20">
            <v>16.3</v>
          </cell>
          <cell r="S20">
            <v>14.600000000000001</v>
          </cell>
          <cell r="U20">
            <v>109.8</v>
          </cell>
          <cell r="W20">
            <v>68</v>
          </cell>
          <cell r="X20">
            <v>-0.38069216757741342</v>
          </cell>
          <cell r="Y20">
            <v>53.2</v>
          </cell>
          <cell r="Z20">
            <v>-0.21764705882352942</v>
          </cell>
          <cell r="AA20">
            <v>34</v>
          </cell>
          <cell r="AB20">
            <v>-0.36090225563909772</v>
          </cell>
          <cell r="AC20">
            <v>17</v>
          </cell>
          <cell r="AD20">
            <v>-0.5</v>
          </cell>
          <cell r="AE20">
            <v>18.700000000000003</v>
          </cell>
          <cell r="AF20">
            <v>0.1</v>
          </cell>
          <cell r="AG20">
            <v>65.450000000000017</v>
          </cell>
          <cell r="AH20">
            <v>2.5</v>
          </cell>
          <cell r="AI20">
            <v>196.35000000000005</v>
          </cell>
          <cell r="AJ20">
            <v>2</v>
          </cell>
          <cell r="AK20">
            <v>392.7000000000001</v>
          </cell>
          <cell r="AL20">
            <v>1</v>
          </cell>
        </row>
        <row r="21">
          <cell r="B21" t="str">
            <v>Total Product Sales</v>
          </cell>
          <cell r="C21">
            <v>1306.3</v>
          </cell>
          <cell r="E21">
            <v>1549.5</v>
          </cell>
          <cell r="G21">
            <v>1818.6</v>
          </cell>
          <cell r="I21">
            <v>2088.1999999999998</v>
          </cell>
          <cell r="K21">
            <v>2219.8000000000002</v>
          </cell>
          <cell r="M21">
            <v>2514.5</v>
          </cell>
          <cell r="O21">
            <v>3042.7999999999997</v>
          </cell>
          <cell r="Q21">
            <v>3202.2</v>
          </cell>
          <cell r="S21">
            <v>3511</v>
          </cell>
          <cell r="U21">
            <v>4991.1999999999989</v>
          </cell>
          <cell r="W21">
            <v>7868.2</v>
          </cell>
          <cell r="X21">
            <v>0.57641448950152308</v>
          </cell>
          <cell r="Y21">
            <v>9976.7999999999993</v>
          </cell>
          <cell r="Z21">
            <v>0.26799013751556888</v>
          </cell>
          <cell r="AA21">
            <v>12022</v>
          </cell>
          <cell r="AB21">
            <v>0.20499558976826249</v>
          </cell>
          <cell r="AC21">
            <v>13419</v>
          </cell>
          <cell r="AD21">
            <v>0.11620362668441198</v>
          </cell>
          <cell r="AE21">
            <v>14740.578225807069</v>
          </cell>
          <cell r="AF21">
            <v>9.8485596974966061E-2</v>
          </cell>
          <cell r="AG21">
            <v>16050.044428631663</v>
          </cell>
          <cell r="AH21">
            <v>8.883411374813277E-2</v>
          </cell>
          <cell r="AI21">
            <v>17614.424729985178</v>
          </cell>
          <cell r="AJ21">
            <v>9.7468907846935071E-2</v>
          </cell>
          <cell r="AK21">
            <v>19212.312301994083</v>
          </cell>
          <cell r="AL21">
            <v>9.0714717994099914E-2</v>
          </cell>
        </row>
        <row r="22">
          <cell r="B22" t="str">
            <v>Corporate Partner Rev.</v>
          </cell>
          <cell r="C22">
            <v>48.6</v>
          </cell>
          <cell r="E22">
            <v>70.400000000000006</v>
          </cell>
          <cell r="G22">
            <v>85.2</v>
          </cell>
          <cell r="I22">
            <v>109.9</v>
          </cell>
          <cell r="K22">
            <v>125.9</v>
          </cell>
          <cell r="M22">
            <v>127.9</v>
          </cell>
          <cell r="O22">
            <v>161.4</v>
          </cell>
          <cell r="Q22">
            <v>246.2</v>
          </cell>
          <cell r="S22">
            <v>252</v>
          </cell>
          <cell r="U22">
            <v>200.3</v>
          </cell>
          <cell r="W22">
            <v>104.69999999999999</v>
          </cell>
          <cell r="X22">
            <v>-0.47728407388916638</v>
          </cell>
          <cell r="Y22">
            <v>137.9</v>
          </cell>
          <cell r="Z22">
            <v>0.31709646609360087</v>
          </cell>
          <cell r="AA22">
            <v>0</v>
          </cell>
          <cell r="AC22">
            <v>0</v>
          </cell>
          <cell r="AE22">
            <v>0</v>
          </cell>
          <cell r="AG22">
            <v>0</v>
          </cell>
          <cell r="AI22">
            <v>0</v>
          </cell>
          <cell r="AK22">
            <v>0</v>
          </cell>
        </row>
        <row r="23">
          <cell r="B23" t="str">
            <v>Royalties</v>
          </cell>
          <cell r="C23">
            <v>18.899999999999999</v>
          </cell>
          <cell r="E23">
            <v>27.9</v>
          </cell>
          <cell r="G23">
            <v>36.1</v>
          </cell>
          <cell r="I23">
            <v>41.7</v>
          </cell>
          <cell r="K23">
            <v>55.3</v>
          </cell>
          <cell r="M23">
            <v>75.900000000000006</v>
          </cell>
          <cell r="O23">
            <v>135.9</v>
          </cell>
          <cell r="Q23">
            <v>181</v>
          </cell>
          <cell r="S23">
            <v>252.7</v>
          </cell>
          <cell r="U23">
            <v>331.5</v>
          </cell>
          <cell r="W23">
            <v>383.1</v>
          </cell>
          <cell r="X23">
            <v>0.15565610859728518</v>
          </cell>
          <cell r="Y23">
            <v>435.2</v>
          </cell>
          <cell r="Z23">
            <v>0.13599582354476625</v>
          </cell>
          <cell r="AA23">
            <v>408</v>
          </cell>
          <cell r="AB23">
            <v>-6.25E-2</v>
          </cell>
          <cell r="AC23">
            <v>360</v>
          </cell>
          <cell r="AD23">
            <v>-0.11764705882352944</v>
          </cell>
          <cell r="AE23">
            <v>349.2</v>
          </cell>
          <cell r="AF23">
            <v>-0.03</v>
          </cell>
          <cell r="AG23">
            <v>321.26400000000001</v>
          </cell>
          <cell r="AH23">
            <v>-0.08</v>
          </cell>
          <cell r="AI23">
            <v>305.20080000000002</v>
          </cell>
          <cell r="AJ23">
            <v>-0.05</v>
          </cell>
          <cell r="AK23">
            <v>289.94076000000001</v>
          </cell>
          <cell r="AL23">
            <v>-0.05</v>
          </cell>
        </row>
        <row r="24">
          <cell r="B24" t="str">
            <v>Total Revenues</v>
          </cell>
          <cell r="C24">
            <v>1373.8</v>
          </cell>
          <cell r="D24" t="e">
            <v>#DIV/0!</v>
          </cell>
          <cell r="E24">
            <v>1647.8</v>
          </cell>
          <cell r="F24">
            <v>0.19944678992575349</v>
          </cell>
          <cell r="G24">
            <v>1939.8999999999999</v>
          </cell>
          <cell r="H24">
            <v>0.17726665857506974</v>
          </cell>
          <cell r="I24">
            <v>2239.7999999999997</v>
          </cell>
          <cell r="J24">
            <v>0.15459559771122211</v>
          </cell>
          <cell r="K24">
            <v>2401</v>
          </cell>
          <cell r="L24">
            <v>7.1970711670684917E-2</v>
          </cell>
          <cell r="M24">
            <v>2718.2</v>
          </cell>
          <cell r="N24">
            <v>0.13211162015826727</v>
          </cell>
          <cell r="O24">
            <v>3340.1</v>
          </cell>
          <cell r="P24">
            <v>0.22879111176513867</v>
          </cell>
          <cell r="Q24">
            <v>3629.3999999999996</v>
          </cell>
          <cell r="R24">
            <v>8.6614173228346303E-2</v>
          </cell>
          <cell r="S24">
            <v>4015.7</v>
          </cell>
          <cell r="T24">
            <v>0.10643632556345417</v>
          </cell>
          <cell r="U24">
            <v>5522.9999999999991</v>
          </cell>
          <cell r="V24">
            <v>0.37535174440321728</v>
          </cell>
          <cell r="W24">
            <v>8356</v>
          </cell>
          <cell r="X24">
            <v>0.51294586275574883</v>
          </cell>
          <cell r="Y24">
            <v>10549.9</v>
          </cell>
          <cell r="Z24">
            <v>0.26255385351842975</v>
          </cell>
          <cell r="AA24">
            <v>12430</v>
          </cell>
          <cell r="AB24">
            <v>0.17821022000208542</v>
          </cell>
          <cell r="AC24">
            <v>13779</v>
          </cell>
          <cell r="AD24">
            <v>0.10852775543041027</v>
          </cell>
          <cell r="AE24">
            <v>15089.778225807069</v>
          </cell>
          <cell r="AF24">
            <v>9.5128690457004783E-2</v>
          </cell>
          <cell r="AG24">
            <v>16371.308428631663</v>
          </cell>
          <cell r="AH24">
            <v>8.4927040255162511E-2</v>
          </cell>
          <cell r="AI24">
            <v>17919.625529985176</v>
          </cell>
          <cell r="AJ24">
            <v>9.4575037059693612E-2</v>
          </cell>
          <cell r="AK24">
            <v>19502.253061994084</v>
          </cell>
          <cell r="AL24">
            <v>8.8318114090089272E-2</v>
          </cell>
          <cell r="AO24" t="str">
            <v>mstag:revenueNet</v>
          </cell>
          <cell r="AP24">
            <v>6</v>
          </cell>
          <cell r="AQ24" t="str">
            <v>ISO4217:USD</v>
          </cell>
          <cell r="AR24" t="b">
            <v>0</v>
          </cell>
          <cell r="AS24" t="b">
            <v>0</v>
          </cell>
        </row>
        <row r="25">
          <cell r="B25" t="str">
            <v>Operating Expenses:</v>
          </cell>
        </row>
        <row r="26">
          <cell r="B26" t="str">
            <v xml:space="preserve">   Cost of Sales</v>
          </cell>
          <cell r="C26">
            <v>220</v>
          </cell>
          <cell r="E26">
            <v>238.1</v>
          </cell>
          <cell r="G26">
            <v>272.89999999999998</v>
          </cell>
          <cell r="I26">
            <v>283.2</v>
          </cell>
          <cell r="K26">
            <v>300.8</v>
          </cell>
          <cell r="M26">
            <v>345.2</v>
          </cell>
          <cell r="O26">
            <v>402.1</v>
          </cell>
          <cell r="Q26">
            <v>408.4</v>
          </cell>
          <cell r="S26">
            <v>443</v>
          </cell>
          <cell r="U26">
            <v>735.7</v>
          </cell>
          <cell r="W26">
            <v>1340.7</v>
          </cell>
          <cell r="X26">
            <v>0.82234606497213525</v>
          </cell>
          <cell r="Y26">
            <v>1731</v>
          </cell>
          <cell r="Z26">
            <v>0.29111658089057957</v>
          </cell>
          <cell r="AA26">
            <v>2035</v>
          </cell>
          <cell r="AB26">
            <v>0.17562102830733672</v>
          </cell>
          <cell r="AC26">
            <v>2275.2525000000001</v>
          </cell>
          <cell r="AD26">
            <v>0.11806019656019662</v>
          </cell>
          <cell r="AE26">
            <v>2471.3026127583394</v>
          </cell>
          <cell r="AF26">
            <v>8.6166310226376774E-2</v>
          </cell>
          <cell r="AG26">
            <v>2663.674218929084</v>
          </cell>
          <cell r="AH26">
            <v>7.7842189450052501E-2</v>
          </cell>
          <cell r="AI26">
            <v>2921.8139905241542</v>
          </cell>
          <cell r="AJ26">
            <v>9.6911164946760664E-2</v>
          </cell>
          <cell r="AK26">
            <v>3229.9239384968482</v>
          </cell>
          <cell r="AL26">
            <v>0.10545159581408581</v>
          </cell>
          <cell r="AO26" t="str">
            <v>mstag:costOfSalesWithDepreciation</v>
          </cell>
          <cell r="AP26">
            <v>6</v>
          </cell>
          <cell r="AQ26" t="str">
            <v>ISO4217:USD</v>
          </cell>
          <cell r="AR26" t="b">
            <v>0</v>
          </cell>
          <cell r="AS26" t="b">
            <v>0</v>
          </cell>
        </row>
        <row r="27">
          <cell r="B27" t="str">
            <v xml:space="preserve">   % of Product Revenues</v>
          </cell>
          <cell r="C27">
            <v>0.16841460613947792</v>
          </cell>
          <cell r="E27">
            <v>0.15366247176508552</v>
          </cell>
          <cell r="G27">
            <v>0.15006048608819972</v>
          </cell>
          <cell r="I27">
            <v>0.13561919356383489</v>
          </cell>
          <cell r="K27">
            <v>0.1355077033967024</v>
          </cell>
          <cell r="M27">
            <v>0.13728375422549213</v>
          </cell>
          <cell r="O27">
            <v>0.13214802155909033</v>
          </cell>
          <cell r="Q27">
            <v>0.1275373180938105</v>
          </cell>
          <cell r="S27">
            <v>0.12617487895186558</v>
          </cell>
          <cell r="U27">
            <v>0.14739942298445269</v>
          </cell>
          <cell r="W27">
            <v>0.1703947535649831</v>
          </cell>
          <cell r="Y27">
            <v>0.17335217705075778</v>
          </cell>
          <cell r="AA27">
            <v>0.16927299950091498</v>
          </cell>
          <cell r="AC27">
            <v>0.16955454951933827</v>
          </cell>
          <cell r="AE27">
            <v>0.1676530306275032</v>
          </cell>
          <cell r="AG27">
            <v>0.16596055112329516</v>
          </cell>
          <cell r="AI27">
            <v>0.1658762085797969</v>
          </cell>
          <cell r="AK27">
            <v>0.16811739720479185</v>
          </cell>
        </row>
        <row r="28">
          <cell r="B28" t="str">
            <v xml:space="preserve">   R&amp;D</v>
          </cell>
          <cell r="C28">
            <v>255.3</v>
          </cell>
          <cell r="E28">
            <v>323.60000000000002</v>
          </cell>
          <cell r="G28">
            <v>451.7</v>
          </cell>
          <cell r="I28">
            <v>528.29999999999995</v>
          </cell>
          <cell r="K28">
            <v>630.79999999999995</v>
          </cell>
          <cell r="M28">
            <v>663.3</v>
          </cell>
          <cell r="O28">
            <v>822.8</v>
          </cell>
          <cell r="Q28">
            <v>845</v>
          </cell>
          <cell r="S28">
            <v>865</v>
          </cell>
          <cell r="U28">
            <v>1116.5999999999999</v>
          </cell>
          <cell r="W28">
            <v>1655.4</v>
          </cell>
          <cell r="X28">
            <v>0.48253627082213879</v>
          </cell>
          <cell r="Y28">
            <v>2028</v>
          </cell>
          <cell r="Z28">
            <v>0.22508155128669793</v>
          </cell>
          <cell r="AA28">
            <v>2302</v>
          </cell>
          <cell r="AB28">
            <v>0.13510848126232733</v>
          </cell>
          <cell r="AC28">
            <v>3009</v>
          </cell>
          <cell r="AD28">
            <v>0.30712423979148573</v>
          </cell>
          <cell r="AE28">
            <v>3327.2960987904589</v>
          </cell>
          <cell r="AF28">
            <v>0.10578135553022894</v>
          </cell>
          <cell r="AG28">
            <v>3601.6878542989657</v>
          </cell>
          <cell r="AH28">
            <v>8.2466888236443436E-2</v>
          </cell>
          <cell r="AI28">
            <v>3897.5185527717758</v>
          </cell>
          <cell r="AJ28">
            <v>8.2136684365833545E-2</v>
          </cell>
          <cell r="AK28">
            <v>4192.984408328728</v>
          </cell>
          <cell r="AL28">
            <v>7.5808710479858377E-2</v>
          </cell>
          <cell r="AO28" t="str">
            <v>mstag:researchAndDevelopment</v>
          </cell>
          <cell r="AP28">
            <v>6</v>
          </cell>
          <cell r="AQ28" t="str">
            <v>ISO4217:USD</v>
          </cell>
          <cell r="AR28" t="b">
            <v>0</v>
          </cell>
          <cell r="AS28" t="b">
            <v>0</v>
          </cell>
        </row>
        <row r="29">
          <cell r="B29" t="str">
            <v xml:space="preserve">   % of Total Revenues</v>
          </cell>
          <cell r="C29">
            <v>0.18583491046731695</v>
          </cell>
          <cell r="E29">
            <v>0.19638305619614033</v>
          </cell>
          <cell r="G29">
            <v>0.23284705397185423</v>
          </cell>
          <cell r="I29">
            <v>0.23586927404232522</v>
          </cell>
          <cell r="K29">
            <v>0.26272386505622658</v>
          </cell>
          <cell r="M29">
            <v>0.24402177911853432</v>
          </cell>
          <cell r="O29">
            <v>0.24633992994221729</v>
          </cell>
          <cell r="Q29">
            <v>0.23282085193144875</v>
          </cell>
          <cell r="S29">
            <v>0.21540453719152328</v>
          </cell>
          <cell r="U29">
            <v>0.20217273221075505</v>
          </cell>
          <cell r="W29">
            <v>0.19810914313068456</v>
          </cell>
          <cell r="Y29">
            <v>0.19222931023042872</v>
          </cell>
          <cell r="AA29">
            <v>0.21</v>
          </cell>
          <cell r="AC29">
            <v>0.21837578924450252</v>
          </cell>
          <cell r="AE29">
            <v>0.2205</v>
          </cell>
          <cell r="AG29">
            <v>0.22</v>
          </cell>
          <cell r="AI29">
            <v>0.2175</v>
          </cell>
          <cell r="AK29">
            <v>0.215</v>
          </cell>
        </row>
        <row r="30">
          <cell r="B30" t="str">
            <v xml:space="preserve">   SG&amp;A</v>
          </cell>
          <cell r="C30">
            <v>114.3</v>
          </cell>
          <cell r="E30">
            <v>122.9</v>
          </cell>
          <cell r="G30">
            <v>418.4</v>
          </cell>
          <cell r="I30">
            <v>470.6</v>
          </cell>
          <cell r="K30">
            <v>483.8</v>
          </cell>
          <cell r="M30">
            <v>515.4</v>
          </cell>
          <cell r="O30">
            <v>654.29999999999995</v>
          </cell>
          <cell r="Q30">
            <v>826.9</v>
          </cell>
          <cell r="S30">
            <v>970.7</v>
          </cell>
          <cell r="U30">
            <v>1462.1</v>
          </cell>
          <cell r="W30">
            <v>1952.6</v>
          </cell>
          <cell r="X30">
            <v>0.3354763696053622</v>
          </cell>
          <cell r="Y30">
            <v>2556</v>
          </cell>
          <cell r="Z30">
            <v>0.30902386561507744</v>
          </cell>
          <cell r="AA30">
            <v>2792</v>
          </cell>
          <cell r="AB30">
            <v>9.2331768388106417E-2</v>
          </cell>
          <cell r="AC30">
            <v>3027.1130000000003</v>
          </cell>
          <cell r="AD30">
            <v>8.4209527220630465E-2</v>
          </cell>
          <cell r="AE30">
            <v>3266.9369858872305</v>
          </cell>
          <cell r="AF30">
            <v>7.9225316625851194E-2</v>
          </cell>
          <cell r="AG30">
            <v>3544.388274798755</v>
          </cell>
          <cell r="AH30">
            <v>8.4927040255162511E-2</v>
          </cell>
          <cell r="AI30">
            <v>4255.911063371479</v>
          </cell>
          <cell r="AJ30">
            <v>0.20074628776756209</v>
          </cell>
          <cell r="AK30">
            <v>4875.5632654985211</v>
          </cell>
          <cell r="AL30">
            <v>0.14559801483167312</v>
          </cell>
          <cell r="AO30" t="str">
            <v>mstag:sellingGeneralAndAdministrativeExpenses</v>
          </cell>
          <cell r="AP30">
            <v>6</v>
          </cell>
          <cell r="AQ30" t="str">
            <v>ISO4217:USD</v>
          </cell>
          <cell r="AR30" t="b">
            <v>0</v>
          </cell>
          <cell r="AS30" t="b">
            <v>0</v>
          </cell>
        </row>
        <row r="31">
          <cell r="B31" t="str">
            <v xml:space="preserve">   % of Total Revenues</v>
          </cell>
          <cell r="C31">
            <v>8.3199883534721214E-2</v>
          </cell>
          <cell r="E31">
            <v>7.4584294210462435E-2</v>
          </cell>
          <cell r="G31">
            <v>0.21568122068147844</v>
          </cell>
          <cell r="I31">
            <v>0.21010804536119301</v>
          </cell>
          <cell r="K31">
            <v>0.2014993752603082</v>
          </cell>
          <cell r="M31">
            <v>0.18961077183430211</v>
          </cell>
          <cell r="O31">
            <v>0.19589233855273794</v>
          </cell>
          <cell r="Q31">
            <v>0.22783380173031356</v>
          </cell>
          <cell r="S31">
            <v>0.2417262245685684</v>
          </cell>
          <cell r="U31">
            <v>0.26472931377874348</v>
          </cell>
          <cell r="W31">
            <v>0.23367640019147917</v>
          </cell>
          <cell r="Y31">
            <v>0.24227717798272971</v>
          </cell>
          <cell r="AA31">
            <v>0.23</v>
          </cell>
          <cell r="AC31">
            <v>0.21969032585819001</v>
          </cell>
          <cell r="AE31">
            <v>0.2165</v>
          </cell>
          <cell r="AG31">
            <v>0.2165</v>
          </cell>
          <cell r="AI31">
            <v>0.23749999999999999</v>
          </cell>
          <cell r="AK31">
            <v>0.25</v>
          </cell>
        </row>
        <row r="32">
          <cell r="B32" t="str">
            <v xml:space="preserve">   Loss of Affiliates, Net</v>
          </cell>
          <cell r="C32">
            <v>12.6</v>
          </cell>
          <cell r="E32">
            <v>31.2</v>
          </cell>
          <cell r="G32">
            <v>53.3</v>
          </cell>
          <cell r="I32">
            <v>52.8</v>
          </cell>
          <cell r="K32">
            <v>36.1</v>
          </cell>
          <cell r="M32">
            <v>28.6</v>
          </cell>
          <cell r="O32">
            <v>16.8</v>
          </cell>
          <cell r="Q32">
            <v>23.9</v>
          </cell>
          <cell r="S32">
            <v>2.7</v>
          </cell>
          <cell r="U32">
            <v>-12.6</v>
          </cell>
          <cell r="W32">
            <v>4.3</v>
          </cell>
          <cell r="X32" t="str">
            <v>NM</v>
          </cell>
          <cell r="Y32">
            <v>0</v>
          </cell>
          <cell r="AA32">
            <v>0</v>
          </cell>
          <cell r="AC32">
            <v>0</v>
          </cell>
          <cell r="AE32">
            <v>0</v>
          </cell>
          <cell r="AG32">
            <v>0</v>
          </cell>
          <cell r="AI32">
            <v>0</v>
          </cell>
          <cell r="AK32">
            <v>0</v>
          </cell>
          <cell r="AO32" t="str">
            <v>mstag:otherOperatingExpense</v>
          </cell>
          <cell r="AP32">
            <v>6</v>
          </cell>
          <cell r="AQ32" t="str">
            <v>ISO4217:USD</v>
          </cell>
          <cell r="AR32" t="b">
            <v>0</v>
          </cell>
          <cell r="AS32" t="b">
            <v>0</v>
          </cell>
        </row>
        <row r="33">
          <cell r="B33" t="str">
            <v xml:space="preserve">   Other </v>
          </cell>
          <cell r="C33">
            <v>-13.9</v>
          </cell>
          <cell r="E33">
            <v>116.4</v>
          </cell>
          <cell r="G33">
            <v>0</v>
          </cell>
          <cell r="I33">
            <v>0</v>
          </cell>
          <cell r="K33">
            <v>157</v>
          </cell>
          <cell r="M33">
            <v>-23</v>
          </cell>
          <cell r="O33">
            <v>-49</v>
          </cell>
          <cell r="Q33">
            <v>-18.8</v>
          </cell>
          <cell r="S33">
            <v>203.1</v>
          </cell>
          <cell r="U33">
            <v>-141.30000000000001</v>
          </cell>
          <cell r="W33">
            <v>-24</v>
          </cell>
          <cell r="Y33">
            <v>0</v>
          </cell>
          <cell r="AA33">
            <v>0</v>
          </cell>
          <cell r="AC33">
            <v>0</v>
          </cell>
          <cell r="AE33">
            <v>0</v>
          </cell>
          <cell r="AG33">
            <v>0</v>
          </cell>
          <cell r="AI33">
            <v>0</v>
          </cell>
          <cell r="AK33">
            <v>0</v>
          </cell>
          <cell r="AO33" t="str">
            <v>mstag:otherOperatingExpense</v>
          </cell>
          <cell r="AP33">
            <v>6</v>
          </cell>
          <cell r="AQ33" t="str">
            <v>ISO4217:USD</v>
          </cell>
          <cell r="AR33" t="b">
            <v>0</v>
          </cell>
          <cell r="AS33" t="b">
            <v>0</v>
          </cell>
        </row>
        <row r="34">
          <cell r="B34" t="str">
            <v>Total Operating Expenses</v>
          </cell>
          <cell r="C34">
            <v>588.29999999999995</v>
          </cell>
          <cell r="E34">
            <v>832.2</v>
          </cell>
          <cell r="G34">
            <v>1196.3</v>
          </cell>
          <cell r="I34">
            <v>1334.8999999999999</v>
          </cell>
          <cell r="K34">
            <v>1608.4999999999998</v>
          </cell>
          <cell r="M34">
            <v>1529.5</v>
          </cell>
          <cell r="O34">
            <v>1847</v>
          </cell>
          <cell r="Q34">
            <v>2085.4</v>
          </cell>
          <cell r="S34">
            <v>2484.5</v>
          </cell>
          <cell r="U34">
            <v>3160.5</v>
          </cell>
          <cell r="W34">
            <v>4929.0000000000009</v>
          </cell>
          <cell r="X34">
            <v>0.55956336022781228</v>
          </cell>
          <cell r="Y34">
            <v>6315</v>
          </cell>
          <cell r="Z34">
            <v>0.28119293974436976</v>
          </cell>
          <cell r="AA34">
            <v>7129</v>
          </cell>
          <cell r="AB34">
            <v>0.12889944576405377</v>
          </cell>
          <cell r="AC34">
            <v>8311.3654999999999</v>
          </cell>
          <cell r="AD34">
            <v>0.16585292467386736</v>
          </cell>
          <cell r="AE34">
            <v>9065.5356974360293</v>
          </cell>
          <cell r="AF34">
            <v>9.073962605013941E-2</v>
          </cell>
          <cell r="AG34">
            <v>9809.7503480268042</v>
          </cell>
          <cell r="AH34">
            <v>8.2092738413821253E-2</v>
          </cell>
          <cell r="AI34">
            <v>11075.243606667409</v>
          </cell>
          <cell r="AJ34">
            <v>0.12900361515266834</v>
          </cell>
          <cell r="AK34">
            <v>12298.471612324098</v>
          </cell>
          <cell r="AL34">
            <v>0.11044705192040127</v>
          </cell>
        </row>
        <row r="35">
          <cell r="B35" t="str">
            <v xml:space="preserve">Operating Income (Loss) </v>
          </cell>
          <cell r="C35">
            <v>785.5</v>
          </cell>
          <cell r="E35">
            <v>815.59999999999991</v>
          </cell>
          <cell r="G35">
            <v>743.59999999999991</v>
          </cell>
          <cell r="I35">
            <v>904.89999999999986</v>
          </cell>
          <cell r="K35">
            <v>792.50000000000023</v>
          </cell>
          <cell r="M35">
            <v>1188.6999999999998</v>
          </cell>
          <cell r="O35">
            <v>1493.1</v>
          </cell>
          <cell r="Q35">
            <v>1543.9999999999995</v>
          </cell>
          <cell r="S35">
            <v>1531.1999999999998</v>
          </cell>
          <cell r="U35">
            <v>2362.4999999999991</v>
          </cell>
          <cell r="W35">
            <v>3426.9999999999991</v>
          </cell>
          <cell r="X35">
            <v>0.45058201058201086</v>
          </cell>
          <cell r="Y35">
            <v>4234.8999999999996</v>
          </cell>
          <cell r="Z35">
            <v>0.23574555004377018</v>
          </cell>
          <cell r="AA35">
            <v>5301</v>
          </cell>
          <cell r="AB35">
            <v>0.25174148149897291</v>
          </cell>
          <cell r="AC35">
            <v>5467.6345000000001</v>
          </cell>
          <cell r="AD35">
            <v>3.143454065270701E-2</v>
          </cell>
          <cell r="AE35">
            <v>6024.24252837104</v>
          </cell>
          <cell r="AF35">
            <v>0.10180051873822937</v>
          </cell>
          <cell r="AG35">
            <v>6561.5580806048583</v>
          </cell>
          <cell r="AH35">
            <v>8.919221789350984E-2</v>
          </cell>
          <cell r="AI35">
            <v>6844.3819233177674</v>
          </cell>
          <cell r="AJ35">
            <v>4.3103153128964955E-2</v>
          </cell>
          <cell r="AK35">
            <v>7203.7814496699866</v>
          </cell>
          <cell r="AL35">
            <v>5.2510150716136961E-2</v>
          </cell>
        </row>
        <row r="36">
          <cell r="B36" t="str">
            <v>Operatin Margins</v>
          </cell>
          <cell r="C36">
            <v>0.57177172805357401</v>
          </cell>
          <cell r="E36">
            <v>0.49496298094428931</v>
          </cell>
          <cell r="G36">
            <v>0.38331872776947262</v>
          </cell>
          <cell r="I36">
            <v>0.40400928654344137</v>
          </cell>
          <cell r="K36">
            <v>0.33007080383173687</v>
          </cell>
          <cell r="M36">
            <v>0.43731145611066141</v>
          </cell>
          <cell r="O36">
            <v>0.44702254423520255</v>
          </cell>
          <cell r="Q36">
            <v>0.42541466909130976</v>
          </cell>
          <cell r="S36">
            <v>0.38130338421694843</v>
          </cell>
          <cell r="U36">
            <v>0.42775665399239532</v>
          </cell>
          <cell r="W36">
            <v>0.41012446146481557</v>
          </cell>
          <cell r="Y36">
            <v>0.40141612716708214</v>
          </cell>
          <cell r="AA36">
            <v>0.42646822204344326</v>
          </cell>
          <cell r="AC36">
            <v>0.39680923869656726</v>
          </cell>
          <cell r="AE36">
            <v>0.39922671083847799</v>
          </cell>
          <cell r="AG36">
            <v>0.40079619226581775</v>
          </cell>
          <cell r="AI36">
            <v>0.38194893703916755</v>
          </cell>
          <cell r="AK36">
            <v>0.36938201072309373</v>
          </cell>
        </row>
        <row r="37">
          <cell r="B37" t="str">
            <v xml:space="preserve">   Interest, Other Income</v>
          </cell>
          <cell r="C37">
            <v>27.2</v>
          </cell>
          <cell r="E37">
            <v>21.5</v>
          </cell>
          <cell r="G37">
            <v>66.099999999999994</v>
          </cell>
          <cell r="I37">
            <v>63.6</v>
          </cell>
          <cell r="K37">
            <v>72.599999999999994</v>
          </cell>
          <cell r="M37">
            <v>45.7</v>
          </cell>
          <cell r="O37">
            <v>88.3</v>
          </cell>
          <cell r="Q37">
            <v>146.19999999999999</v>
          </cell>
          <cell r="S37">
            <v>168.7</v>
          </cell>
          <cell r="U37">
            <v>144.19999999999999</v>
          </cell>
          <cell r="W37">
            <v>113.4</v>
          </cell>
          <cell r="X37">
            <v>-0.21359223300970864</v>
          </cell>
          <cell r="Y37">
            <v>99.7</v>
          </cell>
          <cell r="AA37">
            <v>157</v>
          </cell>
          <cell r="AC37">
            <v>329</v>
          </cell>
          <cell r="AE37">
            <v>210.7171588806757</v>
          </cell>
          <cell r="AG37">
            <v>265.32581027251831</v>
          </cell>
          <cell r="AI37">
            <v>323.62060238808283</v>
          </cell>
          <cell r="AK37">
            <v>403.8061044023068</v>
          </cell>
          <cell r="AO37" t="str">
            <v>mstag:interestAndDividendIncome</v>
          </cell>
          <cell r="AP37">
            <v>6</v>
          </cell>
          <cell r="AQ37" t="str">
            <v>ISO4217:USD</v>
          </cell>
          <cell r="AR37" t="b">
            <v>0</v>
          </cell>
          <cell r="AS37" t="b">
            <v>0</v>
          </cell>
        </row>
        <row r="38">
          <cell r="B38" t="str">
            <v xml:space="preserve">   Interest, Other Expense</v>
          </cell>
          <cell r="C38">
            <v>-6.2</v>
          </cell>
          <cell r="E38">
            <v>-12</v>
          </cell>
          <cell r="G38">
            <v>-15.3</v>
          </cell>
          <cell r="I38">
            <v>-6.2</v>
          </cell>
          <cell r="K38">
            <v>-3.7</v>
          </cell>
          <cell r="M38">
            <v>-10</v>
          </cell>
          <cell r="O38">
            <v>-15.2</v>
          </cell>
          <cell r="Q38">
            <v>-15.9</v>
          </cell>
          <cell r="S38">
            <v>-13.6</v>
          </cell>
          <cell r="U38">
            <v>-44.2</v>
          </cell>
          <cell r="W38">
            <v>-31.5</v>
          </cell>
          <cell r="X38">
            <v>-0.28733031674208154</v>
          </cell>
          <cell r="Y38">
            <v>-52.5</v>
          </cell>
          <cell r="AA38">
            <v>-137</v>
          </cell>
          <cell r="AC38">
            <v>-136</v>
          </cell>
          <cell r="AE38">
            <v>-128.80025000000001</v>
          </cell>
          <cell r="AG38">
            <v>-128.80025000000001</v>
          </cell>
          <cell r="AI38">
            <v>-88.888750000000002</v>
          </cell>
          <cell r="AK38">
            <v>-88.888750000000002</v>
          </cell>
          <cell r="AO38" t="str">
            <v>mstag:interestExpense</v>
          </cell>
          <cell r="AP38">
            <v>6</v>
          </cell>
          <cell r="AQ38" t="str">
            <v>ISO4217:USD</v>
          </cell>
          <cell r="AR38" t="b">
            <v>1</v>
          </cell>
          <cell r="AS38" t="b">
            <v>0</v>
          </cell>
        </row>
        <row r="39">
          <cell r="B39" t="str">
            <v xml:space="preserve">Pretax Income (Loss) </v>
          </cell>
          <cell r="C39">
            <v>806.5</v>
          </cell>
          <cell r="E39">
            <v>825.09999999999991</v>
          </cell>
          <cell r="G39">
            <v>794.4</v>
          </cell>
          <cell r="I39">
            <v>962.29999999999984</v>
          </cell>
          <cell r="K39">
            <v>861.4000000000002</v>
          </cell>
          <cell r="M39">
            <v>1224.3999999999999</v>
          </cell>
          <cell r="O39">
            <v>1566.1999999999998</v>
          </cell>
          <cell r="Q39">
            <v>1674.2999999999995</v>
          </cell>
          <cell r="S39">
            <v>1686.3</v>
          </cell>
          <cell r="U39">
            <v>2462.4999999999991</v>
          </cell>
          <cell r="V39">
            <v>0.46029769317440494</v>
          </cell>
          <cell r="W39">
            <v>3508.8999999999992</v>
          </cell>
          <cell r="X39">
            <v>0.42493401015228449</v>
          </cell>
          <cell r="Y39">
            <v>4282.0999999999995</v>
          </cell>
          <cell r="Z39">
            <v>0.2203539570805666</v>
          </cell>
          <cell r="AA39">
            <v>5321</v>
          </cell>
          <cell r="AB39">
            <v>0.24261460498353626</v>
          </cell>
          <cell r="AC39">
            <v>5660.6345000000001</v>
          </cell>
          <cell r="AD39">
            <v>6.3829073482428056E-2</v>
          </cell>
          <cell r="AE39">
            <v>6106.1594372517156</v>
          </cell>
          <cell r="AF39">
            <v>7.8705830106451158E-2</v>
          </cell>
          <cell r="AG39">
            <v>6698.0836408773766</v>
          </cell>
          <cell r="AH39">
            <v>9.6938871267350457E-2</v>
          </cell>
          <cell r="AI39">
            <v>7079.1137757058505</v>
          </cell>
          <cell r="AJ39">
            <v>5.6886440250328629E-2</v>
          </cell>
          <cell r="AK39">
            <v>7518.6988040722936</v>
          </cell>
          <cell r="AL39">
            <v>6.2096053587246125E-2</v>
          </cell>
        </row>
        <row r="40">
          <cell r="B40" t="str">
            <v xml:space="preserve">   Provision For Income Taxes</v>
          </cell>
          <cell r="C40">
            <v>217.8</v>
          </cell>
          <cell r="E40">
            <v>268.60000000000002</v>
          </cell>
          <cell r="G40">
            <v>256.7</v>
          </cell>
          <cell r="I40">
            <v>282.5</v>
          </cell>
          <cell r="K40">
            <v>217.1</v>
          </cell>
          <cell r="M40">
            <v>361.2</v>
          </cell>
          <cell r="O40">
            <v>469.8</v>
          </cell>
          <cell r="Q40">
            <v>535.79999999999995</v>
          </cell>
          <cell r="S40">
            <v>566.6</v>
          </cell>
          <cell r="U40">
            <v>707.4</v>
          </cell>
          <cell r="W40">
            <v>913.6</v>
          </cell>
          <cell r="X40">
            <v>0.29148996324568843</v>
          </cell>
          <cell r="Y40">
            <v>1175.3</v>
          </cell>
          <cell r="AA40">
            <v>1298</v>
          </cell>
          <cell r="AC40">
            <v>1325.1413175</v>
          </cell>
          <cell r="AE40">
            <v>1434.9474677541532</v>
          </cell>
          <cell r="AG40">
            <v>1540.5592374017967</v>
          </cell>
          <cell r="AI40">
            <v>1592.8005995338165</v>
          </cell>
          <cell r="AK40">
            <v>1687.9478815142299</v>
          </cell>
          <cell r="AO40" t="str">
            <v>mstag:taxExpenseIncome</v>
          </cell>
          <cell r="AP40">
            <v>6</v>
          </cell>
          <cell r="AQ40" t="str">
            <v>ISO4217:USD</v>
          </cell>
          <cell r="AR40" t="b">
            <v>0</v>
          </cell>
          <cell r="AS40" t="b">
            <v>0</v>
          </cell>
        </row>
        <row r="41">
          <cell r="B41" t="str">
            <v xml:space="preserve">   Effective Tax Rate</v>
          </cell>
          <cell r="C41">
            <v>0.27005579665220086</v>
          </cell>
          <cell r="E41">
            <v>0.32553629863046912</v>
          </cell>
          <cell r="G41">
            <v>0.32313695871097681</v>
          </cell>
          <cell r="I41">
            <v>0.29356749454432096</v>
          </cell>
          <cell r="K41">
            <v>0.25203157650336655</v>
          </cell>
          <cell r="M41">
            <v>0.29500163345311992</v>
          </cell>
          <cell r="O41">
            <v>0.29996169071638362</v>
          </cell>
          <cell r="Q41">
            <v>0.32001433434868309</v>
          </cell>
          <cell r="S41">
            <v>0.33600189764573329</v>
          </cell>
          <cell r="U41">
            <v>0.28726903553299504</v>
          </cell>
          <cell r="W41">
            <v>0.28792033027638597</v>
          </cell>
          <cell r="Y41">
            <v>0.27179593913325006</v>
          </cell>
          <cell r="AA41">
            <v>0.24393910919000189</v>
          </cell>
          <cell r="AC41">
            <v>0.2340976647582528</v>
          </cell>
          <cell r="AE41">
            <v>0.23499999999999999</v>
          </cell>
          <cell r="AG41">
            <v>0.23</v>
          </cell>
          <cell r="AI41">
            <v>0.22500000000000001</v>
          </cell>
          <cell r="AK41">
            <v>0.22450000000000001</v>
          </cell>
        </row>
        <row r="42">
          <cell r="B42" t="str">
            <v>Net Income (Loss)</v>
          </cell>
          <cell r="C42">
            <v>588.70000000000005</v>
          </cell>
          <cell r="E42">
            <v>556.49999999999989</v>
          </cell>
          <cell r="G42">
            <v>537.70000000000005</v>
          </cell>
          <cell r="I42">
            <v>679.79999999999984</v>
          </cell>
          <cell r="K42">
            <v>644.30000000000018</v>
          </cell>
          <cell r="M42">
            <v>863.19999999999982</v>
          </cell>
          <cell r="O42">
            <v>1096.3999999999999</v>
          </cell>
          <cell r="Q42">
            <v>1138.4999999999995</v>
          </cell>
          <cell r="S42">
            <v>1119.6999999999998</v>
          </cell>
          <cell r="U42">
            <v>1755.099999999999</v>
          </cell>
          <cell r="W42">
            <v>2595.2999999999993</v>
          </cell>
          <cell r="X42">
            <v>0.47871916130135084</v>
          </cell>
          <cell r="Y42">
            <v>3106.7999999999993</v>
          </cell>
          <cell r="Z42">
            <v>0.19708704196046711</v>
          </cell>
          <cell r="AA42">
            <v>4023</v>
          </cell>
          <cell r="AB42">
            <v>0.29490150637311729</v>
          </cell>
          <cell r="AC42">
            <v>4335.4931825000003</v>
          </cell>
          <cell r="AD42">
            <v>7.7676654859557548E-2</v>
          </cell>
          <cell r="AE42">
            <v>4671.2119694975627</v>
          </cell>
          <cell r="AF42">
            <v>7.7434970570977812E-2</v>
          </cell>
          <cell r="AG42">
            <v>5157.5244034755797</v>
          </cell>
          <cell r="AH42">
            <v>0.1041084063736728</v>
          </cell>
          <cell r="AI42">
            <v>5486.3131761720342</v>
          </cell>
          <cell r="AJ42">
            <v>6.3749339212993084E-2</v>
          </cell>
          <cell r="AK42">
            <v>5830.7509225580634</v>
          </cell>
          <cell r="AL42">
            <v>6.2781276847625023E-2</v>
          </cell>
        </row>
        <row r="44">
          <cell r="B44" t="str">
            <v>EPS, basic</v>
          </cell>
          <cell r="C44">
            <v>0.51244777158774379</v>
          </cell>
          <cell r="E44">
            <v>0.49758583690987113</v>
          </cell>
          <cell r="G44">
            <v>0.47889205557534742</v>
          </cell>
          <cell r="I44">
            <v>0.64156285390713463</v>
          </cell>
          <cell r="K44">
            <v>0.60990155244225686</v>
          </cell>
          <cell r="M44">
            <v>0.84644047852520088</v>
          </cell>
          <cell r="O44">
            <v>1.0731134383870018</v>
          </cell>
          <cell r="Q44">
            <v>1.1057692307692304</v>
          </cell>
          <cell r="S44">
            <v>1.0709708273553322</v>
          </cell>
          <cell r="U44">
            <v>1.5215431296055475</v>
          </cell>
          <cell r="W44">
            <v>2.0143588947531814</v>
          </cell>
          <cell r="X44">
            <v>0.32389207743022963</v>
          </cell>
          <cell r="Y44">
            <v>2.4450478101758937</v>
          </cell>
          <cell r="Z44">
            <v>0.21380942420168103</v>
          </cell>
          <cell r="AA44">
            <v>3.2548543689320391</v>
          </cell>
          <cell r="AB44">
            <v>0.33120275005906286</v>
          </cell>
          <cell r="AC44">
            <v>3.731777351192334</v>
          </cell>
          <cell r="AD44">
            <v>0.14652667314783119</v>
          </cell>
          <cell r="AE44">
            <v>4.1673836241099211</v>
          </cell>
          <cell r="AF44">
            <v>0.11672890205478281</v>
          </cell>
          <cell r="AG44">
            <v>4.7082436114742245</v>
          </cell>
          <cell r="AH44">
            <v>0.12978406505108375</v>
          </cell>
          <cell r="AI44">
            <v>5.1215025778275436</v>
          </cell>
          <cell r="AJ44">
            <v>8.7773488471621697E-2</v>
          </cell>
          <cell r="AK44">
            <v>5.5598159963447911</v>
          </cell>
          <cell r="AL44">
            <v>8.5582973327951173E-2</v>
          </cell>
        </row>
        <row r="45">
          <cell r="B45" t="str">
            <v>EPS, diluted</v>
          </cell>
          <cell r="C45">
            <v>0.50996188496188499</v>
          </cell>
          <cell r="D45" t="e">
            <v>#DIV/0!</v>
          </cell>
          <cell r="E45">
            <v>0.49300141743444359</v>
          </cell>
          <cell r="F45">
            <v>-3.3258304252893445E-2</v>
          </cell>
          <cell r="G45">
            <v>0.49676644493717664</v>
          </cell>
          <cell r="H45">
            <v>7.6369506650226793E-3</v>
          </cell>
          <cell r="I45">
            <v>0.6054506590666191</v>
          </cell>
          <cell r="J45">
            <v>0.21878332410955648</v>
          </cell>
          <cell r="K45">
            <v>0.58658048069919899</v>
          </cell>
          <cell r="L45">
            <v>-3.1167161328242599E-2</v>
          </cell>
          <cell r="M45">
            <v>0.81665089877010388</v>
          </cell>
          <cell r="N45">
            <v>0.3922231060206145</v>
          </cell>
          <cell r="O45">
            <v>1.0167856811647964</v>
          </cell>
          <cell r="P45">
            <v>0.24506773052732855</v>
          </cell>
          <cell r="Q45">
            <v>1.0495989674564392</v>
          </cell>
          <cell r="R45">
            <v>3.227158574268385E-2</v>
          </cell>
          <cell r="S45">
            <v>1.0327430363401584</v>
          </cell>
          <cell r="T45">
            <v>-1.6059401389398209E-2</v>
          </cell>
          <cell r="U45">
            <v>1.5215431296055475</v>
          </cell>
          <cell r="V45">
            <v>0.47330272494269443</v>
          </cell>
          <cell r="W45">
            <v>1.9281575037147096</v>
          </cell>
          <cell r="X45">
            <v>0.26723815197704903</v>
          </cell>
          <cell r="Y45">
            <v>2.36950115525927</v>
          </cell>
          <cell r="Z45">
            <v>0.22889398334642563</v>
          </cell>
          <cell r="AA45">
            <v>3.2027027027027026</v>
          </cell>
          <cell r="AB45">
            <v>0.35163584773701628</v>
          </cell>
          <cell r="AC45">
            <v>3.6698689952539394</v>
          </cell>
          <cell r="AD45">
            <v>0.14586626856030183</v>
          </cell>
          <cell r="AE45">
            <v>4.1013211403748855</v>
          </cell>
          <cell r="AF45">
            <v>0.11756608905629107</v>
          </cell>
          <cell r="AG45">
            <v>4.6347096976234399</v>
          </cell>
          <cell r="AH45">
            <v>0.13005286320978016</v>
          </cell>
          <cell r="AI45">
            <v>5.0526778224740756</v>
          </cell>
          <cell r="AJ45">
            <v>9.0182158564312997E-2</v>
          </cell>
          <cell r="AK45">
            <v>5.4875839896915242</v>
          </cell>
          <cell r="AL45">
            <v>8.607439114423765E-2</v>
          </cell>
          <cell r="AM45">
            <v>0.1311025203958521</v>
          </cell>
          <cell r="AO45" t="str">
            <v>mstag:adjEpsForConsensus</v>
          </cell>
          <cell r="AP45">
            <v>0</v>
          </cell>
          <cell r="AQ45" t="str">
            <v>ISO4217:USD</v>
          </cell>
          <cell r="AR45" t="b">
            <v>0</v>
          </cell>
          <cell r="AS45" t="b">
            <v>0</v>
          </cell>
        </row>
        <row r="47">
          <cell r="B47" t="str">
            <v xml:space="preserve">  Options expense</v>
          </cell>
          <cell r="AC47">
            <v>294.91779250000002</v>
          </cell>
          <cell r="AE47">
            <v>271.96607092308085</v>
          </cell>
          <cell r="AG47">
            <v>294.29251044080411</v>
          </cell>
          <cell r="AI47">
            <v>332.25730820002224</v>
          </cell>
          <cell r="AK47">
            <v>368.95414836972293</v>
          </cell>
          <cell r="AO47" t="str">
            <v>mstag:stockCompensation</v>
          </cell>
          <cell r="AP47">
            <v>6</v>
          </cell>
          <cell r="AQ47" t="str">
            <v>ISO4217:USD</v>
          </cell>
          <cell r="AR47" t="b">
            <v>0</v>
          </cell>
          <cell r="AS47" t="b">
            <v>0</v>
          </cell>
        </row>
        <row r="48">
          <cell r="B48" t="str">
            <v>% of operating expense</v>
          </cell>
          <cell r="AC48">
            <v>3.5483675035107048E-2</v>
          </cell>
          <cell r="AE48">
            <v>0.03</v>
          </cell>
          <cell r="AG48">
            <v>0.03</v>
          </cell>
          <cell r="AI48">
            <v>0.03</v>
          </cell>
          <cell r="AK48">
            <v>0.03</v>
          </cell>
        </row>
        <row r="49">
          <cell r="B49" t="str">
            <v>Net Income (incl options exp)</v>
          </cell>
          <cell r="AC49">
            <v>4040.5753900000004</v>
          </cell>
          <cell r="AE49">
            <v>4399.2458985744815</v>
          </cell>
          <cell r="AG49">
            <v>4863.2318930347756</v>
          </cell>
          <cell r="AI49">
            <v>5154.0558679720116</v>
          </cell>
          <cell r="AK49">
            <v>5461.7967741883404</v>
          </cell>
        </row>
        <row r="51">
          <cell r="B51" t="str">
            <v>EPS, diluted (incl option exp)</v>
          </cell>
          <cell r="AC51">
            <v>3.4469575326902331</v>
          </cell>
          <cell r="AE51">
            <v>3.8627394026015285</v>
          </cell>
          <cell r="AG51">
            <v>4.3704543642262941</v>
          </cell>
          <cell r="AI51">
            <v>4.7469048950237553</v>
          </cell>
          <cell r="AK51">
            <v>5.1405825659124416</v>
          </cell>
        </row>
        <row r="52">
          <cell r="B52" t="str">
            <v>EPS, GAAP, Diluted (incl option exp)</v>
          </cell>
          <cell r="C52">
            <v>0.50996188496188499</v>
          </cell>
          <cell r="E52">
            <v>0.49300141743444359</v>
          </cell>
          <cell r="G52">
            <v>0.49676644493717664</v>
          </cell>
          <cell r="I52">
            <v>0.6054506590666191</v>
          </cell>
          <cell r="K52">
            <v>0.58658048069919899</v>
          </cell>
          <cell r="M52">
            <v>0.81665089877010388</v>
          </cell>
          <cell r="O52">
            <v>1.0167856811647964</v>
          </cell>
          <cell r="Q52">
            <v>1.0495989674564392</v>
          </cell>
          <cell r="S52">
            <v>1.0327430363401584</v>
          </cell>
          <cell r="U52">
            <v>-1.2066753359341147</v>
          </cell>
          <cell r="W52">
            <v>1.6939078751857348</v>
          </cell>
          <cell r="Y52">
            <v>1.8057346312639668</v>
          </cell>
          <cell r="AA52">
            <v>2.9252782193958664</v>
          </cell>
          <cell r="AC52">
            <v>2.8409196338463318</v>
          </cell>
          <cell r="AE52">
            <v>3.6709641803555715</v>
          </cell>
          <cell r="AG52">
            <v>4.1741569513311401</v>
          </cell>
          <cell r="AI52">
            <v>4.5457203972860176</v>
          </cell>
          <cell r="AK52">
            <v>4.9349798329237098</v>
          </cell>
        </row>
        <row r="54">
          <cell r="B54" t="str">
            <v xml:space="preserve">Basic Shares Outstanding </v>
          </cell>
          <cell r="C54">
            <v>1148.8</v>
          </cell>
          <cell r="E54">
            <v>1118.4000000000001</v>
          </cell>
          <cell r="G54">
            <v>1122.8</v>
          </cell>
          <cell r="I54">
            <v>1059.5999999999999</v>
          </cell>
          <cell r="K54">
            <v>1056.4000000000001</v>
          </cell>
          <cell r="M54">
            <v>1019.8</v>
          </cell>
          <cell r="O54">
            <v>1021.7</v>
          </cell>
          <cell r="Q54">
            <v>1029.5999999999999</v>
          </cell>
          <cell r="S54">
            <v>1045.5</v>
          </cell>
          <cell r="U54">
            <v>1153.5</v>
          </cell>
          <cell r="W54">
            <v>1288.4000000000001</v>
          </cell>
          <cell r="X54">
            <v>0.11694841785869103</v>
          </cell>
          <cell r="Y54">
            <v>1270.6500000000001</v>
          </cell>
          <cell r="Z54">
            <v>-1.3776777398323503E-2</v>
          </cell>
          <cell r="AA54">
            <v>1236</v>
          </cell>
          <cell r="AB54">
            <v>-2.726950773226311E-2</v>
          </cell>
          <cell r="AC54">
            <v>1161.7770232500002</v>
          </cell>
          <cell r="AD54">
            <v>-6.0050952063106622E-2</v>
          </cell>
          <cell r="AE54">
            <v>1120.8980000000001</v>
          </cell>
          <cell r="AF54">
            <v>-3.5186634295489405E-2</v>
          </cell>
          <cell r="AG54">
            <v>1095.4242875</v>
          </cell>
          <cell r="AH54">
            <v>-2.2726164646560298E-2</v>
          </cell>
          <cell r="AI54">
            <v>1071.23116562</v>
          </cell>
          <cell r="AJ54">
            <v>-2.2085617560310022E-2</v>
          </cell>
          <cell r="AK54">
            <v>1048.7309159855999</v>
          </cell>
          <cell r="AL54">
            <v>-2.1004102901895583E-2</v>
          </cell>
          <cell r="AM54" t="str">
            <v>CAGR</v>
          </cell>
          <cell r="AN54" t="str">
            <v>Target PEG</v>
          </cell>
          <cell r="AO54" t="str">
            <v>mstag:averageBasicSharesOutstanding</v>
          </cell>
          <cell r="AP54">
            <v>6</v>
          </cell>
          <cell r="AQ54" t="str">
            <v>ms_eqr_gcim_Decimal:ms_eqr_gcim_decimal</v>
          </cell>
          <cell r="AR54" t="b">
            <v>0</v>
          </cell>
          <cell r="AS54" t="b">
            <v>0</v>
          </cell>
        </row>
        <row r="55">
          <cell r="B55" t="str">
            <v>Diluted Shares Outstanding</v>
          </cell>
          <cell r="C55">
            <v>1154.4000000000001</v>
          </cell>
          <cell r="E55">
            <v>1128.8</v>
          </cell>
          <cell r="G55">
            <v>1082.4000000000001</v>
          </cell>
          <cell r="I55">
            <v>1122.8</v>
          </cell>
          <cell r="K55">
            <v>1098.4000000000001</v>
          </cell>
          <cell r="M55">
            <v>1057</v>
          </cell>
          <cell r="O55">
            <v>1078.3</v>
          </cell>
          <cell r="Q55">
            <v>1084.7</v>
          </cell>
          <cell r="S55">
            <v>1084.2</v>
          </cell>
          <cell r="U55">
            <v>1153.5</v>
          </cell>
          <cell r="W55">
            <v>1346</v>
          </cell>
          <cell r="X55">
            <v>0.16688339835283927</v>
          </cell>
          <cell r="Y55">
            <v>1320.05</v>
          </cell>
          <cell r="Z55">
            <v>-1.9279346210995585E-2</v>
          </cell>
          <cell r="AA55">
            <v>1258</v>
          </cell>
          <cell r="AB55">
            <v>-4.7005795235028902E-2</v>
          </cell>
          <cell r="AC55">
            <v>1173.37546275</v>
          </cell>
          <cell r="AD55">
            <v>-6.726910751192372E-2</v>
          </cell>
          <cell r="AE55">
            <v>1139.9282839554037</v>
          </cell>
          <cell r="AF55">
            <v>-2.8505094793960795E-2</v>
          </cell>
          <cell r="AG55">
            <v>1113.6672499945955</v>
          </cell>
          <cell r="AH55">
            <v>-2.3037443960672532E-2</v>
          </cell>
          <cell r="AI55">
            <v>1086.6145376915538</v>
          </cell>
          <cell r="AJ55">
            <v>-2.4291557736992875E-2</v>
          </cell>
          <cell r="AK55">
            <v>1063.2640764166335</v>
          </cell>
          <cell r="AL55">
            <v>-2.1489185414845347E-2</v>
          </cell>
          <cell r="AM55">
            <v>0.11371203000907149</v>
          </cell>
          <cell r="AN55">
            <v>1.6</v>
          </cell>
          <cell r="AO55" t="str">
            <v>mstag:averageDilutedSharesOutstanding</v>
          </cell>
          <cell r="AP55">
            <v>6</v>
          </cell>
          <cell r="AQ55" t="str">
            <v>ms_eqr_gcim_Decimal:ms_eqr_gcim_decimal</v>
          </cell>
          <cell r="AR55" t="b">
            <v>0</v>
          </cell>
          <cell r="AS55" t="b">
            <v>0</v>
          </cell>
        </row>
        <row r="56">
          <cell r="AN56" t="str">
            <v>Traget PE</v>
          </cell>
        </row>
        <row r="57">
          <cell r="AN57">
            <v>18.193924801451438</v>
          </cell>
        </row>
        <row r="58">
          <cell r="W58" t="str">
            <v>2003-FY</v>
          </cell>
          <cell r="Y58" t="str">
            <v>2004-FY</v>
          </cell>
          <cell r="AA58" t="str">
            <v>2005-FY</v>
          </cell>
          <cell r="AC58" t="str">
            <v>2006-FY</v>
          </cell>
          <cell r="AE58" t="str">
            <v>2007-FY</v>
          </cell>
          <cell r="AG58" t="str">
            <v>2008-FY</v>
          </cell>
          <cell r="AI58" t="str">
            <v>2009-FY</v>
          </cell>
          <cell r="AK58" t="str">
            <v>2010-FY</v>
          </cell>
        </row>
        <row r="59">
          <cell r="AN59" t="str">
            <v>2005 Target</v>
          </cell>
        </row>
        <row r="60">
          <cell r="B60" t="str">
            <v>Reconciliation to GAAP earnings/loss</v>
          </cell>
          <cell r="AN60">
            <v>58.269732134378252</v>
          </cell>
        </row>
        <row r="61">
          <cell r="B61" t="str">
            <v>Adjustments to pro-forma earnings:</v>
          </cell>
        </row>
        <row r="62">
          <cell r="B62" t="str">
            <v xml:space="preserve">   Amortization of intangible assets</v>
          </cell>
          <cell r="C62">
            <v>0</v>
          </cell>
          <cell r="E62">
            <v>0</v>
          </cell>
          <cell r="G62">
            <v>0</v>
          </cell>
          <cell r="I62">
            <v>0</v>
          </cell>
          <cell r="K62">
            <v>0</v>
          </cell>
          <cell r="M62">
            <v>0</v>
          </cell>
          <cell r="O62">
            <v>0</v>
          </cell>
          <cell r="Q62">
            <v>0</v>
          </cell>
          <cell r="S62">
            <v>0</v>
          </cell>
          <cell r="U62">
            <v>-155.19999999999999</v>
          </cell>
          <cell r="W62">
            <v>-335.8</v>
          </cell>
          <cell r="Y62">
            <v>-333</v>
          </cell>
          <cell r="AA62">
            <v>-347</v>
          </cell>
          <cell r="AC62">
            <v>-97</v>
          </cell>
          <cell r="AE62">
            <v>-347</v>
          </cell>
          <cell r="AG62">
            <v>-347</v>
          </cell>
          <cell r="AI62">
            <v>-347</v>
          </cell>
          <cell r="AK62">
            <v>-347</v>
          </cell>
          <cell r="AO62" t="str">
            <v>mstag:amortizationOfIntangiblesAssumedToHaveIndefiniteLifeIncomeStatement</v>
          </cell>
          <cell r="AP62">
            <v>6</v>
          </cell>
          <cell r="AQ62" t="str">
            <v>ISO4217:USD</v>
          </cell>
          <cell r="AR62" t="b">
            <v>1</v>
          </cell>
          <cell r="AS62" t="b">
            <v>0</v>
          </cell>
        </row>
        <row r="63">
          <cell r="B63" t="str">
            <v xml:space="preserve">   Write-off of acquired in-process R&amp;D</v>
          </cell>
          <cell r="C63">
            <v>0</v>
          </cell>
          <cell r="E63">
            <v>0</v>
          </cell>
          <cell r="G63">
            <v>0</v>
          </cell>
          <cell r="I63">
            <v>0</v>
          </cell>
          <cell r="K63">
            <v>0</v>
          </cell>
          <cell r="M63">
            <v>0</v>
          </cell>
          <cell r="O63">
            <v>0</v>
          </cell>
          <cell r="Q63">
            <v>0</v>
          </cell>
          <cell r="S63">
            <v>0</v>
          </cell>
          <cell r="U63">
            <v>-2991.8</v>
          </cell>
          <cell r="W63">
            <v>0</v>
          </cell>
          <cell r="Y63">
            <v>-554</v>
          </cell>
          <cell r="AA63">
            <v>0</v>
          </cell>
          <cell r="AC63">
            <v>-650</v>
          </cell>
          <cell r="AE63">
            <v>0</v>
          </cell>
          <cell r="AG63">
            <v>0</v>
          </cell>
          <cell r="AI63">
            <v>0</v>
          </cell>
          <cell r="AK63">
            <v>0</v>
          </cell>
          <cell r="AO63" t="str">
            <v>mstag:acquiredInProcessRAndDOneTime</v>
          </cell>
          <cell r="AP63">
            <v>6</v>
          </cell>
          <cell r="AQ63" t="str">
            <v>ISO4217:USD</v>
          </cell>
          <cell r="AR63" t="b">
            <v>1</v>
          </cell>
          <cell r="AS63" t="b">
            <v>0</v>
          </cell>
        </row>
        <row r="64">
          <cell r="B64" t="str">
            <v xml:space="preserve">   Legal Settlement</v>
          </cell>
          <cell r="AA64">
            <v>-49</v>
          </cell>
          <cell r="AO64" t="str">
            <v>mstag:otherProvisionsOneTime</v>
          </cell>
          <cell r="AP64">
            <v>6</v>
          </cell>
          <cell r="AQ64" t="str">
            <v>ISO4217:USD</v>
          </cell>
          <cell r="AR64" t="b">
            <v>1</v>
          </cell>
          <cell r="AS64" t="b">
            <v>0</v>
          </cell>
        </row>
        <row r="65">
          <cell r="B65" t="str">
            <v xml:space="preserve">   COGS</v>
          </cell>
          <cell r="AA65">
            <v>-47</v>
          </cell>
          <cell r="AO65" t="str">
            <v>mstag:otherProvisionsOneTime</v>
          </cell>
          <cell r="AP65">
            <v>6</v>
          </cell>
          <cell r="AQ65" t="str">
            <v>ISO4217:USD</v>
          </cell>
          <cell r="AR65" t="b">
            <v>1</v>
          </cell>
          <cell r="AS65" t="b">
            <v>0</v>
          </cell>
        </row>
        <row r="66">
          <cell r="B66" t="str">
            <v xml:space="preserve">   R&amp;D</v>
          </cell>
          <cell r="AA66">
            <v>-12</v>
          </cell>
          <cell r="AO66" t="str">
            <v>mstag:otherProvisionsOneTime</v>
          </cell>
          <cell r="AP66">
            <v>6</v>
          </cell>
          <cell r="AQ66" t="str">
            <v>ISO4217:USD</v>
          </cell>
          <cell r="AR66" t="b">
            <v>1</v>
          </cell>
          <cell r="AS66" t="b">
            <v>0</v>
          </cell>
        </row>
        <row r="67">
          <cell r="B67" t="str">
            <v xml:space="preserve">   SG&amp;A</v>
          </cell>
          <cell r="AA67">
            <v>2</v>
          </cell>
          <cell r="AO67" t="str">
            <v>mstag:otherProvisionsOneTime</v>
          </cell>
          <cell r="AP67">
            <v>6</v>
          </cell>
          <cell r="AQ67" t="str">
            <v>ISO4217:USD</v>
          </cell>
          <cell r="AR67" t="b">
            <v>1</v>
          </cell>
          <cell r="AS67" t="b">
            <v>0</v>
          </cell>
        </row>
        <row r="68">
          <cell r="B68" t="str">
            <v xml:space="preserve">   Interest expense</v>
          </cell>
          <cell r="AA68">
            <v>0</v>
          </cell>
          <cell r="AO68" t="str">
            <v>mstag:otherProvisionsOneTime</v>
          </cell>
          <cell r="AP68">
            <v>6</v>
          </cell>
          <cell r="AQ68" t="str">
            <v>ISO4217:USD</v>
          </cell>
          <cell r="AR68" t="b">
            <v>1</v>
          </cell>
          <cell r="AS68" t="b">
            <v>0</v>
          </cell>
        </row>
        <row r="69">
          <cell r="B69" t="str">
            <v xml:space="preserve">   Tax effects of adjustments</v>
          </cell>
          <cell r="C69">
            <v>0</v>
          </cell>
          <cell r="E69">
            <v>0</v>
          </cell>
          <cell r="G69">
            <v>0</v>
          </cell>
          <cell r="I69">
            <v>0</v>
          </cell>
          <cell r="K69">
            <v>0</v>
          </cell>
          <cell r="M69">
            <v>0</v>
          </cell>
          <cell r="O69">
            <v>0</v>
          </cell>
          <cell r="Q69">
            <v>0</v>
          </cell>
          <cell r="S69">
            <v>0</v>
          </cell>
          <cell r="U69">
            <v>0</v>
          </cell>
          <cell r="W69">
            <v>0</v>
          </cell>
          <cell r="Y69">
            <v>142.79999999999998</v>
          </cell>
          <cell r="AA69">
            <v>104</v>
          </cell>
          <cell r="AC69">
            <v>35.89</v>
          </cell>
          <cell r="AE69">
            <v>128.38999999999999</v>
          </cell>
          <cell r="AG69">
            <v>128.38999999999999</v>
          </cell>
          <cell r="AI69">
            <v>128.38999999999999</v>
          </cell>
          <cell r="AK69">
            <v>128.38999999999999</v>
          </cell>
          <cell r="AO69" t="str">
            <v>mstag:taxOnIncomeLossFromExtraordinaryItems</v>
          </cell>
          <cell r="AP69">
            <v>6</v>
          </cell>
          <cell r="AQ69" t="str">
            <v>ISO4217:USD</v>
          </cell>
          <cell r="AR69" t="b">
            <v>1</v>
          </cell>
          <cell r="AS69" t="b">
            <v>0</v>
          </cell>
        </row>
        <row r="70">
          <cell r="B70" t="str">
            <v>GAAP Net Income</v>
          </cell>
          <cell r="C70">
            <v>588.70000000000005</v>
          </cell>
          <cell r="E70">
            <v>556.49999999999989</v>
          </cell>
          <cell r="G70">
            <v>537.70000000000005</v>
          </cell>
          <cell r="I70">
            <v>679.79999999999984</v>
          </cell>
          <cell r="K70">
            <v>644.30000000000018</v>
          </cell>
          <cell r="M70">
            <v>863.19999999999982</v>
          </cell>
          <cell r="O70">
            <v>1096.3999999999999</v>
          </cell>
          <cell r="Q70">
            <v>1138.4999999999995</v>
          </cell>
          <cell r="S70">
            <v>1119.6999999999998</v>
          </cell>
          <cell r="U70">
            <v>-1391.9000000000012</v>
          </cell>
          <cell r="W70">
            <v>2259.4999999999991</v>
          </cell>
          <cell r="Y70">
            <v>2362.5999999999995</v>
          </cell>
          <cell r="AA70">
            <v>3674</v>
          </cell>
          <cell r="AC70">
            <v>3329.4653900000003</v>
          </cell>
          <cell r="AE70">
            <v>4180.6358985744819</v>
          </cell>
          <cell r="AG70">
            <v>4644.6218930347759</v>
          </cell>
          <cell r="AI70">
            <v>4935.4458679720119</v>
          </cell>
          <cell r="AK70">
            <v>5243.1867741883407</v>
          </cell>
        </row>
        <row r="71">
          <cell r="B71" t="str">
            <v>GAAP (loss) EPS</v>
          </cell>
          <cell r="W71">
            <v>1.7537255510710952</v>
          </cell>
          <cell r="Y71">
            <v>1.8593633179868565</v>
          </cell>
          <cell r="AA71">
            <v>2.9724919093851132</v>
          </cell>
          <cell r="AC71">
            <v>2.8658385588363804</v>
          </cell>
          <cell r="AE71">
            <v>3.7297201873627048</v>
          </cell>
          <cell r="AG71">
            <v>4.2400209179539265</v>
          </cell>
          <cell r="AI71">
            <v>4.607265010923677</v>
          </cell>
          <cell r="AK71">
            <v>4.9995539315828985</v>
          </cell>
        </row>
        <row r="72">
          <cell r="B72" t="str">
            <v>GAAP (loss) EPS diluted</v>
          </cell>
          <cell r="C72">
            <v>0.50996188496188499</v>
          </cell>
          <cell r="E72">
            <v>0.49300141743444359</v>
          </cell>
          <cell r="G72">
            <v>0.49676644493717664</v>
          </cell>
          <cell r="I72">
            <v>0.6054506590666191</v>
          </cell>
          <cell r="K72">
            <v>0.58658048069919899</v>
          </cell>
          <cell r="M72">
            <v>0.81665089877010388</v>
          </cell>
          <cell r="O72">
            <v>1.0167856811647964</v>
          </cell>
          <cell r="Q72">
            <v>1.0495989674564392</v>
          </cell>
          <cell r="S72">
            <v>1.0327430363401584</v>
          </cell>
          <cell r="U72">
            <v>-1.2066753359341147</v>
          </cell>
          <cell r="W72">
            <v>1.6939078751857348</v>
          </cell>
          <cell r="Y72">
            <v>1.8057346312639668</v>
          </cell>
          <cell r="AA72">
            <v>2.9252782193958664</v>
          </cell>
          <cell r="AC72">
            <v>2.8409196338463318</v>
          </cell>
          <cell r="AE72">
            <v>3.6709641803555715</v>
          </cell>
          <cell r="AG72">
            <v>4.1741569513311401</v>
          </cell>
          <cell r="AI72">
            <v>4.5457203972860176</v>
          </cell>
          <cell r="AK72">
            <v>4.9349798329237098</v>
          </cell>
        </row>
        <row r="73">
          <cell r="B73" t="str">
            <v>Current Actual Basic Share Count</v>
          </cell>
          <cell r="U73">
            <v>1268.2</v>
          </cell>
          <cell r="AO73" t="str">
            <v>mstag:currentBasicSharesOutstanding</v>
          </cell>
          <cell r="AP73">
            <v>6</v>
          </cell>
          <cell r="AQ73" t="str">
            <v>ms_eqr_gcim_Decimal:ms_eqr_gcim_decimal</v>
          </cell>
          <cell r="AR73" t="b">
            <v>0</v>
          </cell>
          <cell r="AS73" t="b">
            <v>0</v>
          </cell>
        </row>
        <row r="74">
          <cell r="B74" t="str">
            <v>Current Actual Diluted Share Count</v>
          </cell>
          <cell r="U74">
            <v>1317.7</v>
          </cell>
          <cell r="AO74" t="str">
            <v>mstag:currentDilutedSharesOutstanding</v>
          </cell>
          <cell r="AP74">
            <v>6</v>
          </cell>
          <cell r="AQ74" t="str">
            <v>ms_eqr_gcim_Decimal:ms_eqr_gcim_decimal</v>
          </cell>
          <cell r="AR74" t="b">
            <v>0</v>
          </cell>
          <cell r="AS74" t="b">
            <v>0</v>
          </cell>
        </row>
        <row r="75">
          <cell r="B75" t="str">
            <v>INTEREST CALCULATIONS</v>
          </cell>
        </row>
        <row r="76">
          <cell r="B76" t="str">
            <v>Cash and Equivalents</v>
          </cell>
          <cell r="U76">
            <v>3663.0499999999997</v>
          </cell>
          <cell r="W76">
            <v>4893.3999999999996</v>
          </cell>
          <cell r="Y76">
            <v>5465.4500000000007</v>
          </cell>
          <cell r="AA76">
            <v>5531.5</v>
          </cell>
          <cell r="AC76">
            <v>4977.6425651190475</v>
          </cell>
          <cell r="AE76">
            <v>5267.9289720168927</v>
          </cell>
          <cell r="AG76">
            <v>6633.1452568129571</v>
          </cell>
          <cell r="AI76">
            <v>8090.5150597020702</v>
          </cell>
          <cell r="AK76">
            <v>10095.15261005767</v>
          </cell>
        </row>
        <row r="77">
          <cell r="B77" t="str">
            <v>Return on assets</v>
          </cell>
          <cell r="U77">
            <v>3.9366102018809461E-2</v>
          </cell>
          <cell r="W77">
            <v>2.3174071197940085E-2</v>
          </cell>
          <cell r="Y77">
            <v>0.02</v>
          </cell>
          <cell r="AA77">
            <v>2.7699999999999999E-2</v>
          </cell>
          <cell r="AC77">
            <v>3.5000000000000003E-2</v>
          </cell>
          <cell r="AE77">
            <v>0.04</v>
          </cell>
          <cell r="AG77">
            <v>0.04</v>
          </cell>
          <cell r="AI77">
            <v>0.04</v>
          </cell>
          <cell r="AK77">
            <v>0.04</v>
          </cell>
        </row>
        <row r="78">
          <cell r="B78" t="str">
            <v>Interst Income</v>
          </cell>
          <cell r="C78">
            <v>27.2</v>
          </cell>
          <cell r="E78">
            <v>21.5</v>
          </cell>
          <cell r="G78">
            <v>66.099999999999994</v>
          </cell>
          <cell r="I78">
            <v>63.6</v>
          </cell>
          <cell r="K78">
            <v>72.599999999999994</v>
          </cell>
          <cell r="M78">
            <v>45.7</v>
          </cell>
          <cell r="O78">
            <v>88.3</v>
          </cell>
          <cell r="Q78">
            <v>146.19999999999999</v>
          </cell>
          <cell r="S78">
            <v>168.7</v>
          </cell>
          <cell r="U78">
            <v>144.19999999999999</v>
          </cell>
          <cell r="W78">
            <v>113.4</v>
          </cell>
          <cell r="Y78">
            <v>109.30900000000001</v>
          </cell>
          <cell r="AA78">
            <v>153.22254999999998</v>
          </cell>
          <cell r="AC78">
            <v>174.21748977916667</v>
          </cell>
          <cell r="AE78">
            <v>210.7171588806757</v>
          </cell>
          <cell r="AG78">
            <v>265.32581027251831</v>
          </cell>
          <cell r="AI78">
            <v>323.62060238808283</v>
          </cell>
          <cell r="AK78">
            <v>403.8061044023068</v>
          </cell>
        </row>
        <row r="79">
          <cell r="B79" t="str">
            <v>Test</v>
          </cell>
          <cell r="U79">
            <v>144.19999999999999</v>
          </cell>
          <cell r="W79">
            <v>113.4</v>
          </cell>
          <cell r="Y79">
            <v>99.7</v>
          </cell>
          <cell r="AA79">
            <v>157</v>
          </cell>
          <cell r="AC79">
            <v>329</v>
          </cell>
          <cell r="AE79">
            <v>210.7171588806757</v>
          </cell>
          <cell r="AG79">
            <v>265.32581027251831</v>
          </cell>
          <cell r="AI79">
            <v>323.62060238808283</v>
          </cell>
          <cell r="AK79">
            <v>403.8061044023068</v>
          </cell>
        </row>
        <row r="80">
          <cell r="B80" t="str">
            <v>Interest Bearing Obligations</v>
          </cell>
        </row>
        <row r="81">
          <cell r="B81" t="str">
            <v>Convertible Bond - 30 year</v>
          </cell>
          <cell r="W81">
            <v>2880</v>
          </cell>
          <cell r="Y81">
            <v>2912.4</v>
          </cell>
          <cell r="AA81">
            <v>1759</v>
          </cell>
          <cell r="AC81">
            <v>1778.7887499999999</v>
          </cell>
          <cell r="AE81">
            <v>1798.5774999999999</v>
          </cell>
          <cell r="AG81">
            <v>1818.3662499999998</v>
          </cell>
          <cell r="AI81">
            <v>1838.1549999999997</v>
          </cell>
          <cell r="AK81">
            <v>1857.9437499999997</v>
          </cell>
        </row>
        <row r="82">
          <cell r="B82" t="str">
            <v>Interest Rate</v>
          </cell>
          <cell r="W82">
            <v>1.125E-2</v>
          </cell>
          <cell r="Y82">
            <v>1.125E-2</v>
          </cell>
          <cell r="AA82">
            <v>1.125E-2</v>
          </cell>
          <cell r="AC82">
            <v>1.125E-2</v>
          </cell>
          <cell r="AE82">
            <v>1.125E-2</v>
          </cell>
          <cell r="AG82">
            <v>1.125E-2</v>
          </cell>
          <cell r="AI82">
            <v>1.125E-2</v>
          </cell>
          <cell r="AK82">
            <v>1.125E-2</v>
          </cell>
        </row>
        <row r="83">
          <cell r="B83" t="str">
            <v>Interest Expense</v>
          </cell>
          <cell r="W83">
            <v>32.4</v>
          </cell>
          <cell r="Y83">
            <v>32.4</v>
          </cell>
          <cell r="AA83">
            <v>19.78875</v>
          </cell>
          <cell r="AC83">
            <v>19.78875</v>
          </cell>
          <cell r="AE83">
            <v>19.78875</v>
          </cell>
          <cell r="AG83">
            <v>19.78875</v>
          </cell>
          <cell r="AI83">
            <v>19.78875</v>
          </cell>
          <cell r="AK83">
            <v>19.78875</v>
          </cell>
        </row>
        <row r="84">
          <cell r="B84" t="str">
            <v>Convertible Bond - 2011</v>
          </cell>
          <cell r="AC84">
            <v>2500</v>
          </cell>
          <cell r="AE84">
            <v>2500</v>
          </cell>
          <cell r="AG84">
            <v>2500</v>
          </cell>
          <cell r="AI84">
            <v>2500</v>
          </cell>
          <cell r="AK84">
            <v>2500</v>
          </cell>
        </row>
        <row r="85">
          <cell r="B85" t="str">
            <v>Interest Rate</v>
          </cell>
          <cell r="AC85">
            <v>1.25E-3</v>
          </cell>
          <cell r="AE85">
            <v>1.25E-3</v>
          </cell>
          <cell r="AG85">
            <v>1.25E-3</v>
          </cell>
          <cell r="AI85">
            <v>1.25E-3</v>
          </cell>
          <cell r="AK85">
            <v>1.25E-3</v>
          </cell>
        </row>
        <row r="86">
          <cell r="B86" t="str">
            <v>Interest Expense</v>
          </cell>
          <cell r="AC86">
            <v>3.125</v>
          </cell>
          <cell r="AE86">
            <v>3.125</v>
          </cell>
          <cell r="AG86">
            <v>3.125</v>
          </cell>
          <cell r="AI86">
            <v>3.125</v>
          </cell>
          <cell r="AK86">
            <v>3.125</v>
          </cell>
        </row>
        <row r="87">
          <cell r="B87" t="str">
            <v>Convertible Bond - 2013</v>
          </cell>
          <cell r="AC87">
            <v>2500</v>
          </cell>
          <cell r="AE87">
            <v>2500</v>
          </cell>
          <cell r="AG87">
            <v>2500</v>
          </cell>
          <cell r="AI87">
            <v>2500</v>
          </cell>
          <cell r="AK87">
            <v>2500</v>
          </cell>
        </row>
        <row r="88">
          <cell r="B88" t="str">
            <v>Interest Rate</v>
          </cell>
          <cell r="AC88">
            <v>3.7499999999999999E-3</v>
          </cell>
          <cell r="AE88">
            <v>3.7499999999999999E-3</v>
          </cell>
          <cell r="AG88">
            <v>3.7499999999999999E-3</v>
          </cell>
          <cell r="AI88">
            <v>3.7499999999999999E-3</v>
          </cell>
          <cell r="AK88">
            <v>3.7499999999999999E-3</v>
          </cell>
        </row>
        <row r="89">
          <cell r="B89" t="str">
            <v>Interest Expense</v>
          </cell>
          <cell r="AC89">
            <v>9.375</v>
          </cell>
          <cell r="AE89">
            <v>9.375</v>
          </cell>
          <cell r="AG89">
            <v>9.375</v>
          </cell>
          <cell r="AI89">
            <v>9.375</v>
          </cell>
          <cell r="AK89">
            <v>9.375</v>
          </cell>
        </row>
        <row r="90">
          <cell r="B90" t="str">
            <v>6.5% Debt</v>
          </cell>
          <cell r="W90">
            <v>100</v>
          </cell>
          <cell r="Y90">
            <v>100</v>
          </cell>
          <cell r="AA90">
            <v>100</v>
          </cell>
          <cell r="AC90">
            <v>100</v>
          </cell>
          <cell r="AE90">
            <v>0</v>
          </cell>
          <cell r="AG90">
            <v>0</v>
          </cell>
          <cell r="AI90">
            <v>0</v>
          </cell>
          <cell r="AK90">
            <v>0</v>
          </cell>
        </row>
        <row r="91">
          <cell r="B91" t="str">
            <v>Interest Rate</v>
          </cell>
          <cell r="W91">
            <v>6.5000000000000002E-2</v>
          </cell>
          <cell r="Y91">
            <v>6.5000000000000002E-2</v>
          </cell>
          <cell r="AA91">
            <v>6.5000000000000002E-2</v>
          </cell>
          <cell r="AC91">
            <v>6.5000000000000002E-2</v>
          </cell>
          <cell r="AE91">
            <v>6.5000000000000002E-2</v>
          </cell>
          <cell r="AG91">
            <v>6.5000000000000002E-2</v>
          </cell>
          <cell r="AI91">
            <v>6.5000000000000002E-2</v>
          </cell>
          <cell r="AK91">
            <v>6.5000000000000002E-2</v>
          </cell>
        </row>
        <row r="92">
          <cell r="B92" t="str">
            <v>Interest Expense</v>
          </cell>
          <cell r="W92">
            <v>6.5</v>
          </cell>
          <cell r="Y92">
            <v>6.5</v>
          </cell>
          <cell r="AA92">
            <v>6.5</v>
          </cell>
          <cell r="AC92">
            <v>6.5</v>
          </cell>
          <cell r="AE92">
            <v>0</v>
          </cell>
          <cell r="AG92">
            <v>0</v>
          </cell>
          <cell r="AI92">
            <v>0</v>
          </cell>
          <cell r="AK92">
            <v>0</v>
          </cell>
        </row>
        <row r="93">
          <cell r="B93" t="str">
            <v>8.1% Debt</v>
          </cell>
          <cell r="W93">
            <v>100</v>
          </cell>
          <cell r="Y93">
            <v>100</v>
          </cell>
          <cell r="AA93">
            <v>100</v>
          </cell>
          <cell r="AC93">
            <v>100</v>
          </cell>
          <cell r="AE93">
            <v>100</v>
          </cell>
          <cell r="AG93">
            <v>100</v>
          </cell>
          <cell r="AI93">
            <v>100</v>
          </cell>
          <cell r="AK93">
            <v>100</v>
          </cell>
        </row>
        <row r="94">
          <cell r="B94" t="str">
            <v>Interest Rate</v>
          </cell>
          <cell r="W94">
            <v>8.1000000000000003E-2</v>
          </cell>
          <cell r="Y94">
            <v>8.1000000000000003E-2</v>
          </cell>
          <cell r="AA94">
            <v>8.1000000000000003E-2</v>
          </cell>
          <cell r="AC94">
            <v>8.1000000000000003E-2</v>
          </cell>
          <cell r="AE94">
            <v>8.1000000000000003E-2</v>
          </cell>
          <cell r="AG94">
            <v>8.1000000000000003E-2</v>
          </cell>
          <cell r="AI94">
            <v>8.1000000000000003E-2</v>
          </cell>
          <cell r="AK94">
            <v>8.1000000000000003E-2</v>
          </cell>
        </row>
        <row r="95">
          <cell r="B95" t="str">
            <v>Interest Expense</v>
          </cell>
          <cell r="W95">
            <v>8.1</v>
          </cell>
          <cell r="Y95">
            <v>8.1</v>
          </cell>
          <cell r="AA95">
            <v>8.1</v>
          </cell>
          <cell r="AC95">
            <v>8.1</v>
          </cell>
          <cell r="AE95">
            <v>8.1</v>
          </cell>
          <cell r="AG95">
            <v>8.1</v>
          </cell>
          <cell r="AI95">
            <v>8.1</v>
          </cell>
          <cell r="AK95">
            <v>8.1</v>
          </cell>
        </row>
        <row r="96">
          <cell r="B96" t="str">
            <v>Senior Notes</v>
          </cell>
          <cell r="Y96">
            <v>2000</v>
          </cell>
          <cell r="AA96">
            <v>1998</v>
          </cell>
          <cell r="AC96">
            <v>1998</v>
          </cell>
          <cell r="AE96">
            <v>1998</v>
          </cell>
          <cell r="AG96">
            <v>1998</v>
          </cell>
          <cell r="AI96">
            <v>1000</v>
          </cell>
          <cell r="AK96">
            <v>1000</v>
          </cell>
        </row>
        <row r="97">
          <cell r="B97" t="str">
            <v>Interest Rate</v>
          </cell>
          <cell r="Y97">
            <v>4.4249999999999998E-2</v>
          </cell>
          <cell r="AA97">
            <v>4.4249999999999998E-2</v>
          </cell>
          <cell r="AC97">
            <v>4.4249999999999998E-2</v>
          </cell>
          <cell r="AE97">
            <v>4.4249999999999998E-2</v>
          </cell>
          <cell r="AG97">
            <v>4.4249999999999998E-2</v>
          </cell>
          <cell r="AI97">
            <v>4.8500000000000001E-2</v>
          </cell>
          <cell r="AK97">
            <v>4.8500000000000001E-2</v>
          </cell>
        </row>
        <row r="98">
          <cell r="B98" t="str">
            <v>Interest Expense</v>
          </cell>
          <cell r="C98">
            <v>785.5</v>
          </cell>
          <cell r="E98">
            <v>815.59999999999991</v>
          </cell>
          <cell r="G98">
            <v>743.59999999999991</v>
          </cell>
          <cell r="I98">
            <v>904.89999999999986</v>
          </cell>
          <cell r="K98">
            <v>792.50000000000023</v>
          </cell>
          <cell r="M98">
            <v>1188.6999999999998</v>
          </cell>
          <cell r="O98">
            <v>1493.1</v>
          </cell>
          <cell r="Q98">
            <v>1543.9999999999995</v>
          </cell>
          <cell r="S98">
            <v>1531.1999999999998</v>
          </cell>
          <cell r="Y98">
            <v>8.85</v>
          </cell>
          <cell r="AA98">
            <v>88.41149999999999</v>
          </cell>
          <cell r="AC98">
            <v>88.41149999999999</v>
          </cell>
          <cell r="AE98">
            <v>88.41149999999999</v>
          </cell>
          <cell r="AG98">
            <v>88.41149999999999</v>
          </cell>
          <cell r="AI98">
            <v>48.5</v>
          </cell>
          <cell r="AK98">
            <v>48.5</v>
          </cell>
        </row>
        <row r="99">
          <cell r="B99" t="str">
            <v>Total Interest</v>
          </cell>
          <cell r="W99">
            <v>47</v>
          </cell>
          <cell r="Y99">
            <v>47</v>
          </cell>
          <cell r="AA99">
            <v>122.80024999999999</v>
          </cell>
          <cell r="AC99">
            <v>135.30025000000001</v>
          </cell>
          <cell r="AE99">
            <v>128.80025000000001</v>
          </cell>
          <cell r="AG99">
            <v>128.80025000000001</v>
          </cell>
          <cell r="AI99">
            <v>88.888750000000002</v>
          </cell>
          <cell r="AK99">
            <v>88.888750000000002</v>
          </cell>
        </row>
        <row r="100">
          <cell r="B100" t="str">
            <v>Total Debt</v>
          </cell>
          <cell r="W100">
            <v>3080</v>
          </cell>
          <cell r="Y100">
            <v>5112.3999999999996</v>
          </cell>
          <cell r="AA100">
            <v>3957</v>
          </cell>
          <cell r="AC100">
            <v>8976.7887499999997</v>
          </cell>
          <cell r="AE100">
            <v>8896.5774999999994</v>
          </cell>
          <cell r="AG100">
            <v>8916.3662499999991</v>
          </cell>
          <cell r="AI100">
            <v>7938.1549999999997</v>
          </cell>
          <cell r="AK100">
            <v>7957.9437499999995</v>
          </cell>
        </row>
        <row r="101">
          <cell r="B101" t="str">
            <v>CHECK</v>
          </cell>
          <cell r="W101">
            <v>-31.5</v>
          </cell>
          <cell r="Y101">
            <v>-52.5</v>
          </cell>
          <cell r="AA101">
            <v>-137</v>
          </cell>
          <cell r="AC101">
            <v>-136</v>
          </cell>
          <cell r="AE101">
            <v>-128.80025000000001</v>
          </cell>
          <cell r="AG101">
            <v>-128.80025000000001</v>
          </cell>
          <cell r="AI101">
            <v>-88.888750000000002</v>
          </cell>
          <cell r="AK101">
            <v>-88.888750000000002</v>
          </cell>
        </row>
        <row r="105">
          <cell r="B105" t="str">
            <v>Statuatory Tax</v>
          </cell>
          <cell r="C105">
            <v>0.35</v>
          </cell>
          <cell r="E105">
            <v>0.35</v>
          </cell>
          <cell r="G105">
            <v>0.35</v>
          </cell>
          <cell r="I105">
            <v>0.35</v>
          </cell>
          <cell r="K105">
            <v>0.35</v>
          </cell>
          <cell r="M105">
            <v>0.35</v>
          </cell>
          <cell r="O105">
            <v>0.35</v>
          </cell>
          <cell r="Q105">
            <v>0.35</v>
          </cell>
          <cell r="S105">
            <v>0.35</v>
          </cell>
          <cell r="U105">
            <v>0.35</v>
          </cell>
          <cell r="W105">
            <v>0.35</v>
          </cell>
          <cell r="Y105">
            <v>0.27179593913325006</v>
          </cell>
          <cell r="AA105">
            <v>0.24393910919000189</v>
          </cell>
          <cell r="AC105">
            <v>0.2340976647582528</v>
          </cell>
          <cell r="AE105">
            <v>0.23499999999999999</v>
          </cell>
          <cell r="AG105">
            <v>0.23</v>
          </cell>
          <cell r="AI105">
            <v>0.22500000000000001</v>
          </cell>
          <cell r="AK105">
            <v>0.22450000000000001</v>
          </cell>
          <cell r="AO105" t="str">
            <v>mstag:statutoryTaxRate</v>
          </cell>
          <cell r="AP105">
            <v>0</v>
          </cell>
          <cell r="AQ105" t="str">
            <v>ms_eqr_gcim_Decimal:ms_eqr_gcim_decimal</v>
          </cell>
          <cell r="AR105" t="b">
            <v>0</v>
          </cell>
          <cell r="AS105" t="b">
            <v>0</v>
          </cell>
        </row>
        <row r="106">
          <cell r="B106" t="str">
            <v>Common Dividends</v>
          </cell>
          <cell r="C106">
            <v>0</v>
          </cell>
          <cell r="E106">
            <v>0</v>
          </cell>
          <cell r="G106">
            <v>0</v>
          </cell>
          <cell r="I106">
            <v>0</v>
          </cell>
          <cell r="K106">
            <v>0</v>
          </cell>
          <cell r="M106">
            <v>0</v>
          </cell>
          <cell r="O106">
            <v>0</v>
          </cell>
          <cell r="Q106">
            <v>0</v>
          </cell>
          <cell r="S106">
            <v>0</v>
          </cell>
          <cell r="U106">
            <v>0</v>
          </cell>
          <cell r="W106">
            <v>0</v>
          </cell>
          <cell r="Y106">
            <v>0</v>
          </cell>
          <cell r="AA106">
            <v>0</v>
          </cell>
          <cell r="AC106">
            <v>0</v>
          </cell>
          <cell r="AE106">
            <v>0</v>
          </cell>
          <cell r="AG106">
            <v>0</v>
          </cell>
          <cell r="AI106">
            <v>0</v>
          </cell>
          <cell r="AK106">
            <v>0</v>
          </cell>
          <cell r="AO106" t="str">
            <v>mstag:commonDividends</v>
          </cell>
          <cell r="AP106">
            <v>6</v>
          </cell>
          <cell r="AQ106" t="str">
            <v>ISO4217:USD</v>
          </cell>
          <cell r="AR106" t="b">
            <v>0</v>
          </cell>
          <cell r="AS106" t="b">
            <v>0</v>
          </cell>
        </row>
        <row r="107">
          <cell r="B107" t="str">
            <v>Unrecorded Goodwill</v>
          </cell>
          <cell r="C107">
            <v>0</v>
          </cell>
          <cell r="E107">
            <v>0</v>
          </cell>
          <cell r="G107">
            <v>0</v>
          </cell>
          <cell r="I107">
            <v>0</v>
          </cell>
          <cell r="K107">
            <v>0</v>
          </cell>
          <cell r="M107">
            <v>0</v>
          </cell>
          <cell r="O107">
            <v>0</v>
          </cell>
          <cell r="Q107">
            <v>0</v>
          </cell>
          <cell r="S107">
            <v>0</v>
          </cell>
          <cell r="U107">
            <v>0</v>
          </cell>
          <cell r="W107">
            <v>0</v>
          </cell>
          <cell r="Y107">
            <v>0</v>
          </cell>
          <cell r="AA107">
            <v>0</v>
          </cell>
          <cell r="AC107">
            <v>0</v>
          </cell>
          <cell r="AE107">
            <v>0</v>
          </cell>
          <cell r="AG107">
            <v>0</v>
          </cell>
          <cell r="AI107">
            <v>0</v>
          </cell>
          <cell r="AK107">
            <v>0</v>
          </cell>
          <cell r="AO107" t="str">
            <v>mstag:unrecordedGoodwillFromPoolingAndAmortizedOrWrittenOffGoodwill</v>
          </cell>
          <cell r="AP107">
            <v>6</v>
          </cell>
          <cell r="AQ107" t="str">
            <v>ISO4217:USD</v>
          </cell>
          <cell r="AR107" t="b">
            <v>0</v>
          </cell>
          <cell r="AS107" t="b">
            <v>0</v>
          </cell>
        </row>
        <row r="109">
          <cell r="B109" t="str">
            <v>If-Converted Calculation</v>
          </cell>
        </row>
        <row r="110">
          <cell r="Y110" t="str">
            <v>2004E</v>
          </cell>
          <cell r="AA110" t="str">
            <v>2005E</v>
          </cell>
          <cell r="AC110" t="str">
            <v>2006E</v>
          </cell>
          <cell r="AE110" t="str">
            <v>2007E</v>
          </cell>
          <cell r="AG110" t="str">
            <v>2008E</v>
          </cell>
          <cell r="AI110" t="str">
            <v>2009E</v>
          </cell>
          <cell r="AK110" t="str">
            <v>2010E</v>
          </cell>
        </row>
        <row r="111">
          <cell r="B111" t="str">
            <v>Net Earnings</v>
          </cell>
          <cell r="Y111">
            <v>3106.7999999999993</v>
          </cell>
          <cell r="AA111">
            <v>4023</v>
          </cell>
          <cell r="AC111">
            <v>4335.4931825000003</v>
          </cell>
          <cell r="AE111">
            <v>4671.2119694975627</v>
          </cell>
          <cell r="AG111">
            <v>5157.5244034755797</v>
          </cell>
          <cell r="AI111">
            <v>5486.3131761720342</v>
          </cell>
          <cell r="AK111">
            <v>5830.7509225580634</v>
          </cell>
        </row>
        <row r="112">
          <cell r="B112" t="str">
            <v>Diluted Share Count</v>
          </cell>
          <cell r="Y112">
            <v>1285.05</v>
          </cell>
          <cell r="AA112">
            <v>1236</v>
          </cell>
          <cell r="AC112">
            <v>1173.37546275</v>
          </cell>
          <cell r="AE112">
            <v>1131.9282839554037</v>
          </cell>
          <cell r="AG112">
            <v>1105.6672499945955</v>
          </cell>
          <cell r="AI112">
            <v>1078.6145376915538</v>
          </cell>
          <cell r="AK112">
            <v>1055.2640764166335</v>
          </cell>
        </row>
        <row r="113">
          <cell r="B113" t="str">
            <v>EPS, diluted</v>
          </cell>
          <cell r="Y113">
            <v>2.4176491187113336</v>
          </cell>
          <cell r="AA113">
            <v>3.2548543689320391</v>
          </cell>
          <cell r="AC113">
            <v>3.6948899309169572</v>
          </cell>
          <cell r="AE113">
            <v>4.1267737856805793</v>
          </cell>
          <cell r="AG113">
            <v>4.6646261825162947</v>
          </cell>
          <cell r="AI113">
            <v>5.0864446792213815</v>
          </cell>
          <cell r="AK113">
            <v>5.5253950673253076</v>
          </cell>
        </row>
        <row r="115">
          <cell r="B115" t="str">
            <v>Interest add-back</v>
          </cell>
          <cell r="Y115">
            <v>21.06</v>
          </cell>
          <cell r="AA115">
            <v>6</v>
          </cell>
          <cell r="AC115">
            <v>4</v>
          </cell>
          <cell r="AE115">
            <v>4</v>
          </cell>
          <cell r="AG115">
            <v>4</v>
          </cell>
          <cell r="AI115">
            <v>4</v>
          </cell>
          <cell r="AK115">
            <v>4</v>
          </cell>
        </row>
        <row r="116">
          <cell r="B116" t="str">
            <v>If-converted shares</v>
          </cell>
          <cell r="Y116">
            <v>35</v>
          </cell>
          <cell r="AA116">
            <v>22</v>
          </cell>
          <cell r="AC116">
            <v>8</v>
          </cell>
          <cell r="AE116">
            <v>8</v>
          </cell>
          <cell r="AG116">
            <v>8</v>
          </cell>
          <cell r="AI116">
            <v>8</v>
          </cell>
          <cell r="AK116">
            <v>8</v>
          </cell>
        </row>
        <row r="117">
          <cell r="B117" t="str">
            <v>"If converted" EPS</v>
          </cell>
          <cell r="Y117">
            <v>2.36950115525927</v>
          </cell>
          <cell r="AA117">
            <v>3.2027027027027026</v>
          </cell>
          <cell r="AC117">
            <v>3.6732548790191979</v>
          </cell>
          <cell r="AE117">
            <v>4.1013211403748855</v>
          </cell>
          <cell r="AG117">
            <v>4.6347096976234399</v>
          </cell>
          <cell r="AI117">
            <v>5.0526778224740756</v>
          </cell>
          <cell r="AK117">
            <v>5.4875839896915242</v>
          </cell>
        </row>
        <row r="118">
          <cell r="B118" t="str">
            <v>EPS dilution</v>
          </cell>
          <cell r="Y118">
            <v>-1.9915199058218813E-2</v>
          </cell>
          <cell r="AA118">
            <v>-1.6022734143539608E-2</v>
          </cell>
          <cell r="AC118">
            <v>-5.8553982127391713E-3</v>
          </cell>
          <cell r="AE118">
            <v>-6.167686097554359E-3</v>
          </cell>
          <cell r="AG118">
            <v>-6.4134796063586297E-3</v>
          </cell>
          <cell r="AI118">
            <v>-6.6385970706114295E-3</v>
          </cell>
          <cell r="AK118">
            <v>-6.8431446390830875E-3</v>
          </cell>
        </row>
        <row r="119">
          <cell r="B119" t="str">
            <v>Modelware adjustment</v>
          </cell>
          <cell r="U119">
            <v>20.5</v>
          </cell>
          <cell r="W119">
            <v>20.5</v>
          </cell>
          <cell r="Y119">
            <v>21.06</v>
          </cell>
          <cell r="AA119">
            <v>6</v>
          </cell>
          <cell r="AC119">
            <v>4</v>
          </cell>
          <cell r="AE119">
            <v>4</v>
          </cell>
          <cell r="AG119">
            <v>4</v>
          </cell>
          <cell r="AI119">
            <v>4</v>
          </cell>
          <cell r="AK119">
            <v>4</v>
          </cell>
          <cell r="AO119" t="str">
            <v>mstag:adjustmentToNetIncomeForDilutiveItems</v>
          </cell>
          <cell r="AP119">
            <v>6</v>
          </cell>
          <cell r="AQ119" t="str">
            <v>ISO4217:USD</v>
          </cell>
          <cell r="AR119" t="b">
            <v>0</v>
          </cell>
          <cell r="AS119" t="b">
            <v>0</v>
          </cell>
        </row>
      </sheetData>
      <sheetData sheetId="7" refreshError="1">
        <row r="1">
          <cell r="B1" t="str">
            <v>Amgen Balance Sheet</v>
          </cell>
          <cell r="AO1" t="str">
            <v>ElementName</v>
          </cell>
          <cell r="AP1" t="str">
            <v>ScaleOverride</v>
          </cell>
          <cell r="AQ1" t="str">
            <v>UnitOverride</v>
          </cell>
          <cell r="AR1" t="str">
            <v>ReverseSign</v>
          </cell>
          <cell r="AS1" t="str">
            <v>IsDrivingAssumption</v>
          </cell>
          <cell r="AT1" t="str">
            <v>SegmentID</v>
          </cell>
        </row>
        <row r="2">
          <cell r="B2" t="str">
            <v>(Dollars in millions)</v>
          </cell>
        </row>
        <row r="4">
          <cell r="C4" t="str">
            <v>1993A</v>
          </cell>
          <cell r="E4" t="str">
            <v>1994A</v>
          </cell>
          <cell r="G4" t="str">
            <v>1995A</v>
          </cell>
          <cell r="I4" t="str">
            <v>1996A</v>
          </cell>
          <cell r="K4" t="str">
            <v>1997A</v>
          </cell>
          <cell r="M4" t="str">
            <v>1998A</v>
          </cell>
          <cell r="O4" t="str">
            <v>1999A</v>
          </cell>
          <cell r="Q4" t="str">
            <v>2000A</v>
          </cell>
          <cell r="S4" t="str">
            <v>2001A</v>
          </cell>
          <cell r="U4" t="str">
            <v>2002A</v>
          </cell>
          <cell r="W4" t="str">
            <v>2003A</v>
          </cell>
          <cell r="Y4" t="str">
            <v>2004A</v>
          </cell>
          <cell r="AA4" t="str">
            <v>2005A</v>
          </cell>
          <cell r="AC4" t="str">
            <v>2006E</v>
          </cell>
          <cell r="AE4" t="str">
            <v>2007E</v>
          </cell>
          <cell r="AG4" t="str">
            <v>2008E</v>
          </cell>
          <cell r="AI4" t="str">
            <v>2009E</v>
          </cell>
          <cell r="AK4" t="str">
            <v>2010E</v>
          </cell>
        </row>
        <row r="5">
          <cell r="B5" t="str">
            <v>Current assets:</v>
          </cell>
        </row>
        <row r="6">
          <cell r="B6" t="str">
            <v>Cash and Equivalents</v>
          </cell>
          <cell r="C6">
            <v>128.505</v>
          </cell>
          <cell r="E6">
            <v>211.32300000000001</v>
          </cell>
          <cell r="G6">
            <v>66.7</v>
          </cell>
          <cell r="I6">
            <v>169.3</v>
          </cell>
          <cell r="K6">
            <v>239.1</v>
          </cell>
          <cell r="M6">
            <v>201.1</v>
          </cell>
          <cell r="O6">
            <v>130.9</v>
          </cell>
          <cell r="Q6">
            <v>226.5</v>
          </cell>
          <cell r="S6">
            <v>689.1</v>
          </cell>
          <cell r="U6">
            <v>1851.7</v>
          </cell>
          <cell r="W6">
            <v>836.6</v>
          </cell>
          <cell r="Y6">
            <v>1526</v>
          </cell>
          <cell r="AA6">
            <v>1840</v>
          </cell>
          <cell r="AC6">
            <v>1595.73967569264</v>
          </cell>
          <cell r="AE6">
            <v>2878.8628570857336</v>
          </cell>
          <cell r="AG6">
            <v>4488.7177429048934</v>
          </cell>
          <cell r="AI6">
            <v>5822.949278354683</v>
          </cell>
          <cell r="AK6">
            <v>8527.1936550496484</v>
          </cell>
          <cell r="AO6" t="str">
            <v>mstag:cashAndCashEquivalents</v>
          </cell>
          <cell r="AP6">
            <v>6</v>
          </cell>
          <cell r="AQ6" t="str">
            <v>ISO4217:USD</v>
          </cell>
          <cell r="AR6" t="b">
            <v>0</v>
          </cell>
          <cell r="AS6" t="b">
            <v>0</v>
          </cell>
        </row>
        <row r="7">
          <cell r="B7" t="str">
            <v>Marketable Securities</v>
          </cell>
          <cell r="C7">
            <v>594.67899999999997</v>
          </cell>
          <cell r="E7">
            <v>485.358</v>
          </cell>
          <cell r="G7">
            <v>983.6</v>
          </cell>
          <cell r="I7">
            <v>907.7</v>
          </cell>
          <cell r="K7">
            <v>787.4</v>
          </cell>
          <cell r="M7">
            <v>1074.9000000000001</v>
          </cell>
          <cell r="O7">
            <v>1202.0999999999999</v>
          </cell>
          <cell r="Q7">
            <v>1801.6</v>
          </cell>
          <cell r="S7">
            <v>1973.1</v>
          </cell>
          <cell r="U7">
            <v>2812.2</v>
          </cell>
          <cell r="W7">
            <v>4286.3</v>
          </cell>
          <cell r="Y7">
            <v>4282</v>
          </cell>
          <cell r="AA7">
            <v>3415</v>
          </cell>
          <cell r="AC7">
            <v>3104.5454545454545</v>
          </cell>
          <cell r="AE7">
            <v>2956.7099567099567</v>
          </cell>
          <cell r="AG7">
            <v>2941.99995692533</v>
          </cell>
          <cell r="AI7">
            <v>2927.363141219234</v>
          </cell>
          <cell r="AK7">
            <v>2912.7991454917751</v>
          </cell>
          <cell r="AO7" t="str">
            <v>mstag:shortTermInvestments</v>
          </cell>
          <cell r="AP7">
            <v>6</v>
          </cell>
          <cell r="AQ7" t="str">
            <v>ISO4217:USD</v>
          </cell>
          <cell r="AR7" t="b">
            <v>0</v>
          </cell>
          <cell r="AS7" t="b">
            <v>0</v>
          </cell>
        </row>
        <row r="8">
          <cell r="B8" t="str">
            <v>Trade Receivables, net</v>
          </cell>
          <cell r="C8">
            <v>164.33699999999999</v>
          </cell>
          <cell r="E8">
            <v>194.71199999999999</v>
          </cell>
          <cell r="G8">
            <v>199.3</v>
          </cell>
          <cell r="I8">
            <v>225.4</v>
          </cell>
          <cell r="K8">
            <v>269</v>
          </cell>
          <cell r="M8">
            <v>319.89999999999998</v>
          </cell>
          <cell r="O8">
            <v>412.2</v>
          </cell>
          <cell r="Q8">
            <v>389.2</v>
          </cell>
          <cell r="S8">
            <v>497.2</v>
          </cell>
          <cell r="U8">
            <v>752.4</v>
          </cell>
          <cell r="W8">
            <v>1007.9</v>
          </cell>
          <cell r="Y8">
            <v>1461</v>
          </cell>
          <cell r="AA8">
            <v>1769</v>
          </cell>
          <cell r="AC8">
            <v>1968.4285714285713</v>
          </cell>
          <cell r="AE8">
            <v>2155.6826036867242</v>
          </cell>
          <cell r="AG8">
            <v>2372.6533954538641</v>
          </cell>
          <cell r="AI8">
            <v>2597.047178258721</v>
          </cell>
          <cell r="AK8">
            <v>2826.4134872455193</v>
          </cell>
          <cell r="AO8" t="str">
            <v>mstag:tradeReceivables</v>
          </cell>
          <cell r="AP8">
            <v>6</v>
          </cell>
          <cell r="AQ8" t="str">
            <v>ISO4217:USD</v>
          </cell>
          <cell r="AR8" t="b">
            <v>0</v>
          </cell>
          <cell r="AS8" t="b">
            <v>0</v>
          </cell>
        </row>
        <row r="9">
          <cell r="B9" t="str">
            <v>Inventories</v>
          </cell>
          <cell r="C9">
            <v>74.712000000000003</v>
          </cell>
          <cell r="E9">
            <v>98.004000000000005</v>
          </cell>
          <cell r="G9">
            <v>88.8</v>
          </cell>
          <cell r="I9">
            <v>97.4</v>
          </cell>
          <cell r="K9">
            <v>109.2</v>
          </cell>
          <cell r="M9">
            <v>110.8</v>
          </cell>
          <cell r="O9">
            <v>184.3</v>
          </cell>
          <cell r="Q9">
            <v>305.2</v>
          </cell>
          <cell r="S9">
            <v>355.6</v>
          </cell>
          <cell r="U9">
            <v>544.9</v>
          </cell>
          <cell r="W9">
            <v>712.6</v>
          </cell>
          <cell r="Y9">
            <v>888</v>
          </cell>
          <cell r="AA9">
            <v>1258</v>
          </cell>
          <cell r="AC9">
            <v>1422.0328124999999</v>
          </cell>
          <cell r="AE9">
            <v>1544.5641329739619</v>
          </cell>
          <cell r="AG9">
            <v>1664.7963868306774</v>
          </cell>
          <cell r="AI9">
            <v>1826.1337440775962</v>
          </cell>
          <cell r="AK9">
            <v>2018.7024615605301</v>
          </cell>
          <cell r="AO9" t="str">
            <v>mstag:inventories</v>
          </cell>
          <cell r="AP9">
            <v>6</v>
          </cell>
          <cell r="AQ9" t="str">
            <v>ISO4217:USD</v>
          </cell>
          <cell r="AR9" t="b">
            <v>0</v>
          </cell>
          <cell r="AS9" t="b">
            <v>0</v>
          </cell>
        </row>
        <row r="10">
          <cell r="B10" t="str">
            <v>Deferred Taxes, Net</v>
          </cell>
          <cell r="C10">
            <v>58.936999999999998</v>
          </cell>
          <cell r="E10">
            <v>70.176000000000002</v>
          </cell>
          <cell r="G10">
            <v>51.7</v>
          </cell>
          <cell r="O10">
            <v>0</v>
          </cell>
          <cell r="Q10">
            <v>0</v>
          </cell>
          <cell r="S10">
            <v>0</v>
          </cell>
          <cell r="U10">
            <v>0</v>
          </cell>
          <cell r="W10">
            <v>0</v>
          </cell>
          <cell r="Y10">
            <v>0</v>
          </cell>
          <cell r="AA10">
            <v>0</v>
          </cell>
          <cell r="AC10">
            <v>0</v>
          </cell>
          <cell r="AE10">
            <v>0</v>
          </cell>
          <cell r="AG10">
            <v>0</v>
          </cell>
          <cell r="AI10">
            <v>0</v>
          </cell>
          <cell r="AK10">
            <v>0</v>
          </cell>
          <cell r="AO10" t="str">
            <v>mstag:deferredTaxAssets</v>
          </cell>
          <cell r="AP10">
            <v>6</v>
          </cell>
          <cell r="AQ10" t="str">
            <v>ISO4217:USD</v>
          </cell>
          <cell r="AR10" t="b">
            <v>0</v>
          </cell>
          <cell r="AS10" t="b">
            <v>0</v>
          </cell>
        </row>
        <row r="11">
          <cell r="B11" t="str">
            <v>Other Current Assets</v>
          </cell>
          <cell r="C11">
            <v>33.340000000000003</v>
          </cell>
          <cell r="E11">
            <v>56.064999999999998</v>
          </cell>
          <cell r="G11">
            <v>64</v>
          </cell>
          <cell r="I11">
            <v>102.8</v>
          </cell>
          <cell r="K11">
            <v>138.80000000000001</v>
          </cell>
          <cell r="M11">
            <v>156.6</v>
          </cell>
          <cell r="O11">
            <v>135.80000000000001</v>
          </cell>
          <cell r="Q11">
            <v>214.6</v>
          </cell>
          <cell r="S11">
            <v>343.6</v>
          </cell>
          <cell r="U11">
            <v>442.3</v>
          </cell>
          <cell r="W11">
            <v>558.79999999999995</v>
          </cell>
          <cell r="Y11">
            <v>1013</v>
          </cell>
          <cell r="AA11">
            <v>953</v>
          </cell>
          <cell r="AC11">
            <v>964.53000000000009</v>
          </cell>
          <cell r="AE11">
            <v>1207.1822580645655</v>
          </cell>
          <cell r="AG11">
            <v>1473.4177585768496</v>
          </cell>
          <cell r="AI11">
            <v>1612.7662976986658</v>
          </cell>
          <cell r="AK11">
            <v>1755.2027755794675</v>
          </cell>
          <cell r="AO11" t="str">
            <v>mstag:otherAssets</v>
          </cell>
          <cell r="AP11">
            <v>6</v>
          </cell>
          <cell r="AQ11" t="str">
            <v>ISO4217:USD</v>
          </cell>
          <cell r="AR11" t="b">
            <v>0</v>
          </cell>
          <cell r="AS11" t="b">
            <v>0</v>
          </cell>
        </row>
        <row r="12">
          <cell r="B12" t="str">
            <v>Total current assets</v>
          </cell>
          <cell r="C12">
            <v>1054.51</v>
          </cell>
          <cell r="E12">
            <v>1115.6380000000001</v>
          </cell>
          <cell r="G12">
            <v>1454.1</v>
          </cell>
          <cell r="I12">
            <v>1502.6000000000001</v>
          </cell>
          <cell r="K12">
            <v>1543.5</v>
          </cell>
          <cell r="M12">
            <v>1863.3</v>
          </cell>
          <cell r="O12">
            <v>2065.3000000000002</v>
          </cell>
          <cell r="Q12">
            <v>2937.0999999999995</v>
          </cell>
          <cell r="S12">
            <v>3858.5999999999995</v>
          </cell>
          <cell r="U12">
            <v>6403.4999999999991</v>
          </cell>
          <cell r="W12">
            <v>7402.2000000000007</v>
          </cell>
          <cell r="Y12">
            <v>9170</v>
          </cell>
          <cell r="AA12">
            <v>9235</v>
          </cell>
          <cell r="AC12">
            <v>9055.2765141666659</v>
          </cell>
          <cell r="AE12">
            <v>10743.001808520943</v>
          </cell>
          <cell r="AG12">
            <v>12941.585240691616</v>
          </cell>
          <cell r="AI12">
            <v>14786.259639608899</v>
          </cell>
          <cell r="AK12">
            <v>18040.311524926939</v>
          </cell>
        </row>
        <row r="14">
          <cell r="B14" t="str">
            <v>Property, Plant &amp; Equipment</v>
          </cell>
          <cell r="C14">
            <v>586.91200000000003</v>
          </cell>
          <cell r="E14">
            <v>665.31399999999996</v>
          </cell>
          <cell r="G14">
            <v>743.8</v>
          </cell>
          <cell r="I14">
            <v>910.5</v>
          </cell>
          <cell r="K14">
            <v>1186.2</v>
          </cell>
          <cell r="M14">
            <v>1450.2</v>
          </cell>
          <cell r="O14">
            <v>1553.6</v>
          </cell>
          <cell r="Q14">
            <v>1781.5</v>
          </cell>
          <cell r="S14">
            <v>1946.1</v>
          </cell>
          <cell r="U14">
            <v>2813.5</v>
          </cell>
          <cell r="W14">
            <v>3799.4</v>
          </cell>
          <cell r="Y14">
            <v>4712</v>
          </cell>
          <cell r="AA14">
            <v>5038</v>
          </cell>
          <cell r="AC14">
            <v>5980.5493333333325</v>
          </cell>
          <cell r="AE14">
            <v>6577.3994462366118</v>
          </cell>
          <cell r="AG14">
            <v>7084.1184670405946</v>
          </cell>
          <cell r="AI14">
            <v>7351.437436320256</v>
          </cell>
          <cell r="AK14">
            <v>7696.185373274071</v>
          </cell>
          <cell r="AO14" t="str">
            <v>mstag:propertyPlantAndEquipmentNet</v>
          </cell>
          <cell r="AP14">
            <v>6</v>
          </cell>
          <cell r="AQ14" t="str">
            <v>ISO4217:USD</v>
          </cell>
          <cell r="AR14" t="b">
            <v>0</v>
          </cell>
          <cell r="AS14" t="b">
            <v>0</v>
          </cell>
        </row>
        <row r="15">
          <cell r="B15" t="str">
            <v>Intangible Assets, net</v>
          </cell>
          <cell r="O15">
            <v>0</v>
          </cell>
          <cell r="Q15">
            <v>0</v>
          </cell>
          <cell r="S15">
            <v>34.1</v>
          </cell>
          <cell r="U15">
            <v>4801.8999999999996</v>
          </cell>
          <cell r="W15">
            <v>4455.5</v>
          </cell>
          <cell r="Y15">
            <v>4033</v>
          </cell>
          <cell r="AA15">
            <v>3742</v>
          </cell>
          <cell r="AC15">
            <v>3680.89</v>
          </cell>
          <cell r="AE15">
            <v>3462.2799999999997</v>
          </cell>
          <cell r="AG15">
            <v>3243.6699999999996</v>
          </cell>
          <cell r="AI15">
            <v>3025.0599999999995</v>
          </cell>
          <cell r="AK15">
            <v>2806.4499999999994</v>
          </cell>
          <cell r="AO15" t="str">
            <v>mstag:otherIntangibleAssets</v>
          </cell>
          <cell r="AP15">
            <v>6</v>
          </cell>
          <cell r="AQ15" t="str">
            <v>ISO4217:USD</v>
          </cell>
          <cell r="AR15" t="b">
            <v>0</v>
          </cell>
          <cell r="AS15" t="b">
            <v>0</v>
          </cell>
        </row>
        <row r="16">
          <cell r="B16" t="str">
            <v>Goodwill</v>
          </cell>
          <cell r="O16">
            <v>0</v>
          </cell>
          <cell r="Q16">
            <v>0</v>
          </cell>
          <cell r="S16">
            <v>97.2</v>
          </cell>
          <cell r="U16">
            <v>9871.1</v>
          </cell>
          <cell r="W16">
            <v>9715.9</v>
          </cell>
          <cell r="Y16">
            <v>10525</v>
          </cell>
          <cell r="AA16">
            <v>10495</v>
          </cell>
          <cell r="AC16">
            <v>10995</v>
          </cell>
          <cell r="AE16">
            <v>10995</v>
          </cell>
          <cell r="AG16">
            <v>10995</v>
          </cell>
          <cell r="AI16">
            <v>10995</v>
          </cell>
          <cell r="AK16">
            <v>10995</v>
          </cell>
          <cell r="AO16" t="str">
            <v>mstag:goodwill</v>
          </cell>
          <cell r="AP16">
            <v>6</v>
          </cell>
          <cell r="AQ16" t="str">
            <v>ISO4217:USD</v>
          </cell>
          <cell r="AR16" t="b">
            <v>0</v>
          </cell>
          <cell r="AS16" t="b">
            <v>0</v>
          </cell>
        </row>
        <row r="17">
          <cell r="B17" t="str">
            <v>Other Assets</v>
          </cell>
          <cell r="C17">
            <v>124.1</v>
          </cell>
          <cell r="E17">
            <v>213.2</v>
          </cell>
          <cell r="G17">
            <v>234.9</v>
          </cell>
          <cell r="I17">
            <v>352.5</v>
          </cell>
          <cell r="K17">
            <v>380.5</v>
          </cell>
          <cell r="M17">
            <v>358.7</v>
          </cell>
          <cell r="O17">
            <v>458.7</v>
          </cell>
          <cell r="Q17">
            <v>681</v>
          </cell>
          <cell r="S17">
            <v>507.1</v>
          </cell>
          <cell r="U17">
            <v>566.29999999999995</v>
          </cell>
          <cell r="W17">
            <v>803.5</v>
          </cell>
          <cell r="Y17">
            <v>781</v>
          </cell>
          <cell r="AA17">
            <v>787</v>
          </cell>
          <cell r="AC17">
            <v>787</v>
          </cell>
          <cell r="AE17">
            <v>787</v>
          </cell>
          <cell r="AG17">
            <v>787</v>
          </cell>
          <cell r="AI17">
            <v>787</v>
          </cell>
          <cell r="AK17">
            <v>787</v>
          </cell>
          <cell r="AO17" t="str">
            <v>mstag:otherAssetsNonOperating</v>
          </cell>
          <cell r="AP17">
            <v>6</v>
          </cell>
          <cell r="AQ17" t="str">
            <v>ISO4217:USD</v>
          </cell>
          <cell r="AR17" t="b">
            <v>0</v>
          </cell>
          <cell r="AS17" t="b">
            <v>0</v>
          </cell>
        </row>
        <row r="19">
          <cell r="B19" t="str">
            <v>Total assets</v>
          </cell>
          <cell r="C19">
            <v>1765.5219999999999</v>
          </cell>
          <cell r="E19">
            <v>1994.1520000000003</v>
          </cell>
          <cell r="G19">
            <v>2432.7999999999997</v>
          </cell>
          <cell r="I19">
            <v>2765.6000000000004</v>
          </cell>
          <cell r="K19">
            <v>3110.2</v>
          </cell>
          <cell r="M19">
            <v>3672.2</v>
          </cell>
          <cell r="O19">
            <v>4077.6</v>
          </cell>
          <cell r="Q19">
            <v>5399.5999999999995</v>
          </cell>
          <cell r="S19">
            <v>6443.0999999999995</v>
          </cell>
          <cell r="U19">
            <v>24456.3</v>
          </cell>
          <cell r="W19">
            <v>26176.5</v>
          </cell>
          <cell r="Y19">
            <v>29221</v>
          </cell>
          <cell r="AA19">
            <v>29297</v>
          </cell>
          <cell r="AC19">
            <v>30498.7158475</v>
          </cell>
          <cell r="AE19">
            <v>32564.681254757554</v>
          </cell>
          <cell r="AG19">
            <v>35051.373707732208</v>
          </cell>
          <cell r="AI19">
            <v>36944.757075929156</v>
          </cell>
          <cell r="AK19">
            <v>40324.946898201015</v>
          </cell>
        </row>
        <row r="21">
          <cell r="B21" t="str">
            <v>Current liabilities:</v>
          </cell>
        </row>
        <row r="22">
          <cell r="B22" t="str">
            <v>Accounts Payable</v>
          </cell>
          <cell r="C22">
            <v>23.056000000000001</v>
          </cell>
          <cell r="E22">
            <v>30.475999999999999</v>
          </cell>
          <cell r="G22">
            <v>54.4</v>
          </cell>
          <cell r="I22">
            <v>75</v>
          </cell>
          <cell r="K22">
            <v>111.1</v>
          </cell>
          <cell r="M22">
            <v>121.6</v>
          </cell>
          <cell r="O22">
            <v>83.4</v>
          </cell>
          <cell r="Q22">
            <v>143.19999999999999</v>
          </cell>
          <cell r="S22">
            <v>136.69999999999999</v>
          </cell>
          <cell r="U22">
            <v>254.6</v>
          </cell>
          <cell r="W22">
            <v>327.2</v>
          </cell>
          <cell r="Y22">
            <v>507</v>
          </cell>
          <cell r="AA22">
            <v>596</v>
          </cell>
          <cell r="AC22">
            <v>664.90923999999995</v>
          </cell>
          <cell r="AE22">
            <v>725.2428557948823</v>
          </cell>
          <cell r="AG22">
            <v>817.47919566890039</v>
          </cell>
          <cell r="AI22">
            <v>922.93696722228412</v>
          </cell>
          <cell r="AK22">
            <v>1024.8726343603414</v>
          </cell>
          <cell r="AO22" t="str">
            <v>mstag:tradeAndOtherPayables</v>
          </cell>
          <cell r="AP22">
            <v>6</v>
          </cell>
          <cell r="AQ22" t="str">
            <v>ISO4217:USD</v>
          </cell>
          <cell r="AR22" t="b">
            <v>0</v>
          </cell>
          <cell r="AS22" t="b">
            <v>0</v>
          </cell>
        </row>
        <row r="23">
          <cell r="B23" t="str">
            <v>Commercial Paper</v>
          </cell>
          <cell r="C23">
            <v>109.767</v>
          </cell>
          <cell r="E23">
            <v>99.667000000000002</v>
          </cell>
          <cell r="G23">
            <v>69.7</v>
          </cell>
          <cell r="I23">
            <v>0</v>
          </cell>
          <cell r="K23">
            <v>-302.2</v>
          </cell>
          <cell r="M23">
            <v>99.7</v>
          </cell>
          <cell r="O23">
            <v>99.5</v>
          </cell>
          <cell r="Q23">
            <v>99.7</v>
          </cell>
          <cell r="S23">
            <v>99.9</v>
          </cell>
          <cell r="U23">
            <v>0</v>
          </cell>
          <cell r="W23">
            <v>0</v>
          </cell>
          <cell r="Y23">
            <v>0</v>
          </cell>
          <cell r="AA23">
            <v>0</v>
          </cell>
          <cell r="AC23">
            <v>0</v>
          </cell>
          <cell r="AE23">
            <v>0</v>
          </cell>
          <cell r="AG23">
            <v>0</v>
          </cell>
          <cell r="AI23">
            <v>0</v>
          </cell>
          <cell r="AK23">
            <v>0</v>
          </cell>
          <cell r="AO23" t="str">
            <v>mstag:shortTermBorrowings</v>
          </cell>
          <cell r="AP23">
            <v>6</v>
          </cell>
          <cell r="AQ23" t="str">
            <v>ISO4217:USD</v>
          </cell>
          <cell r="AR23" t="b">
            <v>0</v>
          </cell>
          <cell r="AS23" t="b">
            <v>0</v>
          </cell>
        </row>
        <row r="24">
          <cell r="B24" t="str">
            <v>Accrued Liabilities</v>
          </cell>
          <cell r="C24">
            <v>279.43799999999999</v>
          </cell>
          <cell r="E24">
            <v>406.28699999999998</v>
          </cell>
          <cell r="G24">
            <v>459.7</v>
          </cell>
          <cell r="I24">
            <v>449.7</v>
          </cell>
          <cell r="K24">
            <v>608</v>
          </cell>
          <cell r="M24">
            <v>659.7</v>
          </cell>
          <cell r="O24">
            <v>648.20000000000005</v>
          </cell>
          <cell r="Q24">
            <v>619.20000000000005</v>
          </cell>
          <cell r="S24">
            <v>766.3</v>
          </cell>
          <cell r="U24">
            <v>1151.7</v>
          </cell>
          <cell r="W24">
            <v>1919.1</v>
          </cell>
          <cell r="Y24">
            <v>2477</v>
          </cell>
          <cell r="AA24">
            <v>2999</v>
          </cell>
          <cell r="AC24">
            <v>2908.9779249999997</v>
          </cell>
          <cell r="AE24">
            <v>3172.9374941026099</v>
          </cell>
          <cell r="AG24">
            <v>3335.3151183291138</v>
          </cell>
          <cell r="AI24">
            <v>3765.5828262669193</v>
          </cell>
          <cell r="AK24">
            <v>4181.4803481901936</v>
          </cell>
          <cell r="AO24" t="str">
            <v>mstag:accruedExpenses</v>
          </cell>
          <cell r="AP24">
            <v>6</v>
          </cell>
          <cell r="AQ24" t="str">
            <v>ISO4217:USD</v>
          </cell>
          <cell r="AR24" t="b">
            <v>0</v>
          </cell>
          <cell r="AS24" t="b">
            <v>0</v>
          </cell>
        </row>
        <row r="25">
          <cell r="B25" t="str">
            <v>Current Portion Long Term Debt</v>
          </cell>
          <cell r="I25">
            <v>118.2</v>
          </cell>
          <cell r="K25">
            <v>30</v>
          </cell>
          <cell r="M25">
            <v>6</v>
          </cell>
          <cell r="O25">
            <v>0</v>
          </cell>
          <cell r="Q25">
            <v>0</v>
          </cell>
          <cell r="S25">
            <v>0</v>
          </cell>
          <cell r="U25">
            <v>122.9</v>
          </cell>
          <cell r="W25">
            <v>0</v>
          </cell>
          <cell r="Y25">
            <v>1173</v>
          </cell>
          <cell r="AA25">
            <v>0</v>
          </cell>
          <cell r="AC25">
            <v>0</v>
          </cell>
          <cell r="AE25">
            <v>0</v>
          </cell>
          <cell r="AG25">
            <v>0</v>
          </cell>
          <cell r="AI25">
            <v>0</v>
          </cell>
          <cell r="AK25">
            <v>0</v>
          </cell>
          <cell r="AO25" t="str">
            <v>mstag:shortTermBorrowings</v>
          </cell>
          <cell r="AP25">
            <v>6</v>
          </cell>
          <cell r="AQ25" t="str">
            <v>ISO4217:USD</v>
          </cell>
          <cell r="AR25" t="b">
            <v>0</v>
          </cell>
          <cell r="AS25" t="b">
            <v>0</v>
          </cell>
        </row>
        <row r="26">
          <cell r="B26" t="str">
            <v>Total current liabilities</v>
          </cell>
          <cell r="C26">
            <v>412.26099999999997</v>
          </cell>
          <cell r="E26">
            <v>536.42999999999995</v>
          </cell>
          <cell r="G26">
            <v>583.79999999999995</v>
          </cell>
          <cell r="I26">
            <v>642.90000000000009</v>
          </cell>
          <cell r="K26">
            <v>446.9</v>
          </cell>
          <cell r="M26">
            <v>887</v>
          </cell>
          <cell r="O26">
            <v>831.1</v>
          </cell>
          <cell r="Q26">
            <v>862.1</v>
          </cell>
          <cell r="S26">
            <v>1002.9</v>
          </cell>
          <cell r="U26">
            <v>1529.2</v>
          </cell>
          <cell r="W26">
            <v>2246.2999999999997</v>
          </cell>
          <cell r="Y26">
            <v>4157</v>
          </cell>
          <cell r="AA26">
            <v>3595</v>
          </cell>
          <cell r="AC26">
            <v>3573.8871649999996</v>
          </cell>
          <cell r="AE26">
            <v>3898.1803498974923</v>
          </cell>
          <cell r="AG26">
            <v>4152.7943139980143</v>
          </cell>
          <cell r="AI26">
            <v>4688.519793489203</v>
          </cell>
          <cell r="AK26">
            <v>5206.3529825505348</v>
          </cell>
        </row>
        <row r="28">
          <cell r="B28" t="str">
            <v>Deferred Tax Liabilities</v>
          </cell>
          <cell r="C28">
            <v>0</v>
          </cell>
          <cell r="E28">
            <v>0</v>
          </cell>
          <cell r="G28">
            <v>0</v>
          </cell>
          <cell r="I28">
            <v>0</v>
          </cell>
          <cell r="K28">
            <v>0</v>
          </cell>
          <cell r="M28">
            <v>0</v>
          </cell>
          <cell r="O28">
            <v>0</v>
          </cell>
          <cell r="Q28">
            <v>0</v>
          </cell>
          <cell r="S28">
            <v>0</v>
          </cell>
          <cell r="U28">
            <v>1593.4</v>
          </cell>
          <cell r="W28">
            <v>1461.6</v>
          </cell>
          <cell r="Y28">
            <v>1294</v>
          </cell>
          <cell r="AA28">
            <v>1294</v>
          </cell>
          <cell r="AC28">
            <v>994</v>
          </cell>
          <cell r="AE28">
            <v>994</v>
          </cell>
          <cell r="AG28">
            <v>994</v>
          </cell>
          <cell r="AI28">
            <v>994</v>
          </cell>
          <cell r="AK28">
            <v>994</v>
          </cell>
          <cell r="AO28" t="str">
            <v>mstag:deferredTaxLiabilities</v>
          </cell>
          <cell r="AP28">
            <v>6</v>
          </cell>
          <cell r="AQ28" t="str">
            <v>ISO4217:USD</v>
          </cell>
          <cell r="AR28" t="b">
            <v>0</v>
          </cell>
          <cell r="AS28" t="b">
            <v>0</v>
          </cell>
        </row>
        <row r="29">
          <cell r="B29" t="str">
            <v xml:space="preserve">Long-Term Debt </v>
          </cell>
          <cell r="C29">
            <v>181.24199999999999</v>
          </cell>
          <cell r="E29">
            <v>183.40700000000001</v>
          </cell>
          <cell r="G29">
            <v>177.2</v>
          </cell>
          <cell r="I29">
            <v>59</v>
          </cell>
          <cell r="K29">
            <v>229</v>
          </cell>
          <cell r="M29">
            <v>223</v>
          </cell>
          <cell r="O29">
            <v>223</v>
          </cell>
          <cell r="Q29">
            <v>223</v>
          </cell>
          <cell r="S29">
            <v>223</v>
          </cell>
          <cell r="U29">
            <v>3047.7</v>
          </cell>
          <cell r="W29">
            <v>3079.5</v>
          </cell>
          <cell r="Y29">
            <v>4065</v>
          </cell>
          <cell r="AA29">
            <v>3957</v>
          </cell>
          <cell r="AC29">
            <v>8976.7887499999997</v>
          </cell>
          <cell r="AE29">
            <v>8896.5774999999994</v>
          </cell>
          <cell r="AG29">
            <v>8916.3662499999991</v>
          </cell>
          <cell r="AI29">
            <v>7938.1549999999988</v>
          </cell>
          <cell r="AK29">
            <v>7957.9437499999985</v>
          </cell>
          <cell r="AO29" t="str">
            <v>mstag:longTermDebt</v>
          </cell>
          <cell r="AP29">
            <v>6</v>
          </cell>
          <cell r="AQ29" t="str">
            <v>ISO4217:USD</v>
          </cell>
          <cell r="AR29" t="b">
            <v>0</v>
          </cell>
          <cell r="AS29" t="b">
            <v>0</v>
          </cell>
        </row>
        <row r="30">
          <cell r="B30" t="str">
            <v>Put Warrants</v>
          </cell>
          <cell r="C30">
            <v>0</v>
          </cell>
          <cell r="E30">
            <v>0</v>
          </cell>
          <cell r="G30">
            <v>0</v>
          </cell>
          <cell r="I30">
            <v>157.4</v>
          </cell>
          <cell r="K30">
            <v>0</v>
          </cell>
          <cell r="M30">
            <v>0</v>
          </cell>
          <cell r="O30">
            <v>0</v>
          </cell>
          <cell r="Q30">
            <v>0</v>
          </cell>
          <cell r="S30">
            <v>0</v>
          </cell>
          <cell r="U30">
            <v>0</v>
          </cell>
          <cell r="W30">
            <v>0</v>
          </cell>
          <cell r="Y30">
            <v>0</v>
          </cell>
          <cell r="AA30">
            <v>0</v>
          </cell>
          <cell r="AC30">
            <v>0</v>
          </cell>
          <cell r="AE30">
            <v>0</v>
          </cell>
          <cell r="AG30">
            <v>0</v>
          </cell>
          <cell r="AI30">
            <v>0</v>
          </cell>
          <cell r="AK30">
            <v>0</v>
          </cell>
          <cell r="AO30" t="str">
            <v>mstag:otherLiabilitiesNonOperating</v>
          </cell>
          <cell r="AP30">
            <v>6</v>
          </cell>
          <cell r="AQ30" t="str">
            <v>ISO4217:USD</v>
          </cell>
          <cell r="AR30" t="b">
            <v>0</v>
          </cell>
          <cell r="AS30" t="b">
            <v>0</v>
          </cell>
        </row>
        <row r="31">
          <cell r="B31" t="str">
            <v>Total liabilities</v>
          </cell>
          <cell r="C31">
            <v>593.50299999999993</v>
          </cell>
          <cell r="E31">
            <v>719.83699999999999</v>
          </cell>
          <cell r="G31">
            <v>761</v>
          </cell>
          <cell r="I31">
            <v>701.90000000000009</v>
          </cell>
          <cell r="K31">
            <v>675.9</v>
          </cell>
          <cell r="M31">
            <v>1110</v>
          </cell>
          <cell r="O31">
            <v>1054.0999999999999</v>
          </cell>
          <cell r="Q31">
            <v>1085.0999999999999</v>
          </cell>
          <cell r="S31">
            <v>1225.9000000000001</v>
          </cell>
          <cell r="U31">
            <v>6170.3</v>
          </cell>
          <cell r="W31">
            <v>6787.4</v>
          </cell>
          <cell r="Y31">
            <v>9516</v>
          </cell>
          <cell r="AA31">
            <v>8846</v>
          </cell>
          <cell r="AC31">
            <v>13544.675915</v>
          </cell>
          <cell r="AE31">
            <v>13788.757849897491</v>
          </cell>
          <cell r="AG31">
            <v>14063.160563998013</v>
          </cell>
          <cell r="AI31">
            <v>13620.674793489201</v>
          </cell>
          <cell r="AK31">
            <v>14158.296732550534</v>
          </cell>
        </row>
        <row r="33">
          <cell r="B33" t="str">
            <v>Stockholders' equity:</v>
          </cell>
        </row>
        <row r="34">
          <cell r="B34" t="str">
            <v>Preferred Stock</v>
          </cell>
          <cell r="S34">
            <v>0</v>
          </cell>
          <cell r="U34">
            <v>0</v>
          </cell>
          <cell r="W34">
            <v>0</v>
          </cell>
          <cell r="Y34">
            <v>0</v>
          </cell>
          <cell r="AA34">
            <v>0</v>
          </cell>
          <cell r="AC34">
            <v>0</v>
          </cell>
          <cell r="AE34">
            <v>0</v>
          </cell>
          <cell r="AG34">
            <v>0</v>
          </cell>
          <cell r="AI34">
            <v>0</v>
          </cell>
          <cell r="AK34">
            <v>0</v>
          </cell>
          <cell r="AO34" t="str">
            <v>mstag:preferredEquity</v>
          </cell>
          <cell r="AP34">
            <v>6</v>
          </cell>
          <cell r="AQ34" t="str">
            <v>ISO4217:USD</v>
          </cell>
          <cell r="AR34" t="b">
            <v>0</v>
          </cell>
          <cell r="AS34" t="b">
            <v>0</v>
          </cell>
        </row>
        <row r="35">
          <cell r="B35" t="str">
            <v>Common Stock and APIC</v>
          </cell>
          <cell r="C35">
            <v>583.19878761447876</v>
          </cell>
          <cell r="E35">
            <v>634.09843436545998</v>
          </cell>
          <cell r="G35">
            <v>831.89001308329694</v>
          </cell>
          <cell r="I35">
            <v>1026.9000000000001</v>
          </cell>
          <cell r="K35">
            <v>1196.0999999999999</v>
          </cell>
          <cell r="M35">
            <v>1671.9</v>
          </cell>
          <cell r="O35">
            <v>2072.3000000000002</v>
          </cell>
          <cell r="Q35">
            <v>2947.3</v>
          </cell>
          <cell r="S35">
            <v>3474.1</v>
          </cell>
          <cell r="U35">
            <v>19344.3</v>
          </cell>
          <cell r="W35">
            <v>19995.3</v>
          </cell>
          <cell r="Y35">
            <v>22078</v>
          </cell>
          <cell r="AA35">
            <v>23561</v>
          </cell>
          <cell r="AC35">
            <v>16734.574542499999</v>
          </cell>
          <cell r="AE35">
            <v>14375.822116285579</v>
          </cell>
          <cell r="AG35">
            <v>11943.489962124937</v>
          </cell>
          <cell r="AI35">
            <v>9343.913232858682</v>
          </cell>
          <cell r="AK35">
            <v>6943.2943418808663</v>
          </cell>
          <cell r="AO35" t="str">
            <v>mstag:totalShareCapital</v>
          </cell>
          <cell r="AP35">
            <v>6</v>
          </cell>
          <cell r="AQ35" t="str">
            <v>ISO4217:USD</v>
          </cell>
          <cell r="AR35" t="b">
            <v>0</v>
          </cell>
          <cell r="AS35" t="b">
            <v>0</v>
          </cell>
        </row>
        <row r="36">
          <cell r="B36" t="str">
            <v>Retained Earnings</v>
          </cell>
          <cell r="C36">
            <v>499.43033774288898</v>
          </cell>
          <cell r="E36">
            <v>543.01895333624066</v>
          </cell>
          <cell r="G36">
            <v>712.4005039492173</v>
          </cell>
          <cell r="I36">
            <v>879.4</v>
          </cell>
          <cell r="K36">
            <v>943.2</v>
          </cell>
          <cell r="M36">
            <v>894.3</v>
          </cell>
          <cell r="O36">
            <v>966</v>
          </cell>
          <cell r="Q36">
            <v>1304.5999999999999</v>
          </cell>
          <cell r="S36">
            <v>1686.8</v>
          </cell>
          <cell r="U36">
            <v>-1125.5</v>
          </cell>
          <cell r="W36">
            <v>-667</v>
          </cell>
          <cell r="Y36">
            <v>-2376</v>
          </cell>
          <cell r="AA36">
            <v>-3132</v>
          </cell>
          <cell r="AC36">
            <v>197.4653900000003</v>
          </cell>
          <cell r="AE36">
            <v>4378.1012885744822</v>
          </cell>
          <cell r="AG36">
            <v>9022.7231816092572</v>
          </cell>
          <cell r="AI36">
            <v>13958.169049581269</v>
          </cell>
          <cell r="AK36">
            <v>19201.355823769609</v>
          </cell>
          <cell r="AO36" t="str">
            <v>mstag:retainedEarnings</v>
          </cell>
          <cell r="AP36">
            <v>6</v>
          </cell>
          <cell r="AQ36" t="str">
            <v>ISO4217:USD</v>
          </cell>
          <cell r="AR36" t="b">
            <v>0</v>
          </cell>
          <cell r="AS36" t="b">
            <v>0</v>
          </cell>
        </row>
        <row r="37">
          <cell r="B37" t="str">
            <v>AOCI</v>
          </cell>
          <cell r="C37">
            <v>89.390874642632141</v>
          </cell>
          <cell r="E37">
            <v>97.192612298299153</v>
          </cell>
          <cell r="G37">
            <v>127.50948296748555</v>
          </cell>
          <cell r="I37">
            <v>157.4</v>
          </cell>
          <cell r="K37">
            <v>295</v>
          </cell>
          <cell r="M37">
            <v>-4</v>
          </cell>
          <cell r="O37">
            <v>-14.8</v>
          </cell>
          <cell r="Q37">
            <v>62.6</v>
          </cell>
          <cell r="S37">
            <v>56.3</v>
          </cell>
          <cell r="U37">
            <v>67.2</v>
          </cell>
          <cell r="W37">
            <v>60.8</v>
          </cell>
          <cell r="Y37">
            <v>3</v>
          </cell>
          <cell r="AA37">
            <v>22</v>
          </cell>
          <cell r="AC37">
            <v>22</v>
          </cell>
          <cell r="AE37">
            <v>22</v>
          </cell>
          <cell r="AG37">
            <v>22</v>
          </cell>
          <cell r="AI37">
            <v>22</v>
          </cell>
          <cell r="AK37">
            <v>22</v>
          </cell>
          <cell r="AO37" t="str">
            <v>mstag:accumulatedOtherComprehensiveIncomeLossAndReserves</v>
          </cell>
          <cell r="AP37">
            <v>6</v>
          </cell>
          <cell r="AQ37" t="str">
            <v>ISO4217:USD</v>
          </cell>
          <cell r="AR37" t="b">
            <v>0</v>
          </cell>
          <cell r="AS37" t="b">
            <v>0</v>
          </cell>
        </row>
        <row r="38">
          <cell r="B38" t="str">
            <v>Total stockholders' equity</v>
          </cell>
          <cell r="C38">
            <v>1172.02</v>
          </cell>
          <cell r="E38">
            <v>1274.31</v>
          </cell>
          <cell r="G38">
            <v>1671.8</v>
          </cell>
          <cell r="I38">
            <v>2063.7000000000003</v>
          </cell>
          <cell r="K38">
            <v>2434.3000000000002</v>
          </cell>
          <cell r="M38">
            <v>2562.1999999999998</v>
          </cell>
          <cell r="O38">
            <v>3023.5</v>
          </cell>
          <cell r="Q38">
            <v>4314.5</v>
          </cell>
          <cell r="S38">
            <v>5217.2</v>
          </cell>
          <cell r="U38">
            <v>18286</v>
          </cell>
          <cell r="W38">
            <v>19389.099999999999</v>
          </cell>
          <cell r="Y38">
            <v>19705</v>
          </cell>
          <cell r="AA38">
            <v>20451</v>
          </cell>
          <cell r="AC38">
            <v>16954.0399325</v>
          </cell>
          <cell r="AE38">
            <v>18775.923404860063</v>
          </cell>
          <cell r="AG38">
            <v>20988.213143734196</v>
          </cell>
          <cell r="AI38">
            <v>23324.082282439951</v>
          </cell>
          <cell r="AK38">
            <v>26166.650165650477</v>
          </cell>
        </row>
        <row r="40">
          <cell r="B40" t="str">
            <v>Total Liabilities and Equity</v>
          </cell>
          <cell r="C40">
            <v>1765.5229999999999</v>
          </cell>
          <cell r="E40">
            <v>1994.1469999999999</v>
          </cell>
          <cell r="G40">
            <v>2432.8000000000002</v>
          </cell>
          <cell r="I40">
            <v>2765.6000000000004</v>
          </cell>
          <cell r="K40">
            <v>3110.2000000000003</v>
          </cell>
          <cell r="M40">
            <v>3672.2</v>
          </cell>
          <cell r="O40">
            <v>4077.6</v>
          </cell>
          <cell r="Q40">
            <v>5399.6</v>
          </cell>
          <cell r="S40">
            <v>6443.1</v>
          </cell>
          <cell r="U40">
            <v>24456.3</v>
          </cell>
          <cell r="W40">
            <v>26176.5</v>
          </cell>
          <cell r="Y40">
            <v>29221</v>
          </cell>
          <cell r="AA40">
            <v>29297</v>
          </cell>
          <cell r="AC40">
            <v>30498.7158475</v>
          </cell>
          <cell r="AE40">
            <v>32564.681254757554</v>
          </cell>
          <cell r="AG40">
            <v>35051.373707732208</v>
          </cell>
          <cell r="AI40">
            <v>36944.757075929156</v>
          </cell>
          <cell r="AK40">
            <v>40324.946898201015</v>
          </cell>
        </row>
        <row r="42">
          <cell r="C42">
            <v>-9.9999999997635314E-4</v>
          </cell>
          <cell r="E42">
            <v>5.000000000336513E-3</v>
          </cell>
          <cell r="G42">
            <v>0</v>
          </cell>
          <cell r="I42">
            <v>0</v>
          </cell>
          <cell r="K42">
            <v>0</v>
          </cell>
          <cell r="M42">
            <v>0</v>
          </cell>
          <cell r="O42">
            <v>0</v>
          </cell>
          <cell r="Q42">
            <v>0</v>
          </cell>
          <cell r="S42">
            <v>0</v>
          </cell>
          <cell r="U42">
            <v>0</v>
          </cell>
          <cell r="W42">
            <v>0</v>
          </cell>
          <cell r="Y42">
            <v>0</v>
          </cell>
          <cell r="AA42">
            <v>0</v>
          </cell>
          <cell r="AC42">
            <v>0</v>
          </cell>
          <cell r="AE42">
            <v>0</v>
          </cell>
          <cell r="AG42">
            <v>0</v>
          </cell>
          <cell r="AI42">
            <v>0</v>
          </cell>
          <cell r="AK42">
            <v>0</v>
          </cell>
        </row>
        <row r="43">
          <cell r="C43">
            <v>-4.9999999998817657E-4</v>
          </cell>
          <cell r="E43">
            <v>2.5000000001682565E-3</v>
          </cell>
          <cell r="G43">
            <v>0</v>
          </cell>
          <cell r="I43">
            <v>0</v>
          </cell>
          <cell r="K43">
            <v>0</v>
          </cell>
          <cell r="M43">
            <v>0</v>
          </cell>
          <cell r="O43">
            <v>0</v>
          </cell>
          <cell r="Q43">
            <v>0</v>
          </cell>
          <cell r="S43">
            <v>0</v>
          </cell>
          <cell r="U43">
            <v>0</v>
          </cell>
          <cell r="W43">
            <v>0</v>
          </cell>
          <cell r="Y43">
            <v>0</v>
          </cell>
          <cell r="AA43">
            <v>0</v>
          </cell>
          <cell r="AC43">
            <v>0</v>
          </cell>
          <cell r="AE43">
            <v>0</v>
          </cell>
          <cell r="AG43">
            <v>0</v>
          </cell>
          <cell r="AI43">
            <v>0</v>
          </cell>
          <cell r="AK43">
            <v>0</v>
          </cell>
        </row>
        <row r="44">
          <cell r="B44" t="str">
            <v>Common Stock and APIC</v>
          </cell>
          <cell r="U44">
            <v>15870.199999999999</v>
          </cell>
          <cell r="W44">
            <v>651</v>
          </cell>
          <cell r="Y44">
            <v>2082.7000000000007</v>
          </cell>
          <cell r="AA44">
            <v>1483</v>
          </cell>
          <cell r="AC44">
            <v>-6826.4254575000014</v>
          </cell>
          <cell r="AE44">
            <v>-2358.7524262144198</v>
          </cell>
          <cell r="AG44">
            <v>-2432.3321541606419</v>
          </cell>
          <cell r="AI44">
            <v>-2599.5767292662549</v>
          </cell>
        </row>
        <row r="45">
          <cell r="B45" t="str">
            <v>Retained Earnings</v>
          </cell>
          <cell r="U45">
            <v>-2812.3</v>
          </cell>
          <cell r="W45">
            <v>2461.5</v>
          </cell>
          <cell r="Y45">
            <v>-1709</v>
          </cell>
          <cell r="AA45">
            <v>-756</v>
          </cell>
          <cell r="AC45">
            <v>3329.4653900000003</v>
          </cell>
          <cell r="AE45">
            <v>4180.6358985744819</v>
          </cell>
          <cell r="AG45">
            <v>4644.621893034775</v>
          </cell>
          <cell r="AI45">
            <v>4935.4458679720119</v>
          </cell>
        </row>
        <row r="46">
          <cell r="B46" t="str">
            <v>AOCI</v>
          </cell>
          <cell r="U46">
            <v>10.900000000000006</v>
          </cell>
          <cell r="W46">
            <v>-6.4000000000000057</v>
          </cell>
          <cell r="Y46">
            <v>-57.8</v>
          </cell>
          <cell r="AA46">
            <v>19</v>
          </cell>
          <cell r="AC46">
            <v>0</v>
          </cell>
          <cell r="AE46">
            <v>0</v>
          </cell>
          <cell r="AG46">
            <v>0</v>
          </cell>
          <cell r="AI46">
            <v>0</v>
          </cell>
        </row>
        <row r="48">
          <cell r="B48" t="str">
            <v>CALCULATIONS</v>
          </cell>
        </row>
        <row r="49">
          <cell r="W49" t="str">
            <v>2003-FY</v>
          </cell>
          <cell r="Y49" t="str">
            <v>2004-FY</v>
          </cell>
          <cell r="AA49" t="str">
            <v>2005-FY</v>
          </cell>
          <cell r="AC49" t="str">
            <v>2006-FY</v>
          </cell>
          <cell r="AE49" t="str">
            <v>2007-FY</v>
          </cell>
          <cell r="AG49" t="str">
            <v>2008-FY</v>
          </cell>
          <cell r="AI49" t="str">
            <v>2009-FY</v>
          </cell>
          <cell r="AK49" t="str">
            <v>2010-FY</v>
          </cell>
        </row>
        <row r="50">
          <cell r="A50" t="str">
            <v>Revenues</v>
          </cell>
          <cell r="O50">
            <v>3340.1</v>
          </cell>
          <cell r="Q50">
            <v>3629.3999999999996</v>
          </cell>
          <cell r="S50">
            <v>4015.7</v>
          </cell>
          <cell r="U50">
            <v>5522.9999999999991</v>
          </cell>
          <cell r="W50">
            <v>8356</v>
          </cell>
          <cell r="Y50">
            <v>10549.9</v>
          </cell>
          <cell r="AA50">
            <v>12430</v>
          </cell>
          <cell r="AC50">
            <v>13779</v>
          </cell>
          <cell r="AE50">
            <v>15089.778225807069</v>
          </cell>
          <cell r="AG50">
            <v>16371.308428631663</v>
          </cell>
          <cell r="AI50">
            <v>17919.625529985176</v>
          </cell>
          <cell r="AK50">
            <v>19502.253061994084</v>
          </cell>
        </row>
        <row r="51">
          <cell r="A51" t="str">
            <v>Operating expenses</v>
          </cell>
          <cell r="O51">
            <v>1847</v>
          </cell>
          <cell r="Q51">
            <v>2085.4</v>
          </cell>
          <cell r="S51">
            <v>2484.5</v>
          </cell>
          <cell r="U51">
            <v>3160.5</v>
          </cell>
          <cell r="W51">
            <v>4929.0000000000009</v>
          </cell>
          <cell r="Y51">
            <v>6315</v>
          </cell>
          <cell r="AA51">
            <v>7129</v>
          </cell>
          <cell r="AC51">
            <v>8311.3654999999999</v>
          </cell>
          <cell r="AE51">
            <v>9065.5356974360293</v>
          </cell>
          <cell r="AG51">
            <v>9809.7503480268042</v>
          </cell>
          <cell r="AI51">
            <v>11075.243606667409</v>
          </cell>
          <cell r="AK51">
            <v>12298.471612324098</v>
          </cell>
        </row>
        <row r="52">
          <cell r="A52" t="str">
            <v>COGS</v>
          </cell>
          <cell r="O52">
            <v>402.1</v>
          </cell>
          <cell r="Q52">
            <v>408.4</v>
          </cell>
          <cell r="S52">
            <v>443</v>
          </cell>
          <cell r="U52">
            <v>735.7</v>
          </cell>
          <cell r="W52">
            <v>1340.7</v>
          </cell>
          <cell r="Y52">
            <v>1731</v>
          </cell>
          <cell r="AA52">
            <v>2035</v>
          </cell>
          <cell r="AC52">
            <v>2275.2525000000001</v>
          </cell>
          <cell r="AE52">
            <v>2471.3026127583394</v>
          </cell>
          <cell r="AG52">
            <v>2663.674218929084</v>
          </cell>
          <cell r="AI52">
            <v>2921.8139905241542</v>
          </cell>
          <cell r="AK52">
            <v>3229.9239384968482</v>
          </cell>
        </row>
        <row r="54">
          <cell r="B54" t="str">
            <v>Depreciation and Amortization from</v>
          </cell>
          <cell r="AL54">
            <v>7.5</v>
          </cell>
        </row>
        <row r="55">
          <cell r="A55" t="str">
            <v xml:space="preserve">Existing PP&amp;E </v>
          </cell>
          <cell r="O55">
            <v>176.8</v>
          </cell>
          <cell r="Q55">
            <v>211.8</v>
          </cell>
          <cell r="S55">
            <v>265.89999999999998</v>
          </cell>
          <cell r="U55">
            <v>204.3</v>
          </cell>
          <cell r="W55">
            <v>77.599999999999994</v>
          </cell>
          <cell r="Y55">
            <v>0</v>
          </cell>
          <cell r="AA55">
            <v>0</v>
          </cell>
          <cell r="AC55">
            <v>0</v>
          </cell>
          <cell r="AE55">
            <v>0</v>
          </cell>
          <cell r="AG55">
            <v>0</v>
          </cell>
          <cell r="AI55">
            <v>0</v>
          </cell>
          <cell r="AK55">
            <v>0</v>
          </cell>
        </row>
        <row r="56">
          <cell r="A56" t="str">
            <v>2002 capital expenditures</v>
          </cell>
          <cell r="U56">
            <v>87.8</v>
          </cell>
          <cell r="W56">
            <v>87.8</v>
          </cell>
          <cell r="Y56">
            <v>87.8</v>
          </cell>
          <cell r="AA56">
            <v>87.8</v>
          </cell>
          <cell r="AC56">
            <v>87.8</v>
          </cell>
          <cell r="AE56">
            <v>87.8</v>
          </cell>
          <cell r="AG56">
            <v>87.8</v>
          </cell>
          <cell r="AI56">
            <v>87.8</v>
          </cell>
          <cell r="AK56">
            <v>87.8</v>
          </cell>
        </row>
        <row r="57">
          <cell r="A57" t="str">
            <v>2003 capital expenditures</v>
          </cell>
          <cell r="W57">
            <v>180.93333333333334</v>
          </cell>
          <cell r="Y57">
            <v>180.93333333333334</v>
          </cell>
          <cell r="AA57">
            <v>180.93333333333334</v>
          </cell>
          <cell r="AC57">
            <v>180.93333333333334</v>
          </cell>
          <cell r="AE57">
            <v>180.93333333333334</v>
          </cell>
          <cell r="AG57">
            <v>180.93333333333334</v>
          </cell>
          <cell r="AI57">
            <v>180.93333333333334</v>
          </cell>
          <cell r="AK57">
            <v>180.93333333333334</v>
          </cell>
        </row>
        <row r="58">
          <cell r="A58" t="str">
            <v>2004 capital expenditures</v>
          </cell>
          <cell r="Y58">
            <v>106.13333333333333</v>
          </cell>
          <cell r="AA58">
            <v>106.13333333333333</v>
          </cell>
          <cell r="AC58">
            <v>106.13333333333333</v>
          </cell>
          <cell r="AE58">
            <v>106.13333333333333</v>
          </cell>
          <cell r="AG58">
            <v>106.13333333333333</v>
          </cell>
          <cell r="AI58">
            <v>106.13333333333333</v>
          </cell>
          <cell r="AK58">
            <v>106.13333333333333</v>
          </cell>
        </row>
        <row r="59">
          <cell r="A59" t="str">
            <v>2005 capital expenditures</v>
          </cell>
          <cell r="AA59">
            <v>115.6</v>
          </cell>
          <cell r="AC59">
            <v>115.6</v>
          </cell>
          <cell r="AE59">
            <v>115.6</v>
          </cell>
          <cell r="AG59">
            <v>115.6</v>
          </cell>
          <cell r="AI59">
            <v>115.6</v>
          </cell>
          <cell r="AK59">
            <v>115.6</v>
          </cell>
        </row>
        <row r="60">
          <cell r="A60" t="str">
            <v>2006 capital expenditures</v>
          </cell>
          <cell r="AC60">
            <v>220.464</v>
          </cell>
          <cell r="AE60">
            <v>220.464</v>
          </cell>
          <cell r="AG60">
            <v>220.464</v>
          </cell>
          <cell r="AI60">
            <v>220.464</v>
          </cell>
          <cell r="AK60">
            <v>220.464</v>
          </cell>
        </row>
        <row r="61">
          <cell r="A61" t="str">
            <v>2007 capital expenditures</v>
          </cell>
          <cell r="AE61">
            <v>201.19704301076092</v>
          </cell>
          <cell r="AG61">
            <v>201.19704301076092</v>
          </cell>
          <cell r="AI61">
            <v>201.19704301076092</v>
          </cell>
          <cell r="AK61">
            <v>201.19704301076092</v>
          </cell>
        </row>
        <row r="62">
          <cell r="A62" t="str">
            <v>2008 capital expenditures</v>
          </cell>
          <cell r="AG62">
            <v>218.28411238175553</v>
          </cell>
          <cell r="AI62">
            <v>218.28411238175553</v>
          </cell>
          <cell r="AK62">
            <v>218.28411238175553</v>
          </cell>
        </row>
        <row r="63">
          <cell r="A63" t="str">
            <v>2009 capital expenditures</v>
          </cell>
          <cell r="AI63">
            <v>215.03550635982211</v>
          </cell>
          <cell r="AK63">
            <v>215.03550635982211</v>
          </cell>
        </row>
        <row r="64">
          <cell r="A64" t="str">
            <v>2010 capital expenditures</v>
          </cell>
          <cell r="AK64">
            <v>260.03004082658782</v>
          </cell>
        </row>
        <row r="65">
          <cell r="A65" t="str">
            <v>Total depreciation</v>
          </cell>
          <cell r="U65">
            <v>292.10000000000002</v>
          </cell>
          <cell r="W65">
            <v>350.7</v>
          </cell>
          <cell r="Y65">
            <v>374.86666666666667</v>
          </cell>
          <cell r="AA65">
            <v>598</v>
          </cell>
          <cell r="AC65">
            <v>710.93066666666664</v>
          </cell>
          <cell r="AE65">
            <v>912.12770967742756</v>
          </cell>
          <cell r="AG65">
            <v>1130.4118220591831</v>
          </cell>
          <cell r="AI65">
            <v>1345.4473284190053</v>
          </cell>
          <cell r="AK65">
            <v>1605.4773692455931</v>
          </cell>
        </row>
        <row r="66">
          <cell r="A66" t="str">
            <v>Amortization of Existing Intangible Assets</v>
          </cell>
          <cell r="U66">
            <v>155.19999999999999</v>
          </cell>
          <cell r="W66">
            <v>335.8</v>
          </cell>
          <cell r="Y66">
            <v>744.2</v>
          </cell>
          <cell r="AA66">
            <v>243</v>
          </cell>
          <cell r="AC66">
            <v>61.11</v>
          </cell>
          <cell r="AE66">
            <v>218.61</v>
          </cell>
          <cell r="AG66">
            <v>218.61</v>
          </cell>
          <cell r="AI66">
            <v>218.61</v>
          </cell>
          <cell r="AK66">
            <v>218.61</v>
          </cell>
        </row>
        <row r="67">
          <cell r="A67" t="str">
            <v>Total depreciation and amortization</v>
          </cell>
          <cell r="O67" t="e">
            <v>#REF!</v>
          </cell>
          <cell r="Q67">
            <v>211.8</v>
          </cell>
          <cell r="S67">
            <v>265.89999999999998</v>
          </cell>
          <cell r="U67">
            <v>447.3</v>
          </cell>
          <cell r="W67">
            <v>686.5</v>
          </cell>
          <cell r="Y67">
            <v>1119.0666666666666</v>
          </cell>
          <cell r="AA67">
            <v>841</v>
          </cell>
          <cell r="AC67">
            <v>772.04066666666665</v>
          </cell>
          <cell r="AE67">
            <v>1130.7377096774276</v>
          </cell>
          <cell r="AG67">
            <v>1349.0218220591833</v>
          </cell>
          <cell r="AI67">
            <v>1564.0573284190054</v>
          </cell>
          <cell r="AK67">
            <v>1824.087369245593</v>
          </cell>
        </row>
        <row r="68">
          <cell r="A68" t="str">
            <v xml:space="preserve">     Depreciation as % operating expenses</v>
          </cell>
          <cell r="U68">
            <v>9.2422085113115018E-2</v>
          </cell>
          <cell r="W68">
            <v>7.1150334753499675E-2</v>
          </cell>
          <cell r="Y68">
            <v>5.9361309052520454E-2</v>
          </cell>
          <cell r="AA68">
            <v>8.3882732501052035E-2</v>
          </cell>
          <cell r="AC68">
            <v>8.5537167949919501E-2</v>
          </cell>
          <cell r="AE68">
            <v>0.10061487154425977</v>
          </cell>
          <cell r="AG68">
            <v>0.11523349544635061</v>
          </cell>
          <cell r="AI68">
            <v>0.12148241394970602</v>
          </cell>
          <cell r="AK68">
            <v>0.13054283652911558</v>
          </cell>
        </row>
        <row r="69">
          <cell r="A69" t="str">
            <v xml:space="preserve">    Amortization as % of operating expenses</v>
          </cell>
          <cell r="U69">
            <v>4.9106154089542789E-2</v>
          </cell>
          <cell r="W69">
            <v>6.8127409210793258E-2</v>
          </cell>
          <cell r="Y69">
            <v>0.11784639746634996</v>
          </cell>
          <cell r="AA69">
            <v>3.4086127086547902E-2</v>
          </cell>
          <cell r="AC69">
            <v>7.3525824366645889E-3</v>
          </cell>
          <cell r="AE69">
            <v>2.4114405071707857E-2</v>
          </cell>
          <cell r="AG69">
            <v>2.2284970793774853E-2</v>
          </cell>
          <cell r="AI69">
            <v>1.973861774637576E-2</v>
          </cell>
          <cell r="AK69">
            <v>1.7775379485442281E-2</v>
          </cell>
        </row>
        <row r="71">
          <cell r="A71" t="str">
            <v>Working Capital</v>
          </cell>
        </row>
        <row r="72">
          <cell r="A72" t="str">
            <v>Trade receivables</v>
          </cell>
          <cell r="O72">
            <v>412.2</v>
          </cell>
          <cell r="Q72">
            <v>389.2</v>
          </cell>
          <cell r="S72">
            <v>497.2</v>
          </cell>
          <cell r="U72">
            <v>752.4</v>
          </cell>
          <cell r="W72">
            <v>1007.9</v>
          </cell>
          <cell r="Y72">
            <v>1461</v>
          </cell>
          <cell r="AA72">
            <v>1769</v>
          </cell>
          <cell r="AC72">
            <v>1968.4285714285713</v>
          </cell>
          <cell r="AE72">
            <v>2155.6826036867242</v>
          </cell>
          <cell r="AG72">
            <v>2372.6533954538641</v>
          </cell>
          <cell r="AI72">
            <v>2597.047178258721</v>
          </cell>
          <cell r="AK72">
            <v>2826.4134872455193</v>
          </cell>
        </row>
        <row r="73">
          <cell r="A73" t="str">
            <v>% revenue</v>
          </cell>
          <cell r="O73">
            <v>0.12340947875812101</v>
          </cell>
          <cell r="Q73">
            <v>0.10723535570617734</v>
          </cell>
          <cell r="S73">
            <v>0.12381402993251488</v>
          </cell>
          <cell r="U73">
            <v>0.13623030961434004</v>
          </cell>
          <cell r="W73">
            <v>0.12061991383437051</v>
          </cell>
          <cell r="Y73">
            <v>0.13848472497369643</v>
          </cell>
          <cell r="AA73">
            <v>0.14231697506033789</v>
          </cell>
          <cell r="AC73">
            <v>0.14285714285714285</v>
          </cell>
          <cell r="AE73">
            <v>0.14285714285714285</v>
          </cell>
          <cell r="AG73">
            <v>0.14492753623188406</v>
          </cell>
          <cell r="AI73">
            <v>0.14492753623188404</v>
          </cell>
          <cell r="AK73">
            <v>0.14492753623188404</v>
          </cell>
        </row>
        <row r="74">
          <cell r="A74" t="str">
            <v>Days receivables outstanding (CHECK)</v>
          </cell>
          <cell r="O74">
            <v>45.044459746714175</v>
          </cell>
          <cell r="Q74">
            <v>39.140904832754728</v>
          </cell>
          <cell r="S74">
            <v>45.192120925367938</v>
          </cell>
          <cell r="U74">
            <v>49.724063009234122</v>
          </cell>
          <cell r="W74">
            <v>44.026268549545236</v>
          </cell>
          <cell r="Y74">
            <v>50.546924615399199</v>
          </cell>
          <cell r="AA74">
            <v>51.945695897023327</v>
          </cell>
          <cell r="AC74">
            <v>52.142857142857146</v>
          </cell>
          <cell r="AE74">
            <v>52.142857142857146</v>
          </cell>
          <cell r="AG74">
            <v>52.89855072463768</v>
          </cell>
          <cell r="AI74">
            <v>52.89855072463768</v>
          </cell>
          <cell r="AK74">
            <v>52.89855072463768</v>
          </cell>
        </row>
        <row r="75">
          <cell r="A75" t="str">
            <v>Accounts receivable turnover</v>
          </cell>
          <cell r="O75">
            <v>8.1031052886948078</v>
          </cell>
          <cell r="Q75">
            <v>9.3252826310380268</v>
          </cell>
          <cell r="S75">
            <v>8.0766291230892993</v>
          </cell>
          <cell r="U75">
            <v>7.3405103668261553</v>
          </cell>
          <cell r="W75">
            <v>8.2905050104177</v>
          </cell>
          <cell r="Y75">
            <v>7.2210130047912386</v>
          </cell>
          <cell r="AA75">
            <v>7.0265686828716793</v>
          </cell>
          <cell r="AC75">
            <v>7</v>
          </cell>
          <cell r="AE75">
            <v>7</v>
          </cell>
          <cell r="AG75">
            <v>6.9</v>
          </cell>
          <cell r="AI75">
            <v>6.9</v>
          </cell>
          <cell r="AK75">
            <v>6.9</v>
          </cell>
        </row>
        <row r="76">
          <cell r="A76" t="str">
            <v>Inventories</v>
          </cell>
          <cell r="O76">
            <v>184.3</v>
          </cell>
          <cell r="Q76">
            <v>305.2</v>
          </cell>
          <cell r="S76">
            <v>355.6</v>
          </cell>
          <cell r="U76">
            <v>544.9</v>
          </cell>
          <cell r="W76">
            <v>712.6</v>
          </cell>
          <cell r="Y76">
            <v>888</v>
          </cell>
          <cell r="AA76">
            <v>1258</v>
          </cell>
          <cell r="AC76">
            <v>1422.0328124999999</v>
          </cell>
          <cell r="AE76">
            <v>1544.5641329739619</v>
          </cell>
          <cell r="AG76">
            <v>1664.7963868306774</v>
          </cell>
          <cell r="AI76">
            <v>1826.1337440775962</v>
          </cell>
          <cell r="AK76">
            <v>2018.7024615605301</v>
          </cell>
        </row>
        <row r="77">
          <cell r="A77" t="str">
            <v>% revenue</v>
          </cell>
          <cell r="O77">
            <v>5.5177988682973571E-2</v>
          </cell>
          <cell r="Q77">
            <v>8.4091034330743372E-2</v>
          </cell>
          <cell r="S77">
            <v>8.8552431705555698E-2</v>
          </cell>
          <cell r="U77">
            <v>9.8660148470034417E-2</v>
          </cell>
          <cell r="W77">
            <v>8.5280038295835331E-2</v>
          </cell>
          <cell r="Y77">
            <v>8.4171413947051632E-2</v>
          </cell>
          <cell r="AA77">
            <v>0.10120675784392598</v>
          </cell>
          <cell r="AC77">
            <v>0.10320290387546265</v>
          </cell>
          <cell r="AE77">
            <v>0.10235830572595123</v>
          </cell>
          <cell r="AG77">
            <v>0.10168987983386392</v>
          </cell>
          <cell r="AI77">
            <v>0.10190691435052029</v>
          </cell>
          <cell r="AK77">
            <v>0.10351124329806639</v>
          </cell>
        </row>
        <row r="78">
          <cell r="A78" t="str">
            <v>Days inventory outstanding (CHECK)</v>
          </cell>
          <cell r="O78">
            <v>167.29544889331012</v>
          </cell>
          <cell r="Q78">
            <v>272.76689520078355</v>
          </cell>
          <cell r="S78">
            <v>292.98871331828445</v>
          </cell>
          <cell r="U78">
            <v>270.33913279869506</v>
          </cell>
          <cell r="W78">
            <v>194.00238681285896</v>
          </cell>
          <cell r="Y78">
            <v>187.24436741767764</v>
          </cell>
          <cell r="AA78">
            <v>225.63636363636363</v>
          </cell>
          <cell r="AC78">
            <v>228.125</v>
          </cell>
          <cell r="AE78">
            <v>228.125</v>
          </cell>
          <cell r="AG78">
            <v>228.125</v>
          </cell>
          <cell r="AI78">
            <v>228.125</v>
          </cell>
          <cell r="AK78">
            <v>228.125</v>
          </cell>
        </row>
        <row r="79">
          <cell r="A79" t="str">
            <v>Inventory Turnover</v>
          </cell>
          <cell r="O79">
            <v>2.1817688551275096</v>
          </cell>
          <cell r="Q79">
            <v>1.3381389252948885</v>
          </cell>
          <cell r="S79">
            <v>1.2457817772778401</v>
          </cell>
          <cell r="U79">
            <v>1.350155991925124</v>
          </cell>
          <cell r="W79">
            <v>1.8814201515576761</v>
          </cell>
          <cell r="Y79">
            <v>1.9493243243243243</v>
          </cell>
          <cell r="AA79">
            <v>1.6176470588235294</v>
          </cell>
          <cell r="AC79">
            <v>1.6</v>
          </cell>
          <cell r="AE79">
            <v>1.6</v>
          </cell>
          <cell r="AG79">
            <v>1.6</v>
          </cell>
          <cell r="AI79">
            <v>1.6</v>
          </cell>
          <cell r="AK79">
            <v>1.6</v>
          </cell>
        </row>
        <row r="80">
          <cell r="A80" t="str">
            <v>Other current assets</v>
          </cell>
          <cell r="O80">
            <v>135.80000000000001</v>
          </cell>
          <cell r="Q80">
            <v>214.6</v>
          </cell>
          <cell r="S80">
            <v>343.6</v>
          </cell>
          <cell r="U80">
            <v>442.3</v>
          </cell>
          <cell r="W80">
            <v>558.79999999999995</v>
          </cell>
          <cell r="Y80">
            <v>1013</v>
          </cell>
          <cell r="AA80">
            <v>953</v>
          </cell>
          <cell r="AC80">
            <v>964.53000000000009</v>
          </cell>
          <cell r="AE80">
            <v>1207.1822580645655</v>
          </cell>
          <cell r="AG80">
            <v>1473.4177585768496</v>
          </cell>
          <cell r="AI80">
            <v>1612.7662976986658</v>
          </cell>
          <cell r="AK80">
            <v>1755.2027755794675</v>
          </cell>
        </row>
        <row r="81">
          <cell r="A81" t="str">
            <v>% revenue</v>
          </cell>
          <cell r="O81">
            <v>4.0657465345348948E-2</v>
          </cell>
          <cell r="Q81">
            <v>5.9128230561525323E-2</v>
          </cell>
          <cell r="S81">
            <v>8.5564160669372724E-2</v>
          </cell>
          <cell r="U81">
            <v>8.0083288068078962E-2</v>
          </cell>
          <cell r="W81">
            <v>6.6874102441359495E-2</v>
          </cell>
          <cell r="Y81">
            <v>9.6019867486895616E-2</v>
          </cell>
          <cell r="AA81">
            <v>7.6669348350764277E-2</v>
          </cell>
          <cell r="AC81">
            <v>7.0000000000000007E-2</v>
          </cell>
          <cell r="AE81">
            <v>0.08</v>
          </cell>
          <cell r="AG81">
            <v>0.09</v>
          </cell>
          <cell r="AI81">
            <v>0.09</v>
          </cell>
          <cell r="AK81">
            <v>0.09</v>
          </cell>
        </row>
        <row r="82">
          <cell r="A82" t="str">
            <v>% total current assets</v>
          </cell>
          <cell r="O82">
            <v>6.5753159347310311E-2</v>
          </cell>
          <cell r="Q82">
            <v>7.3065268462088467E-2</v>
          </cell>
          <cell r="S82">
            <v>8.9047841185922377E-2</v>
          </cell>
          <cell r="U82">
            <v>6.9071601467947233E-2</v>
          </cell>
          <cell r="W82">
            <v>7.5491070222366313E-2</v>
          </cell>
          <cell r="Y82">
            <v>0.11046892039258452</v>
          </cell>
          <cell r="AA82">
            <v>0.10319436924742827</v>
          </cell>
          <cell r="AC82">
            <v>0.10651579755637791</v>
          </cell>
          <cell r="AE82">
            <v>0.11236917572768854</v>
          </cell>
          <cell r="AG82">
            <v>0.11385141241770379</v>
          </cell>
          <cell r="AI82">
            <v>0.10907195849438796</v>
          </cell>
          <cell r="AK82">
            <v>9.7293373961654786E-2</v>
          </cell>
        </row>
        <row r="83">
          <cell r="A83" t="str">
            <v xml:space="preserve">Accounts payable </v>
          </cell>
          <cell r="O83">
            <v>83.4</v>
          </cell>
          <cell r="Q83">
            <v>143.19999999999999</v>
          </cell>
          <cell r="S83">
            <v>136.69999999999999</v>
          </cell>
          <cell r="U83">
            <v>254.6</v>
          </cell>
          <cell r="W83">
            <v>327.2</v>
          </cell>
          <cell r="Y83">
            <v>507</v>
          </cell>
          <cell r="AA83">
            <v>596</v>
          </cell>
          <cell r="AC83">
            <v>664.90923999999995</v>
          </cell>
          <cell r="AE83">
            <v>725.2428557948823</v>
          </cell>
          <cell r="AG83">
            <v>817.47919566890039</v>
          </cell>
          <cell r="AI83">
            <v>922.93696722228412</v>
          </cell>
          <cell r="AK83">
            <v>1024.8726343603414</v>
          </cell>
        </row>
        <row r="84">
          <cell r="A84" t="str">
            <v>% operating expenses</v>
          </cell>
          <cell r="O84">
            <v>4.5154304277206285E-2</v>
          </cell>
          <cell r="Q84">
            <v>6.86678814615901E-2</v>
          </cell>
          <cell r="S84">
            <v>5.5021131012276105E-2</v>
          </cell>
          <cell r="U84">
            <v>8.0556873912355637E-2</v>
          </cell>
          <cell r="W84">
            <v>6.6382633394197588E-2</v>
          </cell>
          <cell r="Y84">
            <v>8.0285035629453688E-2</v>
          </cell>
          <cell r="AA84">
            <v>8.3602188245195677E-2</v>
          </cell>
          <cell r="AC84">
            <v>0.08</v>
          </cell>
          <cell r="AE84">
            <v>0.08</v>
          </cell>
          <cell r="AG84">
            <v>8.3333333333333343E-2</v>
          </cell>
          <cell r="AI84">
            <v>8.3333333333333343E-2</v>
          </cell>
          <cell r="AK84">
            <v>8.3333333333333329E-2</v>
          </cell>
        </row>
        <row r="85">
          <cell r="A85" t="str">
            <v>Days payable outstanding (CHECK)</v>
          </cell>
          <cell r="O85">
            <v>75.705048495399154</v>
          </cell>
          <cell r="Q85">
            <v>127.98237022526935</v>
          </cell>
          <cell r="S85">
            <v>20.082712819480779</v>
          </cell>
          <cell r="U85">
            <v>29.403258978009809</v>
          </cell>
          <cell r="W85">
            <v>24.229661188882123</v>
          </cell>
          <cell r="Y85">
            <v>29.304038004750595</v>
          </cell>
          <cell r="AA85">
            <v>30.514798709496421</v>
          </cell>
          <cell r="AC85">
            <v>29.2</v>
          </cell>
          <cell r="AE85">
            <v>29.2</v>
          </cell>
          <cell r="AG85">
            <v>30.416666666666668</v>
          </cell>
          <cell r="AI85">
            <v>30.416666666666668</v>
          </cell>
          <cell r="AK85">
            <v>30.416666666666668</v>
          </cell>
        </row>
        <row r="86">
          <cell r="A86" t="str">
            <v>Accounts payable turnover</v>
          </cell>
          <cell r="O86">
            <v>5.3114027134456823</v>
          </cell>
          <cell r="Q86">
            <v>3.1910645136603657</v>
          </cell>
          <cell r="S86">
            <v>18.17483540599854</v>
          </cell>
          <cell r="U86">
            <v>12.413589945011783</v>
          </cell>
          <cell r="W86">
            <v>15.064180929095357</v>
          </cell>
          <cell r="Y86">
            <v>12.455621301775148</v>
          </cell>
          <cell r="AA86">
            <v>11.961409395973154</v>
          </cell>
          <cell r="AC86">
            <v>12.5</v>
          </cell>
          <cell r="AE86">
            <v>12.5</v>
          </cell>
          <cell r="AG86">
            <v>12</v>
          </cell>
          <cell r="AI86">
            <v>12</v>
          </cell>
          <cell r="AK86">
            <v>12</v>
          </cell>
        </row>
        <row r="87">
          <cell r="A87" t="str">
            <v>Accrued liabilities</v>
          </cell>
          <cell r="O87">
            <v>648.20000000000005</v>
          </cell>
          <cell r="Q87">
            <v>619.20000000000005</v>
          </cell>
          <cell r="S87">
            <v>766.3</v>
          </cell>
          <cell r="U87">
            <v>1151.7</v>
          </cell>
          <cell r="W87">
            <v>1919.1</v>
          </cell>
          <cell r="Y87">
            <v>2477</v>
          </cell>
          <cell r="AA87">
            <v>2999</v>
          </cell>
          <cell r="AC87">
            <v>2908.9779249999997</v>
          </cell>
          <cell r="AE87">
            <v>3172.9374941026099</v>
          </cell>
          <cell r="AG87">
            <v>3335.3151183291138</v>
          </cell>
          <cell r="AI87">
            <v>3765.5828262669193</v>
          </cell>
          <cell r="AK87">
            <v>4181.4803481901936</v>
          </cell>
        </row>
        <row r="88">
          <cell r="A88" t="str">
            <v>% operating expenses</v>
          </cell>
          <cell r="O88">
            <v>0.35094748240389823</v>
          </cell>
          <cell r="Q88">
            <v>0.29692145391771363</v>
          </cell>
          <cell r="S88">
            <v>0.30843228013684842</v>
          </cell>
          <cell r="U88">
            <v>0.36440436639772189</v>
          </cell>
          <cell r="W88">
            <v>0.38934875228241012</v>
          </cell>
          <cell r="Y88">
            <v>0.39224069675376089</v>
          </cell>
          <cell r="AA88">
            <v>0.42067611165661384</v>
          </cell>
          <cell r="AC88">
            <v>0.35</v>
          </cell>
          <cell r="AE88">
            <v>0.35</v>
          </cell>
          <cell r="AG88">
            <v>0.34</v>
          </cell>
          <cell r="AI88">
            <v>0.34</v>
          </cell>
          <cell r="AK88">
            <v>0.34</v>
          </cell>
        </row>
        <row r="89">
          <cell r="A89" t="str">
            <v>% total current liabilities</v>
          </cell>
          <cell r="O89">
            <v>0.7799302129707617</v>
          </cell>
          <cell r="Q89">
            <v>0.71824614313884705</v>
          </cell>
          <cell r="S89">
            <v>0.76408415594775148</v>
          </cell>
          <cell r="U89">
            <v>0.75313889615485219</v>
          </cell>
          <cell r="W89">
            <v>0.85433824511418788</v>
          </cell>
          <cell r="Y89">
            <v>0.59586240076978592</v>
          </cell>
          <cell r="AA89">
            <v>0.83421418636995825</v>
          </cell>
          <cell r="AC89">
            <v>0.81395348837209303</v>
          </cell>
          <cell r="AE89">
            <v>0.81395348837209303</v>
          </cell>
          <cell r="AG89">
            <v>0.80314960629921262</v>
          </cell>
          <cell r="AI89">
            <v>0.80314960629921262</v>
          </cell>
          <cell r="AK89">
            <v>0.80314960629921262</v>
          </cell>
        </row>
        <row r="91">
          <cell r="A91" t="str">
            <v>Property and Equipment, Net</v>
          </cell>
        </row>
        <row r="92">
          <cell r="A92" t="str">
            <v>Beginning balance</v>
          </cell>
          <cell r="O92">
            <v>1450.2</v>
          </cell>
          <cell r="Q92">
            <v>1553.6</v>
          </cell>
          <cell r="S92">
            <v>1781.5</v>
          </cell>
          <cell r="U92">
            <v>1946.1</v>
          </cell>
          <cell r="W92">
            <v>2813.5</v>
          </cell>
          <cell r="Y92">
            <v>3799.4</v>
          </cell>
          <cell r="AA92">
            <v>4712</v>
          </cell>
          <cell r="AC92">
            <v>5038</v>
          </cell>
          <cell r="AE92">
            <v>5980.5493333333325</v>
          </cell>
          <cell r="AG92">
            <v>6577.3994462366118</v>
          </cell>
          <cell r="AI92">
            <v>7084.1184670405946</v>
          </cell>
          <cell r="AK92">
            <v>7351.437436320256</v>
          </cell>
        </row>
        <row r="93">
          <cell r="A93" t="str">
            <v>Capital expenditures</v>
          </cell>
          <cell r="O93">
            <v>304.2</v>
          </cell>
          <cell r="Q93">
            <v>437.7</v>
          </cell>
          <cell r="S93">
            <v>441.8</v>
          </cell>
          <cell r="U93">
            <v>658.5</v>
          </cell>
          <cell r="W93">
            <v>1357</v>
          </cell>
          <cell r="Y93">
            <v>1336</v>
          </cell>
          <cell r="AA93">
            <v>867</v>
          </cell>
          <cell r="AC93">
            <v>1653.48</v>
          </cell>
          <cell r="AE93">
            <v>1508.977822580707</v>
          </cell>
          <cell r="AG93">
            <v>1637.1308428631664</v>
          </cell>
          <cell r="AI93">
            <v>1612.7662976986658</v>
          </cell>
          <cell r="AK93">
            <v>1950.2253061994086</v>
          </cell>
        </row>
        <row r="94">
          <cell r="A94" t="str">
            <v>% revenue</v>
          </cell>
          <cell r="O94">
            <v>9.1075117511451753E-2</v>
          </cell>
          <cell r="Q94">
            <v>0.12059844602413623</v>
          </cell>
          <cell r="S94">
            <v>0.11001817864880345</v>
          </cell>
          <cell r="U94">
            <v>0.11922868006518199</v>
          </cell>
          <cell r="W94">
            <v>0.16239827668741025</v>
          </cell>
          <cell r="Y94">
            <v>0.12663627143385245</v>
          </cell>
          <cell r="AA94">
            <v>6.9750603378921958E-2</v>
          </cell>
          <cell r="AC94">
            <v>0.12</v>
          </cell>
          <cell r="AE94">
            <v>0.1</v>
          </cell>
          <cell r="AG94">
            <v>0.1</v>
          </cell>
          <cell r="AI94">
            <v>0.09</v>
          </cell>
          <cell r="AK94">
            <v>0.1</v>
          </cell>
        </row>
        <row r="95">
          <cell r="A95" t="str">
            <v>Depreciation</v>
          </cell>
          <cell r="O95">
            <v>-176.8</v>
          </cell>
          <cell r="Q95">
            <v>-211.8</v>
          </cell>
          <cell r="S95">
            <v>-265.89999999999998</v>
          </cell>
          <cell r="U95">
            <v>-447.3</v>
          </cell>
          <cell r="W95">
            <v>-350.7</v>
          </cell>
          <cell r="Y95">
            <v>-374.86666666666667</v>
          </cell>
          <cell r="AA95">
            <v>-598</v>
          </cell>
          <cell r="AC95">
            <v>-710.93066666666664</v>
          </cell>
          <cell r="AE95">
            <v>-912.12770967742756</v>
          </cell>
          <cell r="AG95">
            <v>-1130.4118220591831</v>
          </cell>
          <cell r="AI95">
            <v>-1345.4473284190053</v>
          </cell>
          <cell r="AK95">
            <v>-1605.4773692455931</v>
          </cell>
        </row>
        <row r="96">
          <cell r="A96" t="str">
            <v>Ending balance</v>
          </cell>
          <cell r="O96">
            <v>1577.6000000000001</v>
          </cell>
          <cell r="Q96">
            <v>1779.5</v>
          </cell>
          <cell r="S96">
            <v>1946.1</v>
          </cell>
          <cell r="U96">
            <v>2813.5</v>
          </cell>
          <cell r="W96">
            <v>3799.4</v>
          </cell>
          <cell r="Y96">
            <v>4712</v>
          </cell>
          <cell r="AA96">
            <v>5038</v>
          </cell>
          <cell r="AC96">
            <v>5980.5493333333325</v>
          </cell>
          <cell r="AE96">
            <v>6577.3994462366118</v>
          </cell>
          <cell r="AG96">
            <v>7084.1184670405946</v>
          </cell>
          <cell r="AI96">
            <v>7351.437436320256</v>
          </cell>
          <cell r="AK96">
            <v>7696.185373274071</v>
          </cell>
        </row>
        <row r="97">
          <cell r="A97" t="str">
            <v>Fixed Asset Turnover (CHECK)</v>
          </cell>
          <cell r="Q97">
            <v>2.1764864621750473</v>
          </cell>
          <cell r="S97">
            <v>2.154576671316665</v>
          </cell>
          <cell r="U97">
            <v>2.3207832590974027</v>
          </cell>
          <cell r="W97">
            <v>2.5271817205764493</v>
          </cell>
          <cell r="Y97">
            <v>2.4790046290856966</v>
          </cell>
          <cell r="AA97">
            <v>2.5497435897435898</v>
          </cell>
          <cell r="AC97">
            <v>2.501055190326325</v>
          </cell>
          <cell r="AE97">
            <v>2.4032234070513274</v>
          </cell>
          <cell r="AG97">
            <v>2.3967041631180521</v>
          </cell>
          <cell r="AI97">
            <v>2.4827066792506649</v>
          </cell>
          <cell r="AK97">
            <v>2.6528489470157131</v>
          </cell>
        </row>
        <row r="99">
          <cell r="A99" t="str">
            <v>Employee Stock Option Analysis</v>
          </cell>
          <cell r="AC99">
            <v>1</v>
          </cell>
          <cell r="AE99">
            <v>2</v>
          </cell>
          <cell r="AG99">
            <v>3</v>
          </cell>
          <cell r="AI99">
            <v>4</v>
          </cell>
          <cell r="AK99">
            <v>5</v>
          </cell>
        </row>
        <row r="100">
          <cell r="O100">
            <v>1999</v>
          </cell>
          <cell r="Q100">
            <v>2000</v>
          </cell>
          <cell r="S100" t="str">
            <v>2001</v>
          </cell>
          <cell r="U100" t="str">
            <v>2002</v>
          </cell>
          <cell r="W100" t="str">
            <v>2003</v>
          </cell>
          <cell r="Y100" t="str">
            <v>2004</v>
          </cell>
          <cell r="AA100" t="str">
            <v>2005</v>
          </cell>
          <cell r="AC100" t="str">
            <v>2006E</v>
          </cell>
          <cell r="AE100" t="str">
            <v>2007E</v>
          </cell>
          <cell r="AG100" t="str">
            <v>2008E</v>
          </cell>
          <cell r="AI100" t="str">
            <v>2009E</v>
          </cell>
          <cell r="AK100" t="str">
            <v>2010E</v>
          </cell>
        </row>
        <row r="101">
          <cell r="A101" t="str">
            <v xml:space="preserve">Stock Price (average) </v>
          </cell>
          <cell r="S101">
            <v>62.31</v>
          </cell>
          <cell r="U101">
            <v>49.42</v>
          </cell>
          <cell r="W101">
            <v>61.4</v>
          </cell>
          <cell r="Y101">
            <v>63</v>
          </cell>
          <cell r="AA101">
            <v>70</v>
          </cell>
          <cell r="AC101">
            <v>75.775000000000006</v>
          </cell>
          <cell r="AE101">
            <v>82.026437500000014</v>
          </cell>
          <cell r="AG101">
            <v>88.793618593750011</v>
          </cell>
          <cell r="AI101">
            <v>96.11909212773439</v>
          </cell>
          <cell r="AK101">
            <v>104.04891722827247</v>
          </cell>
          <cell r="AM101">
            <v>8.2500000000000004E-2</v>
          </cell>
          <cell r="AN101" t="str">
            <v>Cost of Equity</v>
          </cell>
        </row>
        <row r="102">
          <cell r="A102" t="str">
            <v>Option Balance (Beginning Year)</v>
          </cell>
          <cell r="Q102">
            <v>115.8</v>
          </cell>
          <cell r="S102">
            <v>98.7</v>
          </cell>
          <cell r="U102">
            <v>94.399999999999991</v>
          </cell>
          <cell r="W102">
            <v>102.99999999999999</v>
          </cell>
          <cell r="Y102">
            <v>95</v>
          </cell>
          <cell r="AA102">
            <v>89</v>
          </cell>
          <cell r="AC102">
            <v>68</v>
          </cell>
          <cell r="AE102">
            <v>66.98</v>
          </cell>
          <cell r="AG102">
            <v>62.626300000000001</v>
          </cell>
          <cell r="AI102">
            <v>56.989932999999994</v>
          </cell>
          <cell r="AK102">
            <v>50.151141039999999</v>
          </cell>
          <cell r="AL102">
            <v>44.133004115199995</v>
          </cell>
        </row>
        <row r="103">
          <cell r="A103" t="str">
            <v xml:space="preserve"> Average Options In-the-Money</v>
          </cell>
          <cell r="S103">
            <v>53.4</v>
          </cell>
          <cell r="U103">
            <v>62.4</v>
          </cell>
          <cell r="W103">
            <v>53.4</v>
          </cell>
          <cell r="Y103">
            <v>47</v>
          </cell>
          <cell r="AA103">
            <v>34</v>
          </cell>
          <cell r="AC103">
            <v>30.370500000000003</v>
          </cell>
          <cell r="AE103">
            <v>29.161417500000002</v>
          </cell>
          <cell r="AG103">
            <v>26.913652424999999</v>
          </cell>
          <cell r="AI103">
            <v>21.428214808</v>
          </cell>
          <cell r="AK103">
            <v>18.85682903104</v>
          </cell>
          <cell r="AM103">
            <v>58</v>
          </cell>
          <cell r="AN103" t="str">
            <v>Target Price</v>
          </cell>
        </row>
        <row r="104">
          <cell r="A104" t="str">
            <v xml:space="preserve">   % Exercisable</v>
          </cell>
          <cell r="S104">
            <v>0.55308130502330399</v>
          </cell>
          <cell r="U104">
            <v>0.63221884498480252</v>
          </cell>
          <cell r="W104">
            <v>0.53939393939393943</v>
          </cell>
          <cell r="Y104">
            <v>0.51086956521739135</v>
          </cell>
          <cell r="AA104">
            <v>0.43312101910828027</v>
          </cell>
          <cell r="AC104">
            <v>0.45</v>
          </cell>
          <cell r="AE104">
            <v>0.45</v>
          </cell>
          <cell r="AG104">
            <v>0.45</v>
          </cell>
          <cell r="AI104">
            <v>0.4</v>
          </cell>
          <cell r="AK104">
            <v>0.4</v>
          </cell>
        </row>
        <row r="105">
          <cell r="A105" t="str">
            <v>Weighted Average Exercise Price of exercisable</v>
          </cell>
          <cell r="S105">
            <v>20.81</v>
          </cell>
          <cell r="U105">
            <v>27.03</v>
          </cell>
          <cell r="W105">
            <v>34.28</v>
          </cell>
          <cell r="Y105">
            <v>34.28</v>
          </cell>
          <cell r="AA105">
            <v>51.77</v>
          </cell>
          <cell r="AC105">
            <v>47</v>
          </cell>
          <cell r="AE105">
            <v>51</v>
          </cell>
          <cell r="AG105">
            <v>55</v>
          </cell>
          <cell r="AI105">
            <v>63</v>
          </cell>
          <cell r="AK105">
            <v>68</v>
          </cell>
        </row>
        <row r="106">
          <cell r="A106" t="str">
            <v>Options Cancelled</v>
          </cell>
          <cell r="S106">
            <v>2.2999999999999998</v>
          </cell>
          <cell r="U106">
            <v>4.9000000000000004</v>
          </cell>
          <cell r="W106">
            <v>3.8</v>
          </cell>
          <cell r="Y106">
            <v>6</v>
          </cell>
          <cell r="AA106">
            <v>6</v>
          </cell>
          <cell r="AC106">
            <v>4.42</v>
          </cell>
          <cell r="AE106">
            <v>4.3537000000000008</v>
          </cell>
          <cell r="AG106">
            <v>3.7575780000000001</v>
          </cell>
          <cell r="AI106">
            <v>3.4193959799999996</v>
          </cell>
          <cell r="AK106">
            <v>3.0090684623999997</v>
          </cell>
        </row>
        <row r="107">
          <cell r="A107" t="str">
            <v xml:space="preserve">   % Cancelled </v>
          </cell>
          <cell r="S107">
            <v>2.3302938196555215E-2</v>
          </cell>
          <cell r="U107">
            <v>5.1906779661016957E-2</v>
          </cell>
          <cell r="W107">
            <v>3.6893203883495151E-2</v>
          </cell>
          <cell r="Y107">
            <v>6.3157894736842107E-2</v>
          </cell>
          <cell r="AA107">
            <v>6.741573033707865E-2</v>
          </cell>
          <cell r="AC107">
            <v>6.5000000000000002E-2</v>
          </cell>
          <cell r="AE107">
            <v>6.5000000000000002E-2</v>
          </cell>
          <cell r="AG107">
            <v>0.06</v>
          </cell>
          <cell r="AI107">
            <v>0.06</v>
          </cell>
          <cell r="AK107">
            <v>0.06</v>
          </cell>
        </row>
        <row r="108">
          <cell r="A108" t="str">
            <v>Options Exercised</v>
          </cell>
          <cell r="Q108">
            <v>28.2</v>
          </cell>
          <cell r="S108">
            <v>20.6</v>
          </cell>
          <cell r="U108">
            <v>26.2</v>
          </cell>
          <cell r="W108">
            <v>23</v>
          </cell>
          <cell r="Y108">
            <v>20</v>
          </cell>
          <cell r="AA108">
            <v>25</v>
          </cell>
          <cell r="AC108">
            <v>10.199999999999999</v>
          </cell>
          <cell r="AE108">
            <v>13.396000000000001</v>
          </cell>
          <cell r="AG108">
            <v>15.656575</v>
          </cell>
          <cell r="AI108">
            <v>15.957181239999999</v>
          </cell>
          <cell r="AK108">
            <v>14.042319491200001</v>
          </cell>
        </row>
        <row r="109">
          <cell r="A109" t="str">
            <v xml:space="preserve">   % Exercised</v>
          </cell>
          <cell r="Q109">
            <v>0.24352331606217617</v>
          </cell>
          <cell r="S109">
            <v>0.2087132725430598</v>
          </cell>
          <cell r="U109">
            <v>0.27754237288135597</v>
          </cell>
          <cell r="W109">
            <v>0.22330097087378645</v>
          </cell>
          <cell r="Y109">
            <v>0.21052631578947367</v>
          </cell>
          <cell r="AA109">
            <v>0.2808988764044944</v>
          </cell>
          <cell r="AC109">
            <v>0.15</v>
          </cell>
          <cell r="AE109">
            <v>0.2</v>
          </cell>
          <cell r="AG109">
            <v>0.25</v>
          </cell>
          <cell r="AI109">
            <v>0.28000000000000003</v>
          </cell>
          <cell r="AK109">
            <v>0.28000000000000003</v>
          </cell>
        </row>
        <row r="110">
          <cell r="A110" t="str">
            <v>Weighted Average Exercise Price</v>
          </cell>
          <cell r="S110">
            <v>13.12</v>
          </cell>
          <cell r="U110">
            <v>15.9</v>
          </cell>
          <cell r="W110">
            <v>20.98</v>
          </cell>
          <cell r="Y110">
            <v>20.420000000000002</v>
          </cell>
          <cell r="AA110">
            <v>39.729999999999997</v>
          </cell>
          <cell r="AC110">
            <v>28</v>
          </cell>
          <cell r="AE110">
            <v>30.520000000000003</v>
          </cell>
          <cell r="AG110">
            <v>33.266800000000003</v>
          </cell>
          <cell r="AI110">
            <v>36.260812000000008</v>
          </cell>
          <cell r="AK110">
            <v>39.524285080000013</v>
          </cell>
          <cell r="AM110">
            <v>0.09</v>
          </cell>
        </row>
        <row r="111">
          <cell r="A111" t="str">
            <v xml:space="preserve">   Statuatory  Tax rate</v>
          </cell>
          <cell r="S111">
            <v>0.35</v>
          </cell>
          <cell r="U111">
            <v>0.35</v>
          </cell>
          <cell r="W111">
            <v>0.35</v>
          </cell>
          <cell r="Y111">
            <v>0.35</v>
          </cell>
          <cell r="AA111">
            <v>0.35</v>
          </cell>
          <cell r="AC111">
            <v>0.35</v>
          </cell>
          <cell r="AE111">
            <v>0.35</v>
          </cell>
          <cell r="AG111">
            <v>0.35</v>
          </cell>
          <cell r="AI111">
            <v>0.35</v>
          </cell>
          <cell r="AK111">
            <v>0.35</v>
          </cell>
        </row>
        <row r="112">
          <cell r="A112" t="str">
            <v>Proceeds from option</v>
          </cell>
          <cell r="Q112">
            <v>333.7</v>
          </cell>
          <cell r="S112">
            <v>282.3</v>
          </cell>
          <cell r="U112">
            <v>435.4</v>
          </cell>
          <cell r="W112">
            <v>537.70000000000005</v>
          </cell>
          <cell r="Y112">
            <v>513</v>
          </cell>
          <cell r="AA112">
            <v>1207</v>
          </cell>
          <cell r="AC112">
            <v>285.59999999999997</v>
          </cell>
          <cell r="AE112">
            <v>408.84592000000009</v>
          </cell>
          <cell r="AG112">
            <v>520.84414921000007</v>
          </cell>
          <cell r="AI112">
            <v>578.62034899356695</v>
          </cell>
          <cell r="AK112">
            <v>555.01263875462951</v>
          </cell>
        </row>
        <row r="113">
          <cell r="A113" t="str">
            <v>Tax Benefit from Options</v>
          </cell>
          <cell r="Q113">
            <v>376.6</v>
          </cell>
          <cell r="S113">
            <v>244.5</v>
          </cell>
          <cell r="U113">
            <v>251.6</v>
          </cell>
          <cell r="W113">
            <v>113.3</v>
          </cell>
          <cell r="Y113">
            <v>167</v>
          </cell>
          <cell r="AA113">
            <v>276</v>
          </cell>
          <cell r="AC113">
            <v>170.55674999999999</v>
          </cell>
          <cell r="AE113">
            <v>241.49308286250007</v>
          </cell>
          <cell r="AG113">
            <v>304.2759299385545</v>
          </cell>
          <cell r="AI113">
            <v>334.30929864953174</v>
          </cell>
          <cell r="AK113">
            <v>317.12642488736873</v>
          </cell>
        </row>
        <row r="114">
          <cell r="A114" t="str">
            <v>Options Granted</v>
          </cell>
          <cell r="Q114">
            <v>13.1</v>
          </cell>
          <cell r="S114">
            <v>18.600000000000001</v>
          </cell>
          <cell r="U114">
            <v>39.700000000000003</v>
          </cell>
          <cell r="W114">
            <v>18.5</v>
          </cell>
          <cell r="Y114">
            <v>16</v>
          </cell>
          <cell r="AA114">
            <v>10</v>
          </cell>
          <cell r="AC114">
            <v>13.600000000000001</v>
          </cell>
          <cell r="AE114">
            <v>13.396000000000001</v>
          </cell>
          <cell r="AG114">
            <v>13.777786000000001</v>
          </cell>
          <cell r="AI114">
            <v>12.537785259999998</v>
          </cell>
          <cell r="AK114">
            <v>11.033251028800001</v>
          </cell>
        </row>
        <row r="115">
          <cell r="A115" t="str">
            <v xml:space="preserve">     % of Outstanding Options</v>
          </cell>
          <cell r="Q115">
            <v>0.11312607944732297</v>
          </cell>
          <cell r="S115">
            <v>0.18844984802431611</v>
          </cell>
          <cell r="U115">
            <v>0.42055084745762716</v>
          </cell>
          <cell r="W115">
            <v>0.17961165048543692</v>
          </cell>
          <cell r="Y115">
            <v>0.16842105263157894</v>
          </cell>
          <cell r="AA115">
            <v>0.11235955056179775</v>
          </cell>
          <cell r="AC115">
            <v>0.2</v>
          </cell>
          <cell r="AE115">
            <v>0.2</v>
          </cell>
          <cell r="AG115">
            <v>0.22</v>
          </cell>
          <cell r="AI115">
            <v>0.22</v>
          </cell>
          <cell r="AK115">
            <v>0.22</v>
          </cell>
        </row>
        <row r="116">
          <cell r="A116" t="str">
            <v>Shares Issued</v>
          </cell>
          <cell r="S116">
            <v>0</v>
          </cell>
          <cell r="U116">
            <v>0</v>
          </cell>
          <cell r="W116">
            <v>0</v>
          </cell>
          <cell r="Y116">
            <v>22.6</v>
          </cell>
          <cell r="AA116">
            <v>0</v>
          </cell>
          <cell r="AC116">
            <v>0</v>
          </cell>
          <cell r="AE116">
            <v>0</v>
          </cell>
          <cell r="AG116">
            <v>0</v>
          </cell>
          <cell r="AI116">
            <v>0</v>
          </cell>
          <cell r="AK116">
            <v>0</v>
          </cell>
        </row>
        <row r="117">
          <cell r="A117" t="str">
            <v>Proceeds from share issuance</v>
          </cell>
          <cell r="S117">
            <v>0</v>
          </cell>
          <cell r="U117">
            <v>0</v>
          </cell>
          <cell r="W117">
            <v>0</v>
          </cell>
          <cell r="Y117">
            <v>0</v>
          </cell>
          <cell r="AA117">
            <v>0</v>
          </cell>
          <cell r="AC117">
            <v>0</v>
          </cell>
          <cell r="AE117">
            <v>0</v>
          </cell>
          <cell r="AG117">
            <v>0</v>
          </cell>
          <cell r="AI117">
            <v>0</v>
          </cell>
          <cell r="AK117">
            <v>0</v>
          </cell>
        </row>
        <row r="118">
          <cell r="A118" t="str">
            <v>Shares Repurchased (mm)</v>
          </cell>
          <cell r="S118">
            <v>12.7</v>
          </cell>
          <cell r="U118">
            <v>28</v>
          </cell>
          <cell r="W118">
            <v>29.7</v>
          </cell>
          <cell r="Y118">
            <v>69</v>
          </cell>
          <cell r="AA118">
            <v>63</v>
          </cell>
          <cell r="AC118">
            <v>100</v>
          </cell>
          <cell r="AE118">
            <v>40</v>
          </cell>
          <cell r="AG118">
            <v>40</v>
          </cell>
          <cell r="AI118">
            <v>40</v>
          </cell>
          <cell r="AK118">
            <v>35</v>
          </cell>
        </row>
        <row r="119">
          <cell r="A119" t="str">
            <v>Share Repurchase Cost</v>
          </cell>
          <cell r="Q119">
            <v>799.9</v>
          </cell>
          <cell r="S119">
            <v>737.5</v>
          </cell>
          <cell r="U119">
            <v>1420.4</v>
          </cell>
          <cell r="W119">
            <v>1801</v>
          </cell>
          <cell r="Y119">
            <v>4072</v>
          </cell>
          <cell r="AA119">
            <v>4430</v>
          </cell>
          <cell r="AC119">
            <v>7577.5000000000009</v>
          </cell>
          <cell r="AE119">
            <v>3281.0575000000008</v>
          </cell>
          <cell r="AG119">
            <v>3551.7447437500005</v>
          </cell>
          <cell r="AI119">
            <v>3844.7636851093757</v>
          </cell>
          <cell r="AK119">
            <v>3641.7121029895366</v>
          </cell>
        </row>
        <row r="120">
          <cell r="A120" t="str">
            <v>Share Issuance from Acquisitions</v>
          </cell>
          <cell r="Q120">
            <v>164.7</v>
          </cell>
          <cell r="U120">
            <v>15183.2</v>
          </cell>
          <cell r="Y120">
            <v>1403</v>
          </cell>
        </row>
        <row r="121">
          <cell r="A121" t="str">
            <v>Stock options expense</v>
          </cell>
          <cell r="AC121">
            <v>294.91779250000002</v>
          </cell>
          <cell r="AE121">
            <v>271.96607092308085</v>
          </cell>
          <cell r="AG121">
            <v>294.29251044080411</v>
          </cell>
          <cell r="AI121">
            <v>332.25730820002224</v>
          </cell>
          <cell r="AK121">
            <v>368.95414836972293</v>
          </cell>
        </row>
        <row r="122">
          <cell r="A122" t="str">
            <v>Total Change in APIC</v>
          </cell>
          <cell r="K122">
            <v>169.19999999999982</v>
          </cell>
          <cell r="M122">
            <v>475.80000000000018</v>
          </cell>
          <cell r="O122">
            <v>0</v>
          </cell>
          <cell r="Q122">
            <v>75.100000000000023</v>
          </cell>
          <cell r="S122">
            <v>-210.7</v>
          </cell>
          <cell r="U122">
            <v>14449.800000000001</v>
          </cell>
          <cell r="W122">
            <v>-1150</v>
          </cell>
          <cell r="Y122">
            <v>-1989</v>
          </cell>
          <cell r="AA122">
            <v>-2947</v>
          </cell>
          <cell r="AC122">
            <v>-6826.4254575000004</v>
          </cell>
          <cell r="AE122">
            <v>-2358.7524262144198</v>
          </cell>
          <cell r="AG122">
            <v>-2432.3321541606419</v>
          </cell>
          <cell r="AI122">
            <v>-2599.5767292662549</v>
          </cell>
          <cell r="AK122">
            <v>-2400.6188909778157</v>
          </cell>
          <cell r="AO122" t="str">
            <v>mstag:netIssuanceRepurchaseOfCommonStock</v>
          </cell>
          <cell r="AP122">
            <v>6</v>
          </cell>
          <cell r="AQ122" t="str">
            <v>ISO4217:USD</v>
          </cell>
          <cell r="AR122" t="b">
            <v>0</v>
          </cell>
          <cell r="AS122" t="b">
            <v>0</v>
          </cell>
        </row>
        <row r="123">
          <cell r="A123" t="str">
            <v>Beginning Period Shares</v>
          </cell>
          <cell r="Q123">
            <v>1021.8</v>
          </cell>
          <cell r="S123">
            <v>1037.4000000000001</v>
          </cell>
          <cell r="U123">
            <v>1045.8</v>
          </cell>
          <cell r="W123">
            <v>1289.0999999999999</v>
          </cell>
          <cell r="Y123">
            <v>1283.7</v>
          </cell>
          <cell r="AA123">
            <v>1260</v>
          </cell>
          <cell r="AC123">
            <v>1224</v>
          </cell>
          <cell r="AE123">
            <v>1134.2</v>
          </cell>
          <cell r="AG123">
            <v>1107.596</v>
          </cell>
          <cell r="AI123">
            <v>1083.252575</v>
          </cell>
          <cell r="AK123">
            <v>1059.2097562399999</v>
          </cell>
        </row>
        <row r="124">
          <cell r="A124" t="str">
            <v>End of Period Shares</v>
          </cell>
          <cell r="O124">
            <v>1021.8</v>
          </cell>
          <cell r="Q124">
            <v>1037.4000000000001</v>
          </cell>
          <cell r="S124">
            <v>1045.8</v>
          </cell>
          <cell r="U124">
            <v>1289.0999999999999</v>
          </cell>
          <cell r="W124">
            <v>1283.7</v>
          </cell>
          <cell r="Y124">
            <v>1260</v>
          </cell>
          <cell r="AA124">
            <v>1224</v>
          </cell>
          <cell r="AC124">
            <v>1134.2</v>
          </cell>
          <cell r="AE124">
            <v>1107.596</v>
          </cell>
          <cell r="AG124">
            <v>1083.252575</v>
          </cell>
          <cell r="AI124">
            <v>1059.2097562399999</v>
          </cell>
          <cell r="AK124">
            <v>1038.2520757312</v>
          </cell>
          <cell r="AO124" t="str">
            <v>mstag:periodEndBasicSharesOutstanding</v>
          </cell>
          <cell r="AP124">
            <v>6</v>
          </cell>
          <cell r="AQ124" t="str">
            <v>ms_eqr_gcim_Decimal:ms_eqr_gcim_decimal</v>
          </cell>
          <cell r="AR124" t="b">
            <v>0</v>
          </cell>
          <cell r="AS124" t="b">
            <v>0</v>
          </cell>
        </row>
        <row r="125">
          <cell r="A125" t="str">
            <v xml:space="preserve">Average Shares Outstanding-basic </v>
          </cell>
          <cell r="O125">
            <v>1021.7</v>
          </cell>
          <cell r="Q125">
            <v>1029.5999999999999</v>
          </cell>
          <cell r="S125">
            <v>1045.5</v>
          </cell>
          <cell r="U125">
            <v>1153.5</v>
          </cell>
          <cell r="W125">
            <v>1288.4000000000001</v>
          </cell>
          <cell r="Y125">
            <v>1270.6500000000001</v>
          </cell>
          <cell r="AA125">
            <v>1236</v>
          </cell>
          <cell r="AC125">
            <v>1179.0999999999999</v>
          </cell>
          <cell r="AE125">
            <v>1120.8980000000001</v>
          </cell>
          <cell r="AG125">
            <v>1095.4242875</v>
          </cell>
          <cell r="AI125">
            <v>1071.23116562</v>
          </cell>
          <cell r="AK125">
            <v>1048.7309159855999</v>
          </cell>
        </row>
        <row r="126">
          <cell r="A126" t="str">
            <v>Average Shares Outstanding-diluted</v>
          </cell>
          <cell r="O126">
            <v>1078.3</v>
          </cell>
          <cell r="Q126">
            <v>1084.7</v>
          </cell>
          <cell r="S126">
            <v>1084.2</v>
          </cell>
          <cell r="U126">
            <v>1153.5</v>
          </cell>
          <cell r="W126">
            <v>1346</v>
          </cell>
          <cell r="Y126">
            <v>1285.05</v>
          </cell>
          <cell r="AA126">
            <v>1258</v>
          </cell>
          <cell r="AC126">
            <v>1190.6329744308807</v>
          </cell>
          <cell r="AE126">
            <v>1131.9282839554037</v>
          </cell>
          <cell r="AG126">
            <v>1105.6672499945955</v>
          </cell>
          <cell r="AI126">
            <v>1078.6145376915538</v>
          </cell>
          <cell r="AK126">
            <v>1055.2640764166335</v>
          </cell>
        </row>
        <row r="130">
          <cell r="B130" t="str">
            <v>Amgen</v>
          </cell>
          <cell r="S130" t="str">
            <v>2001A</v>
          </cell>
          <cell r="U130" t="str">
            <v>2002A</v>
          </cell>
          <cell r="W130" t="str">
            <v>2003A</v>
          </cell>
          <cell r="Y130" t="str">
            <v>2004A</v>
          </cell>
          <cell r="AA130" t="str">
            <v>2005A</v>
          </cell>
          <cell r="AC130" t="str">
            <v>2006E</v>
          </cell>
          <cell r="AE130" t="str">
            <v>2007E</v>
          </cell>
          <cell r="AG130" t="str">
            <v>2008E</v>
          </cell>
          <cell r="AI130" t="str">
            <v>2009E</v>
          </cell>
          <cell r="AK130" t="str">
            <v>2010E</v>
          </cell>
        </row>
        <row r="131">
          <cell r="B131" t="str">
            <v>Current diluted EPS</v>
          </cell>
          <cell r="S131">
            <v>1.0327430363401584</v>
          </cell>
          <cell r="U131">
            <v>1.5215431296055475</v>
          </cell>
          <cell r="W131">
            <v>1.9281575037147096</v>
          </cell>
          <cell r="Y131">
            <v>2.36950115525927</v>
          </cell>
          <cell r="AA131">
            <v>3.2027027027027026</v>
          </cell>
          <cell r="AC131">
            <v>3.6698689952539394</v>
          </cell>
          <cell r="AE131">
            <v>4.1013211403748855</v>
          </cell>
          <cell r="AG131">
            <v>4.6347096976234399</v>
          </cell>
          <cell r="AI131">
            <v>5.0526778224740756</v>
          </cell>
          <cell r="AK131">
            <v>5.4875839896915242</v>
          </cell>
        </row>
        <row r="132">
          <cell r="B132" t="str">
            <v>Option expense</v>
          </cell>
          <cell r="S132">
            <v>189.1</v>
          </cell>
          <cell r="U132">
            <v>189.8</v>
          </cell>
          <cell r="W132">
            <v>198</v>
          </cell>
          <cell r="Y132">
            <v>200</v>
          </cell>
          <cell r="AA132">
            <v>200</v>
          </cell>
          <cell r="AC132">
            <v>200</v>
          </cell>
          <cell r="AE132">
            <v>200</v>
          </cell>
          <cell r="AG132">
            <v>200</v>
          </cell>
          <cell r="AI132">
            <v>200</v>
          </cell>
          <cell r="AK132">
            <v>200</v>
          </cell>
        </row>
        <row r="133">
          <cell r="B133" t="str">
            <v>Diluted EPS, pro forma</v>
          </cell>
          <cell r="S133">
            <v>0.85832872163807394</v>
          </cell>
          <cell r="U133">
            <v>1.3570004334633714</v>
          </cell>
          <cell r="W133">
            <v>1.7810549777117379</v>
          </cell>
          <cell r="Y133">
            <v>2.2179917427370168</v>
          </cell>
          <cell r="AA133">
            <v>3.0437201907790143</v>
          </cell>
          <cell r="AC133">
            <v>3.4994205698784278</v>
          </cell>
          <cell r="AE133">
            <v>3.925871506555795</v>
          </cell>
          <cell r="AG133">
            <v>4.4551228416743482</v>
          </cell>
          <cell r="AI133">
            <v>4.8686199131947765</v>
          </cell>
          <cell r="AK133">
            <v>5.2994839640854385</v>
          </cell>
        </row>
        <row r="134">
          <cell r="B134" t="str">
            <v>difference</v>
          </cell>
          <cell r="S134">
            <v>-0.16888452263999287</v>
          </cell>
          <cell r="U134">
            <v>-0.10814198621161197</v>
          </cell>
          <cell r="W134">
            <v>-7.6291758178245295E-2</v>
          </cell>
          <cell r="Y134">
            <v>-6.3941480756811497E-2</v>
          </cell>
          <cell r="AA134">
            <v>-4.9640109208240246E-2</v>
          </cell>
          <cell r="AC134">
            <v>-4.6445370555718513E-2</v>
          </cell>
          <cell r="AE134">
            <v>-4.2778809026169928E-2</v>
          </cell>
          <cell r="AG134">
            <v>-3.8748242644232711E-2</v>
          </cell>
          <cell r="AI134">
            <v>-3.6427794477735809E-2</v>
          </cell>
          <cell r="AK134">
            <v>-3.4277384357019991E-2</v>
          </cell>
        </row>
        <row r="136">
          <cell r="B136" t="str">
            <v>diluted shares</v>
          </cell>
          <cell r="S136">
            <v>1084.2</v>
          </cell>
          <cell r="U136">
            <v>1153.5</v>
          </cell>
          <cell r="W136">
            <v>1346</v>
          </cell>
          <cell r="Y136">
            <v>1320.05</v>
          </cell>
          <cell r="AA136">
            <v>1258</v>
          </cell>
          <cell r="AC136">
            <v>1173.37546275</v>
          </cell>
          <cell r="AE136">
            <v>1139.9282839554037</v>
          </cell>
          <cell r="AG136">
            <v>1113.6672499945955</v>
          </cell>
          <cell r="AI136">
            <v>1086.6145376915538</v>
          </cell>
          <cell r="AK136">
            <v>1063.2640764166335</v>
          </cell>
        </row>
      </sheetData>
      <sheetData sheetId="8" refreshError="1"/>
      <sheetData sheetId="9" refreshError="1">
        <row r="1">
          <cell r="B1" t="str">
            <v>Amgen Cash Flow Statements</v>
          </cell>
          <cell r="AN1" t="str">
            <v>ElementName</v>
          </cell>
          <cell r="AO1" t="str">
            <v>ScaleOverride</v>
          </cell>
          <cell r="AP1" t="str">
            <v>UnitOverride</v>
          </cell>
          <cell r="AQ1" t="str">
            <v>ReverseSign</v>
          </cell>
          <cell r="AR1" t="str">
            <v>IsDrivingAssumption</v>
          </cell>
          <cell r="AS1" t="str">
            <v>SegmentID</v>
          </cell>
        </row>
        <row r="2">
          <cell r="B2" t="str">
            <v>(Dollars in thousands)</v>
          </cell>
        </row>
        <row r="4">
          <cell r="C4" t="str">
            <v>1993A</v>
          </cell>
          <cell r="E4" t="str">
            <v>1994A</v>
          </cell>
          <cell r="G4" t="str">
            <v>1995A</v>
          </cell>
          <cell r="I4" t="str">
            <v>1996A</v>
          </cell>
          <cell r="K4" t="str">
            <v>1997A</v>
          </cell>
          <cell r="M4" t="str">
            <v>1998A</v>
          </cell>
          <cell r="O4" t="str">
            <v>1999A</v>
          </cell>
          <cell r="Q4" t="str">
            <v>2000A</v>
          </cell>
          <cell r="S4" t="str">
            <v>2001A</v>
          </cell>
          <cell r="U4" t="str">
            <v>2002A</v>
          </cell>
          <cell r="W4" t="str">
            <v>2003A</v>
          </cell>
          <cell r="Y4" t="str">
            <v>2004A</v>
          </cell>
          <cell r="AA4" t="str">
            <v>2005A</v>
          </cell>
          <cell r="AC4" t="str">
            <v>2006E</v>
          </cell>
          <cell r="AE4" t="str">
            <v>2007E</v>
          </cell>
          <cell r="AG4" t="str">
            <v>2008E</v>
          </cell>
          <cell r="AI4" t="str">
            <v>2009E</v>
          </cell>
          <cell r="AK4" t="str">
            <v>2010E</v>
          </cell>
        </row>
        <row r="5">
          <cell r="B5" t="str">
            <v>CASH FLOWS FROM OPERATING ACTIVITIES</v>
          </cell>
        </row>
        <row r="6">
          <cell r="B6" t="str">
            <v>Net Income (Loss)</v>
          </cell>
          <cell r="C6">
            <v>383.3</v>
          </cell>
          <cell r="E6">
            <v>319.7</v>
          </cell>
          <cell r="G6">
            <v>537.70000000000005</v>
          </cell>
          <cell r="I6">
            <v>679.8</v>
          </cell>
          <cell r="K6">
            <v>644.29999999999995</v>
          </cell>
          <cell r="M6">
            <v>863.2</v>
          </cell>
          <cell r="O6">
            <v>1096.4000000000001</v>
          </cell>
          <cell r="Q6">
            <v>1138.5</v>
          </cell>
          <cell r="S6">
            <v>1119.7</v>
          </cell>
          <cell r="U6">
            <v>-1391.9</v>
          </cell>
          <cell r="W6">
            <v>2259.4999999999991</v>
          </cell>
          <cell r="Y6">
            <v>2363</v>
          </cell>
          <cell r="AA6">
            <v>3674</v>
          </cell>
          <cell r="AC6">
            <v>3329.4653900000003</v>
          </cell>
          <cell r="AE6">
            <v>4180.6358985744819</v>
          </cell>
          <cell r="AG6">
            <v>4644.6218930347759</v>
          </cell>
          <cell r="AI6">
            <v>4935.4458679720119</v>
          </cell>
          <cell r="AK6">
            <v>5243.1867741883407</v>
          </cell>
          <cell r="AN6" t="str">
            <v>mstag:netIncomeReported</v>
          </cell>
          <cell r="AO6">
            <v>6</v>
          </cell>
          <cell r="AP6" t="str">
            <v>ISO4217:USD</v>
          </cell>
          <cell r="AQ6" t="b">
            <v>0</v>
          </cell>
          <cell r="AR6" t="b">
            <v>0</v>
          </cell>
        </row>
        <row r="7">
          <cell r="B7" t="str">
            <v>Write-Off Of In-Process Research and Development</v>
          </cell>
          <cell r="C7">
            <v>0</v>
          </cell>
          <cell r="E7">
            <v>116.4</v>
          </cell>
          <cell r="G7">
            <v>0</v>
          </cell>
          <cell r="I7">
            <v>0</v>
          </cell>
          <cell r="K7">
            <v>0</v>
          </cell>
          <cell r="M7">
            <v>0</v>
          </cell>
          <cell r="O7">
            <v>0</v>
          </cell>
          <cell r="Q7">
            <v>30.1</v>
          </cell>
          <cell r="S7">
            <v>0</v>
          </cell>
          <cell r="U7">
            <v>2991.8</v>
          </cell>
          <cell r="W7">
            <v>0</v>
          </cell>
          <cell r="Y7">
            <v>554</v>
          </cell>
          <cell r="AA7">
            <v>0</v>
          </cell>
          <cell r="AC7">
            <v>0</v>
          </cell>
          <cell r="AE7">
            <v>0</v>
          </cell>
          <cell r="AG7">
            <v>0</v>
          </cell>
          <cell r="AI7">
            <v>0</v>
          </cell>
          <cell r="AK7">
            <v>0</v>
          </cell>
          <cell r="AN7" t="str">
            <v>mstag:acquiredInProcessRAndD</v>
          </cell>
          <cell r="AO7">
            <v>6</v>
          </cell>
          <cell r="AP7" t="str">
            <v>ISO4217:USD</v>
          </cell>
          <cell r="AQ7" t="b">
            <v>0</v>
          </cell>
          <cell r="AR7" t="b">
            <v>0</v>
          </cell>
        </row>
        <row r="8">
          <cell r="B8" t="str">
            <v>Depreciation &amp; Amort.</v>
          </cell>
          <cell r="C8">
            <v>50.7</v>
          </cell>
          <cell r="E8">
            <v>74.5</v>
          </cell>
          <cell r="G8">
            <v>84.2</v>
          </cell>
          <cell r="I8">
            <v>100.3</v>
          </cell>
          <cell r="K8">
            <v>117.1</v>
          </cell>
          <cell r="M8">
            <v>143.80000000000001</v>
          </cell>
          <cell r="O8">
            <v>176.8</v>
          </cell>
          <cell r="Q8">
            <v>211.8</v>
          </cell>
          <cell r="S8">
            <v>265.89999999999998</v>
          </cell>
          <cell r="U8">
            <v>447.3</v>
          </cell>
          <cell r="W8">
            <v>686.5</v>
          </cell>
          <cell r="Y8">
            <v>734</v>
          </cell>
          <cell r="AA8">
            <v>841</v>
          </cell>
          <cell r="AC8">
            <v>772.04066666666665</v>
          </cell>
          <cell r="AE8">
            <v>1130.7377096774276</v>
          </cell>
          <cell r="AG8">
            <v>1349.0218220591833</v>
          </cell>
          <cell r="AI8">
            <v>1564.0573284190054</v>
          </cell>
          <cell r="AK8">
            <v>1824.087369245593</v>
          </cell>
        </row>
        <row r="9">
          <cell r="B9" t="str">
            <v xml:space="preserve">     Depreciation</v>
          </cell>
          <cell r="C9">
            <v>50.7</v>
          </cell>
          <cell r="E9">
            <v>74.5</v>
          </cell>
          <cell r="G9">
            <v>84.2</v>
          </cell>
          <cell r="I9">
            <v>100.3</v>
          </cell>
          <cell r="K9">
            <v>117.1</v>
          </cell>
          <cell r="M9">
            <v>143.80000000000001</v>
          </cell>
          <cell r="O9">
            <v>176.8</v>
          </cell>
          <cell r="Q9">
            <v>211.8</v>
          </cell>
          <cell r="S9">
            <v>265.89999999999998</v>
          </cell>
          <cell r="U9">
            <v>292.10000000000002</v>
          </cell>
          <cell r="W9">
            <v>350.7</v>
          </cell>
          <cell r="Y9">
            <v>374.86666666666667</v>
          </cell>
          <cell r="AA9">
            <v>598</v>
          </cell>
          <cell r="AC9">
            <v>710.93066666666664</v>
          </cell>
          <cell r="AE9">
            <v>912.12770967742756</v>
          </cell>
          <cell r="AG9">
            <v>1130.4118220591831</v>
          </cell>
          <cell r="AI9">
            <v>1345.4473284190053</v>
          </cell>
          <cell r="AK9">
            <v>1605.4773692455931</v>
          </cell>
          <cell r="AN9" t="str">
            <v>mstag:depreciation</v>
          </cell>
          <cell r="AO9">
            <v>6</v>
          </cell>
          <cell r="AP9" t="str">
            <v>ISO4217:USD</v>
          </cell>
          <cell r="AQ9" t="b">
            <v>0</v>
          </cell>
          <cell r="AR9" t="b">
            <v>0</v>
          </cell>
        </row>
        <row r="10">
          <cell r="B10" t="str">
            <v xml:space="preserve">     Amortization</v>
          </cell>
          <cell r="U10">
            <v>155.19999999999999</v>
          </cell>
          <cell r="W10">
            <v>335.8</v>
          </cell>
          <cell r="Y10">
            <v>359.13333333333333</v>
          </cell>
          <cell r="AA10">
            <v>243</v>
          </cell>
          <cell r="AC10">
            <v>61.11</v>
          </cell>
          <cell r="AE10">
            <v>218.61</v>
          </cell>
          <cell r="AG10">
            <v>218.61</v>
          </cell>
          <cell r="AI10">
            <v>218.61</v>
          </cell>
          <cell r="AK10">
            <v>218.61</v>
          </cell>
          <cell r="AN10" t="str">
            <v>mstag:amortizationOfOtherIntangibles</v>
          </cell>
          <cell r="AO10">
            <v>6</v>
          </cell>
          <cell r="AP10" t="str">
            <v>ISO4217:USD</v>
          </cell>
          <cell r="AQ10" t="b">
            <v>0</v>
          </cell>
          <cell r="AR10" t="b">
            <v>0</v>
          </cell>
        </row>
        <row r="11">
          <cell r="B11" t="str">
            <v>Tax Benefits Related to Employee Stock Options</v>
          </cell>
          <cell r="C11">
            <v>0</v>
          </cell>
          <cell r="E11">
            <v>0</v>
          </cell>
          <cell r="G11">
            <v>0</v>
          </cell>
          <cell r="I11">
            <v>48.6</v>
          </cell>
          <cell r="K11">
            <v>54.7</v>
          </cell>
          <cell r="M11">
            <v>108.2</v>
          </cell>
          <cell r="O11">
            <v>151.80000000000001</v>
          </cell>
          <cell r="Q11">
            <v>376.6</v>
          </cell>
          <cell r="S11">
            <v>244.5</v>
          </cell>
          <cell r="U11">
            <v>251.6</v>
          </cell>
          <cell r="W11">
            <v>268.60000000000002</v>
          </cell>
          <cell r="Y11">
            <v>203</v>
          </cell>
          <cell r="AA11">
            <v>315</v>
          </cell>
          <cell r="AC11">
            <v>0</v>
          </cell>
          <cell r="AE11">
            <v>0</v>
          </cell>
          <cell r="AG11">
            <v>0</v>
          </cell>
          <cell r="AI11">
            <v>0</v>
          </cell>
          <cell r="AK11">
            <v>0</v>
          </cell>
          <cell r="AN11" t="str">
            <v>mstag:taxBenefitFromExerciseOfEsosCashFlowStatement</v>
          </cell>
          <cell r="AO11">
            <v>6</v>
          </cell>
          <cell r="AP11" t="str">
            <v>ISO4217:USD</v>
          </cell>
          <cell r="AQ11" t="b">
            <v>0</v>
          </cell>
          <cell r="AR11" t="b">
            <v>0</v>
          </cell>
        </row>
        <row r="12">
          <cell r="B12" t="str">
            <v>Options expense (add back)</v>
          </cell>
          <cell r="AA12">
            <v>0</v>
          </cell>
          <cell r="AC12">
            <v>294.91779250000002</v>
          </cell>
          <cell r="AE12">
            <v>271.96607092308085</v>
          </cell>
          <cell r="AG12">
            <v>294.29251044080411</v>
          </cell>
          <cell r="AI12">
            <v>332.25730820002224</v>
          </cell>
          <cell r="AK12">
            <v>368.95414836972293</v>
          </cell>
          <cell r="AN12" t="str">
            <v>mstag:otherCashFlow</v>
          </cell>
          <cell r="AO12">
            <v>6</v>
          </cell>
          <cell r="AP12" t="str">
            <v>ISO4217:USD</v>
          </cell>
          <cell r="AQ12" t="b">
            <v>0</v>
          </cell>
          <cell r="AR12" t="b">
            <v>0</v>
          </cell>
        </row>
        <row r="13">
          <cell r="B13" t="str">
            <v>Other</v>
          </cell>
          <cell r="C13">
            <v>7.9</v>
          </cell>
          <cell r="E13">
            <v>2.8</v>
          </cell>
          <cell r="G13">
            <v>0.1</v>
          </cell>
          <cell r="I13">
            <v>0</v>
          </cell>
          <cell r="K13">
            <v>0</v>
          </cell>
          <cell r="M13">
            <v>15.8</v>
          </cell>
          <cell r="O13">
            <v>0</v>
          </cell>
          <cell r="Q13">
            <v>-8.3000000000000007</v>
          </cell>
          <cell r="S13">
            <v>97.8</v>
          </cell>
          <cell r="U13">
            <v>24.9</v>
          </cell>
          <cell r="W13">
            <v>99</v>
          </cell>
          <cell r="Y13">
            <v>161</v>
          </cell>
          <cell r="AA13">
            <v>166</v>
          </cell>
          <cell r="AC13">
            <v>0</v>
          </cell>
          <cell r="AE13">
            <v>0</v>
          </cell>
          <cell r="AG13">
            <v>0</v>
          </cell>
          <cell r="AI13">
            <v>0</v>
          </cell>
          <cell r="AK13">
            <v>0</v>
          </cell>
          <cell r="AN13" t="str">
            <v>mstag:otherProvisionsRecurringCashFlowStatement</v>
          </cell>
          <cell r="AO13">
            <v>6</v>
          </cell>
          <cell r="AP13" t="str">
            <v>ISO4217:USD</v>
          </cell>
          <cell r="AQ13" t="b">
            <v>0</v>
          </cell>
          <cell r="AR13" t="b">
            <v>0</v>
          </cell>
        </row>
        <row r="14">
          <cell r="B14" t="str">
            <v>Deferred Income Taxes</v>
          </cell>
          <cell r="C14">
            <v>17.399999999999999</v>
          </cell>
          <cell r="E14">
            <v>2.4</v>
          </cell>
          <cell r="G14">
            <v>23.9</v>
          </cell>
          <cell r="I14">
            <v>25.6</v>
          </cell>
          <cell r="K14">
            <v>-31.4</v>
          </cell>
          <cell r="M14">
            <v>-5.6</v>
          </cell>
          <cell r="O14">
            <v>9.8000000000000007</v>
          </cell>
          <cell r="Q14">
            <v>6.6</v>
          </cell>
          <cell r="S14">
            <v>-148.30000000000001</v>
          </cell>
          <cell r="U14">
            <v>174.7</v>
          </cell>
          <cell r="W14">
            <v>-189.6</v>
          </cell>
          <cell r="Y14">
            <v>57</v>
          </cell>
          <cell r="AA14">
            <v>-95</v>
          </cell>
          <cell r="AC14">
            <v>-300</v>
          </cell>
          <cell r="AE14">
            <v>0</v>
          </cell>
          <cell r="AG14">
            <v>0</v>
          </cell>
          <cell r="AI14">
            <v>0</v>
          </cell>
          <cell r="AK14">
            <v>0</v>
          </cell>
          <cell r="AN14" t="str">
            <v>mstag:deferredTax</v>
          </cell>
          <cell r="AO14">
            <v>6</v>
          </cell>
          <cell r="AP14" t="str">
            <v>ISO4217:USD</v>
          </cell>
          <cell r="AQ14" t="b">
            <v>0</v>
          </cell>
          <cell r="AR14" t="b">
            <v>0</v>
          </cell>
        </row>
        <row r="15">
          <cell r="B15" t="str">
            <v>Loss Of Affiliates, Net</v>
          </cell>
          <cell r="C15">
            <v>12.6</v>
          </cell>
          <cell r="E15">
            <v>31.2</v>
          </cell>
          <cell r="G15">
            <v>53.3</v>
          </cell>
          <cell r="I15">
            <v>52.8</v>
          </cell>
          <cell r="K15">
            <v>36.1</v>
          </cell>
          <cell r="M15">
            <v>28.6</v>
          </cell>
          <cell r="O15">
            <v>16.8</v>
          </cell>
          <cell r="Q15">
            <v>0</v>
          </cell>
          <cell r="S15">
            <v>0</v>
          </cell>
          <cell r="U15">
            <v>0</v>
          </cell>
          <cell r="W15">
            <v>0</v>
          </cell>
          <cell r="Y15">
            <v>0</v>
          </cell>
          <cell r="AA15">
            <v>0</v>
          </cell>
          <cell r="AC15">
            <v>0</v>
          </cell>
          <cell r="AE15">
            <v>0</v>
          </cell>
          <cell r="AG15">
            <v>0</v>
          </cell>
          <cell r="AI15">
            <v>0</v>
          </cell>
          <cell r="AK15">
            <v>0</v>
          </cell>
          <cell r="AN15" t="str">
            <v>mstag:incomeLossFromInvestmentsAccountedForUnderTheEquityMethodNonOperating</v>
          </cell>
          <cell r="AO15">
            <v>6</v>
          </cell>
          <cell r="AP15" t="str">
            <v>ISO4217:USD</v>
          </cell>
          <cell r="AQ15" t="b">
            <v>1</v>
          </cell>
          <cell r="AR15" t="b">
            <v>0</v>
          </cell>
        </row>
        <row r="16">
          <cell r="B16" t="str">
            <v>Changes in operating assets and liabilities</v>
          </cell>
        </row>
        <row r="17">
          <cell r="B17" t="str">
            <v xml:space="preserve">     net of the acquisition:</v>
          </cell>
        </row>
        <row r="18">
          <cell r="B18" t="str">
            <v>Trade Receivables</v>
          </cell>
          <cell r="C18">
            <v>-8.3000000000000007</v>
          </cell>
          <cell r="E18">
            <v>-30.4</v>
          </cell>
          <cell r="G18">
            <v>-4.5999999999999996</v>
          </cell>
          <cell r="I18">
            <v>-26.1</v>
          </cell>
          <cell r="K18">
            <v>-43.6</v>
          </cell>
          <cell r="M18">
            <v>-50.9</v>
          </cell>
          <cell r="O18">
            <v>-92.3</v>
          </cell>
          <cell r="Q18">
            <v>23</v>
          </cell>
          <cell r="S18">
            <v>-123</v>
          </cell>
          <cell r="U18">
            <v>-121.9</v>
          </cell>
          <cell r="W18">
            <v>-255.5</v>
          </cell>
          <cell r="Y18">
            <v>-453</v>
          </cell>
          <cell r="AA18">
            <v>-308</v>
          </cell>
          <cell r="AC18">
            <v>-199.42857142857133</v>
          </cell>
          <cell r="AE18">
            <v>-187.25403225815285</v>
          </cell>
          <cell r="AG18">
            <v>-216.97079176713987</v>
          </cell>
          <cell r="AI18">
            <v>-224.39378280485698</v>
          </cell>
          <cell r="AK18">
            <v>-229.36630898679823</v>
          </cell>
          <cell r="AN18" t="str">
            <v>mstag:netDecreaseInTradeReceivables</v>
          </cell>
          <cell r="AO18">
            <v>6</v>
          </cell>
          <cell r="AP18" t="str">
            <v>ISO4217:USD</v>
          </cell>
          <cell r="AQ18" t="b">
            <v>0</v>
          </cell>
          <cell r="AR18" t="b">
            <v>0</v>
          </cell>
        </row>
        <row r="19">
          <cell r="B19" t="str">
            <v>Inventories</v>
          </cell>
          <cell r="C19">
            <v>-17.899999999999999</v>
          </cell>
          <cell r="E19">
            <v>-23.3</v>
          </cell>
          <cell r="G19">
            <v>9.1999999999999993</v>
          </cell>
          <cell r="I19">
            <v>-8.6</v>
          </cell>
          <cell r="K19">
            <v>-11.8</v>
          </cell>
          <cell r="M19">
            <v>-1.6</v>
          </cell>
          <cell r="O19">
            <v>-73.5</v>
          </cell>
          <cell r="Q19">
            <v>-120.9</v>
          </cell>
          <cell r="S19">
            <v>-85.5</v>
          </cell>
          <cell r="U19">
            <v>-101.7</v>
          </cell>
          <cell r="W19">
            <v>-167.7</v>
          </cell>
          <cell r="Y19">
            <v>-175</v>
          </cell>
          <cell r="AA19">
            <v>-370</v>
          </cell>
          <cell r="AC19">
            <v>-164.03281249999986</v>
          </cell>
          <cell r="AE19">
            <v>-122.53132047396207</v>
          </cell>
          <cell r="AG19">
            <v>-120.23225385671549</v>
          </cell>
          <cell r="AI19">
            <v>-161.33735724691883</v>
          </cell>
          <cell r="AK19">
            <v>-192.56871748293383</v>
          </cell>
          <cell r="AN19" t="str">
            <v>mstag:netDecreaseInInventories</v>
          </cell>
          <cell r="AO19">
            <v>6</v>
          </cell>
          <cell r="AP19" t="str">
            <v>ISO4217:USD</v>
          </cell>
          <cell r="AQ19" t="b">
            <v>0</v>
          </cell>
          <cell r="AR19" t="b">
            <v>0</v>
          </cell>
        </row>
        <row r="20">
          <cell r="B20" t="str">
            <v>Other Current Assets</v>
          </cell>
          <cell r="C20">
            <v>-4.8</v>
          </cell>
          <cell r="E20">
            <v>1.8</v>
          </cell>
          <cell r="G20">
            <v>-8</v>
          </cell>
          <cell r="I20">
            <v>-11.8</v>
          </cell>
          <cell r="K20">
            <v>5</v>
          </cell>
          <cell r="M20">
            <v>-21.2</v>
          </cell>
          <cell r="O20">
            <v>-9</v>
          </cell>
          <cell r="Q20">
            <v>-51.4</v>
          </cell>
          <cell r="S20">
            <v>-31.5</v>
          </cell>
          <cell r="U20">
            <v>-5.2</v>
          </cell>
          <cell r="W20">
            <v>-32.799999999999997</v>
          </cell>
          <cell r="Y20">
            <v>-85</v>
          </cell>
          <cell r="AA20">
            <v>-47</v>
          </cell>
          <cell r="AC20">
            <v>-11.530000000000086</v>
          </cell>
          <cell r="AE20">
            <v>-242.65225806456544</v>
          </cell>
          <cell r="AG20">
            <v>-266.23550051228403</v>
          </cell>
          <cell r="AI20">
            <v>-139.3485391218162</v>
          </cell>
          <cell r="AK20">
            <v>-142.4364778808017</v>
          </cell>
          <cell r="AN20" t="str">
            <v>mstag:netDecreaseInOtherAssets</v>
          </cell>
          <cell r="AO20">
            <v>6</v>
          </cell>
          <cell r="AP20" t="str">
            <v>ISO4217:USD</v>
          </cell>
          <cell r="AQ20" t="b">
            <v>0</v>
          </cell>
          <cell r="AR20" t="b">
            <v>0</v>
          </cell>
        </row>
        <row r="21">
          <cell r="B21" t="str">
            <v>Goodwill</v>
          </cell>
          <cell r="AA21">
            <v>0</v>
          </cell>
          <cell r="AC21">
            <v>-500</v>
          </cell>
          <cell r="AE21">
            <v>0</v>
          </cell>
          <cell r="AG21">
            <v>0</v>
          </cell>
          <cell r="AI21">
            <v>0</v>
          </cell>
          <cell r="AK21">
            <v>0</v>
          </cell>
          <cell r="AN21" t="str">
            <v>mstag:premiumGoodwillOnAcquisions</v>
          </cell>
          <cell r="AO21">
            <v>6</v>
          </cell>
          <cell r="AP21" t="str">
            <v>ISO4217:USD</v>
          </cell>
          <cell r="AQ21" t="b">
            <v>1</v>
          </cell>
          <cell r="AR21" t="b">
            <v>0</v>
          </cell>
        </row>
        <row r="22">
          <cell r="B22" t="str">
            <v>Accounts Payable</v>
          </cell>
          <cell r="C22">
            <v>-14.9</v>
          </cell>
          <cell r="E22">
            <v>4.5999999999999996</v>
          </cell>
          <cell r="G22">
            <v>23.9</v>
          </cell>
          <cell r="I22">
            <v>20.6</v>
          </cell>
          <cell r="K22">
            <v>28.9</v>
          </cell>
          <cell r="M22">
            <v>17.7</v>
          </cell>
          <cell r="O22">
            <v>-38.200000000000003</v>
          </cell>
          <cell r="Q22">
            <v>59.8</v>
          </cell>
          <cell r="S22">
            <v>-6.5</v>
          </cell>
          <cell r="U22">
            <v>11</v>
          </cell>
          <cell r="W22">
            <v>74</v>
          </cell>
          <cell r="Y22">
            <v>179</v>
          </cell>
          <cell r="AA22">
            <v>72</v>
          </cell>
          <cell r="AC22">
            <v>68.909239999999954</v>
          </cell>
          <cell r="AE22">
            <v>60.333615794882348</v>
          </cell>
          <cell r="AG22">
            <v>92.236339874018086</v>
          </cell>
          <cell r="AI22">
            <v>105.45777155338374</v>
          </cell>
          <cell r="AK22">
            <v>101.93566713805728</v>
          </cell>
          <cell r="AN22" t="str">
            <v>mstag:netIncreaseInTradeAndOtherPayables</v>
          </cell>
          <cell r="AO22">
            <v>6</v>
          </cell>
          <cell r="AP22" t="str">
            <v>ISO4217:USD</v>
          </cell>
          <cell r="AQ22" t="b">
            <v>0</v>
          </cell>
          <cell r="AR22" t="b">
            <v>0</v>
          </cell>
        </row>
        <row r="23">
          <cell r="B23" t="str">
            <v>Accrued Liabilities</v>
          </cell>
          <cell r="C23">
            <v>7</v>
          </cell>
          <cell r="E23">
            <v>32.200000000000003</v>
          </cell>
          <cell r="G23">
            <v>53.5</v>
          </cell>
          <cell r="I23">
            <v>-10</v>
          </cell>
          <cell r="K23">
            <v>158.30000000000001</v>
          </cell>
          <cell r="M23">
            <v>51.7</v>
          </cell>
          <cell r="O23">
            <v>-11.5</v>
          </cell>
          <cell r="Q23">
            <v>-31.2</v>
          </cell>
          <cell r="S23">
            <v>147.1</v>
          </cell>
          <cell r="U23">
            <v>-31.8</v>
          </cell>
          <cell r="W23">
            <v>824.6</v>
          </cell>
          <cell r="Y23">
            <v>159</v>
          </cell>
          <cell r="AA23">
            <v>663</v>
          </cell>
          <cell r="AC23">
            <v>-90.022075000000314</v>
          </cell>
          <cell r="AE23">
            <v>263.9595691026102</v>
          </cell>
          <cell r="AG23">
            <v>162.37762422650394</v>
          </cell>
          <cell r="AI23">
            <v>430.26770793780543</v>
          </cell>
          <cell r="AK23">
            <v>415.89752192327433</v>
          </cell>
          <cell r="AN23" t="str">
            <v>mstag:netIncreaseInAccruedExpenses</v>
          </cell>
          <cell r="AO23">
            <v>6</v>
          </cell>
          <cell r="AP23" t="str">
            <v>ISO4217:USD</v>
          </cell>
          <cell r="AQ23" t="b">
            <v>0</v>
          </cell>
          <cell r="AR23" t="b">
            <v>0</v>
          </cell>
        </row>
        <row r="24">
          <cell r="B24" t="str">
            <v>Net cash provided by (used in) operating activities</v>
          </cell>
          <cell r="C24">
            <v>433</v>
          </cell>
          <cell r="E24">
            <v>531.9</v>
          </cell>
          <cell r="G24">
            <v>773.2</v>
          </cell>
          <cell r="I24">
            <v>871.19999999999993</v>
          </cell>
          <cell r="K24">
            <v>957.6</v>
          </cell>
          <cell r="M24">
            <v>1149.7</v>
          </cell>
          <cell r="O24">
            <v>1227.1000000000001</v>
          </cell>
          <cell r="Q24">
            <v>1634.6</v>
          </cell>
          <cell r="S24">
            <v>1480.1999999999998</v>
          </cell>
          <cell r="U24">
            <v>2248.8000000000002</v>
          </cell>
          <cell r="W24">
            <v>3566.5999999999995</v>
          </cell>
          <cell r="Y24">
            <v>3697</v>
          </cell>
          <cell r="AA24">
            <v>4911</v>
          </cell>
          <cell r="AC24">
            <v>3200.3196302380957</v>
          </cell>
          <cell r="AE24">
            <v>5355.1952532758032</v>
          </cell>
          <cell r="AG24">
            <v>5939.1116434991454</v>
          </cell>
          <cell r="AI24">
            <v>6842.4063049086362</v>
          </cell>
          <cell r="AK24">
            <v>7389.6899765144535</v>
          </cell>
        </row>
        <row r="26">
          <cell r="B26" t="str">
            <v>CASH FLOWS FROM INVESTING ACTIVITIES</v>
          </cell>
        </row>
        <row r="27">
          <cell r="B27" t="str">
            <v>Purchases of PP&amp;E</v>
          </cell>
          <cell r="C27">
            <v>-209.9</v>
          </cell>
          <cell r="E27">
            <v>-130.80000000000001</v>
          </cell>
          <cell r="G27">
            <v>-162.69999999999999</v>
          </cell>
          <cell r="I27">
            <v>-266.89999999999998</v>
          </cell>
          <cell r="K27">
            <v>-387.8</v>
          </cell>
          <cell r="M27">
            <v>-407.8</v>
          </cell>
          <cell r="O27">
            <v>-304.2</v>
          </cell>
          <cell r="Q27">
            <v>-437.7</v>
          </cell>
          <cell r="S27">
            <v>-441.8</v>
          </cell>
          <cell r="U27">
            <v>-658.5</v>
          </cell>
          <cell r="W27">
            <v>-1356.8</v>
          </cell>
          <cell r="Y27">
            <v>-1336</v>
          </cell>
          <cell r="AA27">
            <v>-867</v>
          </cell>
          <cell r="AC27">
            <v>-1653.48</v>
          </cell>
          <cell r="AE27">
            <v>-1508.977822580707</v>
          </cell>
          <cell r="AG27">
            <v>-1637.1308428631664</v>
          </cell>
          <cell r="AI27">
            <v>-1612.7662976986658</v>
          </cell>
          <cell r="AK27">
            <v>-1950.2253061994086</v>
          </cell>
          <cell r="AN27" t="str">
            <v>mstag:capitalExpenditures</v>
          </cell>
          <cell r="AO27">
            <v>6</v>
          </cell>
          <cell r="AP27" t="str">
            <v>ISO4217:USD</v>
          </cell>
          <cell r="AQ27" t="b">
            <v>1</v>
          </cell>
          <cell r="AR27" t="b">
            <v>0</v>
          </cell>
        </row>
        <row r="28">
          <cell r="B28" t="str">
            <v>Proceeds From Maturities Of Mktable Sec.</v>
          </cell>
          <cell r="C28">
            <v>0</v>
          </cell>
          <cell r="E28">
            <v>1593.5</v>
          </cell>
          <cell r="G28">
            <v>1148.3999999999999</v>
          </cell>
          <cell r="I28">
            <v>930.7</v>
          </cell>
          <cell r="K28">
            <v>891.40000000000009</v>
          </cell>
          <cell r="M28">
            <v>486.3</v>
          </cell>
          <cell r="O28">
            <v>40</v>
          </cell>
          <cell r="Q28">
            <v>0</v>
          </cell>
          <cell r="S28">
            <v>490.3</v>
          </cell>
          <cell r="U28">
            <v>778.2</v>
          </cell>
          <cell r="W28">
            <v>370.8</v>
          </cell>
          <cell r="Y28">
            <v>8354</v>
          </cell>
          <cell r="AA28">
            <v>603</v>
          </cell>
          <cell r="AC28">
            <v>310.4545454545455</v>
          </cell>
          <cell r="AE28">
            <v>147.83549783549785</v>
          </cell>
          <cell r="AG28">
            <v>14.70999978462665</v>
          </cell>
          <cell r="AI28">
            <v>14.63681570609617</v>
          </cell>
          <cell r="AK28">
            <v>14.563995727458876</v>
          </cell>
          <cell r="AN28" t="str">
            <v>mstag:otherCashFlow</v>
          </cell>
          <cell r="AO28">
            <v>6</v>
          </cell>
          <cell r="AP28" t="str">
            <v>ISO4217:USD</v>
          </cell>
          <cell r="AQ28" t="b">
            <v>0</v>
          </cell>
          <cell r="AR28" t="b">
            <v>0</v>
          </cell>
        </row>
        <row r="29">
          <cell r="B29" t="str">
            <v>Proceeds From Sales Of Mktable Sec.</v>
          </cell>
          <cell r="O29">
            <v>843.5</v>
          </cell>
          <cell r="Q29">
            <v>1067.8</v>
          </cell>
          <cell r="S29">
            <v>301.7</v>
          </cell>
          <cell r="U29">
            <v>1621.5</v>
          </cell>
          <cell r="W29">
            <v>3338.6</v>
          </cell>
          <cell r="Y29">
            <v>13079</v>
          </cell>
          <cell r="AA29">
            <v>9835</v>
          </cell>
          <cell r="AC29">
            <v>0</v>
          </cell>
          <cell r="AE29">
            <v>0</v>
          </cell>
          <cell r="AG29">
            <v>0</v>
          </cell>
          <cell r="AI29">
            <v>0</v>
          </cell>
          <cell r="AK29">
            <v>0</v>
          </cell>
          <cell r="AN29" t="str">
            <v>mstag:otherCashFlow</v>
          </cell>
          <cell r="AO29">
            <v>6</v>
          </cell>
          <cell r="AP29" t="str">
            <v>ISO4217:USD</v>
          </cell>
          <cell r="AQ29" t="b">
            <v>0</v>
          </cell>
          <cell r="AR29" t="b">
            <v>0</v>
          </cell>
        </row>
        <row r="30">
          <cell r="B30" t="str">
            <v>Purchases Of Marketable Securities</v>
          </cell>
          <cell r="C30">
            <v>-131.30000000000001</v>
          </cell>
          <cell r="E30">
            <v>-1395.1</v>
          </cell>
          <cell r="G30">
            <v>-1646.6</v>
          </cell>
          <cell r="I30">
            <v>-854.8</v>
          </cell>
          <cell r="K30">
            <v>-767.5</v>
          </cell>
          <cell r="M30">
            <v>-766.3</v>
          </cell>
          <cell r="O30">
            <v>-1032.7</v>
          </cell>
          <cell r="Q30">
            <v>-1638.7</v>
          </cell>
          <cell r="S30">
            <v>-918.2</v>
          </cell>
          <cell r="U30">
            <v>-2952.8</v>
          </cell>
          <cell r="W30">
            <v>-5320.3</v>
          </cell>
          <cell r="Y30">
            <v>-21488</v>
          </cell>
          <cell r="AA30">
            <v>-9597</v>
          </cell>
          <cell r="AC30">
            <v>0</v>
          </cell>
          <cell r="AE30">
            <v>0</v>
          </cell>
          <cell r="AG30">
            <v>0</v>
          </cell>
          <cell r="AI30">
            <v>0</v>
          </cell>
          <cell r="AK30">
            <v>0</v>
          </cell>
          <cell r="AN30" t="str">
            <v>mstag:otherCashFlow</v>
          </cell>
          <cell r="AO30">
            <v>6</v>
          </cell>
          <cell r="AP30" t="str">
            <v>ISO4217:USD</v>
          </cell>
          <cell r="AQ30" t="b">
            <v>0</v>
          </cell>
          <cell r="AR30" t="b">
            <v>0</v>
          </cell>
        </row>
        <row r="31">
          <cell r="B31" t="str">
            <v>Acquisitions, Net Of Cash</v>
          </cell>
          <cell r="C31">
            <v>0</v>
          </cell>
          <cell r="E31">
            <v>-240.8</v>
          </cell>
          <cell r="G31">
            <v>0</v>
          </cell>
          <cell r="I31">
            <v>0</v>
          </cell>
          <cell r="K31">
            <v>0</v>
          </cell>
          <cell r="M31">
            <v>0</v>
          </cell>
          <cell r="O31">
            <v>0</v>
          </cell>
          <cell r="Q31">
            <v>0</v>
          </cell>
          <cell r="S31">
            <v>0</v>
          </cell>
          <cell r="U31">
            <v>-1899</v>
          </cell>
          <cell r="W31">
            <v>0</v>
          </cell>
          <cell r="Y31">
            <v>115</v>
          </cell>
          <cell r="AA31">
            <v>0</v>
          </cell>
          <cell r="AC31">
            <v>0</v>
          </cell>
          <cell r="AE31">
            <v>0</v>
          </cell>
          <cell r="AG31">
            <v>0</v>
          </cell>
          <cell r="AI31">
            <v>0</v>
          </cell>
          <cell r="AK31">
            <v>0</v>
          </cell>
          <cell r="AN31" t="str">
            <v>mstag:otherCashFlow</v>
          </cell>
          <cell r="AO31">
            <v>6</v>
          </cell>
          <cell r="AP31" t="str">
            <v>ISO4217:USD</v>
          </cell>
          <cell r="AQ31" t="b">
            <v>0</v>
          </cell>
          <cell r="AR31" t="b">
            <v>0</v>
          </cell>
        </row>
        <row r="32">
          <cell r="B32" t="str">
            <v>Proceeds from Sale of Leukine Business</v>
          </cell>
          <cell r="U32">
            <v>389.9</v>
          </cell>
          <cell r="W32">
            <v>0</v>
          </cell>
          <cell r="Y32">
            <v>0</v>
          </cell>
          <cell r="AA32">
            <v>0</v>
          </cell>
          <cell r="AC32">
            <v>0</v>
          </cell>
          <cell r="AE32">
            <v>0</v>
          </cell>
          <cell r="AG32">
            <v>0</v>
          </cell>
          <cell r="AI32">
            <v>0</v>
          </cell>
          <cell r="AK32">
            <v>0</v>
          </cell>
          <cell r="AN32" t="str">
            <v>mstag:gainsLossesFromSaleOfOperatingAssetsOneTime</v>
          </cell>
          <cell r="AO32">
            <v>6</v>
          </cell>
          <cell r="AP32" t="str">
            <v>ISO4217:USD</v>
          </cell>
          <cell r="AQ32" t="b">
            <v>1</v>
          </cell>
          <cell r="AR32" t="b">
            <v>0</v>
          </cell>
        </row>
        <row r="33">
          <cell r="B33" t="str">
            <v>Purchase of Certain Rights from Roche</v>
          </cell>
          <cell r="U33">
            <v>-137.5</v>
          </cell>
          <cell r="W33">
            <v>0</v>
          </cell>
          <cell r="Y33">
            <v>0</v>
          </cell>
          <cell r="AA33">
            <v>0</v>
          </cell>
          <cell r="AC33">
            <v>0</v>
          </cell>
          <cell r="AE33">
            <v>0</v>
          </cell>
          <cell r="AG33">
            <v>0</v>
          </cell>
          <cell r="AI33">
            <v>0</v>
          </cell>
          <cell r="AK33">
            <v>0</v>
          </cell>
          <cell r="AN33" t="str">
            <v>mstag:otherCashFlow</v>
          </cell>
          <cell r="AO33">
            <v>6</v>
          </cell>
          <cell r="AP33" t="str">
            <v>ISO4217:USD</v>
          </cell>
          <cell r="AQ33" t="b">
            <v>0</v>
          </cell>
          <cell r="AR33" t="b">
            <v>0</v>
          </cell>
        </row>
        <row r="34">
          <cell r="B34" t="str">
            <v>Other</v>
          </cell>
          <cell r="C34">
            <v>-48.7</v>
          </cell>
          <cell r="E34">
            <v>-17.8</v>
          </cell>
          <cell r="G34">
            <v>-33.200000000000003</v>
          </cell>
          <cell r="I34">
            <v>-119.19999999999999</v>
          </cell>
          <cell r="K34">
            <v>-38.299999999999997</v>
          </cell>
          <cell r="M34">
            <v>14.100000000000001</v>
          </cell>
          <cell r="O34">
            <v>-10</v>
          </cell>
          <cell r="Q34">
            <v>-27.7</v>
          </cell>
          <cell r="S34">
            <v>28.4</v>
          </cell>
          <cell r="U34">
            <v>-5.6</v>
          </cell>
          <cell r="W34">
            <v>-242.5</v>
          </cell>
          <cell r="Y34">
            <v>-123</v>
          </cell>
          <cell r="AA34">
            <v>-33</v>
          </cell>
          <cell r="AC34">
            <v>0</v>
          </cell>
          <cell r="AE34">
            <v>0</v>
          </cell>
          <cell r="AG34">
            <v>0</v>
          </cell>
          <cell r="AI34">
            <v>0</v>
          </cell>
          <cell r="AK34">
            <v>0</v>
          </cell>
          <cell r="AN34" t="str">
            <v>mstag:otherCashFlow</v>
          </cell>
          <cell r="AO34">
            <v>6</v>
          </cell>
          <cell r="AP34" t="str">
            <v>ISO4217:USD</v>
          </cell>
          <cell r="AQ34" t="b">
            <v>0</v>
          </cell>
          <cell r="AR34" t="b">
            <v>0</v>
          </cell>
        </row>
        <row r="35">
          <cell r="B35" t="str">
            <v>Net cash used in investing activities</v>
          </cell>
          <cell r="C35">
            <v>-180</v>
          </cell>
          <cell r="E35">
            <v>-1653.6999999999998</v>
          </cell>
          <cell r="G35">
            <v>-694.10000000000014</v>
          </cell>
          <cell r="I35">
            <v>-310.19999999999987</v>
          </cell>
          <cell r="K35">
            <v>-302.19999999999993</v>
          </cell>
          <cell r="M35">
            <v>-673.69999999999993</v>
          </cell>
          <cell r="O35">
            <v>-463.40000000000009</v>
          </cell>
          <cell r="Q35">
            <v>-1036.3000000000002</v>
          </cell>
          <cell r="S35">
            <v>-539.6</v>
          </cell>
          <cell r="U35">
            <v>-2863.8</v>
          </cell>
          <cell r="W35">
            <v>-3210.2000000000003</v>
          </cell>
          <cell r="Y35">
            <v>-1399</v>
          </cell>
          <cell r="AA35">
            <v>-59</v>
          </cell>
          <cell r="AC35">
            <v>-1343.0254545454545</v>
          </cell>
          <cell r="AE35">
            <v>-1361.1423247452092</v>
          </cell>
          <cell r="AG35">
            <v>-1622.4208430785397</v>
          </cell>
          <cell r="AI35">
            <v>-1598.1294819925697</v>
          </cell>
          <cell r="AK35">
            <v>-1935.6613104719497</v>
          </cell>
        </row>
        <row r="37">
          <cell r="B37" t="str">
            <v>CASH FLOWS FROM FINANCING ACTIVITIES</v>
          </cell>
        </row>
        <row r="38">
          <cell r="B38" t="str">
            <v>Net Proceeds from Issuance Of Common Stock Upon</v>
          </cell>
        </row>
        <row r="39">
          <cell r="B39" t="str">
            <v xml:space="preserve">      Exercise of ESO in connection with ESOP</v>
          </cell>
          <cell r="C39">
            <v>62.199999999999996</v>
          </cell>
          <cell r="E39">
            <v>82.8</v>
          </cell>
          <cell r="G39">
            <v>145.39999999999998</v>
          </cell>
          <cell r="I39">
            <v>112.6</v>
          </cell>
          <cell r="K39">
            <v>134.30000000000001</v>
          </cell>
          <cell r="M39">
            <v>345.5</v>
          </cell>
          <cell r="O39">
            <v>248.8</v>
          </cell>
          <cell r="Q39">
            <v>333.7</v>
          </cell>
          <cell r="S39">
            <v>277.7</v>
          </cell>
          <cell r="U39">
            <v>427.8</v>
          </cell>
          <cell r="W39">
            <v>529</v>
          </cell>
          <cell r="Y39">
            <v>453</v>
          </cell>
          <cell r="AA39">
            <v>1087</v>
          </cell>
          <cell r="AC39">
            <v>285.59999999999997</v>
          </cell>
          <cell r="AE39">
            <v>408.84592000000009</v>
          </cell>
          <cell r="AG39">
            <v>520.84414921000007</v>
          </cell>
          <cell r="AI39">
            <v>578.62034899356695</v>
          </cell>
          <cell r="AK39">
            <v>555.01263875462951</v>
          </cell>
          <cell r="AN39" t="str">
            <v>mstag:proceedsFromIssuanceOfCommonStock</v>
          </cell>
          <cell r="AO39">
            <v>6</v>
          </cell>
          <cell r="AP39" t="str">
            <v>ISO4217:USD</v>
          </cell>
          <cell r="AQ39" t="b">
            <v>0</v>
          </cell>
          <cell r="AR39" t="b">
            <v>0</v>
          </cell>
        </row>
        <row r="40">
          <cell r="B40" t="str">
            <v xml:space="preserve">Issuance of Zero-Coupon Convertible Notes, net </v>
          </cell>
          <cell r="U40">
            <v>2764.7</v>
          </cell>
          <cell r="W40">
            <v>0</v>
          </cell>
          <cell r="Y40">
            <v>1989</v>
          </cell>
          <cell r="AA40">
            <v>0</v>
          </cell>
          <cell r="AC40">
            <v>19.78875</v>
          </cell>
          <cell r="AE40">
            <v>19.78875</v>
          </cell>
          <cell r="AG40">
            <v>19.78875</v>
          </cell>
          <cell r="AI40">
            <v>19.78875</v>
          </cell>
          <cell r="AK40">
            <v>19.78875</v>
          </cell>
          <cell r="AN40" t="str">
            <v>mstag:proceedsFromIssuanceAndCashUsedToRepayLongTermDebt</v>
          </cell>
          <cell r="AO40">
            <v>6</v>
          </cell>
          <cell r="AP40" t="str">
            <v>ISO4217:USD</v>
          </cell>
          <cell r="AQ40" t="b">
            <v>0</v>
          </cell>
          <cell r="AR40" t="b">
            <v>0</v>
          </cell>
        </row>
        <row r="41">
          <cell r="B41" t="str">
            <v>Stock Repurchases</v>
          </cell>
          <cell r="C41">
            <v>-207.4</v>
          </cell>
          <cell r="E41">
            <v>-300.5</v>
          </cell>
          <cell r="G41">
            <v>-285.7</v>
          </cell>
          <cell r="I41">
            <v>-450</v>
          </cell>
          <cell r="K41">
            <v>-737.9</v>
          </cell>
          <cell r="M41">
            <v>-912.1</v>
          </cell>
          <cell r="O41">
            <v>-1024.7</v>
          </cell>
          <cell r="Q41">
            <v>-799.9</v>
          </cell>
          <cell r="S41">
            <v>-737.5</v>
          </cell>
          <cell r="U41">
            <v>-1420.4</v>
          </cell>
          <cell r="W41">
            <v>-1801</v>
          </cell>
          <cell r="Y41">
            <v>-4072</v>
          </cell>
          <cell r="AA41">
            <v>-4430</v>
          </cell>
          <cell r="AC41">
            <v>-7577.5000000000009</v>
          </cell>
          <cell r="AE41">
            <v>-3281.0575000000008</v>
          </cell>
          <cell r="AG41">
            <v>-3551.7447437500005</v>
          </cell>
          <cell r="AI41">
            <v>-3844.7636851093757</v>
          </cell>
          <cell r="AK41">
            <v>-3641.7121029895366</v>
          </cell>
          <cell r="AN41" t="str">
            <v>mstag:fundsUsedToRepurchaseCommonStock</v>
          </cell>
          <cell r="AO41">
            <v>6</v>
          </cell>
          <cell r="AP41" t="str">
            <v>ISO4217:USD</v>
          </cell>
          <cell r="AQ41" t="b">
            <v>1</v>
          </cell>
          <cell r="AR41" t="b">
            <v>0</v>
          </cell>
        </row>
        <row r="42">
          <cell r="B42" t="str">
            <v>Tax Benefits Related to Employee Stock Options</v>
          </cell>
          <cell r="AC42">
            <v>170.55674999999999</v>
          </cell>
          <cell r="AE42">
            <v>241.49308286250007</v>
          </cell>
          <cell r="AG42">
            <v>304.2759299385545</v>
          </cell>
          <cell r="AI42">
            <v>334.30929864953174</v>
          </cell>
          <cell r="AK42">
            <v>317.12642488736873</v>
          </cell>
          <cell r="AN42" t="str">
            <v>mstag:taxBenefitFromExerciseOfEsosCashFlowStatement</v>
          </cell>
          <cell r="AO42">
            <v>6</v>
          </cell>
          <cell r="AP42" t="str">
            <v>ISO4217:USD</v>
          </cell>
          <cell r="AQ42" t="b">
            <v>0</v>
          </cell>
          <cell r="AR42" t="b">
            <v>0</v>
          </cell>
        </row>
        <row r="43">
          <cell r="B43" t="str">
            <v>Increase (Decrease) In Commercial Paper</v>
          </cell>
          <cell r="C43">
            <v>109.8</v>
          </cell>
          <cell r="E43">
            <v>-10.1</v>
          </cell>
          <cell r="G43">
            <v>-30</v>
          </cell>
          <cell r="I43">
            <v>-69.7</v>
          </cell>
          <cell r="K43">
            <v>0</v>
          </cell>
          <cell r="M43">
            <v>99.7</v>
          </cell>
          <cell r="O43">
            <v>-0.2</v>
          </cell>
          <cell r="Q43">
            <v>0</v>
          </cell>
          <cell r="S43">
            <v>0</v>
          </cell>
          <cell r="U43">
            <v>0</v>
          </cell>
          <cell r="W43">
            <v>0</v>
          </cell>
          <cell r="Y43">
            <v>0</v>
          </cell>
          <cell r="AA43">
            <v>0</v>
          </cell>
          <cell r="AC43">
            <v>0</v>
          </cell>
          <cell r="AE43">
            <v>0</v>
          </cell>
          <cell r="AG43">
            <v>0</v>
          </cell>
          <cell r="AI43">
            <v>0</v>
          </cell>
          <cell r="AK43">
            <v>0</v>
          </cell>
          <cell r="AN43" t="str">
            <v>mstag:proceedsFromIssuanceAndCashUsedToRepayLongTermDebt</v>
          </cell>
          <cell r="AO43">
            <v>6</v>
          </cell>
          <cell r="AP43" t="str">
            <v>ISO4217:USD</v>
          </cell>
          <cell r="AQ43" t="b">
            <v>0</v>
          </cell>
          <cell r="AR43" t="b">
            <v>0</v>
          </cell>
        </row>
        <row r="44">
          <cell r="B44" t="str">
            <v>Proceeds From Additions To Long-Term Debt</v>
          </cell>
          <cell r="C44">
            <v>53</v>
          </cell>
          <cell r="E44">
            <v>12.5</v>
          </cell>
          <cell r="G44">
            <v>0</v>
          </cell>
          <cell r="I44">
            <v>0</v>
          </cell>
          <cell r="K44">
            <v>200</v>
          </cell>
          <cell r="M44">
            <v>0</v>
          </cell>
          <cell r="O44">
            <v>0</v>
          </cell>
          <cell r="Q44">
            <v>0</v>
          </cell>
          <cell r="S44">
            <v>0</v>
          </cell>
          <cell r="U44">
            <v>0</v>
          </cell>
          <cell r="W44">
            <v>0</v>
          </cell>
          <cell r="Y44">
            <v>0</v>
          </cell>
          <cell r="AA44">
            <v>0</v>
          </cell>
          <cell r="AC44">
            <v>5000</v>
          </cell>
          <cell r="AE44">
            <v>0</v>
          </cell>
          <cell r="AG44">
            <v>0</v>
          </cell>
          <cell r="AI44">
            <v>0</v>
          </cell>
          <cell r="AK44">
            <v>0</v>
          </cell>
          <cell r="AN44" t="str">
            <v>mstag:proceedsFromIssuanceAndCashUsedToRepayLongTermDebt</v>
          </cell>
          <cell r="AO44">
            <v>6</v>
          </cell>
          <cell r="AP44" t="str">
            <v>ISO4217:USD</v>
          </cell>
          <cell r="AQ44" t="b">
            <v>0</v>
          </cell>
          <cell r="AR44" t="b">
            <v>0</v>
          </cell>
        </row>
        <row r="45">
          <cell r="B45" t="str">
            <v>Repayments Of Long-Term Debt</v>
          </cell>
          <cell r="C45">
            <v>-2</v>
          </cell>
          <cell r="E45">
            <v>-12</v>
          </cell>
          <cell r="G45">
            <v>-6.2</v>
          </cell>
          <cell r="I45">
            <v>0</v>
          </cell>
          <cell r="K45">
            <v>-118.2</v>
          </cell>
          <cell r="M45">
            <v>-30</v>
          </cell>
          <cell r="O45">
            <v>-6</v>
          </cell>
          <cell r="Q45">
            <v>0</v>
          </cell>
          <cell r="S45">
            <v>0</v>
          </cell>
          <cell r="U45">
            <v>0</v>
          </cell>
          <cell r="W45">
            <v>-123</v>
          </cell>
          <cell r="Y45">
            <v>0</v>
          </cell>
          <cell r="AA45">
            <v>-1175</v>
          </cell>
          <cell r="AC45">
            <v>0</v>
          </cell>
          <cell r="AE45">
            <v>-100</v>
          </cell>
          <cell r="AG45">
            <v>0</v>
          </cell>
          <cell r="AI45">
            <v>-998</v>
          </cell>
          <cell r="AK45">
            <v>0</v>
          </cell>
          <cell r="AN45" t="str">
            <v>mstag:proceedsFromIssuanceAndCashUsedToRepayLongTermDebt</v>
          </cell>
          <cell r="AO45">
            <v>6</v>
          </cell>
          <cell r="AP45" t="str">
            <v>ISO4217:USD</v>
          </cell>
          <cell r="AQ45" t="b">
            <v>0</v>
          </cell>
          <cell r="AR45" t="b">
            <v>0</v>
          </cell>
        </row>
        <row r="46">
          <cell r="B46" t="str">
            <v>Other</v>
          </cell>
          <cell r="C46">
            <v>-22.2</v>
          </cell>
          <cell r="E46">
            <v>-30.8</v>
          </cell>
          <cell r="G46">
            <v>-47.2</v>
          </cell>
          <cell r="I46">
            <v>-51.3</v>
          </cell>
          <cell r="K46">
            <v>-63.8</v>
          </cell>
          <cell r="M46">
            <v>-17.100000000000001</v>
          </cell>
          <cell r="O46">
            <v>-51.8</v>
          </cell>
          <cell r="Q46">
            <v>-36.5</v>
          </cell>
          <cell r="S46">
            <v>-18.2</v>
          </cell>
          <cell r="U46">
            <v>5.5</v>
          </cell>
          <cell r="W46">
            <v>23.5</v>
          </cell>
          <cell r="Y46">
            <v>21</v>
          </cell>
          <cell r="AA46">
            <v>-20</v>
          </cell>
          <cell r="AC46">
            <v>0</v>
          </cell>
          <cell r="AE46">
            <v>0</v>
          </cell>
          <cell r="AG46">
            <v>0</v>
          </cell>
          <cell r="AI46">
            <v>0</v>
          </cell>
          <cell r="AK46">
            <v>0</v>
          </cell>
          <cell r="AN46" t="str">
            <v>mstag:otherCashFlow</v>
          </cell>
          <cell r="AO46">
            <v>6</v>
          </cell>
          <cell r="AP46" t="str">
            <v>ISO4217:USD</v>
          </cell>
          <cell r="AQ46" t="b">
            <v>0</v>
          </cell>
          <cell r="AR46" t="b">
            <v>0</v>
          </cell>
        </row>
        <row r="47">
          <cell r="B47" t="str">
            <v>Net cash provided by financing activities</v>
          </cell>
          <cell r="C47">
            <v>138.60000000000002</v>
          </cell>
          <cell r="E47">
            <v>-40.4</v>
          </cell>
          <cell r="G47">
            <v>-223.7</v>
          </cell>
          <cell r="I47">
            <v>-458.4</v>
          </cell>
          <cell r="K47">
            <v>-585.59999999999991</v>
          </cell>
          <cell r="M47">
            <v>-514</v>
          </cell>
          <cell r="O47">
            <v>-833.90000000000009</v>
          </cell>
          <cell r="Q47">
            <v>-502.7</v>
          </cell>
          <cell r="S47">
            <v>-478</v>
          </cell>
          <cell r="U47">
            <v>1777.6</v>
          </cell>
          <cell r="W47">
            <v>-1371.5</v>
          </cell>
          <cell r="Y47">
            <v>-1609</v>
          </cell>
          <cell r="AA47">
            <v>-4538</v>
          </cell>
          <cell r="AC47">
            <v>-2101.5545000000011</v>
          </cell>
          <cell r="AE47">
            <v>-2710.9297471375007</v>
          </cell>
          <cell r="AG47">
            <v>-2706.8359146014459</v>
          </cell>
          <cell r="AI47">
            <v>-3910.0452874662769</v>
          </cell>
          <cell r="AK47">
            <v>-2749.7842893475386</v>
          </cell>
        </row>
        <row r="49">
          <cell r="B49" t="str">
            <v xml:space="preserve">Change in cash </v>
          </cell>
          <cell r="C49">
            <v>391.6</v>
          </cell>
          <cell r="E49">
            <v>-1162.1999999999998</v>
          </cell>
          <cell r="G49">
            <v>-144.60000000000014</v>
          </cell>
          <cell r="I49">
            <v>102.60000000000002</v>
          </cell>
          <cell r="K49">
            <v>69.800000000000182</v>
          </cell>
          <cell r="M49">
            <v>-37.999999999999773</v>
          </cell>
          <cell r="O49">
            <v>-70.200000000000045</v>
          </cell>
          <cell r="Q49">
            <v>95.599999999999682</v>
          </cell>
          <cell r="S49">
            <v>462.5999999999998</v>
          </cell>
          <cell r="U49">
            <v>1162.5999999999999</v>
          </cell>
          <cell r="W49">
            <v>-1015.1000000000013</v>
          </cell>
          <cell r="Y49">
            <v>689</v>
          </cell>
          <cell r="AA49">
            <v>314</v>
          </cell>
          <cell r="AC49">
            <v>-244.26032430735995</v>
          </cell>
          <cell r="AE49">
            <v>1283.1231813930935</v>
          </cell>
          <cell r="AG49">
            <v>1609.8548858191598</v>
          </cell>
          <cell r="AI49">
            <v>1334.2315354497896</v>
          </cell>
          <cell r="AK49">
            <v>2704.2443766949655</v>
          </cell>
        </row>
        <row r="50">
          <cell r="B50" t="str">
            <v>Cash at beginning of year</v>
          </cell>
          <cell r="C50">
            <v>92</v>
          </cell>
          <cell r="E50">
            <v>128.5</v>
          </cell>
          <cell r="G50">
            <v>211.3</v>
          </cell>
          <cell r="I50">
            <v>66.699999999999875</v>
          </cell>
          <cell r="K50">
            <v>169.2999999999999</v>
          </cell>
          <cell r="M50">
            <v>239.10000000000008</v>
          </cell>
          <cell r="O50">
            <v>201.10000000000031</v>
          </cell>
          <cell r="Q50">
            <v>130.90000000000026</v>
          </cell>
          <cell r="S50">
            <v>226.49999999999994</v>
          </cell>
          <cell r="U50">
            <v>689.09999999999968</v>
          </cell>
          <cell r="W50">
            <v>1851.6999999999996</v>
          </cell>
          <cell r="Y50">
            <v>836.59999999999832</v>
          </cell>
          <cell r="AA50">
            <v>1525.5999999999983</v>
          </cell>
          <cell r="AC50">
            <v>1839.5999999999983</v>
          </cell>
          <cell r="AE50">
            <v>1595.3396756926384</v>
          </cell>
          <cell r="AG50">
            <v>2878.4628570857321</v>
          </cell>
          <cell r="AI50">
            <v>4488.3177429048919</v>
          </cell>
          <cell r="AK50">
            <v>5822.5492783546815</v>
          </cell>
        </row>
        <row r="51">
          <cell r="B51" t="str">
            <v>Cash at end of year</v>
          </cell>
          <cell r="C51">
            <v>128.505</v>
          </cell>
          <cell r="E51">
            <v>-1033.6999999999998</v>
          </cell>
          <cell r="G51">
            <v>66.699999999999875</v>
          </cell>
          <cell r="I51">
            <v>169.2999999999999</v>
          </cell>
          <cell r="K51">
            <v>239.10000000000008</v>
          </cell>
          <cell r="M51">
            <v>201.10000000000031</v>
          </cell>
          <cell r="O51">
            <v>130.90000000000026</v>
          </cell>
          <cell r="Q51">
            <v>226.49999999999994</v>
          </cell>
          <cell r="S51">
            <v>689.09999999999968</v>
          </cell>
          <cell r="U51">
            <v>1851.6999999999996</v>
          </cell>
          <cell r="W51">
            <v>836.59999999999832</v>
          </cell>
          <cell r="Y51">
            <v>1525.5999999999983</v>
          </cell>
          <cell r="AA51">
            <v>1839.5999999999983</v>
          </cell>
          <cell r="AC51">
            <v>1595.3396756926384</v>
          </cell>
          <cell r="AE51">
            <v>2878.4628570857321</v>
          </cell>
          <cell r="AG51">
            <v>4488.3177429048919</v>
          </cell>
          <cell r="AI51">
            <v>5822.5492783546815</v>
          </cell>
          <cell r="AK51">
            <v>8526.793655049647</v>
          </cell>
        </row>
        <row r="52">
          <cell r="B52" t="str">
            <v>Cash and marketable securities at end of year</v>
          </cell>
          <cell r="C52">
            <v>723.18399999999997</v>
          </cell>
          <cell r="E52">
            <v>696.68100000000004</v>
          </cell>
          <cell r="G52">
            <v>1050.3</v>
          </cell>
          <cell r="I52">
            <v>1077</v>
          </cell>
          <cell r="K52">
            <v>1026.5</v>
          </cell>
          <cell r="M52">
            <v>1276</v>
          </cell>
          <cell r="O52">
            <v>1333</v>
          </cell>
          <cell r="Q52">
            <v>2028.1</v>
          </cell>
          <cell r="S52">
            <v>2662.2</v>
          </cell>
          <cell r="U52">
            <v>4663.8999999999996</v>
          </cell>
          <cell r="W52">
            <v>5122.9000000000005</v>
          </cell>
          <cell r="Y52">
            <v>5808</v>
          </cell>
          <cell r="AA52">
            <v>5255</v>
          </cell>
          <cell r="AC52">
            <v>4700.285130238095</v>
          </cell>
          <cell r="AE52">
            <v>5835.5728137956903</v>
          </cell>
          <cell r="AG52">
            <v>7430.7176998302239</v>
          </cell>
          <cell r="AI52">
            <v>8750.3124195739165</v>
          </cell>
          <cell r="AK52">
            <v>11439.992800541424</v>
          </cell>
        </row>
        <row r="54">
          <cell r="B54" t="str">
            <v>Source: Company data and Morgan Stanley Research</v>
          </cell>
        </row>
        <row r="56">
          <cell r="W56" t="str">
            <v>2003-FY</v>
          </cell>
          <cell r="Y56" t="str">
            <v>2004-FY</v>
          </cell>
          <cell r="AA56" t="str">
            <v>2005-FY</v>
          </cell>
          <cell r="AC56" t="str">
            <v>2006-FY</v>
          </cell>
          <cell r="AE56" t="str">
            <v>2007-FY</v>
          </cell>
          <cell r="AG56" t="str">
            <v>2008-FY</v>
          </cell>
          <cell r="AI56" t="str">
            <v>2009-FY</v>
          </cell>
          <cell r="AK56" t="str">
            <v>2010-FY</v>
          </cell>
        </row>
        <row r="59">
          <cell r="B59" t="str">
            <v>EBIT</v>
          </cell>
          <cell r="C59">
            <v>785.5</v>
          </cell>
          <cell r="E59">
            <v>815.59999999999991</v>
          </cell>
          <cell r="G59">
            <v>743.59999999999991</v>
          </cell>
          <cell r="I59">
            <v>904.89999999999986</v>
          </cell>
          <cell r="K59">
            <v>792.50000000000023</v>
          </cell>
          <cell r="M59">
            <v>1188.6999999999998</v>
          </cell>
          <cell r="O59">
            <v>1493.1</v>
          </cell>
          <cell r="Q59">
            <v>1543.9999999999995</v>
          </cell>
          <cell r="S59">
            <v>1531.1999999999998</v>
          </cell>
          <cell r="U59">
            <v>2362.4999999999991</v>
          </cell>
          <cell r="W59">
            <v>3426.9999999999991</v>
          </cell>
          <cell r="Y59">
            <v>4234.8999999999996</v>
          </cell>
          <cell r="AA59">
            <v>5301</v>
          </cell>
          <cell r="AC59">
            <v>5467.6345000000001</v>
          </cell>
          <cell r="AE59">
            <v>6024.24252837104</v>
          </cell>
          <cell r="AG59">
            <v>6561.5580806048583</v>
          </cell>
          <cell r="AI59">
            <v>6844.3819233177674</v>
          </cell>
          <cell r="AK59">
            <v>7203.7814496699866</v>
          </cell>
        </row>
        <row r="60">
          <cell r="B60" t="str">
            <v>EBIT * (1-tax)</v>
          </cell>
          <cell r="C60">
            <v>573.37117172969624</v>
          </cell>
          <cell r="E60">
            <v>550.09259483698941</v>
          </cell>
          <cell r="G60">
            <v>503.3153575025176</v>
          </cell>
          <cell r="I60">
            <v>639.25077418684384</v>
          </cell>
          <cell r="K60">
            <v>592.76497562108227</v>
          </cell>
          <cell r="M60">
            <v>838.03155831427625</v>
          </cell>
          <cell r="O60">
            <v>1045.2271995913677</v>
          </cell>
          <cell r="Q60">
            <v>1049.897867765633</v>
          </cell>
          <cell r="S60">
            <v>1016.7138943248531</v>
          </cell>
          <cell r="U60">
            <v>1683.8269035532987</v>
          </cell>
          <cell r="W60">
            <v>2440.2970281428247</v>
          </cell>
          <cell r="Y60">
            <v>3083.8713773645991</v>
          </cell>
          <cell r="AA60">
            <v>4007.8787821838005</v>
          </cell>
          <cell r="AC60">
            <v>4187.6740317983431</v>
          </cell>
          <cell r="AE60">
            <v>4608.5455342038458</v>
          </cell>
          <cell r="AG60">
            <v>5052.3997220657411</v>
          </cell>
          <cell r="AI60">
            <v>5304.39599057127</v>
          </cell>
          <cell r="AK60">
            <v>5586.5325142190741</v>
          </cell>
        </row>
        <row r="61">
          <cell r="B61" t="str">
            <v>Depreciation</v>
          </cell>
          <cell r="C61">
            <v>50.7</v>
          </cell>
          <cell r="E61">
            <v>74.5</v>
          </cell>
          <cell r="G61">
            <v>84.2</v>
          </cell>
          <cell r="I61">
            <v>100.3</v>
          </cell>
          <cell r="K61">
            <v>117.1</v>
          </cell>
          <cell r="M61">
            <v>143.80000000000001</v>
          </cell>
          <cell r="O61">
            <v>176.8</v>
          </cell>
          <cell r="Q61">
            <v>211.8</v>
          </cell>
          <cell r="S61">
            <v>265.89999999999998</v>
          </cell>
          <cell r="U61">
            <v>447.3</v>
          </cell>
          <cell r="W61">
            <v>686.5</v>
          </cell>
          <cell r="Y61">
            <v>734</v>
          </cell>
          <cell r="AA61">
            <v>841</v>
          </cell>
          <cell r="AC61">
            <v>772.04066666666665</v>
          </cell>
          <cell r="AE61">
            <v>1130.7377096774276</v>
          </cell>
          <cell r="AG61">
            <v>1349.0218220591833</v>
          </cell>
          <cell r="AI61">
            <v>1564.0573284190054</v>
          </cell>
          <cell r="AK61">
            <v>1824.087369245593</v>
          </cell>
        </row>
        <row r="62">
          <cell r="B62" t="str">
            <v>Cap Ex</v>
          </cell>
          <cell r="C62">
            <v>-209.9</v>
          </cell>
          <cell r="E62">
            <v>-130.80000000000001</v>
          </cell>
          <cell r="G62">
            <v>-162.69999999999999</v>
          </cell>
          <cell r="I62">
            <v>-266.89999999999998</v>
          </cell>
          <cell r="K62">
            <v>-387.8</v>
          </cell>
          <cell r="M62">
            <v>-407.8</v>
          </cell>
          <cell r="O62">
            <v>-304.2</v>
          </cell>
          <cell r="Q62">
            <v>-437.7</v>
          </cell>
          <cell r="S62">
            <v>-441.8</v>
          </cell>
          <cell r="U62">
            <v>-658.5</v>
          </cell>
          <cell r="W62">
            <v>-1356.8</v>
          </cell>
          <cell r="Y62">
            <v>-1336</v>
          </cell>
          <cell r="AA62">
            <v>-867</v>
          </cell>
          <cell r="AC62">
            <v>-1653.48</v>
          </cell>
          <cell r="AE62">
            <v>-1508.977822580707</v>
          </cell>
          <cell r="AG62">
            <v>-1637.1308428631664</v>
          </cell>
          <cell r="AI62">
            <v>-1612.7662976986658</v>
          </cell>
          <cell r="AK62">
            <v>-1950.2253061994086</v>
          </cell>
        </row>
        <row r="63">
          <cell r="B63" t="str">
            <v>Change to WC</v>
          </cell>
          <cell r="C63">
            <v>-38.9</v>
          </cell>
          <cell r="E63">
            <v>-15.100000000000001</v>
          </cell>
          <cell r="G63">
            <v>74</v>
          </cell>
          <cell r="I63">
            <v>-35.9</v>
          </cell>
          <cell r="K63">
            <v>136.80000000000001</v>
          </cell>
          <cell r="M63">
            <v>-4.2999999999999972</v>
          </cell>
          <cell r="O63">
            <v>-224.5</v>
          </cell>
          <cell r="Q63">
            <v>-120.70000000000002</v>
          </cell>
          <cell r="S63">
            <v>-99.4</v>
          </cell>
          <cell r="U63">
            <v>-249.60000000000002</v>
          </cell>
          <cell r="W63">
            <v>442.6</v>
          </cell>
          <cell r="Y63">
            <v>-375</v>
          </cell>
          <cell r="AA63">
            <v>10</v>
          </cell>
          <cell r="AC63">
            <v>-896.10421892857164</v>
          </cell>
          <cell r="AE63">
            <v>-228.14442589918781</v>
          </cell>
          <cell r="AG63">
            <v>-348.82458203561737</v>
          </cell>
          <cell r="AI63">
            <v>10.64580031759715</v>
          </cell>
          <cell r="AK63">
            <v>-46.53831528920216</v>
          </cell>
        </row>
        <row r="64">
          <cell r="B64" t="str">
            <v>Non-Cash Charges</v>
          </cell>
          <cell r="C64">
            <v>37.9</v>
          </cell>
          <cell r="E64">
            <v>152.80000000000001</v>
          </cell>
          <cell r="G64">
            <v>77.3</v>
          </cell>
          <cell r="I64">
            <v>78.400000000000006</v>
          </cell>
          <cell r="K64">
            <v>4.7000000000000028</v>
          </cell>
          <cell r="M64">
            <v>38.800000000000004</v>
          </cell>
          <cell r="O64">
            <v>26.6</v>
          </cell>
          <cell r="Q64">
            <v>28.4</v>
          </cell>
          <cell r="S64">
            <v>-50.500000000000014</v>
          </cell>
          <cell r="U64">
            <v>3191.4</v>
          </cell>
          <cell r="W64">
            <v>-90.6</v>
          </cell>
          <cell r="Y64">
            <v>772</v>
          </cell>
          <cell r="AA64">
            <v>71</v>
          </cell>
          <cell r="AC64">
            <v>-300</v>
          </cell>
          <cell r="AE64">
            <v>0</v>
          </cell>
          <cell r="AG64">
            <v>0</v>
          </cell>
          <cell r="AI64">
            <v>0</v>
          </cell>
          <cell r="AK64">
            <v>0</v>
          </cell>
        </row>
        <row r="65">
          <cell r="B65" t="str">
            <v>Tax Benefit from Stock Options</v>
          </cell>
          <cell r="C65">
            <v>0</v>
          </cell>
          <cell r="E65">
            <v>0</v>
          </cell>
          <cell r="G65">
            <v>0</v>
          </cell>
          <cell r="I65">
            <v>48.6</v>
          </cell>
          <cell r="K65">
            <v>54.7</v>
          </cell>
          <cell r="M65">
            <v>108.2</v>
          </cell>
          <cell r="O65">
            <v>151.80000000000001</v>
          </cell>
          <cell r="Q65">
            <v>376.6</v>
          </cell>
          <cell r="S65">
            <v>244.5</v>
          </cell>
          <cell r="U65">
            <v>251.6</v>
          </cell>
          <cell r="W65">
            <v>268.60000000000002</v>
          </cell>
          <cell r="Y65">
            <v>203</v>
          </cell>
          <cell r="AA65">
            <v>315</v>
          </cell>
          <cell r="AC65">
            <v>0</v>
          </cell>
          <cell r="AE65">
            <v>0</v>
          </cell>
          <cell r="AG65">
            <v>0</v>
          </cell>
          <cell r="AI65">
            <v>0</v>
          </cell>
          <cell r="AK65">
            <v>0</v>
          </cell>
        </row>
        <row r="66">
          <cell r="B66" t="str">
            <v>Free Cash Flow</v>
          </cell>
          <cell r="C66">
            <v>413.17117172969631</v>
          </cell>
          <cell r="E66">
            <v>631.49259483698938</v>
          </cell>
          <cell r="G66">
            <v>576.11535750251767</v>
          </cell>
          <cell r="I66">
            <v>563.75077418684384</v>
          </cell>
          <cell r="K66">
            <v>518.26497562108227</v>
          </cell>
          <cell r="M66">
            <v>716.7315583142763</v>
          </cell>
          <cell r="O66">
            <v>871.72719959136771</v>
          </cell>
          <cell r="Q66">
            <v>1108.2978677656329</v>
          </cell>
          <cell r="S66">
            <v>935.413894324853</v>
          </cell>
          <cell r="U66">
            <v>4666.0269035532992</v>
          </cell>
          <cell r="W66">
            <v>2390.5970281428249</v>
          </cell>
          <cell r="Y66">
            <v>3081.8713773645991</v>
          </cell>
          <cell r="AA66">
            <v>4377.8787821838005</v>
          </cell>
          <cell r="AC66">
            <v>2110.1304795364381</v>
          </cell>
          <cell r="AE66">
            <v>4002.1609954013784</v>
          </cell>
          <cell r="AG66">
            <v>4415.466119226141</v>
          </cell>
          <cell r="AI66">
            <v>5266.3328216092068</v>
          </cell>
          <cell r="AK66">
            <v>5413.8562619760569</v>
          </cell>
        </row>
        <row r="68">
          <cell r="B68" t="str">
            <v>CFO</v>
          </cell>
          <cell r="C68">
            <v>433</v>
          </cell>
          <cell r="E68">
            <v>531.9</v>
          </cell>
          <cell r="G68">
            <v>773.2</v>
          </cell>
          <cell r="I68">
            <v>871.19999999999993</v>
          </cell>
          <cell r="K68">
            <v>957.6</v>
          </cell>
          <cell r="M68">
            <v>1149.7</v>
          </cell>
          <cell r="O68">
            <v>1227.1000000000001</v>
          </cell>
          <cell r="Q68">
            <v>1634.6</v>
          </cell>
          <cell r="S68">
            <v>1480.1999999999998</v>
          </cell>
          <cell r="U68">
            <v>2248.8000000000002</v>
          </cell>
          <cell r="W68">
            <v>3566.5999999999995</v>
          </cell>
          <cell r="Y68">
            <v>3697</v>
          </cell>
          <cell r="AA68">
            <v>4911</v>
          </cell>
          <cell r="AC68">
            <v>3200.3196302380957</v>
          </cell>
          <cell r="AE68">
            <v>5355.1952532758032</v>
          </cell>
          <cell r="AG68">
            <v>5939.1116434991454</v>
          </cell>
          <cell r="AI68">
            <v>6842.4063049086362</v>
          </cell>
          <cell r="AK68">
            <v>7389.6899765144535</v>
          </cell>
        </row>
        <row r="69">
          <cell r="B69" t="str">
            <v>Cap Ex</v>
          </cell>
          <cell r="C69">
            <v>-209.9</v>
          </cell>
          <cell r="E69">
            <v>-130.80000000000001</v>
          </cell>
          <cell r="G69">
            <v>-162.69999999999999</v>
          </cell>
          <cell r="I69">
            <v>-266.89999999999998</v>
          </cell>
          <cell r="K69">
            <v>-387.8</v>
          </cell>
          <cell r="M69">
            <v>-407.8</v>
          </cell>
          <cell r="O69">
            <v>-304.2</v>
          </cell>
          <cell r="Q69">
            <v>-437.7</v>
          </cell>
          <cell r="S69">
            <v>-441.8</v>
          </cell>
          <cell r="U69">
            <v>-658.5</v>
          </cell>
          <cell r="W69">
            <v>-1356.8</v>
          </cell>
          <cell r="Y69">
            <v>-1336</v>
          </cell>
          <cell r="AA69">
            <v>-867</v>
          </cell>
          <cell r="AC69">
            <v>-1653.48</v>
          </cell>
          <cell r="AE69">
            <v>-1508.977822580707</v>
          </cell>
          <cell r="AG69">
            <v>-1637.1308428631664</v>
          </cell>
          <cell r="AI69">
            <v>-1612.7662976986658</v>
          </cell>
          <cell r="AK69">
            <v>-1950.2253061994086</v>
          </cell>
        </row>
        <row r="70">
          <cell r="AC70">
            <v>170.55674999999999</v>
          </cell>
          <cell r="AE70">
            <v>241.49308286250007</v>
          </cell>
          <cell r="AG70">
            <v>304.2759299385545</v>
          </cell>
          <cell r="AI70">
            <v>334.30929864953174</v>
          </cell>
          <cell r="AK70">
            <v>317.12642488736873</v>
          </cell>
        </row>
        <row r="71">
          <cell r="B71" t="str">
            <v>Free Cash Flow</v>
          </cell>
          <cell r="C71">
            <v>223.1</v>
          </cell>
          <cell r="E71">
            <v>401.09999999999997</v>
          </cell>
          <cell r="G71">
            <v>610.5</v>
          </cell>
          <cell r="I71">
            <v>604.29999999999995</v>
          </cell>
          <cell r="K71">
            <v>569.79999999999995</v>
          </cell>
          <cell r="M71">
            <v>741.90000000000009</v>
          </cell>
          <cell r="O71">
            <v>922.90000000000009</v>
          </cell>
          <cell r="Q71">
            <v>1196.8999999999999</v>
          </cell>
          <cell r="S71">
            <v>1038.3999999999999</v>
          </cell>
          <cell r="U71">
            <v>1590.3000000000002</v>
          </cell>
          <cell r="W71">
            <v>2209.7999999999993</v>
          </cell>
          <cell r="Y71">
            <v>2361</v>
          </cell>
          <cell r="AA71">
            <v>4044</v>
          </cell>
          <cell r="AC71">
            <v>1717.3963802380956</v>
          </cell>
          <cell r="AE71">
            <v>4087.7105135575966</v>
          </cell>
          <cell r="AG71">
            <v>4606.2567305745333</v>
          </cell>
          <cell r="AI71">
            <v>5563.9493058595026</v>
          </cell>
          <cell r="AK71">
            <v>5756.5910952024133</v>
          </cell>
        </row>
        <row r="76">
          <cell r="S76" t="str">
            <v>Cap Ex</v>
          </cell>
          <cell r="U76">
            <v>0.29282283884738525</v>
          </cell>
          <cell r="W76">
            <v>0.38041832557617905</v>
          </cell>
          <cell r="Y76">
            <v>0.36137408709764673</v>
          </cell>
          <cell r="AA76">
            <v>0.17654245571166768</v>
          </cell>
          <cell r="AC76">
            <v>0.51666089361111267</v>
          </cell>
          <cell r="AE76">
            <v>0.28177830148352795</v>
          </cell>
          <cell r="AG76">
            <v>0.27565247820440336</v>
          </cell>
          <cell r="AI76">
            <v>0.23570162685920773</v>
          </cell>
          <cell r="AK76">
            <v>0.26391165426391605</v>
          </cell>
        </row>
        <row r="77">
          <cell r="S77" t="str">
            <v>Repurchase</v>
          </cell>
          <cell r="U77">
            <v>0.63162575595873349</v>
          </cell>
          <cell r="W77">
            <v>0.50496270958335676</v>
          </cell>
          <cell r="Y77">
            <v>1.1014335948065999</v>
          </cell>
          <cell r="AA77">
            <v>0.90205660761555695</v>
          </cell>
          <cell r="AC77">
            <v>2.3677322503678342</v>
          </cell>
          <cell r="AE77">
            <v>0.61268681062431096</v>
          </cell>
          <cell r="AG77">
            <v>0.59802626334490316</v>
          </cell>
          <cell r="AI77">
            <v>0.56190227732474785</v>
          </cell>
          <cell r="AK77">
            <v>0.49280986273625083</v>
          </cell>
        </row>
        <row r="78">
          <cell r="S78" t="str">
            <v>Debt Repayment</v>
          </cell>
          <cell r="U78">
            <v>0</v>
          </cell>
          <cell r="W78">
            <v>3.4486625918241469E-2</v>
          </cell>
          <cell r="Y78">
            <v>0</v>
          </cell>
          <cell r="AA78">
            <v>0.23925880676033395</v>
          </cell>
          <cell r="AC78">
            <v>0</v>
          </cell>
          <cell r="AE78">
            <v>1.8673455452222668E-2</v>
          </cell>
          <cell r="AG78">
            <v>0</v>
          </cell>
          <cell r="AI78">
            <v>0.1458551210681614</v>
          </cell>
          <cell r="AK78">
            <v>0</v>
          </cell>
        </row>
        <row r="79">
          <cell r="S79" t="str">
            <v>M&amp;A</v>
          </cell>
          <cell r="U79">
            <v>0.84445037353255059</v>
          </cell>
          <cell r="W79">
            <v>0</v>
          </cell>
          <cell r="Y79">
            <v>-3.1106302407357317E-2</v>
          </cell>
          <cell r="AA79">
            <v>0</v>
          </cell>
          <cell r="AC79">
            <v>0.68743133629947006</v>
          </cell>
          <cell r="AE79">
            <v>0</v>
          </cell>
          <cell r="AG79">
            <v>0</v>
          </cell>
          <cell r="AI79">
            <v>0</v>
          </cell>
          <cell r="AK79">
            <v>0</v>
          </cell>
        </row>
      </sheetData>
      <sheetData sheetId="10" refreshError="1"/>
      <sheetData sheetId="11" refreshError="1"/>
      <sheetData sheetId="12" refreshError="1"/>
      <sheetData sheetId="13" refreshError="1"/>
      <sheetData sheetId="14" refreshError="1">
        <row r="1">
          <cell r="A1" t="str">
            <v>US Sales ($M)</v>
          </cell>
          <cell r="B1" t="str">
            <v xml:space="preserve">Aranesp </v>
          </cell>
          <cell r="C1" t="str">
            <v xml:space="preserve">YoY </v>
          </cell>
          <cell r="D1" t="str">
            <v>Aranesp  Share</v>
          </cell>
          <cell r="E1" t="str">
            <v xml:space="preserve">Procrit </v>
          </cell>
          <cell r="F1" t="str">
            <v xml:space="preserve">YoY </v>
          </cell>
          <cell r="G1" t="str">
            <v>Total ($M)</v>
          </cell>
          <cell r="H1" t="str">
            <v xml:space="preserve">YoY </v>
          </cell>
        </row>
        <row r="2">
          <cell r="A2" t="str">
            <v>4Q02A</v>
          </cell>
          <cell r="B2">
            <v>150</v>
          </cell>
          <cell r="D2">
            <v>0.15739769150052466</v>
          </cell>
          <cell r="E2">
            <v>803</v>
          </cell>
          <cell r="G2">
            <v>953</v>
          </cell>
        </row>
        <row r="3">
          <cell r="A3" t="str">
            <v>2002A</v>
          </cell>
          <cell r="B3">
            <v>150</v>
          </cell>
          <cell r="D3">
            <v>4.7110552763819098E-2</v>
          </cell>
          <cell r="E3">
            <v>3034</v>
          </cell>
          <cell r="G3">
            <v>3184</v>
          </cell>
        </row>
        <row r="4">
          <cell r="A4" t="str">
            <v>1Q03A</v>
          </cell>
          <cell r="B4">
            <v>157.9</v>
          </cell>
          <cell r="D4">
            <v>0.1792484958565104</v>
          </cell>
          <cell r="E4">
            <v>723</v>
          </cell>
          <cell r="G4">
            <v>880.9</v>
          </cell>
        </row>
        <row r="5">
          <cell r="A5" t="str">
            <v>2Q03A</v>
          </cell>
          <cell r="B5">
            <v>216.6</v>
          </cell>
          <cell r="D5">
            <v>0.23451710697271544</v>
          </cell>
          <cell r="E5">
            <v>707</v>
          </cell>
          <cell r="G5">
            <v>923.6</v>
          </cell>
        </row>
        <row r="6">
          <cell r="A6" t="str">
            <v>3Q03A</v>
          </cell>
          <cell r="B6">
            <v>283.89999999999998</v>
          </cell>
          <cell r="D6">
            <v>0.28766845678386865</v>
          </cell>
          <cell r="E6">
            <v>703</v>
          </cell>
          <cell r="G6">
            <v>986.9</v>
          </cell>
        </row>
        <row r="7">
          <cell r="A7" t="str">
            <v>4Q03A</v>
          </cell>
          <cell r="B7">
            <v>321.5</v>
          </cell>
          <cell r="C7">
            <v>1.1433333333333335</v>
          </cell>
          <cell r="D7">
            <v>0.32392947103274561</v>
          </cell>
          <cell r="E7">
            <v>671</v>
          </cell>
          <cell r="F7">
            <v>-0.16438356164383561</v>
          </cell>
          <cell r="G7">
            <v>992.5</v>
          </cell>
          <cell r="H7">
            <v>4.1448058761804907E-2</v>
          </cell>
        </row>
        <row r="8">
          <cell r="A8" t="str">
            <v>2003A</v>
          </cell>
          <cell r="B8">
            <v>979.9</v>
          </cell>
          <cell r="C8">
            <v>5.5326666666666666</v>
          </cell>
          <cell r="D8">
            <v>0.25896561748460584</v>
          </cell>
          <cell r="E8">
            <v>2804</v>
          </cell>
          <cell r="F8">
            <v>-7.5807514831905065E-2</v>
          </cell>
          <cell r="G8">
            <v>3783.9</v>
          </cell>
          <cell r="H8">
            <v>0.18841080402010046</v>
          </cell>
        </row>
        <row r="9">
          <cell r="A9" t="str">
            <v>1Q04A</v>
          </cell>
          <cell r="B9">
            <v>329.6</v>
          </cell>
          <cell r="C9">
            <v>1.0873970867637746</v>
          </cell>
          <cell r="D9">
            <v>0.32389937106918243</v>
          </cell>
          <cell r="E9">
            <v>688</v>
          </cell>
          <cell r="F9">
            <v>-4.8409405255878335E-2</v>
          </cell>
          <cell r="G9">
            <v>1017.6</v>
          </cell>
          <cell r="H9">
            <v>0.15518220002270411</v>
          </cell>
        </row>
        <row r="10">
          <cell r="A10" t="str">
            <v>2Q04A</v>
          </cell>
          <cell r="B10">
            <v>380.7</v>
          </cell>
          <cell r="C10">
            <v>0.75761772853185594</v>
          </cell>
          <cell r="D10">
            <v>0.3954502960423808</v>
          </cell>
          <cell r="E10">
            <v>582</v>
          </cell>
          <cell r="F10">
            <v>-0.1768033946251768</v>
          </cell>
          <cell r="G10">
            <v>962.7</v>
          </cell>
          <cell r="H10">
            <v>4.2334343871806013E-2</v>
          </cell>
        </row>
        <row r="11">
          <cell r="A11" t="str">
            <v>3Q04A</v>
          </cell>
          <cell r="B11">
            <v>374</v>
          </cell>
          <cell r="C11">
            <v>0.31736526946107801</v>
          </cell>
          <cell r="D11">
            <v>0.3789260385005066</v>
          </cell>
          <cell r="E11">
            <v>613</v>
          </cell>
          <cell r="F11">
            <v>-0.12802275960170695</v>
          </cell>
          <cell r="G11">
            <v>987</v>
          </cell>
          <cell r="H11">
            <v>1.0132738879331527E-4</v>
          </cell>
        </row>
        <row r="12">
          <cell r="A12" t="str">
            <v>4Q04A</v>
          </cell>
          <cell r="B12">
            <v>424</v>
          </cell>
          <cell r="C12">
            <v>0.3188180404354588</v>
          </cell>
          <cell r="D12">
            <v>0.42315369261477048</v>
          </cell>
          <cell r="E12">
            <v>578</v>
          </cell>
          <cell r="F12">
            <v>-0.13859910581222057</v>
          </cell>
          <cell r="G12">
            <v>1002</v>
          </cell>
          <cell r="H12">
            <v>9.5717884130981368E-3</v>
          </cell>
        </row>
        <row r="13">
          <cell r="A13" t="str">
            <v>2004A</v>
          </cell>
          <cell r="B13">
            <v>1533.3</v>
          </cell>
          <cell r="C13">
            <v>0.56475150525563822</v>
          </cell>
          <cell r="D13">
            <v>0.38387201762511575</v>
          </cell>
          <cell r="E13">
            <v>2461</v>
          </cell>
          <cell r="F13">
            <v>-0.12232524964336666</v>
          </cell>
          <cell r="G13">
            <v>3994.3</v>
          </cell>
          <cell r="H13">
            <v>5.5604006448373378E-2</v>
          </cell>
        </row>
        <row r="14">
          <cell r="A14" t="str">
            <v>1Q05A</v>
          </cell>
          <cell r="B14">
            <v>447</v>
          </cell>
          <cell r="C14">
            <v>0.3561893203883495</v>
          </cell>
          <cell r="D14">
            <v>0.44169960474308301</v>
          </cell>
          <cell r="E14">
            <v>565</v>
          </cell>
          <cell r="F14">
            <v>-0.17877906976744184</v>
          </cell>
          <cell r="G14">
            <v>1012</v>
          </cell>
          <cell r="H14">
            <v>-5.5031446540880768E-3</v>
          </cell>
        </row>
        <row r="15">
          <cell r="A15" t="str">
            <v>2Q05A</v>
          </cell>
          <cell r="B15">
            <v>536</v>
          </cell>
          <cell r="C15">
            <v>0.40793275545048591</v>
          </cell>
          <cell r="D15">
            <v>0.48638838475499091</v>
          </cell>
          <cell r="E15">
            <v>566</v>
          </cell>
          <cell r="F15">
            <v>-2.7491408934707917E-2</v>
          </cell>
          <cell r="G15">
            <v>1102</v>
          </cell>
          <cell r="H15">
            <v>0.14469720577542322</v>
          </cell>
        </row>
        <row r="16">
          <cell r="A16" t="str">
            <v>3Q05A</v>
          </cell>
          <cell r="B16">
            <v>542</v>
          </cell>
          <cell r="C16">
            <v>0.44919786096256686</v>
          </cell>
          <cell r="D16">
            <v>0.48522829006266788</v>
          </cell>
          <cell r="E16">
            <v>575</v>
          </cell>
          <cell r="F16">
            <v>-6.1990212071778128E-2</v>
          </cell>
          <cell r="G16">
            <v>1117</v>
          </cell>
          <cell r="H16">
            <v>0.13171225937183384</v>
          </cell>
        </row>
        <row r="17">
          <cell r="A17" t="str">
            <v>4Q05A</v>
          </cell>
          <cell r="B17">
            <v>579</v>
          </cell>
          <cell r="C17">
            <v>0.36556603773584895</v>
          </cell>
          <cell r="D17">
            <v>0.51742627345844505</v>
          </cell>
          <cell r="E17">
            <v>540</v>
          </cell>
          <cell r="F17">
            <v>-6.5743944636678209E-2</v>
          </cell>
          <cell r="G17">
            <v>1119</v>
          </cell>
          <cell r="H17">
            <v>0.11676646706586835</v>
          </cell>
        </row>
        <row r="18">
          <cell r="A18" t="str">
            <v>2005A</v>
          </cell>
          <cell r="B18">
            <v>2104</v>
          </cell>
          <cell r="C18">
            <v>0.37220374355964259</v>
          </cell>
          <cell r="D18">
            <v>0.48367816091954025</v>
          </cell>
          <cell r="E18">
            <v>2246</v>
          </cell>
          <cell r="F18">
            <v>-8.7362860625761929E-2</v>
          </cell>
          <cell r="G18">
            <v>4350</v>
          </cell>
          <cell r="H18">
            <v>8.9051898956012288E-2</v>
          </cell>
        </row>
        <row r="19">
          <cell r="A19" t="str">
            <v>1Q06A</v>
          </cell>
          <cell r="B19">
            <v>596</v>
          </cell>
          <cell r="C19">
            <v>0.33333333333333326</v>
          </cell>
          <cell r="D19">
            <v>0.53072128227960824</v>
          </cell>
          <cell r="E19">
            <v>527</v>
          </cell>
          <cell r="F19">
            <v>-6.7256637168141564E-2</v>
          </cell>
          <cell r="G19">
            <v>1123</v>
          </cell>
          <cell r="H19">
            <v>0.10968379446640308</v>
          </cell>
        </row>
        <row r="20">
          <cell r="A20" t="str">
            <v>2Q06E</v>
          </cell>
          <cell r="B20">
            <v>645</v>
          </cell>
          <cell r="C20">
            <v>0.20335820895522394</v>
          </cell>
          <cell r="D20">
            <v>0.54020100502512558</v>
          </cell>
          <cell r="E20">
            <v>549</v>
          </cell>
          <cell r="F20">
            <v>-3.0035335689045928E-2</v>
          </cell>
          <cell r="G20">
            <v>1194</v>
          </cell>
          <cell r="H20">
            <v>8.3484573502722315E-2</v>
          </cell>
        </row>
        <row r="21">
          <cell r="A21" t="str">
            <v>3Q06E</v>
          </cell>
          <cell r="B21">
            <v>665</v>
          </cell>
          <cell r="C21">
            <v>0.22693726937269365</v>
          </cell>
          <cell r="D21">
            <v>0.53115015974440893</v>
          </cell>
          <cell r="E21">
            <v>587</v>
          </cell>
          <cell r="F21">
            <v>2.0869565217391362E-2</v>
          </cell>
          <cell r="G21">
            <v>1252</v>
          </cell>
          <cell r="H21">
            <v>0.12085944494180834</v>
          </cell>
        </row>
        <row r="22">
          <cell r="A22" t="str">
            <v>4Q06E</v>
          </cell>
          <cell r="B22">
            <v>690</v>
          </cell>
          <cell r="C22">
            <v>0.19170984455958551</v>
          </cell>
          <cell r="D22">
            <v>0.56097560975609762</v>
          </cell>
          <cell r="E22">
            <v>540</v>
          </cell>
          <cell r="F22">
            <v>0</v>
          </cell>
          <cell r="G22">
            <v>1230</v>
          </cell>
          <cell r="H22">
            <v>9.9195710455764141E-2</v>
          </cell>
        </row>
        <row r="23">
          <cell r="A23" t="str">
            <v>2006E</v>
          </cell>
          <cell r="B23">
            <v>2596</v>
          </cell>
          <cell r="C23">
            <v>0.23384030418250945</v>
          </cell>
          <cell r="D23">
            <v>0.54094603042300482</v>
          </cell>
          <cell r="E23">
            <v>2203</v>
          </cell>
          <cell r="F23">
            <v>-1.9145146927871726E-2</v>
          </cell>
          <cell r="G23">
            <v>4799</v>
          </cell>
          <cell r="H23">
            <v>0.1032183908045976</v>
          </cell>
        </row>
        <row r="24">
          <cell r="A24" t="str">
            <v>2007E</v>
          </cell>
          <cell r="B24">
            <v>2975</v>
          </cell>
          <cell r="C24">
            <v>0.14599383667180277</v>
          </cell>
          <cell r="D24">
            <v>0.60198300283286121</v>
          </cell>
          <cell r="E24">
            <v>1967</v>
          </cell>
          <cell r="F24">
            <v>-0.10712664548343165</v>
          </cell>
          <cell r="G24">
            <v>4942</v>
          </cell>
          <cell r="H24">
            <v>2.97978745571994E-2</v>
          </cell>
        </row>
        <row r="25">
          <cell r="A25" t="str">
            <v>2008E</v>
          </cell>
          <cell r="B25">
            <v>3300</v>
          </cell>
          <cell r="C25">
            <v>0.10924369747899165</v>
          </cell>
          <cell r="D25">
            <v>0.65075921908893708</v>
          </cell>
          <cell r="E25">
            <v>1771</v>
          </cell>
          <cell r="F25">
            <v>-9.9644128113879016E-2</v>
          </cell>
          <cell r="G25">
            <v>5071</v>
          </cell>
          <cell r="H25">
            <v>2.6102792391744289E-2</v>
          </cell>
        </row>
        <row r="26">
          <cell r="A26" t="str">
            <v>2009E</v>
          </cell>
          <cell r="B26">
            <v>3600</v>
          </cell>
          <cell r="C26">
            <v>9.0909090909090828E-2</v>
          </cell>
          <cell r="D26">
            <v>0.69310743165190603</v>
          </cell>
          <cell r="E26">
            <v>1594</v>
          </cell>
          <cell r="F26">
            <v>-9.9943534726143368E-2</v>
          </cell>
          <cell r="G26">
            <v>5194</v>
          </cell>
          <cell r="H26">
            <v>2.4255570893314982E-2</v>
          </cell>
        </row>
      </sheetData>
      <sheetData sheetId="15" refreshError="1"/>
      <sheetData sheetId="16" refreshError="1"/>
      <sheetData sheetId="17"/>
      <sheetData sheetId="18" refreshError="1">
        <row r="1">
          <cell r="C1" t="str">
            <v>At Risk
for FN</v>
          </cell>
          <cell r="D1" t="str">
            <v>Treated Front-line</v>
          </cell>
          <cell r="E1" t="str">
            <v>Untreated
Front-line</v>
          </cell>
        </row>
        <row r="2">
          <cell r="B2" t="str">
            <v>Breast Cancer</v>
          </cell>
          <cell r="C2">
            <v>117000</v>
          </cell>
          <cell r="D2">
            <v>30420</v>
          </cell>
          <cell r="E2">
            <v>86580</v>
          </cell>
          <cell r="G2" t="str">
            <v>US</v>
          </cell>
          <cell r="H2" t="str">
            <v>1Q04</v>
          </cell>
          <cell r="I2" t="str">
            <v>2Q04</v>
          </cell>
          <cell r="J2" t="str">
            <v>3Q04</v>
          </cell>
          <cell r="L2" t="str">
            <v>n= 411</v>
          </cell>
          <cell r="M2" t="str">
            <v>AMG 162</v>
          </cell>
          <cell r="N2" t="str">
            <v>Fosamax</v>
          </cell>
          <cell r="O2" t="str">
            <v>Placebo</v>
          </cell>
        </row>
        <row r="3">
          <cell r="B3" t="str">
            <v>Lung Cancer</v>
          </cell>
          <cell r="C3">
            <v>138000</v>
          </cell>
          <cell r="D3">
            <v>11040</v>
          </cell>
          <cell r="E3">
            <v>126960</v>
          </cell>
          <cell r="G3" t="str">
            <v>Aranesp</v>
          </cell>
          <cell r="H3">
            <v>0.37</v>
          </cell>
          <cell r="I3">
            <v>0.39</v>
          </cell>
          <cell r="J3">
            <v>0.43</v>
          </cell>
          <cell r="L3" t="str">
            <v>BMD (6 months)</v>
          </cell>
          <cell r="M3" t="str">
            <v>+4-5%</v>
          </cell>
          <cell r="N3" t="str">
            <v>+5%</v>
          </cell>
        </row>
        <row r="4">
          <cell r="G4" t="str">
            <v>Procrit</v>
          </cell>
          <cell r="H4">
            <v>0.63</v>
          </cell>
          <cell r="I4">
            <v>0.61</v>
          </cell>
          <cell r="J4">
            <v>0.56999999999999995</v>
          </cell>
          <cell r="L4" t="str">
            <v>BMD (12 months)</v>
          </cell>
          <cell r="M4" t="str">
            <v>+4-7%</v>
          </cell>
          <cell r="N4" t="str">
            <v>+5%</v>
          </cell>
          <cell r="O4">
            <v>0.01</v>
          </cell>
          <cell r="S4" t="str">
            <v>Patent</v>
          </cell>
          <cell r="T4" t="str">
            <v>Date Issued</v>
          </cell>
          <cell r="U4" t="str">
            <v>Description*</v>
          </cell>
          <cell r="V4" t="str">
            <v>Status</v>
          </cell>
        </row>
        <row r="5">
          <cell r="L5" t="str">
            <v>Dyspepsia</v>
          </cell>
          <cell r="M5">
            <v>0.05</v>
          </cell>
          <cell r="N5">
            <v>0.2</v>
          </cell>
          <cell r="O5">
            <v>0.04</v>
          </cell>
          <cell r="S5" t="str">
            <v>'422</v>
          </cell>
          <cell r="T5">
            <v>36424</v>
          </cell>
          <cell r="U5" t="str">
            <v>Composition of therapeutically effective amount of erythropoietin</v>
          </cell>
          <cell r="V5" t="str">
            <v>Previously found to be valid and infringed upon</v>
          </cell>
        </row>
        <row r="6">
          <cell r="S6" t="str">
            <v>'080</v>
          </cell>
          <cell r="T6">
            <v>35535</v>
          </cell>
          <cell r="U6" t="str">
            <v>Erythropoietin product and manufacturing process</v>
          </cell>
          <cell r="V6" t="str">
            <v>Previously found to be valid and infringed upon</v>
          </cell>
        </row>
        <row r="7">
          <cell r="S7" t="str">
            <v>'698</v>
          </cell>
          <cell r="T7">
            <v>35521</v>
          </cell>
          <cell r="U7" t="str">
            <v>Preparation process of erythropoietin product active in vivo</v>
          </cell>
          <cell r="V7" t="str">
            <v>Found to be valid and infringed upon today</v>
          </cell>
        </row>
        <row r="8">
          <cell r="M8" t="str">
            <v>AMG 162</v>
          </cell>
          <cell r="N8" t="str">
            <v>Fosamax</v>
          </cell>
          <cell r="O8" t="str">
            <v>Placebo</v>
          </cell>
          <cell r="P8" t="str">
            <v>p-value 
(AMG162 vs. Fosomax)</v>
          </cell>
          <cell r="S8" t="str">
            <v>'349</v>
          </cell>
          <cell r="T8">
            <v>35916</v>
          </cell>
          <cell r="U8" t="str">
            <v>Use of vertebrae cells to produce erythropoietin products</v>
          </cell>
          <cell r="V8" t="str">
            <v>Found to be valid and infringed upon today</v>
          </cell>
        </row>
        <row r="9">
          <cell r="L9" t="str">
            <v>Lumbar Spine</v>
          </cell>
          <cell r="M9" t="str">
            <v>+5%</v>
          </cell>
          <cell r="N9" t="str">
            <v>+5%</v>
          </cell>
          <cell r="O9" t="str">
            <v>-1%</v>
          </cell>
          <cell r="P9" t="str">
            <v>NS</v>
          </cell>
          <cell r="S9" t="str">
            <v>Note:  * Broadest claim</v>
          </cell>
        </row>
        <row r="10">
          <cell r="L10" t="str">
            <v>Hip</v>
          </cell>
          <cell r="M10" t="str">
            <v>+3%</v>
          </cell>
          <cell r="N10" t="str">
            <v>+2%</v>
          </cell>
          <cell r="O10" t="str">
            <v>-1%</v>
          </cell>
          <cell r="P10" t="str">
            <v>p=0.01</v>
          </cell>
        </row>
        <row r="11">
          <cell r="L11" t="str">
            <v>Distal radius</v>
          </cell>
          <cell r="M11" t="str">
            <v>+1.2%</v>
          </cell>
          <cell r="N11" t="str">
            <v>0%</v>
          </cell>
          <cell r="O11" t="str">
            <v>-2%</v>
          </cell>
          <cell r="P11" t="str">
            <v>p&lt;0.01</v>
          </cell>
        </row>
      </sheetData>
      <sheetData sheetId="19" refreshError="1">
        <row r="4">
          <cell r="B4" t="str">
            <v>(For Marketing Pack)</v>
          </cell>
        </row>
        <row r="6">
          <cell r="D6" t="str">
            <v>2004A</v>
          </cell>
          <cell r="F6" t="str">
            <v>2005A</v>
          </cell>
          <cell r="H6" t="str">
            <v>2006E</v>
          </cell>
          <cell r="J6" t="str">
            <v>2007E</v>
          </cell>
        </row>
        <row r="7">
          <cell r="B7" t="str">
            <v>Epogen</v>
          </cell>
          <cell r="D7">
            <v>2600.6</v>
          </cell>
          <cell r="F7">
            <v>2455</v>
          </cell>
          <cell r="H7">
            <v>2514</v>
          </cell>
          <cell r="J7">
            <v>2572.1174973954289</v>
          </cell>
        </row>
        <row r="8">
          <cell r="B8" t="str">
            <v>Aranesp</v>
          </cell>
          <cell r="D8">
            <v>2472.9</v>
          </cell>
          <cell r="F8">
            <v>3273</v>
          </cell>
          <cell r="H8">
            <v>3913</v>
          </cell>
          <cell r="J8">
            <v>4350</v>
          </cell>
        </row>
        <row r="9">
          <cell r="B9" t="str">
            <v>Neulasta</v>
          </cell>
          <cell r="D9">
            <v>1739.6</v>
          </cell>
          <cell r="F9">
            <v>2288</v>
          </cell>
          <cell r="H9">
            <v>2603</v>
          </cell>
          <cell r="J9">
            <v>2889.3300000000004</v>
          </cell>
        </row>
        <row r="10">
          <cell r="B10" t="str">
            <v>Enbrel</v>
          </cell>
          <cell r="D10">
            <v>1900.3</v>
          </cell>
          <cell r="F10">
            <v>2573</v>
          </cell>
          <cell r="H10">
            <v>2793</v>
          </cell>
          <cell r="J10">
            <v>3016.8307284116399</v>
          </cell>
        </row>
        <row r="11">
          <cell r="B11" t="str">
            <v>EPS</v>
          </cell>
          <cell r="D11">
            <v>2.36950115525927</v>
          </cell>
          <cell r="F11">
            <v>3.2027027027027026</v>
          </cell>
          <cell r="H11">
            <v>3.6698689952539394</v>
          </cell>
          <cell r="J11">
            <v>4.1013211403748855</v>
          </cell>
        </row>
        <row r="12">
          <cell r="B12" t="str">
            <v>Consensus</v>
          </cell>
          <cell r="D12">
            <v>2.41</v>
          </cell>
          <cell r="F12">
            <v>3.21</v>
          </cell>
          <cell r="H12">
            <v>3.64</v>
          </cell>
          <cell r="J12">
            <v>4.13</v>
          </cell>
        </row>
      </sheetData>
      <sheetData sheetId="20" refreshError="1"/>
      <sheetData sheetId="21" refreshError="1"/>
      <sheetData sheetId="22" refreshError="1"/>
      <sheetData sheetId="23" refreshError="1"/>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2"/>
      <sheetName val="UPDATE"/>
    </sheetNames>
    <definedNames>
      <definedName name="cmdOK2_click"/>
    </defined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Print Menu"/>
      <sheetName val="Input"/>
      <sheetName val="Coverage Univers (NEW RATINGS)"/>
      <sheetName val="Life Science Tools Valuation"/>
      <sheetName val="Spec. Distr Valuation"/>
      <sheetName val="Disclosure (w. ACDO)"/>
      <sheetName val="ROC"/>
      <sheetName val="Coverage Univers (w acdo)"/>
      <sheetName val="Reagents &amp; Tools"/>
      <sheetName val="Reagents"/>
      <sheetName val="Reagents (2)"/>
      <sheetName val="Tools"/>
      <sheetName val="STREET vs. Our estimates"/>
      <sheetName val="Distr "/>
      <sheetName val="Summary (3)"/>
      <sheetName val="Showcase"/>
      <sheetName val="Summary"/>
      <sheetName val="Summary2"/>
      <sheetName val="Summary (2)"/>
      <sheetName val="Coverage Univers"/>
      <sheetName val="Summary2 (2)"/>
      <sheetName val="NonProfitable_Sum"/>
      <sheetName val="NonProfitable_Sum2"/>
      <sheetName val="Profile - Profitable"/>
      <sheetName val="Profile - Profitable 2"/>
      <sheetName val="Profile - NonProfitable"/>
      <sheetName val="Profile - NonProfitable 2"/>
      <sheetName val="Val Input"/>
      <sheetName val="Price Matx"/>
      <sheetName val="Public Val1"/>
      <sheetName val="Public Val Calc"/>
      <sheetName val="Public Val2"/>
      <sheetName val="Public Grph1"/>
      <sheetName val="Public Grph2"/>
      <sheetName val="MA Val1"/>
      <sheetName val="MA Val Calc"/>
      <sheetName val="MA Val2"/>
      <sheetName val="MA Grph1"/>
      <sheetName val="MA Grph2"/>
      <sheetName val="Estm"/>
      <sheetName val="__FDSCACHE__"/>
      <sheetName val="Rev_Estm"/>
      <sheetName val="Rank Menu"/>
      <sheetName val="Macros"/>
      <sheetName val="Macro-Print"/>
      <sheetName val="Macro-Rank"/>
      <sheetName val="Rank1"/>
      <sheetName val="Rank2"/>
      <sheetName val="Rank3"/>
      <sheetName val="Rank4"/>
      <sheetName val="Rank Work"/>
      <sheetName val="Graph_Ranker_Main"/>
      <sheetName val="Graphs_1,2"/>
      <sheetName val="CheckWork"/>
    </sheetNames>
    <sheetDataSet>
      <sheetData sheetId="0" refreshError="1"/>
      <sheetData sheetId="1" refreshError="1"/>
      <sheetData sheetId="2" refreshError="1">
        <row r="6">
          <cell r="H6" t="str">
            <v>IVGN</v>
          </cell>
          <cell r="I6" t="str">
            <v>QGENF</v>
          </cell>
          <cell r="J6" t="str">
            <v>TECH</v>
          </cell>
          <cell r="K6" t="str">
            <v>BIO</v>
          </cell>
          <cell r="L6" t="str">
            <v>AFFX</v>
          </cell>
          <cell r="M6" t="str">
            <v>ABI</v>
          </cell>
          <cell r="N6" t="str">
            <v>MTD</v>
          </cell>
          <cell r="O6" t="str">
            <v>MDCC</v>
          </cell>
          <cell r="P6" t="str">
            <v>PKI</v>
          </cell>
          <cell r="Q6" t="str">
            <v>TMO</v>
          </cell>
          <cell r="R6" t="str">
            <v>VARI</v>
          </cell>
          <cell r="S6" t="str">
            <v>WAT</v>
          </cell>
          <cell r="U6" t="str">
            <v>VMSI</v>
          </cell>
          <cell r="V6" t="str">
            <v>ACDO</v>
          </cell>
          <cell r="W6" t="str">
            <v>IVGN</v>
          </cell>
          <cell r="X6" t="str">
            <v>MIL</v>
          </cell>
          <cell r="Y6" t="str">
            <v>PHCC</v>
          </cell>
          <cell r="AB6" t="str">
            <v>ABC</v>
          </cell>
          <cell r="AC6" t="str">
            <v>OMI</v>
          </cell>
          <cell r="AD6" t="str">
            <v>LOOKUP</v>
          </cell>
          <cell r="AE6" t="str">
            <v>PSSI</v>
          </cell>
          <cell r="AF6" t="str">
            <v>HSIC</v>
          </cell>
          <cell r="AG6" t="str">
            <v>SCOR</v>
          </cell>
          <cell r="AK6" t="str">
            <v>FSH</v>
          </cell>
          <cell r="AL6" t="str">
            <v>MCK</v>
          </cell>
          <cell r="AM6" t="str">
            <v>SIAL</v>
          </cell>
          <cell r="AN6" t="str">
            <v>CHMD</v>
          </cell>
          <cell r="AO6" t="str">
            <v>LOOKUP</v>
          </cell>
          <cell r="AR6" t="str">
            <v>PDCO</v>
          </cell>
          <cell r="AV6" t="str">
            <v>CAH</v>
          </cell>
        </row>
        <row r="7">
          <cell r="H7" t="str">
            <v>IVGN</v>
          </cell>
          <cell r="I7" t="str">
            <v>QGENF</v>
          </cell>
          <cell r="J7" t="str">
            <v>TECH</v>
          </cell>
          <cell r="K7" t="str">
            <v>BIO</v>
          </cell>
          <cell r="L7" t="str">
            <v>AFFX</v>
          </cell>
          <cell r="M7" t="str">
            <v>ABI</v>
          </cell>
          <cell r="N7" t="str">
            <v>MTD</v>
          </cell>
          <cell r="O7" t="str">
            <v>MDCC</v>
          </cell>
          <cell r="P7" t="str">
            <v>PKI</v>
          </cell>
          <cell r="Q7" t="str">
            <v>TMO</v>
          </cell>
          <cell r="R7" t="str">
            <v>VARI</v>
          </cell>
          <cell r="S7" t="str">
            <v>WAT</v>
          </cell>
          <cell r="U7" t="str">
            <v>VMSI</v>
          </cell>
          <cell r="V7" t="str">
            <v>ACDO</v>
          </cell>
          <cell r="W7" t="str">
            <v>IVGN</v>
          </cell>
          <cell r="X7" t="str">
            <v>MIL</v>
          </cell>
          <cell r="Y7" t="str">
            <v>PHCC</v>
          </cell>
          <cell r="Z7" t="str">
            <v>BBC</v>
          </cell>
          <cell r="AA7" t="str">
            <v>AAS</v>
          </cell>
          <cell r="AB7" t="str">
            <v>ABC</v>
          </cell>
          <cell r="AC7" t="str">
            <v>OMI</v>
          </cell>
          <cell r="AD7" t="str">
            <v>TICKER</v>
          </cell>
          <cell r="AE7" t="str">
            <v>PSSI</v>
          </cell>
          <cell r="AF7" t="str">
            <v>HSIC</v>
          </cell>
          <cell r="AG7" t="str">
            <v>SCOR</v>
          </cell>
          <cell r="AH7" t="str">
            <v>ACDO</v>
          </cell>
          <cell r="AI7" t="str">
            <v>GTIV</v>
          </cell>
          <cell r="AK7" t="str">
            <v>FSH</v>
          </cell>
          <cell r="AL7" t="str">
            <v>MCK</v>
          </cell>
          <cell r="AM7" t="str">
            <v>SIAL</v>
          </cell>
          <cell r="AN7" t="str">
            <v>CHMD</v>
          </cell>
          <cell r="AO7" t="str">
            <v>TICKER</v>
          </cell>
          <cell r="AP7" t="str">
            <v>PDCO</v>
          </cell>
          <cell r="AR7" t="str">
            <v>PDCO</v>
          </cell>
          <cell r="AS7" t="str">
            <v>SCOR</v>
          </cell>
          <cell r="AT7" t="str">
            <v>BLPG</v>
          </cell>
          <cell r="AU7" t="str">
            <v>CAH</v>
          </cell>
          <cell r="AV7" t="str">
            <v>CAH</v>
          </cell>
        </row>
        <row r="8">
          <cell r="H8" t="str">
            <v>Invitrogen</v>
          </cell>
          <cell r="I8" t="str">
            <v>QIAGEN NV</v>
          </cell>
          <cell r="J8" t="str">
            <v>TECHNE</v>
          </cell>
          <cell r="K8" t="str">
            <v>Bio-Rad Laboratories</v>
          </cell>
          <cell r="L8" t="str">
            <v>Affymetrix</v>
          </cell>
          <cell r="M8" t="str">
            <v>Applied Biosystems*</v>
          </cell>
          <cell r="N8" t="str">
            <v>Mettler Toledo*</v>
          </cell>
          <cell r="O8" t="str">
            <v>Molecular Devices*</v>
          </cell>
          <cell r="P8" t="str">
            <v>PerkinElmer</v>
          </cell>
          <cell r="Q8" t="str">
            <v>Thermo Electron</v>
          </cell>
          <cell r="R8" t="str">
            <v>Varian</v>
          </cell>
          <cell r="S8" t="str">
            <v>Waters*</v>
          </cell>
          <cell r="U8" t="str">
            <v>Ventana Medical Systems, Inc.</v>
          </cell>
          <cell r="V8" t="str">
            <v>Accredo Health, Inc.*</v>
          </cell>
          <cell r="W8" t="str">
            <v>Invitrogen Corporation</v>
          </cell>
          <cell r="X8" t="str">
            <v>Millipore Corporation</v>
          </cell>
          <cell r="Y8" t="str">
            <v>Priority Healthcare Corporation</v>
          </cell>
          <cell r="Z8" t="str">
            <v>Bergen Brunswig Corporation</v>
          </cell>
          <cell r="AA8" t="str">
            <v>AmeriSource Health Corporation</v>
          </cell>
          <cell r="AB8" t="str">
            <v>AmerisourceBergen Corporation</v>
          </cell>
          <cell r="AC8" t="str">
            <v>Owens &amp; Minor, Inc.</v>
          </cell>
          <cell r="AD8" t="str">
            <v>Full Name, Inc.</v>
          </cell>
          <cell r="AE8" t="str">
            <v>PSS World Medical, Inc.</v>
          </cell>
          <cell r="AF8" t="str">
            <v>Henry Schein, Inc.</v>
          </cell>
          <cell r="AG8" t="str">
            <v>Syncor International Corporation</v>
          </cell>
          <cell r="AH8" t="str">
            <v>Accredo Health, Incorporated</v>
          </cell>
          <cell r="AI8" t="str">
            <v>Gentiva Health Services, Inc.</v>
          </cell>
          <cell r="AK8" t="str">
            <v>Fisher Scientific International Inc.*</v>
          </cell>
          <cell r="AL8" t="str">
            <v>McKesson Corporation</v>
          </cell>
          <cell r="AM8" t="str">
            <v>Sigma-Aldrich Corp.</v>
          </cell>
          <cell r="AN8" t="str">
            <v>Chronimed Inc.</v>
          </cell>
          <cell r="AO8" t="str">
            <v>Full Name, Inc.</v>
          </cell>
          <cell r="AP8" t="str">
            <v>Patterson Dental Company</v>
          </cell>
          <cell r="AQ8" t="str">
            <v>Webster</v>
          </cell>
          <cell r="AR8" t="str">
            <v>Patterson Dental Company</v>
          </cell>
          <cell r="AS8" t="str">
            <v>Syncor International Corporation</v>
          </cell>
          <cell r="AT8" t="str">
            <v>Boron, LePore &amp; Associates, Inc.</v>
          </cell>
          <cell r="AU8" t="str">
            <v>Cardinal Health, Inc.</v>
          </cell>
          <cell r="AV8" t="str">
            <v>Cardinal Health, Inc.</v>
          </cell>
        </row>
        <row r="9">
          <cell r="H9" t="str">
            <v>Invitrogen</v>
          </cell>
          <cell r="I9" t="str">
            <v>QIAGEN NV</v>
          </cell>
          <cell r="J9" t="str">
            <v>TECHNE</v>
          </cell>
          <cell r="K9" t="str">
            <v>Bio-Rad Laboratories</v>
          </cell>
          <cell r="L9" t="str">
            <v>Affymetrix</v>
          </cell>
          <cell r="M9" t="str">
            <v>Applied Biosystems*</v>
          </cell>
          <cell r="N9" t="str">
            <v>Mettler Toledo*</v>
          </cell>
          <cell r="O9" t="str">
            <v>Molecular Devices*</v>
          </cell>
          <cell r="P9" t="str">
            <v>PerkinElmer</v>
          </cell>
          <cell r="Q9" t="str">
            <v>Thermo Electron</v>
          </cell>
          <cell r="R9" t="str">
            <v>Varian</v>
          </cell>
          <cell r="S9" t="str">
            <v>Waters*</v>
          </cell>
          <cell r="T9" t="str">
            <v>Fisher Scientific*</v>
          </cell>
          <cell r="U9" t="str">
            <v>Ventana Medical Systems, Inc.</v>
          </cell>
          <cell r="V9" t="str">
            <v>Accredo Health*</v>
          </cell>
          <cell r="W9" t="str">
            <v>Invitrogen</v>
          </cell>
          <cell r="X9" t="str">
            <v>Millipore</v>
          </cell>
          <cell r="Y9" t="str">
            <v>Priority Healthcare</v>
          </cell>
          <cell r="Z9" t="str">
            <v>Bergen Brunswig</v>
          </cell>
          <cell r="AA9" t="str">
            <v>AmeriSource</v>
          </cell>
          <cell r="AB9" t="str">
            <v>AmerisourceBergen</v>
          </cell>
          <cell r="AC9" t="str">
            <v>Owens &amp; Minor</v>
          </cell>
          <cell r="AD9" t="str">
            <v>Short Name</v>
          </cell>
          <cell r="AE9" t="str">
            <v>PSS World Medical, Inc.</v>
          </cell>
          <cell r="AF9" t="str">
            <v>Henry Schein</v>
          </cell>
          <cell r="AG9" t="str">
            <v>Syncor</v>
          </cell>
          <cell r="AH9" t="str">
            <v>Accredo</v>
          </cell>
          <cell r="AI9" t="str">
            <v>Gentiva</v>
          </cell>
          <cell r="AJ9" t="str">
            <v>Accredo*</v>
          </cell>
          <cell r="AK9" t="str">
            <v>Fisher Scientific*</v>
          </cell>
          <cell r="AL9" t="str">
            <v>McKesson Corporation</v>
          </cell>
          <cell r="AM9" t="str">
            <v>Sigma-Aldrich</v>
          </cell>
          <cell r="AN9" t="str">
            <v>Chronimed</v>
          </cell>
          <cell r="AO9" t="str">
            <v>Short Name</v>
          </cell>
          <cell r="AP9" t="str">
            <v>Patterson Dental</v>
          </cell>
          <cell r="AQ9" t="str">
            <v>Short Name</v>
          </cell>
          <cell r="AR9" t="str">
            <v>Patterson Dental</v>
          </cell>
          <cell r="AS9" t="str">
            <v>Syncor</v>
          </cell>
          <cell r="AT9" t="str">
            <v>Boron, LePore</v>
          </cell>
          <cell r="AU9" t="str">
            <v>Cardinal Health</v>
          </cell>
          <cell r="AV9" t="str">
            <v>Cardinal Health</v>
          </cell>
          <cell r="AW9" t="str">
            <v>Short Name</v>
          </cell>
          <cell r="AX9" t="str">
            <v>Short Name</v>
          </cell>
          <cell r="AY9" t="str">
            <v>Short Name</v>
          </cell>
          <cell r="AZ9" t="str">
            <v>Short Name</v>
          </cell>
          <cell r="BA9" t="str">
            <v>Short Name</v>
          </cell>
          <cell r="BB9" t="str">
            <v>Short Name</v>
          </cell>
          <cell r="BC9" t="str">
            <v>Short Name</v>
          </cell>
          <cell r="BD9" t="str">
            <v>Short Name</v>
          </cell>
          <cell r="BE9" t="str">
            <v>Short Name</v>
          </cell>
        </row>
        <row r="10">
          <cell r="H10">
            <v>37256</v>
          </cell>
          <cell r="I10">
            <v>37256</v>
          </cell>
          <cell r="J10">
            <v>37072</v>
          </cell>
          <cell r="K10">
            <v>37256</v>
          </cell>
          <cell r="L10">
            <v>37256</v>
          </cell>
          <cell r="M10">
            <v>37256</v>
          </cell>
          <cell r="N10">
            <v>37256</v>
          </cell>
          <cell r="O10">
            <v>37256</v>
          </cell>
          <cell r="P10">
            <v>37256</v>
          </cell>
          <cell r="Q10">
            <v>37256</v>
          </cell>
          <cell r="R10">
            <v>37256</v>
          </cell>
          <cell r="S10">
            <v>37256</v>
          </cell>
          <cell r="T10">
            <v>37256</v>
          </cell>
          <cell r="U10">
            <v>37256</v>
          </cell>
          <cell r="V10" t="str">
            <v>6/31/01</v>
          </cell>
          <cell r="W10">
            <v>37256</v>
          </cell>
          <cell r="X10">
            <v>36891</v>
          </cell>
          <cell r="Y10">
            <v>37254</v>
          </cell>
          <cell r="Z10">
            <v>36799</v>
          </cell>
          <cell r="AA10">
            <v>36799</v>
          </cell>
          <cell r="AB10">
            <v>37164</v>
          </cell>
          <cell r="AC10">
            <v>37256</v>
          </cell>
          <cell r="AD10">
            <v>36891</v>
          </cell>
          <cell r="AE10">
            <v>36980</v>
          </cell>
          <cell r="AF10">
            <v>37254</v>
          </cell>
          <cell r="AG10">
            <v>37256</v>
          </cell>
          <cell r="AH10">
            <v>36678</v>
          </cell>
          <cell r="AI10">
            <v>37256</v>
          </cell>
          <cell r="AJ10">
            <v>37072</v>
          </cell>
          <cell r="AK10">
            <v>37256</v>
          </cell>
          <cell r="AL10">
            <v>36981</v>
          </cell>
          <cell r="AM10">
            <v>37256</v>
          </cell>
          <cell r="AN10">
            <v>37071</v>
          </cell>
          <cell r="AO10">
            <v>36891</v>
          </cell>
          <cell r="AP10">
            <v>37009</v>
          </cell>
          <cell r="AQ10">
            <v>37009</v>
          </cell>
          <cell r="AR10">
            <v>37009</v>
          </cell>
          <cell r="AS10">
            <v>37256</v>
          </cell>
          <cell r="AT10">
            <v>37256</v>
          </cell>
          <cell r="AU10">
            <v>37072</v>
          </cell>
          <cell r="AV10">
            <v>37072</v>
          </cell>
          <cell r="AW10">
            <v>36891</v>
          </cell>
          <cell r="AX10">
            <v>36891</v>
          </cell>
          <cell r="AY10">
            <v>36891</v>
          </cell>
          <cell r="AZ10">
            <v>36891</v>
          </cell>
          <cell r="BA10">
            <v>36891</v>
          </cell>
          <cell r="BB10">
            <v>36891</v>
          </cell>
          <cell r="BC10">
            <v>36891</v>
          </cell>
          <cell r="BD10">
            <v>36891</v>
          </cell>
          <cell r="BE10">
            <v>36891</v>
          </cell>
        </row>
        <row r="11">
          <cell r="H11" t="str">
            <v>PAYTON</v>
          </cell>
          <cell r="I11" t="str">
            <v>PAYTON</v>
          </cell>
          <cell r="J11" t="str">
            <v>PAYTON</v>
          </cell>
          <cell r="K11" t="str">
            <v>PAYTON</v>
          </cell>
          <cell r="L11" t="str">
            <v>PAYTON</v>
          </cell>
          <cell r="M11" t="str">
            <v>PAYTON</v>
          </cell>
          <cell r="N11" t="str">
            <v>PAYTON</v>
          </cell>
          <cell r="O11" t="str">
            <v>PAYTON</v>
          </cell>
          <cell r="P11" t="str">
            <v>PAYTON</v>
          </cell>
          <cell r="Q11" t="str">
            <v>PAYTON</v>
          </cell>
          <cell r="R11" t="str">
            <v>PAYTON</v>
          </cell>
          <cell r="S11" t="str">
            <v>PAYTON</v>
          </cell>
          <cell r="T11" t="str">
            <v>PAYTON</v>
          </cell>
          <cell r="U11" t="str">
            <v>Trap</v>
          </cell>
          <cell r="V11" t="str">
            <v>PAYTON</v>
          </cell>
          <cell r="W11" t="str">
            <v>Kaitlin</v>
          </cell>
          <cell r="X11" t="str">
            <v>Stanwick</v>
          </cell>
          <cell r="Y11" t="str">
            <v>Michael Min</v>
          </cell>
          <cell r="AB11" t="str">
            <v>Francesca</v>
          </cell>
          <cell r="AC11" t="str">
            <v>Francesca</v>
          </cell>
          <cell r="AD11" t="str">
            <v>Name</v>
          </cell>
          <cell r="AE11" t="str">
            <v>Michael Min</v>
          </cell>
          <cell r="AF11" t="str">
            <v>Dun</v>
          </cell>
          <cell r="AG11" t="str">
            <v>Michael Min</v>
          </cell>
          <cell r="AH11" t="str">
            <v>Francesca</v>
          </cell>
          <cell r="AJ11" t="str">
            <v>Francesca</v>
          </cell>
          <cell r="AK11" t="str">
            <v>Payton</v>
          </cell>
          <cell r="AL11" t="str">
            <v>Dun</v>
          </cell>
          <cell r="AM11" t="str">
            <v>Wilson</v>
          </cell>
          <cell r="AN11" t="str">
            <v>Payton</v>
          </cell>
          <cell r="AO11" t="str">
            <v>Name</v>
          </cell>
          <cell r="AP11" t="str">
            <v>PAYTON</v>
          </cell>
          <cell r="AQ11" t="str">
            <v>PAYTON</v>
          </cell>
          <cell r="AR11" t="str">
            <v>Michael Min</v>
          </cell>
          <cell r="AS11" t="str">
            <v>Francesca</v>
          </cell>
          <cell r="AT11" t="str">
            <v>Francesca</v>
          </cell>
          <cell r="AU11" t="str">
            <v>Francesca</v>
          </cell>
          <cell r="AV11" t="str">
            <v>Francesca</v>
          </cell>
          <cell r="AW11" t="str">
            <v>Name</v>
          </cell>
          <cell r="AX11" t="str">
            <v>Name</v>
          </cell>
          <cell r="AY11" t="str">
            <v>Name</v>
          </cell>
          <cell r="AZ11" t="str">
            <v>Name</v>
          </cell>
          <cell r="BA11" t="str">
            <v>Name</v>
          </cell>
          <cell r="BB11" t="str">
            <v>Name</v>
          </cell>
          <cell r="BC11" t="str">
            <v>Name</v>
          </cell>
          <cell r="BD11" t="str">
            <v>Name</v>
          </cell>
          <cell r="BE11" t="str">
            <v>Name</v>
          </cell>
        </row>
        <row r="12">
          <cell r="H12" t="str">
            <v>Y</v>
          </cell>
          <cell r="I12" t="str">
            <v>Y</v>
          </cell>
          <cell r="J12" t="str">
            <v>Y</v>
          </cell>
          <cell r="K12" t="str">
            <v>Y</v>
          </cell>
          <cell r="L12" t="str">
            <v>Y</v>
          </cell>
          <cell r="M12" t="str">
            <v>Y</v>
          </cell>
          <cell r="N12" t="str">
            <v>Y</v>
          </cell>
          <cell r="O12" t="str">
            <v>Y</v>
          </cell>
          <cell r="P12" t="str">
            <v>Y</v>
          </cell>
          <cell r="Q12" t="str">
            <v>Y</v>
          </cell>
          <cell r="R12" t="str">
            <v>Y</v>
          </cell>
          <cell r="S12" t="str">
            <v>Y</v>
          </cell>
          <cell r="T12" t="str">
            <v>Y</v>
          </cell>
          <cell r="U12" t="str">
            <v>Y</v>
          </cell>
          <cell r="V12" t="str">
            <v>Y</v>
          </cell>
          <cell r="W12" t="str">
            <v>Y</v>
          </cell>
          <cell r="X12" t="str">
            <v>Y</v>
          </cell>
          <cell r="Y12" t="str">
            <v>Y</v>
          </cell>
          <cell r="Z12" t="str">
            <v>Y</v>
          </cell>
          <cell r="AA12" t="str">
            <v>Y</v>
          </cell>
          <cell r="AB12" t="str">
            <v>Y</v>
          </cell>
          <cell r="AC12" t="str">
            <v>Y</v>
          </cell>
          <cell r="AD12" t="str">
            <v>Y</v>
          </cell>
          <cell r="AE12" t="str">
            <v>Y</v>
          </cell>
          <cell r="AF12" t="str">
            <v>Y</v>
          </cell>
          <cell r="AG12" t="str">
            <v>Y</v>
          </cell>
          <cell r="AH12" t="str">
            <v>Y</v>
          </cell>
          <cell r="AI12" t="str">
            <v>Y</v>
          </cell>
          <cell r="AJ12" t="str">
            <v>Y</v>
          </cell>
          <cell r="AK12" t="str">
            <v>Y</v>
          </cell>
          <cell r="AL12" t="str">
            <v>Y</v>
          </cell>
          <cell r="AM12" t="str">
            <v>Y</v>
          </cell>
          <cell r="AN12" t="str">
            <v>Y</v>
          </cell>
          <cell r="AO12" t="str">
            <v>Y</v>
          </cell>
          <cell r="AP12" t="str">
            <v>Y</v>
          </cell>
          <cell r="AQ12" t="str">
            <v>Y</v>
          </cell>
          <cell r="AR12" t="str">
            <v>Y</v>
          </cell>
          <cell r="AS12" t="str">
            <v>Y</v>
          </cell>
          <cell r="AT12" t="str">
            <v>Y</v>
          </cell>
          <cell r="AU12" t="str">
            <v>Y</v>
          </cell>
          <cell r="AV12" t="str">
            <v>Y</v>
          </cell>
          <cell r="AW12" t="str">
            <v>Y</v>
          </cell>
          <cell r="AX12" t="str">
            <v>Y</v>
          </cell>
          <cell r="AY12" t="str">
            <v>Y</v>
          </cell>
          <cell r="AZ12" t="str">
            <v>Y</v>
          </cell>
          <cell r="BA12" t="str">
            <v>Y</v>
          </cell>
          <cell r="BB12" t="str">
            <v>Y</v>
          </cell>
          <cell r="BC12" t="str">
            <v>Y</v>
          </cell>
          <cell r="BD12" t="str">
            <v>Y</v>
          </cell>
          <cell r="BE12" t="str">
            <v>Y</v>
          </cell>
        </row>
        <row r="13">
          <cell r="W13">
            <v>37207</v>
          </cell>
          <cell r="X13">
            <v>36891</v>
          </cell>
          <cell r="Y13">
            <v>37399</v>
          </cell>
          <cell r="AB13">
            <v>37393</v>
          </cell>
          <cell r="AC13">
            <v>37393</v>
          </cell>
          <cell r="AD13">
            <v>36891</v>
          </cell>
          <cell r="AE13">
            <v>37346</v>
          </cell>
          <cell r="AF13">
            <v>37393</v>
          </cell>
          <cell r="AG13">
            <v>37399</v>
          </cell>
          <cell r="AH13">
            <v>37347</v>
          </cell>
          <cell r="AJ13">
            <v>37393</v>
          </cell>
          <cell r="AK13">
            <v>37215</v>
          </cell>
          <cell r="AL13">
            <v>37341</v>
          </cell>
          <cell r="AM13">
            <v>37349</v>
          </cell>
          <cell r="AN13">
            <v>37207</v>
          </cell>
          <cell r="AO13">
            <v>36891</v>
          </cell>
          <cell r="AP13">
            <v>37089</v>
          </cell>
          <cell r="AQ13">
            <v>37089</v>
          </cell>
          <cell r="AR13">
            <v>37346</v>
          </cell>
          <cell r="AS13">
            <v>37427</v>
          </cell>
          <cell r="AT13">
            <v>37413</v>
          </cell>
          <cell r="AU13">
            <v>37393</v>
          </cell>
          <cell r="AV13">
            <v>37413</v>
          </cell>
          <cell r="AW13">
            <v>36891</v>
          </cell>
          <cell r="AX13">
            <v>36891</v>
          </cell>
          <cell r="AY13">
            <v>36891</v>
          </cell>
          <cell r="AZ13">
            <v>36891</v>
          </cell>
          <cell r="BA13">
            <v>36891</v>
          </cell>
          <cell r="BB13">
            <v>36891</v>
          </cell>
          <cell r="BC13">
            <v>36891</v>
          </cell>
          <cell r="BD13">
            <v>36891</v>
          </cell>
          <cell r="BE13">
            <v>36891</v>
          </cell>
        </row>
        <row r="14">
          <cell r="Y14" t="str">
            <v>JWT</v>
          </cell>
          <cell r="AB14" t="str">
            <v>JWT</v>
          </cell>
          <cell r="AC14" t="str">
            <v>JWT</v>
          </cell>
          <cell r="AE14" t="str">
            <v>JWT</v>
          </cell>
          <cell r="AF14" t="str">
            <v>JWT</v>
          </cell>
          <cell r="AG14" t="str">
            <v>JWT</v>
          </cell>
          <cell r="AJ14" t="str">
            <v>JWT</v>
          </cell>
          <cell r="AK14" t="str">
            <v>JWT</v>
          </cell>
          <cell r="AL14" t="str">
            <v>JWT</v>
          </cell>
          <cell r="AM14" t="str">
            <v>OZ</v>
          </cell>
          <cell r="AN14" t="str">
            <v>NO</v>
          </cell>
          <cell r="AP14" t="str">
            <v>JWT</v>
          </cell>
          <cell r="AQ14" t="str">
            <v>JWT</v>
          </cell>
          <cell r="AR14" t="str">
            <v>JWT</v>
          </cell>
          <cell r="AV14" t="str">
            <v>JWT</v>
          </cell>
        </row>
        <row r="15">
          <cell r="H15" t="str">
            <v>Lab products</v>
          </cell>
          <cell r="I15" t="str">
            <v>Lab products</v>
          </cell>
          <cell r="J15" t="str">
            <v>Lab products</v>
          </cell>
          <cell r="K15" t="str">
            <v>Lab products</v>
          </cell>
          <cell r="L15" t="str">
            <v>Lab products</v>
          </cell>
          <cell r="M15" t="str">
            <v>Lab products</v>
          </cell>
          <cell r="N15" t="str">
            <v>Company Description</v>
          </cell>
          <cell r="O15" t="str">
            <v>Lab products</v>
          </cell>
          <cell r="P15" t="str">
            <v>Lab products</v>
          </cell>
          <cell r="Q15" t="str">
            <v>Lab products</v>
          </cell>
          <cell r="R15" t="str">
            <v>Lab products</v>
          </cell>
          <cell r="S15" t="str">
            <v>Lab products</v>
          </cell>
          <cell r="T15" t="str">
            <v>Lab products</v>
          </cell>
          <cell r="U15" t="str">
            <v>Lab products</v>
          </cell>
          <cell r="V15" t="str">
            <v>Lab products</v>
          </cell>
          <cell r="W15" t="str">
            <v>Lab products</v>
          </cell>
          <cell r="X15" t="str">
            <v>Lab products</v>
          </cell>
          <cell r="Z15" t="str">
            <v>Warehouse adjusted</v>
          </cell>
          <cell r="AA15" t="str">
            <v xml:space="preserve"> </v>
          </cell>
          <cell r="AD15" t="str">
            <v>Company Description</v>
          </cell>
          <cell r="AE15" t="str">
            <v xml:space="preserve"> </v>
          </cell>
          <cell r="AK15" t="str">
            <v xml:space="preserve"> </v>
          </cell>
          <cell r="AM15" t="str">
            <v>Lab products</v>
          </cell>
          <cell r="AN15" t="str">
            <v>No warehouse disclosure</v>
          </cell>
          <cell r="AO15" t="str">
            <v>Company Description</v>
          </cell>
          <cell r="AP15" t="str">
            <v>Dental supply distributors</v>
          </cell>
          <cell r="AQ15" t="str">
            <v>Veterinary supplies distributors</v>
          </cell>
          <cell r="AR15" t="str">
            <v>Dental supply distributors</v>
          </cell>
          <cell r="AW15" t="str">
            <v>Company Description</v>
          </cell>
          <cell r="AX15" t="str">
            <v>Company Description</v>
          </cell>
          <cell r="AY15" t="str">
            <v>Company Description</v>
          </cell>
          <cell r="AZ15" t="str">
            <v>Company Description</v>
          </cell>
          <cell r="BA15" t="str">
            <v>Company Description</v>
          </cell>
          <cell r="BB15" t="str">
            <v>Company Description</v>
          </cell>
          <cell r="BC15" t="str">
            <v>Company Description</v>
          </cell>
          <cell r="BD15" t="str">
            <v>Company Description</v>
          </cell>
          <cell r="BE15" t="str">
            <v>Company Description</v>
          </cell>
        </row>
        <row r="16">
          <cell r="H16" t="str">
            <v>notes</v>
          </cell>
          <cell r="I16" t="str">
            <v>notes</v>
          </cell>
          <cell r="J16" t="str">
            <v>notes</v>
          </cell>
          <cell r="K16" t="str">
            <v>notes</v>
          </cell>
          <cell r="L16" t="str">
            <v>notes</v>
          </cell>
          <cell r="M16" t="str">
            <v>notes</v>
          </cell>
          <cell r="N16" t="str">
            <v>notes</v>
          </cell>
          <cell r="O16" t="str">
            <v>LTM EPS and proj. EPS are trending correctly per IBES.</v>
          </cell>
          <cell r="P16" t="str">
            <v>Not PF for acquisition of the Filtration and Separtions business, NS</v>
          </cell>
          <cell r="Q16" t="str">
            <v>Not proforma for acquisitions in 2001 b/c it's not material</v>
          </cell>
          <cell r="R16" t="str">
            <v>Engaged in share repurchase program by issuing additional debt; check news for adjustments</v>
          </cell>
          <cell r="S16" t="str">
            <v>notes</v>
          </cell>
          <cell r="T16" t="str">
            <v>notes</v>
          </cell>
          <cell r="U16" t="str">
            <v>notes</v>
          </cell>
          <cell r="W16" t="str">
            <v>pro forma for Dexter purchase on 9/00 - PLEASE NOTE ASSUMPTIONS</v>
          </cell>
          <cell r="X16" t="str">
            <v>Pro forma for IPO spinoff of sub-division</v>
          </cell>
          <cell r="Y16" t="str">
            <v>notes</v>
          </cell>
          <cell r="Z16" t="str">
            <v>notes</v>
          </cell>
          <cell r="AA16" t="str">
            <v>notes</v>
          </cell>
          <cell r="AB16" t="str">
            <v>PRO FORMA FOR BBC ACQUISITION 3/19/01</v>
          </cell>
          <cell r="AC16" t="str">
            <v>notes</v>
          </cell>
          <cell r="AD16" t="str">
            <v>notes</v>
          </cell>
          <cell r="AE16" t="str">
            <v>notes</v>
          </cell>
          <cell r="AF16" t="str">
            <v>notes</v>
          </cell>
          <cell r="AH16" t="str">
            <v>notes</v>
          </cell>
          <cell r="AI16" t="str">
            <v>notes</v>
          </cell>
          <cell r="AJ16" t="str">
            <v>notes</v>
          </cell>
          <cell r="AK16" t="str">
            <v>Note</v>
          </cell>
          <cell r="AL16" t="str">
            <v>Pro forma for the $400 million debt offering on Jan. 29 2002</v>
          </cell>
          <cell r="AM16" t="str">
            <v>Engaged in share repurchase program by issuing additional debt; check news for adjustments</v>
          </cell>
          <cell r="AN16" t="str">
            <v>PF for diagnostic product spinoff effective 6/30/00 and Home Services Medical subsidiary</v>
          </cell>
          <cell r="AO16" t="str">
            <v>notes</v>
          </cell>
          <cell r="AP16" t="str">
            <v>Pro forma for acquisition of Webster</v>
          </cell>
          <cell r="AS16" t="str">
            <v>notes</v>
          </cell>
          <cell r="AT16" t="str">
            <v>notes</v>
          </cell>
          <cell r="AU16" t="str">
            <v>notes</v>
          </cell>
          <cell r="AW16" t="str">
            <v>notes</v>
          </cell>
          <cell r="AX16" t="str">
            <v>notes</v>
          </cell>
          <cell r="AY16" t="str">
            <v>notes</v>
          </cell>
          <cell r="AZ16" t="str">
            <v>notes</v>
          </cell>
          <cell r="BA16" t="str">
            <v>notes</v>
          </cell>
          <cell r="BB16" t="str">
            <v>notes</v>
          </cell>
          <cell r="BC16" t="str">
            <v>notes</v>
          </cell>
          <cell r="BD16" t="str">
            <v>notes</v>
          </cell>
          <cell r="BE16" t="str">
            <v>notes</v>
          </cell>
        </row>
        <row r="17">
          <cell r="S17" t="str">
            <v xml:space="preserve"> </v>
          </cell>
          <cell r="W17" t="str">
            <v>EXCLUDES AMORTIZATION to match Wall Street research</v>
          </cell>
          <cell r="X17" t="str">
            <v>Decreasing EPS is consistent with IBES estimates for 2000/LTM to 2001</v>
          </cell>
        </row>
        <row r="19">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7.4999999999999997E-2</v>
          </cell>
          <cell r="Z19">
            <v>8.5000000000000006E-2</v>
          </cell>
          <cell r="AA19">
            <v>0</v>
          </cell>
          <cell r="AB19">
            <v>7.0000000000000007E-2</v>
          </cell>
          <cell r="AC19">
            <v>0.08</v>
          </cell>
          <cell r="AD19">
            <v>8.5000000000000006E-2</v>
          </cell>
          <cell r="AE19">
            <v>8.5000000000000006E-2</v>
          </cell>
          <cell r="AF19">
            <v>6.5000000000000002E-2</v>
          </cell>
          <cell r="AG19">
            <v>0</v>
          </cell>
          <cell r="AH19">
            <v>0.08</v>
          </cell>
          <cell r="AI19">
            <v>8.5000000000000006E-2</v>
          </cell>
          <cell r="AJ19">
            <v>0.08</v>
          </cell>
          <cell r="AK19">
            <v>0.08</v>
          </cell>
          <cell r="AL19">
            <v>6.5000000000000002E-2</v>
          </cell>
          <cell r="AM19">
            <v>0</v>
          </cell>
          <cell r="AN19">
            <v>8.5000000000000006E-2</v>
          </cell>
          <cell r="AO19">
            <v>8.5000000000000006E-2</v>
          </cell>
          <cell r="AP19">
            <v>0.09</v>
          </cell>
          <cell r="AQ19">
            <v>8.5000000000000006E-2</v>
          </cell>
          <cell r="AR19">
            <v>7.4999999999999997E-2</v>
          </cell>
          <cell r="AS19">
            <v>8.5000000000000006E-2</v>
          </cell>
          <cell r="AT19">
            <v>8.5000000000000006E-2</v>
          </cell>
          <cell r="AU19">
            <v>6.5000000000000002E-2</v>
          </cell>
          <cell r="AV19">
            <v>6.5000000000000002E-2</v>
          </cell>
          <cell r="AW19">
            <v>0</v>
          </cell>
          <cell r="AX19">
            <v>0</v>
          </cell>
          <cell r="AY19">
            <v>0</v>
          </cell>
          <cell r="AZ19">
            <v>0</v>
          </cell>
          <cell r="BA19">
            <v>0</v>
          </cell>
          <cell r="BB19">
            <v>0</v>
          </cell>
          <cell r="BC19">
            <v>0</v>
          </cell>
          <cell r="BD19">
            <v>0</v>
          </cell>
          <cell r="BE19">
            <v>0</v>
          </cell>
        </row>
        <row r="20">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2.5000000000000001E-2</v>
          </cell>
          <cell r="Z20">
            <v>2.5000000000000001E-2</v>
          </cell>
          <cell r="AA20">
            <v>2.5000000000000001E-2</v>
          </cell>
          <cell r="AB20">
            <v>2.5000000000000001E-2</v>
          </cell>
          <cell r="AC20">
            <v>2.5000000000000001E-2</v>
          </cell>
          <cell r="AD20">
            <v>2.5000000000000001E-2</v>
          </cell>
          <cell r="AE20">
            <v>2.5000000000000001E-2</v>
          </cell>
          <cell r="AF20">
            <v>2.5000000000000001E-2</v>
          </cell>
          <cell r="AG20">
            <v>0</v>
          </cell>
          <cell r="AH20">
            <v>2.5000000000000001E-2</v>
          </cell>
          <cell r="AI20">
            <v>2.5000000000000001E-2</v>
          </cell>
          <cell r="AJ20">
            <v>2.5000000000000001E-2</v>
          </cell>
          <cell r="AK20">
            <v>2.5000000000000001E-2</v>
          </cell>
          <cell r="AL20">
            <v>2.5000000000000001E-2</v>
          </cell>
          <cell r="AM20">
            <v>0</v>
          </cell>
          <cell r="AN20">
            <v>2.5000000000000001E-2</v>
          </cell>
          <cell r="AO20">
            <v>2.5000000000000001E-2</v>
          </cell>
          <cell r="AP20">
            <v>2.5000000000000001E-2</v>
          </cell>
          <cell r="AQ20">
            <v>2.5000000000000001E-2</v>
          </cell>
          <cell r="AR20">
            <v>2.5000000000000001E-2</v>
          </cell>
          <cell r="AS20">
            <v>2.5000000000000001E-2</v>
          </cell>
          <cell r="AT20">
            <v>2.5000000000000001E-2</v>
          </cell>
          <cell r="AU20">
            <v>2.5000000000000001E-2</v>
          </cell>
          <cell r="AV20">
            <v>2.5000000000000001E-2</v>
          </cell>
          <cell r="AW20">
            <v>0</v>
          </cell>
          <cell r="AX20">
            <v>0</v>
          </cell>
          <cell r="AY20">
            <v>0</v>
          </cell>
          <cell r="AZ20">
            <v>0</v>
          </cell>
          <cell r="BA20">
            <v>0</v>
          </cell>
          <cell r="BB20">
            <v>0</v>
          </cell>
          <cell r="BC20">
            <v>0</v>
          </cell>
          <cell r="BD20">
            <v>0</v>
          </cell>
          <cell r="BE20">
            <v>0</v>
          </cell>
        </row>
        <row r="21">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1</v>
          </cell>
          <cell r="Z21">
            <v>1</v>
          </cell>
          <cell r="AA21">
            <v>0</v>
          </cell>
          <cell r="AB21">
            <v>1</v>
          </cell>
          <cell r="AC21">
            <v>1</v>
          </cell>
          <cell r="AD21">
            <v>1</v>
          </cell>
          <cell r="AE21">
            <v>1</v>
          </cell>
          <cell r="AF21">
            <v>1</v>
          </cell>
          <cell r="AG21">
            <v>0</v>
          </cell>
          <cell r="AH21">
            <v>1</v>
          </cell>
          <cell r="AI21">
            <v>1</v>
          </cell>
          <cell r="AJ21">
            <v>1</v>
          </cell>
          <cell r="AK21">
            <v>1</v>
          </cell>
          <cell r="AL21">
            <v>1</v>
          </cell>
          <cell r="AM21">
            <v>0</v>
          </cell>
          <cell r="AN21">
            <v>1</v>
          </cell>
          <cell r="AO21">
            <v>1</v>
          </cell>
          <cell r="AP21">
            <v>20</v>
          </cell>
          <cell r="AQ21">
            <v>1</v>
          </cell>
          <cell r="AR21">
            <v>1</v>
          </cell>
          <cell r="AS21">
            <v>1</v>
          </cell>
          <cell r="AT21">
            <v>1</v>
          </cell>
          <cell r="AU21">
            <v>1</v>
          </cell>
          <cell r="AV21">
            <v>1</v>
          </cell>
          <cell r="AW21">
            <v>0</v>
          </cell>
          <cell r="AX21">
            <v>0</v>
          </cell>
          <cell r="AY21">
            <v>0</v>
          </cell>
          <cell r="AZ21">
            <v>0</v>
          </cell>
          <cell r="BA21">
            <v>0</v>
          </cell>
          <cell r="BB21">
            <v>0</v>
          </cell>
          <cell r="BC21">
            <v>0</v>
          </cell>
          <cell r="BD21">
            <v>0</v>
          </cell>
          <cell r="BE21">
            <v>0</v>
          </cell>
        </row>
        <row r="22">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20</v>
          </cell>
          <cell r="Z22">
            <v>20</v>
          </cell>
          <cell r="AA22">
            <v>0</v>
          </cell>
          <cell r="AB22">
            <v>20</v>
          </cell>
          <cell r="AC22">
            <v>20</v>
          </cell>
          <cell r="AD22">
            <v>20</v>
          </cell>
          <cell r="AE22">
            <v>20</v>
          </cell>
          <cell r="AF22">
            <v>20</v>
          </cell>
          <cell r="AG22">
            <v>0</v>
          </cell>
          <cell r="AH22">
            <v>20</v>
          </cell>
          <cell r="AI22">
            <v>20</v>
          </cell>
          <cell r="AJ22">
            <v>20</v>
          </cell>
          <cell r="AK22">
            <v>20</v>
          </cell>
          <cell r="AL22">
            <v>20</v>
          </cell>
          <cell r="AM22">
            <v>0</v>
          </cell>
          <cell r="AN22">
            <v>20</v>
          </cell>
          <cell r="AO22">
            <v>20</v>
          </cell>
          <cell r="AP22">
            <v>0</v>
          </cell>
          <cell r="AQ22">
            <v>20</v>
          </cell>
          <cell r="AR22">
            <v>20</v>
          </cell>
          <cell r="AS22">
            <v>20</v>
          </cell>
          <cell r="AT22">
            <v>20</v>
          </cell>
          <cell r="AU22">
            <v>20</v>
          </cell>
          <cell r="AV22">
            <v>20</v>
          </cell>
          <cell r="AW22">
            <v>0</v>
          </cell>
          <cell r="AX22">
            <v>0</v>
          </cell>
          <cell r="AY22">
            <v>0</v>
          </cell>
          <cell r="AZ22">
            <v>0</v>
          </cell>
          <cell r="BA22">
            <v>0</v>
          </cell>
          <cell r="BB22">
            <v>0</v>
          </cell>
          <cell r="BC22">
            <v>0</v>
          </cell>
          <cell r="BD22">
            <v>0</v>
          </cell>
          <cell r="BE22">
            <v>0</v>
          </cell>
        </row>
        <row r="23">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0.4</v>
          </cell>
          <cell r="Z23">
            <v>0.4</v>
          </cell>
          <cell r="AA23">
            <v>0</v>
          </cell>
          <cell r="AB23">
            <v>0.4</v>
          </cell>
          <cell r="AC23">
            <v>0.4</v>
          </cell>
          <cell r="AD23">
            <v>0.4</v>
          </cell>
          <cell r="AE23">
            <v>0.4</v>
          </cell>
          <cell r="AF23">
            <v>0.4</v>
          </cell>
          <cell r="AG23">
            <v>0</v>
          </cell>
          <cell r="AH23">
            <v>0.4</v>
          </cell>
          <cell r="AI23">
            <v>0.4</v>
          </cell>
          <cell r="AJ23">
            <v>0.4</v>
          </cell>
          <cell r="AK23">
            <v>0.4</v>
          </cell>
          <cell r="AL23">
            <v>0.4</v>
          </cell>
          <cell r="AM23">
            <v>0</v>
          </cell>
          <cell r="AN23">
            <v>0.4</v>
          </cell>
          <cell r="AO23">
            <v>0.4</v>
          </cell>
          <cell r="AP23">
            <v>0</v>
          </cell>
          <cell r="AQ23">
            <v>0.4</v>
          </cell>
          <cell r="AR23">
            <v>0.4</v>
          </cell>
          <cell r="AS23">
            <v>0.4</v>
          </cell>
          <cell r="AT23">
            <v>0.4</v>
          </cell>
          <cell r="AU23">
            <v>0.4</v>
          </cell>
          <cell r="AV23">
            <v>0.4</v>
          </cell>
          <cell r="AW23">
            <v>0</v>
          </cell>
          <cell r="AX23">
            <v>0</v>
          </cell>
          <cell r="AY23">
            <v>0</v>
          </cell>
          <cell r="AZ23">
            <v>0</v>
          </cell>
          <cell r="BA23">
            <v>0</v>
          </cell>
          <cell r="BB23">
            <v>0</v>
          </cell>
          <cell r="BC23">
            <v>0</v>
          </cell>
          <cell r="BD23">
            <v>0</v>
          </cell>
          <cell r="BE23">
            <v>0</v>
          </cell>
        </row>
        <row r="24">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row>
        <row r="25">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row>
        <row r="27">
          <cell r="V27">
            <v>1000</v>
          </cell>
        </row>
        <row r="30">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row>
        <row r="31">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row>
        <row r="32">
          <cell r="H32" t="str">
            <v>MODEL</v>
          </cell>
          <cell r="I32">
            <v>37437</v>
          </cell>
          <cell r="J32">
            <v>37437</v>
          </cell>
          <cell r="L32">
            <v>37437</v>
          </cell>
          <cell r="P32">
            <v>37437</v>
          </cell>
          <cell r="Q32">
            <v>37437</v>
          </cell>
          <cell r="R32">
            <v>37437</v>
          </cell>
        </row>
        <row r="33">
          <cell r="J33" t="str">
            <v>MODEL</v>
          </cell>
          <cell r="L33" t="str">
            <v>PRESS RELEASE</v>
          </cell>
          <cell r="P33" t="str">
            <v>PRESS RELEASE</v>
          </cell>
          <cell r="Q33" t="str">
            <v>PRESS RELEASE</v>
          </cell>
          <cell r="R33" t="str">
            <v>PRESS RELEASE</v>
          </cell>
        </row>
        <row r="34">
          <cell r="H34">
            <v>37256</v>
          </cell>
          <cell r="I34">
            <v>37256</v>
          </cell>
          <cell r="J34">
            <v>37437</v>
          </cell>
          <cell r="K34">
            <v>37256</v>
          </cell>
          <cell r="L34">
            <v>37256</v>
          </cell>
          <cell r="M34">
            <v>37256</v>
          </cell>
          <cell r="N34">
            <v>37256</v>
          </cell>
          <cell r="O34">
            <v>37256</v>
          </cell>
          <cell r="P34">
            <v>37256</v>
          </cell>
          <cell r="Q34">
            <v>37256</v>
          </cell>
          <cell r="R34">
            <v>37256</v>
          </cell>
          <cell r="S34">
            <v>37256</v>
          </cell>
          <cell r="T34">
            <v>37256</v>
          </cell>
          <cell r="U34">
            <v>37256</v>
          </cell>
          <cell r="V34">
            <v>37437</v>
          </cell>
          <cell r="W34">
            <v>37256</v>
          </cell>
          <cell r="X34">
            <v>37256</v>
          </cell>
          <cell r="Y34">
            <v>37345</v>
          </cell>
          <cell r="AB34">
            <v>37346</v>
          </cell>
          <cell r="AC34">
            <v>37346</v>
          </cell>
          <cell r="AD34">
            <v>36891</v>
          </cell>
          <cell r="AE34">
            <v>37253</v>
          </cell>
          <cell r="AF34">
            <v>37345</v>
          </cell>
          <cell r="AG34">
            <v>37346</v>
          </cell>
          <cell r="AJ34">
            <v>37256</v>
          </cell>
          <cell r="AK34">
            <v>37437</v>
          </cell>
          <cell r="AL34">
            <v>37256</v>
          </cell>
          <cell r="AM34">
            <v>37256</v>
          </cell>
          <cell r="AN34">
            <v>37162</v>
          </cell>
          <cell r="AO34">
            <v>36891</v>
          </cell>
          <cell r="AP34">
            <v>37009</v>
          </cell>
          <cell r="AQ34">
            <v>37009</v>
          </cell>
          <cell r="AR34">
            <v>37434</v>
          </cell>
          <cell r="AV34">
            <v>37346</v>
          </cell>
          <cell r="AW34">
            <v>36891</v>
          </cell>
          <cell r="AX34">
            <v>36891</v>
          </cell>
          <cell r="AY34">
            <v>36891</v>
          </cell>
          <cell r="AZ34">
            <v>36891</v>
          </cell>
          <cell r="BA34">
            <v>36891</v>
          </cell>
          <cell r="BB34">
            <v>36891</v>
          </cell>
          <cell r="BC34">
            <v>36891</v>
          </cell>
          <cell r="BD34">
            <v>36891</v>
          </cell>
          <cell r="BE34">
            <v>36891</v>
          </cell>
        </row>
        <row r="36">
          <cell r="Q36" t="str">
            <v xml:space="preserve">GAAP </v>
          </cell>
          <cell r="AJ36">
            <v>27145.618999999999</v>
          </cell>
        </row>
        <row r="37">
          <cell r="Q37" t="str">
            <v>REPORTED</v>
          </cell>
          <cell r="AB37" t="str">
            <v>x</v>
          </cell>
          <cell r="AV37" t="str">
            <v>x</v>
          </cell>
          <cell r="AX37">
            <v>112891000</v>
          </cell>
        </row>
        <row r="38">
          <cell r="H38">
            <v>59.207999999999998</v>
          </cell>
          <cell r="I38">
            <v>145.916</v>
          </cell>
          <cell r="J38">
            <v>42.494525000000003</v>
          </cell>
          <cell r="K38">
            <v>26.085000000000001</v>
          </cell>
          <cell r="L38">
            <v>60.100999999999999</v>
          </cell>
          <cell r="M38">
            <v>213.28299999999999</v>
          </cell>
          <cell r="N38">
            <v>45.409689999999998</v>
          </cell>
          <cell r="O38">
            <v>15.414</v>
          </cell>
          <cell r="P38">
            <v>125.556</v>
          </cell>
          <cell r="Q38">
            <v>186.74</v>
          </cell>
          <cell r="R38">
            <v>35.048999999999999</v>
          </cell>
          <cell r="S38">
            <v>136.77799999999999</v>
          </cell>
          <cell r="T38">
            <v>57.9</v>
          </cell>
          <cell r="U38">
            <v>16.077313</v>
          </cell>
          <cell r="V38">
            <v>28.199946000000001</v>
          </cell>
          <cell r="W38">
            <v>52.961227999999998</v>
          </cell>
          <cell r="X38">
            <v>47.744526999999998</v>
          </cell>
          <cell r="Y38">
            <v>44.61</v>
          </cell>
          <cell r="Z38">
            <v>135.58958899999999</v>
          </cell>
          <cell r="AA38">
            <v>53.001061999999997</v>
          </cell>
          <cell r="AB38">
            <v>112.89100000000001</v>
          </cell>
          <cell r="AC38">
            <v>40.850999999999999</v>
          </cell>
          <cell r="AD38">
            <v>0</v>
          </cell>
          <cell r="AE38">
            <v>71.217195000000004</v>
          </cell>
          <cell r="AF38">
            <v>44.747</v>
          </cell>
          <cell r="AG38">
            <v>24.778272999999999</v>
          </cell>
          <cell r="AH38">
            <v>26.098680000000002</v>
          </cell>
          <cell r="AI38">
            <v>0</v>
          </cell>
          <cell r="AJ38">
            <v>31.284690000000001</v>
          </cell>
          <cell r="AK38">
            <v>57.9</v>
          </cell>
          <cell r="AL38">
            <v>301</v>
          </cell>
          <cell r="AM38">
            <v>73.771000000000001</v>
          </cell>
          <cell r="AN38">
            <v>12.315314000000001</v>
          </cell>
          <cell r="AR38">
            <v>68.506</v>
          </cell>
          <cell r="AS38">
            <v>12.884701959999999</v>
          </cell>
          <cell r="AT38">
            <v>0</v>
          </cell>
          <cell r="AU38">
            <v>0</v>
          </cell>
          <cell r="AV38">
            <v>460</v>
          </cell>
          <cell r="AW38">
            <v>0</v>
          </cell>
          <cell r="AY38">
            <v>0</v>
          </cell>
          <cell r="AZ38">
            <v>0</v>
          </cell>
          <cell r="BA38">
            <v>0</v>
          </cell>
          <cell r="BB38">
            <v>0</v>
          </cell>
          <cell r="BC38">
            <v>0</v>
          </cell>
          <cell r="BD38">
            <v>0</v>
          </cell>
          <cell r="BE38">
            <v>0</v>
          </cell>
        </row>
        <row r="39">
          <cell r="H39">
            <v>0</v>
          </cell>
          <cell r="I39">
            <v>0</v>
          </cell>
          <cell r="J39">
            <v>0</v>
          </cell>
          <cell r="K39">
            <v>0</v>
          </cell>
          <cell r="L39">
            <v>0</v>
          </cell>
          <cell r="M39">
            <v>0</v>
          </cell>
          <cell r="N39">
            <v>0</v>
          </cell>
          <cell r="O39">
            <v>0</v>
          </cell>
          <cell r="P39">
            <v>0</v>
          </cell>
          <cell r="Q39">
            <v>0</v>
          </cell>
          <cell r="R39">
            <v>0</v>
          </cell>
          <cell r="S39">
            <v>0</v>
          </cell>
          <cell r="T39">
            <v>0</v>
          </cell>
          <cell r="U39">
            <v>2.5030000000000001</v>
          </cell>
          <cell r="V39">
            <v>0</v>
          </cell>
          <cell r="W39">
            <v>5.6609999999999996</v>
          </cell>
          <cell r="X39">
            <v>5.0519999999999996</v>
          </cell>
          <cell r="Y39">
            <v>5.1552319999999998</v>
          </cell>
          <cell r="Z39">
            <v>8.721584</v>
          </cell>
          <cell r="AA39">
            <v>3.6339999999999999</v>
          </cell>
          <cell r="AC39">
            <v>2.2189999999999999</v>
          </cell>
          <cell r="AD39">
            <v>0</v>
          </cell>
          <cell r="AE39">
            <v>6.3520000000000012</v>
          </cell>
          <cell r="AG39">
            <v>7.7510000000000003</v>
          </cell>
          <cell r="AH39">
            <v>1.796775</v>
          </cell>
          <cell r="AI39">
            <v>0</v>
          </cell>
          <cell r="AJ39">
            <v>1.796775</v>
          </cell>
          <cell r="AL39">
            <v>60.732304999999997</v>
          </cell>
          <cell r="AM39">
            <v>3.5651830000000002</v>
          </cell>
          <cell r="AN39">
            <v>2.4042520000000001</v>
          </cell>
          <cell r="AO39">
            <v>0</v>
          </cell>
          <cell r="AR39">
            <v>0.95021299999999997</v>
          </cell>
          <cell r="AS39">
            <v>4.0305200000000001</v>
          </cell>
          <cell r="AT39">
            <v>0</v>
          </cell>
          <cell r="AU39">
            <v>0</v>
          </cell>
          <cell r="AW39">
            <v>0</v>
          </cell>
          <cell r="AX39">
            <v>0</v>
          </cell>
          <cell r="AY39">
            <v>0</v>
          </cell>
          <cell r="AZ39">
            <v>0</v>
          </cell>
          <cell r="BA39">
            <v>0</v>
          </cell>
          <cell r="BB39">
            <v>0</v>
          </cell>
          <cell r="BC39">
            <v>0</v>
          </cell>
          <cell r="BD39">
            <v>0</v>
          </cell>
          <cell r="BE39">
            <v>0</v>
          </cell>
        </row>
        <row r="40">
          <cell r="H40">
            <v>0</v>
          </cell>
          <cell r="I40">
            <v>0</v>
          </cell>
          <cell r="J40">
            <v>0</v>
          </cell>
          <cell r="K40">
            <v>0</v>
          </cell>
          <cell r="L40">
            <v>0</v>
          </cell>
          <cell r="M40">
            <v>0</v>
          </cell>
          <cell r="N40">
            <v>0</v>
          </cell>
          <cell r="O40">
            <v>0</v>
          </cell>
          <cell r="P40">
            <v>0</v>
          </cell>
          <cell r="Q40">
            <v>0</v>
          </cell>
          <cell r="R40">
            <v>0</v>
          </cell>
          <cell r="S40">
            <v>0</v>
          </cell>
          <cell r="T40">
            <v>0</v>
          </cell>
          <cell r="U40">
            <v>18.14</v>
          </cell>
          <cell r="V40">
            <v>0</v>
          </cell>
          <cell r="W40">
            <v>46.72</v>
          </cell>
          <cell r="X40">
            <v>36.450000000000003</v>
          </cell>
          <cell r="Y40">
            <v>22.4</v>
          </cell>
          <cell r="Z40">
            <v>13.83</v>
          </cell>
          <cell r="AA40">
            <v>24</v>
          </cell>
          <cell r="AB40">
            <v>42</v>
          </cell>
          <cell r="AC40">
            <v>13.46</v>
          </cell>
          <cell r="AD40">
            <v>0</v>
          </cell>
          <cell r="AE40">
            <v>10.304480478589419</v>
          </cell>
          <cell r="AF40">
            <v>26.04</v>
          </cell>
          <cell r="AG40">
            <v>18.55</v>
          </cell>
          <cell r="AH40">
            <v>13.52</v>
          </cell>
          <cell r="AI40">
            <v>0</v>
          </cell>
          <cell r="AJ40">
            <v>13.52</v>
          </cell>
          <cell r="AL40">
            <v>39.36</v>
          </cell>
          <cell r="AM40">
            <v>32.39</v>
          </cell>
          <cell r="AN40">
            <v>9.9</v>
          </cell>
          <cell r="AO40">
            <v>0</v>
          </cell>
          <cell r="AR40">
            <v>20.514070571545538</v>
          </cell>
          <cell r="AS40">
            <v>9.6460000000000008</v>
          </cell>
          <cell r="AT40">
            <v>0</v>
          </cell>
          <cell r="AU40">
            <v>0</v>
          </cell>
          <cell r="AV40">
            <v>34.83</v>
          </cell>
          <cell r="AW40">
            <v>0</v>
          </cell>
          <cell r="AX40">
            <v>0</v>
          </cell>
          <cell r="AY40">
            <v>0</v>
          </cell>
          <cell r="AZ40">
            <v>0</v>
          </cell>
          <cell r="BA40">
            <v>0</v>
          </cell>
          <cell r="BB40">
            <v>0</v>
          </cell>
          <cell r="BC40">
            <v>0</v>
          </cell>
          <cell r="BD40">
            <v>0</v>
          </cell>
          <cell r="BE40">
            <v>0</v>
          </cell>
        </row>
        <row r="41">
          <cell r="H41">
            <v>0</v>
          </cell>
          <cell r="I41">
            <v>0</v>
          </cell>
          <cell r="J41">
            <v>0</v>
          </cell>
          <cell r="K41">
            <v>0</v>
          </cell>
          <cell r="L41">
            <v>0</v>
          </cell>
          <cell r="M41">
            <v>0</v>
          </cell>
          <cell r="N41">
            <v>0</v>
          </cell>
          <cell r="O41">
            <v>0</v>
          </cell>
          <cell r="P41">
            <v>0</v>
          </cell>
          <cell r="Q41">
            <v>0</v>
          </cell>
          <cell r="R41">
            <v>0</v>
          </cell>
          <cell r="S41">
            <v>0</v>
          </cell>
          <cell r="T41">
            <v>0</v>
          </cell>
          <cell r="U41">
            <v>0.44</v>
          </cell>
          <cell r="V41">
            <v>0</v>
          </cell>
          <cell r="W41">
            <v>0</v>
          </cell>
          <cell r="X41">
            <v>0</v>
          </cell>
          <cell r="Y41">
            <v>0</v>
          </cell>
          <cell r="Z41">
            <v>0</v>
          </cell>
          <cell r="AA41">
            <v>0</v>
          </cell>
          <cell r="AB41">
            <v>0</v>
          </cell>
          <cell r="AC41">
            <v>0</v>
          </cell>
          <cell r="AD41">
            <v>0</v>
          </cell>
          <cell r="AE41">
            <v>0.78749999999999998</v>
          </cell>
          <cell r="AF41">
            <v>0</v>
          </cell>
          <cell r="AG41">
            <v>0</v>
          </cell>
          <cell r="AH41">
            <v>0</v>
          </cell>
          <cell r="AI41">
            <v>0</v>
          </cell>
          <cell r="AJ41">
            <v>0</v>
          </cell>
          <cell r="AL41">
            <v>0</v>
          </cell>
          <cell r="AM41">
            <v>0</v>
          </cell>
          <cell r="AN41">
            <v>0</v>
          </cell>
          <cell r="AO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row>
        <row r="42">
          <cell r="H42">
            <v>0</v>
          </cell>
          <cell r="I42">
            <v>0</v>
          </cell>
          <cell r="J42">
            <v>0</v>
          </cell>
          <cell r="K42">
            <v>0</v>
          </cell>
          <cell r="L42">
            <v>0</v>
          </cell>
          <cell r="M42">
            <v>0</v>
          </cell>
          <cell r="N42">
            <v>0</v>
          </cell>
          <cell r="O42">
            <v>0</v>
          </cell>
          <cell r="P42">
            <v>0</v>
          </cell>
          <cell r="Q42">
            <v>0</v>
          </cell>
          <cell r="R42">
            <v>0</v>
          </cell>
          <cell r="S42">
            <v>0</v>
          </cell>
          <cell r="T42">
            <v>0</v>
          </cell>
          <cell r="U42">
            <v>5.82</v>
          </cell>
          <cell r="V42">
            <v>0</v>
          </cell>
          <cell r="W42">
            <v>0</v>
          </cell>
          <cell r="X42">
            <v>0</v>
          </cell>
          <cell r="Y42">
            <v>0</v>
          </cell>
          <cell r="Z42">
            <v>0</v>
          </cell>
          <cell r="AA42">
            <v>0</v>
          </cell>
          <cell r="AB42">
            <v>0</v>
          </cell>
          <cell r="AC42">
            <v>0</v>
          </cell>
          <cell r="AD42">
            <v>0</v>
          </cell>
          <cell r="AE42">
            <v>14.8</v>
          </cell>
          <cell r="AF42">
            <v>0</v>
          </cell>
          <cell r="AG42">
            <v>0</v>
          </cell>
          <cell r="AH42">
            <v>0</v>
          </cell>
          <cell r="AI42">
            <v>0</v>
          </cell>
          <cell r="AJ42">
            <v>0</v>
          </cell>
          <cell r="AL42">
            <v>0</v>
          </cell>
          <cell r="AM42">
            <v>0</v>
          </cell>
          <cell r="AN42">
            <v>0</v>
          </cell>
          <cell r="AO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row>
        <row r="43">
          <cell r="Z43">
            <v>3.3</v>
          </cell>
          <cell r="AA43">
            <v>3.6339999999999999</v>
          </cell>
        </row>
        <row r="44">
          <cell r="Z44">
            <v>23.29</v>
          </cell>
          <cell r="AA44">
            <v>24</v>
          </cell>
        </row>
        <row r="45">
          <cell r="AB45" t="b">
            <v>0</v>
          </cell>
        </row>
        <row r="46">
          <cell r="H46" t="str">
            <v>N</v>
          </cell>
          <cell r="I46" t="str">
            <v>N</v>
          </cell>
          <cell r="J46" t="str">
            <v>N</v>
          </cell>
          <cell r="K46" t="str">
            <v>N</v>
          </cell>
          <cell r="L46" t="str">
            <v>N</v>
          </cell>
          <cell r="M46" t="str">
            <v>N</v>
          </cell>
          <cell r="N46" t="str">
            <v>N</v>
          </cell>
          <cell r="O46" t="str">
            <v>N</v>
          </cell>
          <cell r="P46" t="str">
            <v>N</v>
          </cell>
          <cell r="Q46" t="str">
            <v>N</v>
          </cell>
          <cell r="R46" t="str">
            <v>N</v>
          </cell>
          <cell r="S46" t="str">
            <v>N</v>
          </cell>
          <cell r="T46" t="str">
            <v>N</v>
          </cell>
          <cell r="U46" t="str">
            <v>N</v>
          </cell>
          <cell r="V46" t="str">
            <v>N</v>
          </cell>
          <cell r="W46" t="str">
            <v>Y</v>
          </cell>
          <cell r="X46" t="str">
            <v>N</v>
          </cell>
          <cell r="Y46" t="str">
            <v>N</v>
          </cell>
          <cell r="Z46" t="str">
            <v>N</v>
          </cell>
          <cell r="AA46" t="str">
            <v>Y</v>
          </cell>
          <cell r="AB46" t="str">
            <v>Y</v>
          </cell>
          <cell r="AC46" t="str">
            <v>N</v>
          </cell>
          <cell r="AD46" t="str">
            <v>N</v>
          </cell>
          <cell r="AE46" t="str">
            <v>N</v>
          </cell>
          <cell r="AF46" t="str">
            <v>N</v>
          </cell>
          <cell r="AG46" t="str">
            <v>N</v>
          </cell>
          <cell r="AH46" t="str">
            <v>N</v>
          </cell>
          <cell r="AI46" t="str">
            <v>N</v>
          </cell>
          <cell r="AJ46" t="str">
            <v>N</v>
          </cell>
          <cell r="AK46" t="str">
            <v>N</v>
          </cell>
          <cell r="AL46" t="str">
            <v>N</v>
          </cell>
          <cell r="AM46" t="str">
            <v>N</v>
          </cell>
          <cell r="AN46" t="str">
            <v>N</v>
          </cell>
          <cell r="AO46" t="str">
            <v>N</v>
          </cell>
          <cell r="AP46" t="str">
            <v>N</v>
          </cell>
          <cell r="AQ46" t="str">
            <v>N</v>
          </cell>
          <cell r="AR46" t="str">
            <v>N</v>
          </cell>
          <cell r="AS46" t="str">
            <v>N</v>
          </cell>
          <cell r="AT46" t="str">
            <v>N</v>
          </cell>
          <cell r="AU46" t="str">
            <v>N</v>
          </cell>
          <cell r="AV46" t="str">
            <v>N</v>
          </cell>
          <cell r="AW46" t="str">
            <v>N</v>
          </cell>
          <cell r="AX46" t="str">
            <v>N</v>
          </cell>
          <cell r="AY46" t="str">
            <v>N</v>
          </cell>
          <cell r="AZ46" t="str">
            <v>N</v>
          </cell>
          <cell r="BA46" t="str">
            <v>N</v>
          </cell>
          <cell r="BB46" t="str">
            <v>N</v>
          </cell>
          <cell r="BC46" t="str">
            <v>N</v>
          </cell>
          <cell r="BD46" t="str">
            <v>N</v>
          </cell>
          <cell r="BE46" t="str">
            <v>N</v>
          </cell>
        </row>
        <row r="47">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172.5</v>
          </cell>
          <cell r="X47">
            <v>0</v>
          </cell>
          <cell r="Y47">
            <v>0</v>
          </cell>
          <cell r="Z47">
            <v>0</v>
          </cell>
          <cell r="AA47">
            <v>300</v>
          </cell>
          <cell r="AB47">
            <v>300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row>
        <row r="48">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5.5E-2</v>
          </cell>
          <cell r="X48">
            <v>0</v>
          </cell>
          <cell r="Y48">
            <v>0</v>
          </cell>
          <cell r="Z48">
            <v>0</v>
          </cell>
          <cell r="AA48">
            <v>0.05</v>
          </cell>
          <cell r="AB48">
            <v>0.05</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row>
        <row r="49">
          <cell r="H49">
            <v>36526</v>
          </cell>
          <cell r="I49">
            <v>36526</v>
          </cell>
          <cell r="J49">
            <v>36526</v>
          </cell>
          <cell r="K49">
            <v>36526</v>
          </cell>
          <cell r="L49">
            <v>36526</v>
          </cell>
          <cell r="M49">
            <v>36526</v>
          </cell>
          <cell r="N49">
            <v>36526</v>
          </cell>
          <cell r="O49">
            <v>36526</v>
          </cell>
          <cell r="P49">
            <v>36526</v>
          </cell>
          <cell r="Q49">
            <v>36526</v>
          </cell>
          <cell r="R49">
            <v>36526</v>
          </cell>
          <cell r="S49">
            <v>36526</v>
          </cell>
          <cell r="T49">
            <v>36526</v>
          </cell>
          <cell r="U49">
            <v>0</v>
          </cell>
          <cell r="V49">
            <v>0</v>
          </cell>
          <cell r="W49">
            <v>36892</v>
          </cell>
          <cell r="X49">
            <v>36526</v>
          </cell>
          <cell r="Y49">
            <v>0</v>
          </cell>
          <cell r="Z49">
            <v>0</v>
          </cell>
          <cell r="AA49">
            <v>36861</v>
          </cell>
          <cell r="AB49">
            <v>36861</v>
          </cell>
          <cell r="AC49">
            <v>0</v>
          </cell>
          <cell r="AD49">
            <v>36526</v>
          </cell>
          <cell r="AE49">
            <v>0</v>
          </cell>
          <cell r="AF49">
            <v>0</v>
          </cell>
          <cell r="AG49">
            <v>0</v>
          </cell>
          <cell r="AH49">
            <v>0</v>
          </cell>
          <cell r="AI49">
            <v>36526</v>
          </cell>
          <cell r="AJ49">
            <v>0</v>
          </cell>
          <cell r="AK49">
            <v>0</v>
          </cell>
          <cell r="AL49">
            <v>0</v>
          </cell>
          <cell r="AM49">
            <v>0</v>
          </cell>
          <cell r="AN49">
            <v>0</v>
          </cell>
          <cell r="AO49">
            <v>36526</v>
          </cell>
          <cell r="AP49">
            <v>0</v>
          </cell>
          <cell r="AQ49">
            <v>36526</v>
          </cell>
          <cell r="AR49">
            <v>36526</v>
          </cell>
          <cell r="AS49">
            <v>36526</v>
          </cell>
          <cell r="AT49">
            <v>36526</v>
          </cell>
          <cell r="AU49">
            <v>0</v>
          </cell>
          <cell r="AV49">
            <v>0</v>
          </cell>
          <cell r="AW49">
            <v>36526</v>
          </cell>
          <cell r="AX49">
            <v>36526</v>
          </cell>
          <cell r="AY49">
            <v>36526</v>
          </cell>
          <cell r="AZ49">
            <v>36526</v>
          </cell>
          <cell r="BA49">
            <v>36526</v>
          </cell>
          <cell r="BB49">
            <v>36526</v>
          </cell>
          <cell r="BC49">
            <v>36526</v>
          </cell>
          <cell r="BD49">
            <v>36526</v>
          </cell>
          <cell r="BE49">
            <v>36526</v>
          </cell>
        </row>
        <row r="50">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85.2</v>
          </cell>
          <cell r="X50">
            <v>0</v>
          </cell>
          <cell r="Y50">
            <v>0</v>
          </cell>
          <cell r="Z50">
            <v>0</v>
          </cell>
          <cell r="AA50">
            <v>52.968800000000002</v>
          </cell>
          <cell r="AB50">
            <v>52.97</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row>
        <row r="54">
          <cell r="H54" t="str">
            <v>N</v>
          </cell>
          <cell r="I54" t="str">
            <v>N</v>
          </cell>
          <cell r="J54" t="str">
            <v>N</v>
          </cell>
          <cell r="K54" t="str">
            <v>N</v>
          </cell>
          <cell r="L54" t="str">
            <v>N</v>
          </cell>
          <cell r="M54" t="str">
            <v>N</v>
          </cell>
          <cell r="N54" t="str">
            <v>N</v>
          </cell>
          <cell r="O54" t="str">
            <v>N</v>
          </cell>
          <cell r="P54" t="str">
            <v>N</v>
          </cell>
          <cell r="Q54" t="str">
            <v>N</v>
          </cell>
          <cell r="R54" t="str">
            <v>N</v>
          </cell>
          <cell r="S54" t="str">
            <v>N</v>
          </cell>
          <cell r="T54" t="str">
            <v>N</v>
          </cell>
          <cell r="U54" t="str">
            <v>N</v>
          </cell>
          <cell r="V54" t="str">
            <v>N</v>
          </cell>
          <cell r="W54" t="str">
            <v>N</v>
          </cell>
          <cell r="X54" t="str">
            <v>N</v>
          </cell>
          <cell r="Y54" t="str">
            <v>N</v>
          </cell>
          <cell r="Z54" t="str">
            <v>Y</v>
          </cell>
          <cell r="AA54" t="str">
            <v>N</v>
          </cell>
          <cell r="AB54" t="str">
            <v>N</v>
          </cell>
          <cell r="AC54" t="str">
            <v>Y</v>
          </cell>
          <cell r="AD54" t="str">
            <v>N</v>
          </cell>
          <cell r="AE54" t="str">
            <v>N</v>
          </cell>
          <cell r="AF54" t="str">
            <v>N</v>
          </cell>
          <cell r="AG54" t="str">
            <v>N</v>
          </cell>
          <cell r="AH54" t="str">
            <v>N</v>
          </cell>
          <cell r="AI54" t="str">
            <v>N</v>
          </cell>
          <cell r="AJ54" t="str">
            <v>N</v>
          </cell>
          <cell r="AK54" t="str">
            <v>N</v>
          </cell>
          <cell r="AL54" t="str">
            <v>Y</v>
          </cell>
          <cell r="AM54" t="str">
            <v>N</v>
          </cell>
          <cell r="AN54" t="str">
            <v>N</v>
          </cell>
          <cell r="AO54" t="str">
            <v>N</v>
          </cell>
          <cell r="AP54" t="str">
            <v>N</v>
          </cell>
          <cell r="AQ54" t="str">
            <v>N</v>
          </cell>
          <cell r="AR54" t="str">
            <v>N</v>
          </cell>
          <cell r="AS54" t="str">
            <v>N</v>
          </cell>
          <cell r="AT54" t="str">
            <v>N</v>
          </cell>
          <cell r="AU54" t="str">
            <v>N</v>
          </cell>
          <cell r="AV54" t="str">
            <v>N</v>
          </cell>
          <cell r="AW54" t="str">
            <v>N</v>
          </cell>
          <cell r="AX54" t="str">
            <v>N</v>
          </cell>
          <cell r="AY54" t="str">
            <v>N</v>
          </cell>
          <cell r="AZ54" t="str">
            <v>N</v>
          </cell>
          <cell r="BA54" t="str">
            <v>N</v>
          </cell>
          <cell r="BB54" t="str">
            <v>N</v>
          </cell>
          <cell r="BC54" t="str">
            <v>N</v>
          </cell>
          <cell r="BD54" t="str">
            <v>N</v>
          </cell>
          <cell r="BE54" t="str">
            <v>N</v>
          </cell>
        </row>
        <row r="55">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300</v>
          </cell>
          <cell r="AA55">
            <v>0</v>
          </cell>
          <cell r="AB55">
            <v>0</v>
          </cell>
          <cell r="AC55">
            <v>132</v>
          </cell>
          <cell r="AD55">
            <v>0</v>
          </cell>
          <cell r="AE55">
            <v>0</v>
          </cell>
          <cell r="AF55">
            <v>0</v>
          </cell>
          <cell r="AG55">
            <v>0</v>
          </cell>
          <cell r="AH55">
            <v>0</v>
          </cell>
          <cell r="AI55">
            <v>0</v>
          </cell>
          <cell r="AJ55">
            <v>0</v>
          </cell>
          <cell r="AK55">
            <v>0</v>
          </cell>
          <cell r="AL55">
            <v>196.1</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row>
        <row r="56">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7.8E-2</v>
          </cell>
          <cell r="AA56">
            <v>0</v>
          </cell>
          <cell r="AB56">
            <v>0</v>
          </cell>
          <cell r="AC56">
            <v>5.3749999999999999E-2</v>
          </cell>
          <cell r="AD56">
            <v>0</v>
          </cell>
          <cell r="AE56">
            <v>0</v>
          </cell>
          <cell r="AF56">
            <v>0</v>
          </cell>
          <cell r="AG56">
            <v>0</v>
          </cell>
          <cell r="AH56">
            <v>0</v>
          </cell>
          <cell r="AI56">
            <v>0</v>
          </cell>
          <cell r="AJ56">
            <v>0</v>
          </cell>
          <cell r="AK56">
            <v>0</v>
          </cell>
          <cell r="AL56">
            <v>0.05</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row>
        <row r="57">
          <cell r="H57">
            <v>36526</v>
          </cell>
          <cell r="I57">
            <v>36526</v>
          </cell>
          <cell r="J57">
            <v>36526</v>
          </cell>
          <cell r="K57">
            <v>36526</v>
          </cell>
          <cell r="L57">
            <v>36526</v>
          </cell>
          <cell r="M57">
            <v>36526</v>
          </cell>
          <cell r="N57">
            <v>36526</v>
          </cell>
          <cell r="O57">
            <v>36526</v>
          </cell>
          <cell r="P57">
            <v>36526</v>
          </cell>
          <cell r="Q57">
            <v>36526</v>
          </cell>
          <cell r="R57">
            <v>36526</v>
          </cell>
          <cell r="S57">
            <v>36526</v>
          </cell>
          <cell r="T57">
            <v>36526</v>
          </cell>
          <cell r="U57">
            <v>0</v>
          </cell>
          <cell r="V57">
            <v>0</v>
          </cell>
          <cell r="W57">
            <v>0</v>
          </cell>
          <cell r="X57">
            <v>36526</v>
          </cell>
          <cell r="Y57">
            <v>0</v>
          </cell>
          <cell r="Z57">
            <v>0</v>
          </cell>
          <cell r="AA57">
            <v>0</v>
          </cell>
          <cell r="AB57">
            <v>0</v>
          </cell>
          <cell r="AC57">
            <v>0</v>
          </cell>
          <cell r="AD57">
            <v>36526</v>
          </cell>
          <cell r="AE57">
            <v>0</v>
          </cell>
          <cell r="AF57">
            <v>0</v>
          </cell>
          <cell r="AG57">
            <v>0</v>
          </cell>
          <cell r="AH57">
            <v>0</v>
          </cell>
          <cell r="AI57">
            <v>36526</v>
          </cell>
          <cell r="AJ57">
            <v>0</v>
          </cell>
          <cell r="AK57">
            <v>0</v>
          </cell>
          <cell r="AL57">
            <v>0</v>
          </cell>
          <cell r="AM57">
            <v>0</v>
          </cell>
          <cell r="AN57">
            <v>0</v>
          </cell>
          <cell r="AO57">
            <v>36526</v>
          </cell>
          <cell r="AP57">
            <v>0</v>
          </cell>
          <cell r="AQ57">
            <v>36526</v>
          </cell>
          <cell r="AR57">
            <v>36526</v>
          </cell>
          <cell r="AS57">
            <v>36526</v>
          </cell>
          <cell r="AT57">
            <v>36526</v>
          </cell>
          <cell r="AU57">
            <v>0</v>
          </cell>
          <cell r="AV57">
            <v>0</v>
          </cell>
          <cell r="AW57">
            <v>36526</v>
          </cell>
          <cell r="AX57">
            <v>36526</v>
          </cell>
          <cell r="AY57">
            <v>36526</v>
          </cell>
          <cell r="AZ57">
            <v>36526</v>
          </cell>
          <cell r="BA57">
            <v>36526</v>
          </cell>
          <cell r="BB57">
            <v>36526</v>
          </cell>
          <cell r="BC57">
            <v>36526</v>
          </cell>
          <cell r="BD57">
            <v>36526</v>
          </cell>
          <cell r="BE57">
            <v>36526</v>
          </cell>
        </row>
        <row r="58">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25</v>
          </cell>
          <cell r="AA58">
            <v>0</v>
          </cell>
          <cell r="AB58">
            <v>0</v>
          </cell>
          <cell r="AC58">
            <v>20.625360943816517</v>
          </cell>
          <cell r="AD58">
            <v>0</v>
          </cell>
          <cell r="AE58">
            <v>0</v>
          </cell>
          <cell r="AF58">
            <v>0</v>
          </cell>
          <cell r="AG58">
            <v>0</v>
          </cell>
          <cell r="AH58">
            <v>0</v>
          </cell>
          <cell r="AI58">
            <v>0</v>
          </cell>
          <cell r="AJ58">
            <v>0</v>
          </cell>
          <cell r="AK58">
            <v>0</v>
          </cell>
          <cell r="AL58">
            <v>36.536741690266801</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row>
        <row r="60">
          <cell r="AJ60" t="str">
            <v>See p.79</v>
          </cell>
          <cell r="AS60">
            <v>201.66200000000001</v>
          </cell>
        </row>
        <row r="61">
          <cell r="V61">
            <v>37346</v>
          </cell>
          <cell r="AJ61" t="str">
            <v>PF BS as of 9/30/01</v>
          </cell>
        </row>
        <row r="62">
          <cell r="H62">
            <v>0</v>
          </cell>
          <cell r="I62">
            <v>0</v>
          </cell>
          <cell r="J62">
            <v>0</v>
          </cell>
          <cell r="K62">
            <v>0</v>
          </cell>
          <cell r="L62">
            <v>0</v>
          </cell>
          <cell r="M62">
            <v>0</v>
          </cell>
          <cell r="N62">
            <v>0</v>
          </cell>
          <cell r="O62">
            <v>0</v>
          </cell>
          <cell r="P62">
            <v>143.34299999999999</v>
          </cell>
          <cell r="Q62">
            <v>0</v>
          </cell>
          <cell r="R62">
            <v>0</v>
          </cell>
          <cell r="S62">
            <v>0</v>
          </cell>
          <cell r="T62">
            <v>0</v>
          </cell>
          <cell r="U62">
            <v>20.766999999999999</v>
          </cell>
          <cell r="V62">
            <v>42.912999999999997</v>
          </cell>
          <cell r="W62">
            <v>572.90300000000002</v>
          </cell>
          <cell r="X62">
            <v>70.257999999999996</v>
          </cell>
          <cell r="Y62">
            <v>91.347999999999999</v>
          </cell>
          <cell r="Z62">
            <v>60.804000000000002</v>
          </cell>
          <cell r="AA62">
            <v>94.298000000000002</v>
          </cell>
          <cell r="AB62">
            <v>463.815</v>
          </cell>
          <cell r="AC62">
            <v>0.68799999999999994</v>
          </cell>
          <cell r="AD62">
            <v>0</v>
          </cell>
          <cell r="AE62">
            <v>40.206000000000003</v>
          </cell>
          <cell r="AF62">
            <v>93.421000000000006</v>
          </cell>
          <cell r="AG62">
            <v>24.074999999999999</v>
          </cell>
          <cell r="AH62">
            <v>0</v>
          </cell>
          <cell r="AI62">
            <v>0</v>
          </cell>
          <cell r="AJ62">
            <v>58.841999999999999</v>
          </cell>
          <cell r="AK62">
            <v>45.2</v>
          </cell>
          <cell r="AL62">
            <v>385.5</v>
          </cell>
          <cell r="AM62">
            <v>33.501829999999998</v>
          </cell>
          <cell r="AN62">
            <v>3.6070000000000002</v>
          </cell>
          <cell r="AO62">
            <v>0</v>
          </cell>
          <cell r="AR62">
            <v>132.43700000000001</v>
          </cell>
          <cell r="AS62">
            <v>24.074999999999999</v>
          </cell>
          <cell r="AT62">
            <v>14.052</v>
          </cell>
          <cell r="AU62">
            <v>869.2</v>
          </cell>
          <cell r="AV62">
            <v>703.32700000000011</v>
          </cell>
          <cell r="AW62">
            <v>0</v>
          </cell>
          <cell r="AX62">
            <v>0</v>
          </cell>
          <cell r="AY62">
            <v>0</v>
          </cell>
          <cell r="AZ62">
            <v>0</v>
          </cell>
          <cell r="BA62">
            <v>0</v>
          </cell>
          <cell r="BB62">
            <v>0</v>
          </cell>
          <cell r="BC62">
            <v>0</v>
          </cell>
          <cell r="BD62">
            <v>0</v>
          </cell>
          <cell r="BE62">
            <v>0</v>
          </cell>
        </row>
        <row r="63">
          <cell r="H63">
            <v>0</v>
          </cell>
          <cell r="I63">
            <v>0</v>
          </cell>
          <cell r="J63">
            <v>0</v>
          </cell>
          <cell r="K63">
            <v>0</v>
          </cell>
          <cell r="L63">
            <v>0</v>
          </cell>
          <cell r="M63">
            <v>0</v>
          </cell>
          <cell r="N63">
            <v>0</v>
          </cell>
          <cell r="O63">
            <v>0</v>
          </cell>
          <cell r="P63">
            <v>284.63099999999997</v>
          </cell>
          <cell r="Q63">
            <v>0</v>
          </cell>
          <cell r="R63">
            <v>0</v>
          </cell>
          <cell r="S63">
            <v>0</v>
          </cell>
          <cell r="T63">
            <v>0</v>
          </cell>
          <cell r="U63">
            <v>16.481999999999999</v>
          </cell>
          <cell r="V63">
            <v>335.25299999999999</v>
          </cell>
          <cell r="W63">
            <v>102.568</v>
          </cell>
          <cell r="X63">
            <v>147.79900000000001</v>
          </cell>
          <cell r="Y63">
            <v>138.79300000000001</v>
          </cell>
          <cell r="Z63">
            <v>1620.6289999999999</v>
          </cell>
          <cell r="AA63">
            <v>677.18</v>
          </cell>
          <cell r="AB63">
            <v>2061.3310000000001</v>
          </cell>
          <cell r="AC63">
            <v>364.21499999999997</v>
          </cell>
          <cell r="AD63">
            <v>0</v>
          </cell>
          <cell r="AE63">
            <v>226.47300000000001</v>
          </cell>
          <cell r="AF63">
            <v>356.45299999999997</v>
          </cell>
          <cell r="AG63">
            <v>167.529</v>
          </cell>
          <cell r="AH63">
            <v>0</v>
          </cell>
          <cell r="AI63">
            <v>0</v>
          </cell>
          <cell r="AJ63">
            <v>317.221</v>
          </cell>
          <cell r="AK63">
            <v>0</v>
          </cell>
          <cell r="AL63">
            <v>3604.2</v>
          </cell>
          <cell r="AM63">
            <v>181.45</v>
          </cell>
          <cell r="AN63">
            <v>41.622</v>
          </cell>
          <cell r="AO63">
            <v>0</v>
          </cell>
          <cell r="AR63">
            <v>218.86</v>
          </cell>
          <cell r="AS63">
            <v>167.529</v>
          </cell>
          <cell r="AT63">
            <v>66.616</v>
          </cell>
          <cell r="AU63">
            <v>2536</v>
          </cell>
          <cell r="AV63">
            <v>2770.145</v>
          </cell>
          <cell r="AW63">
            <v>0</v>
          </cell>
          <cell r="AX63">
            <v>0</v>
          </cell>
          <cell r="AY63">
            <v>0</v>
          </cell>
          <cell r="AZ63">
            <v>0</v>
          </cell>
          <cell r="BA63">
            <v>0</v>
          </cell>
          <cell r="BB63">
            <v>0</v>
          </cell>
          <cell r="BC63">
            <v>0</v>
          </cell>
          <cell r="BD63">
            <v>0</v>
          </cell>
          <cell r="BE63">
            <v>0</v>
          </cell>
        </row>
        <row r="64">
          <cell r="H64">
            <v>0</v>
          </cell>
          <cell r="I64">
            <v>0</v>
          </cell>
          <cell r="J64">
            <v>0</v>
          </cell>
          <cell r="K64">
            <v>0</v>
          </cell>
          <cell r="L64">
            <v>0</v>
          </cell>
          <cell r="M64">
            <v>0</v>
          </cell>
          <cell r="N64">
            <v>0</v>
          </cell>
          <cell r="O64">
            <v>0</v>
          </cell>
          <cell r="P64">
            <v>0</v>
          </cell>
          <cell r="Q64">
            <v>0</v>
          </cell>
          <cell r="R64">
            <v>0</v>
          </cell>
          <cell r="S64">
            <v>0</v>
          </cell>
          <cell r="T64">
            <v>0</v>
          </cell>
          <cell r="U64">
            <v>0.29299999999999998</v>
          </cell>
          <cell r="W64">
            <v>13.491</v>
          </cell>
          <cell r="X64">
            <v>0</v>
          </cell>
          <cell r="Y64">
            <v>0</v>
          </cell>
          <cell r="Z64">
            <v>21.030999999999999</v>
          </cell>
          <cell r="AA64">
            <v>4.266</v>
          </cell>
          <cell r="AB64">
            <v>17.831</v>
          </cell>
          <cell r="AC64">
            <v>0</v>
          </cell>
          <cell r="AD64">
            <v>0</v>
          </cell>
          <cell r="AE64">
            <v>41.978000000000002</v>
          </cell>
          <cell r="AF64">
            <v>57.145000000000003</v>
          </cell>
          <cell r="AG64">
            <v>27.484999999999999</v>
          </cell>
          <cell r="AH64">
            <v>0</v>
          </cell>
          <cell r="AI64">
            <v>0</v>
          </cell>
          <cell r="AJ64">
            <v>3.7240000000000002</v>
          </cell>
          <cell r="AK64">
            <v>0</v>
          </cell>
          <cell r="AL64">
            <v>160.69999999999999</v>
          </cell>
          <cell r="AM64">
            <v>0</v>
          </cell>
          <cell r="AN64">
            <v>0</v>
          </cell>
          <cell r="AO64">
            <v>0</v>
          </cell>
          <cell r="AR64">
            <v>12.637</v>
          </cell>
          <cell r="AS64">
            <v>27.484999999999999</v>
          </cell>
          <cell r="AT64">
            <v>7.806</v>
          </cell>
          <cell r="AU64">
            <v>870.8</v>
          </cell>
          <cell r="AV64">
            <v>906.09100000000001</v>
          </cell>
          <cell r="AW64">
            <v>0</v>
          </cell>
          <cell r="AX64">
            <v>0</v>
          </cell>
          <cell r="AY64">
            <v>0</v>
          </cell>
          <cell r="AZ64">
            <v>0</v>
          </cell>
          <cell r="BA64">
            <v>0</v>
          </cell>
          <cell r="BB64">
            <v>0</v>
          </cell>
          <cell r="BC64">
            <v>0</v>
          </cell>
          <cell r="BD64">
            <v>0</v>
          </cell>
          <cell r="BE64">
            <v>0</v>
          </cell>
        </row>
        <row r="65">
          <cell r="H65">
            <v>0</v>
          </cell>
          <cell r="I65">
            <v>0</v>
          </cell>
          <cell r="J65">
            <v>0</v>
          </cell>
          <cell r="K65">
            <v>0</v>
          </cell>
          <cell r="L65">
            <v>0</v>
          </cell>
          <cell r="M65">
            <v>0</v>
          </cell>
          <cell r="N65">
            <v>0</v>
          </cell>
          <cell r="O65">
            <v>0</v>
          </cell>
          <cell r="P65">
            <v>206.36099999999999</v>
          </cell>
          <cell r="Q65">
            <v>0</v>
          </cell>
          <cell r="R65">
            <v>0</v>
          </cell>
          <cell r="S65">
            <v>0</v>
          </cell>
          <cell r="T65">
            <v>0</v>
          </cell>
          <cell r="U65">
            <v>10.364000000000001</v>
          </cell>
          <cell r="W65">
            <v>86.736999999999995</v>
          </cell>
          <cell r="X65">
            <v>86.697000000000003</v>
          </cell>
          <cell r="Y65">
            <v>71.028000000000006</v>
          </cell>
          <cell r="Z65">
            <v>2619.4949999999999</v>
          </cell>
          <cell r="AA65">
            <v>1955.385</v>
          </cell>
          <cell r="AB65">
            <v>5295.924</v>
          </cell>
          <cell r="AC65">
            <v>345.50200000000001</v>
          </cell>
          <cell r="AD65">
            <v>0</v>
          </cell>
          <cell r="AE65">
            <v>171.381</v>
          </cell>
          <cell r="AF65">
            <v>293.76400000000001</v>
          </cell>
          <cell r="AG65">
            <v>28.338999999999999</v>
          </cell>
          <cell r="AH65">
            <v>0</v>
          </cell>
          <cell r="AI65">
            <v>0</v>
          </cell>
          <cell r="AJ65">
            <v>81.48</v>
          </cell>
          <cell r="AK65">
            <v>0</v>
          </cell>
          <cell r="AL65">
            <v>6259.3</v>
          </cell>
          <cell r="AM65">
            <v>468.92599999999999</v>
          </cell>
          <cell r="AN65">
            <v>10.763</v>
          </cell>
          <cell r="AO65">
            <v>0</v>
          </cell>
          <cell r="AR65">
            <v>156.03800000000001</v>
          </cell>
          <cell r="AS65">
            <v>28.338999999999999</v>
          </cell>
          <cell r="AT65">
            <v>0</v>
          </cell>
          <cell r="AU65">
            <v>7902</v>
          </cell>
          <cell r="AV65">
            <v>7930.3389999999999</v>
          </cell>
          <cell r="AW65">
            <v>0</v>
          </cell>
          <cell r="AX65">
            <v>0</v>
          </cell>
          <cell r="AY65">
            <v>0</v>
          </cell>
          <cell r="AZ65">
            <v>0</v>
          </cell>
          <cell r="BA65">
            <v>0</v>
          </cell>
          <cell r="BB65">
            <v>0</v>
          </cell>
          <cell r="BC65">
            <v>0</v>
          </cell>
          <cell r="BD65">
            <v>0</v>
          </cell>
          <cell r="BE65">
            <v>0</v>
          </cell>
        </row>
        <row r="66">
          <cell r="H66">
            <v>0</v>
          </cell>
          <cell r="I66">
            <v>0</v>
          </cell>
          <cell r="J66">
            <v>0</v>
          </cell>
          <cell r="K66">
            <v>0</v>
          </cell>
          <cell r="L66">
            <v>0</v>
          </cell>
          <cell r="M66">
            <v>0</v>
          </cell>
          <cell r="N66">
            <v>0</v>
          </cell>
          <cell r="O66">
            <v>0</v>
          </cell>
          <cell r="P66">
            <v>0</v>
          </cell>
          <cell r="Q66">
            <v>0</v>
          </cell>
          <cell r="R66">
            <v>0</v>
          </cell>
          <cell r="S66">
            <v>0</v>
          </cell>
          <cell r="T66">
            <v>0</v>
          </cell>
          <cell r="U66">
            <v>53.353999999999999</v>
          </cell>
          <cell r="W66">
            <v>815.16499999999996</v>
          </cell>
          <cell r="X66">
            <v>348.99099999999999</v>
          </cell>
          <cell r="Y66">
            <v>313.72699999999998</v>
          </cell>
          <cell r="Z66">
            <v>4335.01</v>
          </cell>
          <cell r="AA66">
            <v>2731.1289999999999</v>
          </cell>
          <cell r="AB66">
            <v>7838.9009999999998</v>
          </cell>
          <cell r="AC66">
            <v>727.40599999999995</v>
          </cell>
          <cell r="AD66">
            <v>0</v>
          </cell>
          <cell r="AE66">
            <v>480.49</v>
          </cell>
          <cell r="AF66">
            <v>827.40899999999999</v>
          </cell>
          <cell r="AG66">
            <v>247.428</v>
          </cell>
          <cell r="AH66">
            <v>0</v>
          </cell>
          <cell r="AI66">
            <v>0</v>
          </cell>
          <cell r="AJ66">
            <v>482.88600000000002</v>
          </cell>
          <cell r="AK66">
            <v>0</v>
          </cell>
          <cell r="AL66">
            <v>10409.700000000001</v>
          </cell>
          <cell r="AM66">
            <v>727.31100000000004</v>
          </cell>
          <cell r="AN66">
            <v>67.548000000000002</v>
          </cell>
          <cell r="AO66">
            <v>0</v>
          </cell>
          <cell r="AR66">
            <v>519.97199999999998</v>
          </cell>
          <cell r="AS66">
            <v>247.428</v>
          </cell>
          <cell r="AT66">
            <v>89.408000000000001</v>
          </cell>
          <cell r="AU66">
            <v>12382.6</v>
          </cell>
          <cell r="AV66">
            <v>12719.436</v>
          </cell>
          <cell r="AW66">
            <v>0</v>
          </cell>
          <cell r="AX66">
            <v>0</v>
          </cell>
          <cell r="AY66">
            <v>0</v>
          </cell>
          <cell r="AZ66">
            <v>0</v>
          </cell>
          <cell r="BA66">
            <v>0</v>
          </cell>
          <cell r="BB66">
            <v>0</v>
          </cell>
          <cell r="BC66">
            <v>0</v>
          </cell>
          <cell r="BD66">
            <v>0</v>
          </cell>
          <cell r="BE66">
            <v>0</v>
          </cell>
        </row>
        <row r="67">
          <cell r="H67">
            <v>0</v>
          </cell>
          <cell r="I67">
            <v>0</v>
          </cell>
          <cell r="J67">
            <v>0</v>
          </cell>
          <cell r="K67">
            <v>0</v>
          </cell>
          <cell r="L67">
            <v>0</v>
          </cell>
          <cell r="M67">
            <v>0</v>
          </cell>
          <cell r="N67">
            <v>0</v>
          </cell>
          <cell r="O67">
            <v>0</v>
          </cell>
          <cell r="P67">
            <v>0</v>
          </cell>
          <cell r="Q67">
            <v>0</v>
          </cell>
          <cell r="R67">
            <v>0</v>
          </cell>
          <cell r="S67">
            <v>0</v>
          </cell>
          <cell r="T67">
            <v>0</v>
          </cell>
          <cell r="U67">
            <v>37.055</v>
          </cell>
          <cell r="W67">
            <v>115.32899999999999</v>
          </cell>
          <cell r="X67">
            <v>185.268</v>
          </cell>
          <cell r="Y67">
            <v>11.090999999999999</v>
          </cell>
          <cell r="Z67">
            <v>195.58099999999999</v>
          </cell>
          <cell r="AA67">
            <v>71.009</v>
          </cell>
          <cell r="AB67">
            <v>277.47500000000002</v>
          </cell>
          <cell r="AC67">
            <v>24.536000000000001</v>
          </cell>
          <cell r="AD67">
            <v>0</v>
          </cell>
          <cell r="AE67">
            <v>82.016999999999996</v>
          </cell>
          <cell r="AF67">
            <v>129.49799999999999</v>
          </cell>
          <cell r="AG67">
            <v>180.89599999999999</v>
          </cell>
          <cell r="AH67">
            <v>0</v>
          </cell>
          <cell r="AI67">
            <v>0</v>
          </cell>
          <cell r="AJ67">
            <v>23.617000000000001</v>
          </cell>
          <cell r="AK67">
            <v>0</v>
          </cell>
          <cell r="AL67">
            <v>579.79999999999995</v>
          </cell>
          <cell r="AM67">
            <v>542.04999999999995</v>
          </cell>
          <cell r="AN67">
            <v>6.7640000000000002</v>
          </cell>
          <cell r="AO67">
            <v>0</v>
          </cell>
          <cell r="AR67">
            <v>56.646999999999998</v>
          </cell>
          <cell r="AS67">
            <v>180.89599999999999</v>
          </cell>
          <cell r="AT67">
            <v>10.311</v>
          </cell>
          <cell r="AU67">
            <v>1823.8</v>
          </cell>
          <cell r="AV67">
            <v>2015.0069999999998</v>
          </cell>
          <cell r="AW67">
            <v>0</v>
          </cell>
          <cell r="AX67">
            <v>0</v>
          </cell>
          <cell r="AY67">
            <v>0</v>
          </cell>
          <cell r="AZ67">
            <v>0</v>
          </cell>
          <cell r="BA67">
            <v>0</v>
          </cell>
          <cell r="BB67">
            <v>0</v>
          </cell>
          <cell r="BC67">
            <v>0</v>
          </cell>
          <cell r="BD67">
            <v>0</v>
          </cell>
          <cell r="BE67">
            <v>0</v>
          </cell>
        </row>
        <row r="68">
          <cell r="H68">
            <v>0</v>
          </cell>
          <cell r="I68">
            <v>0</v>
          </cell>
          <cell r="J68">
            <v>0</v>
          </cell>
          <cell r="K68">
            <v>0</v>
          </cell>
          <cell r="L68">
            <v>0</v>
          </cell>
          <cell r="M68">
            <v>0</v>
          </cell>
          <cell r="N68">
            <v>0</v>
          </cell>
          <cell r="O68">
            <v>0</v>
          </cell>
          <cell r="P68">
            <v>0</v>
          </cell>
          <cell r="Q68">
            <v>0</v>
          </cell>
          <cell r="R68">
            <v>0</v>
          </cell>
          <cell r="S68">
            <v>0</v>
          </cell>
          <cell r="T68">
            <v>0</v>
          </cell>
          <cell r="U68">
            <v>10.677</v>
          </cell>
          <cell r="W68">
            <v>1241.213</v>
          </cell>
          <cell r="X68">
            <v>28.251999999999999</v>
          </cell>
          <cell r="Y68">
            <v>83.563000000000002</v>
          </cell>
          <cell r="Z68">
            <v>663.26800000000003</v>
          </cell>
          <cell r="AA68">
            <v>85.805999999999997</v>
          </cell>
          <cell r="AB68">
            <v>2126.1210000000001</v>
          </cell>
          <cell r="AC68">
            <v>198.32400000000001</v>
          </cell>
          <cell r="AD68">
            <v>0</v>
          </cell>
          <cell r="AE68">
            <v>77.122</v>
          </cell>
          <cell r="AF68">
            <v>293.10599999999999</v>
          </cell>
          <cell r="AG68">
            <v>143.16</v>
          </cell>
          <cell r="AH68">
            <v>0</v>
          </cell>
          <cell r="AI68">
            <v>0</v>
          </cell>
          <cell r="AJ68">
            <v>281.48500000000001</v>
          </cell>
          <cell r="AK68">
            <v>0</v>
          </cell>
          <cell r="AL68">
            <v>974.3</v>
          </cell>
          <cell r="AM68">
            <v>127.602</v>
          </cell>
          <cell r="AN68">
            <v>30.233000000000001</v>
          </cell>
          <cell r="AO68">
            <v>0</v>
          </cell>
          <cell r="AR68">
            <v>131.012</v>
          </cell>
          <cell r="AS68">
            <v>143.16</v>
          </cell>
          <cell r="AT68">
            <v>52.091000000000001</v>
          </cell>
          <cell r="AU68">
            <v>1178.3</v>
          </cell>
          <cell r="AV68">
            <v>1373.5509999999999</v>
          </cell>
          <cell r="AW68">
            <v>0</v>
          </cell>
          <cell r="AX68">
            <v>0</v>
          </cell>
          <cell r="AY68">
            <v>0</v>
          </cell>
          <cell r="AZ68">
            <v>0</v>
          </cell>
          <cell r="BA68">
            <v>0</v>
          </cell>
          <cell r="BB68">
            <v>0</v>
          </cell>
          <cell r="BC68">
            <v>0</v>
          </cell>
          <cell r="BD68">
            <v>0</v>
          </cell>
          <cell r="BE68">
            <v>0</v>
          </cell>
        </row>
        <row r="69">
          <cell r="H69">
            <v>0</v>
          </cell>
          <cell r="I69">
            <v>0</v>
          </cell>
          <cell r="J69">
            <v>0</v>
          </cell>
          <cell r="K69">
            <v>0</v>
          </cell>
          <cell r="L69">
            <v>0</v>
          </cell>
          <cell r="M69">
            <v>0</v>
          </cell>
          <cell r="N69">
            <v>0</v>
          </cell>
          <cell r="O69">
            <v>0</v>
          </cell>
          <cell r="P69">
            <v>0</v>
          </cell>
          <cell r="Q69">
            <v>0</v>
          </cell>
          <cell r="R69">
            <v>0</v>
          </cell>
          <cell r="S69">
            <v>0</v>
          </cell>
          <cell r="T69">
            <v>0</v>
          </cell>
          <cell r="U69">
            <v>107.86799999999999</v>
          </cell>
          <cell r="V69">
            <v>924.82899999999995</v>
          </cell>
          <cell r="W69">
            <v>2225.9009999999998</v>
          </cell>
          <cell r="X69">
            <v>922.84900000000005</v>
          </cell>
          <cell r="Y69">
            <v>409.322</v>
          </cell>
          <cell r="Z69">
            <v>5350.3729999999996</v>
          </cell>
          <cell r="AA69">
            <v>2887.944</v>
          </cell>
          <cell r="AB69">
            <v>10600.218999999999</v>
          </cell>
          <cell r="AC69">
            <v>997.43799999999999</v>
          </cell>
          <cell r="AD69">
            <v>0</v>
          </cell>
          <cell r="AE69">
            <v>670.19</v>
          </cell>
          <cell r="AF69">
            <v>1309.519</v>
          </cell>
          <cell r="AG69">
            <v>594.37099999999998</v>
          </cell>
          <cell r="AH69">
            <v>0</v>
          </cell>
          <cell r="AI69">
            <v>0</v>
          </cell>
          <cell r="AJ69">
            <v>793.13599999999997</v>
          </cell>
          <cell r="AK69">
            <v>0</v>
          </cell>
          <cell r="AL69">
            <v>12888.9</v>
          </cell>
          <cell r="AM69">
            <v>1439.8019999999999</v>
          </cell>
          <cell r="AN69">
            <v>105.80200000000001</v>
          </cell>
          <cell r="AO69">
            <v>0</v>
          </cell>
          <cell r="AR69">
            <v>720.822</v>
          </cell>
          <cell r="AS69">
            <v>594.37099999999998</v>
          </cell>
          <cell r="AT69">
            <v>153.495</v>
          </cell>
          <cell r="AU69">
            <v>16256.5</v>
          </cell>
          <cell r="AV69">
            <v>17004.365999999998</v>
          </cell>
          <cell r="AW69">
            <v>0</v>
          </cell>
          <cell r="AX69">
            <v>0</v>
          </cell>
          <cell r="AY69">
            <v>0</v>
          </cell>
          <cell r="AZ69">
            <v>0</v>
          </cell>
          <cell r="BA69">
            <v>0</v>
          </cell>
          <cell r="BB69">
            <v>0</v>
          </cell>
          <cell r="BC69">
            <v>0</v>
          </cell>
          <cell r="BD69">
            <v>0</v>
          </cell>
          <cell r="BE69">
            <v>0</v>
          </cell>
        </row>
        <row r="70">
          <cell r="H70">
            <v>0</v>
          </cell>
          <cell r="I70">
            <v>0</v>
          </cell>
          <cell r="J70">
            <v>0</v>
          </cell>
          <cell r="K70">
            <v>0</v>
          </cell>
          <cell r="L70">
            <v>0</v>
          </cell>
          <cell r="M70">
            <v>0</v>
          </cell>
          <cell r="N70">
            <v>0</v>
          </cell>
          <cell r="O70">
            <v>0</v>
          </cell>
          <cell r="P70">
            <v>0</v>
          </cell>
          <cell r="Q70">
            <v>0</v>
          </cell>
          <cell r="R70">
            <v>0</v>
          </cell>
          <cell r="S70">
            <v>0</v>
          </cell>
          <cell r="T70">
            <v>0</v>
          </cell>
          <cell r="U70">
            <v>5.34</v>
          </cell>
          <cell r="W70">
            <v>22.13</v>
          </cell>
          <cell r="X70">
            <v>44.152000000000001</v>
          </cell>
          <cell r="Y70">
            <v>108.21299999999999</v>
          </cell>
          <cell r="Z70">
            <v>2428.002</v>
          </cell>
          <cell r="AA70">
            <v>1639.876</v>
          </cell>
          <cell r="AB70">
            <v>5076.7669999999998</v>
          </cell>
          <cell r="AC70">
            <v>293.06200000000001</v>
          </cell>
          <cell r="AD70">
            <v>0</v>
          </cell>
          <cell r="AE70">
            <v>148.376</v>
          </cell>
          <cell r="AF70">
            <v>205.71700000000001</v>
          </cell>
          <cell r="AG70">
            <v>65.893000000000001</v>
          </cell>
          <cell r="AH70">
            <v>0</v>
          </cell>
          <cell r="AI70">
            <v>0</v>
          </cell>
          <cell r="AJ70">
            <v>141.47499999999999</v>
          </cell>
          <cell r="AK70">
            <v>0</v>
          </cell>
          <cell r="AL70">
            <v>6249.1</v>
          </cell>
          <cell r="AM70">
            <v>59.509</v>
          </cell>
          <cell r="AN70">
            <v>15.701000000000001</v>
          </cell>
          <cell r="AO70">
            <v>0</v>
          </cell>
          <cell r="AR70">
            <v>112.02500000000001</v>
          </cell>
          <cell r="AS70">
            <v>65.893000000000001</v>
          </cell>
          <cell r="AT70">
            <v>4.5720000000000001</v>
          </cell>
          <cell r="AU70">
            <v>5266.9</v>
          </cell>
          <cell r="AV70">
            <v>5337.3649999999998</v>
          </cell>
          <cell r="AW70">
            <v>0</v>
          </cell>
          <cell r="AX70">
            <v>0</v>
          </cell>
          <cell r="AY70">
            <v>0</v>
          </cell>
          <cell r="AZ70">
            <v>0</v>
          </cell>
          <cell r="BA70">
            <v>0</v>
          </cell>
          <cell r="BB70">
            <v>0</v>
          </cell>
          <cell r="BC70">
            <v>0</v>
          </cell>
          <cell r="BD70">
            <v>0</v>
          </cell>
          <cell r="BE70">
            <v>0</v>
          </cell>
        </row>
        <row r="71">
          <cell r="H71">
            <v>0</v>
          </cell>
          <cell r="I71">
            <v>0</v>
          </cell>
          <cell r="J71">
            <v>0</v>
          </cell>
          <cell r="K71">
            <v>0</v>
          </cell>
          <cell r="L71">
            <v>0</v>
          </cell>
          <cell r="M71">
            <v>0</v>
          </cell>
          <cell r="N71">
            <v>0</v>
          </cell>
          <cell r="O71">
            <v>0</v>
          </cell>
          <cell r="P71">
            <v>0</v>
          </cell>
          <cell r="Q71">
            <v>0</v>
          </cell>
          <cell r="R71">
            <v>0</v>
          </cell>
          <cell r="S71">
            <v>0</v>
          </cell>
          <cell r="T71">
            <v>0</v>
          </cell>
          <cell r="U71">
            <v>13.272</v>
          </cell>
          <cell r="W71">
            <v>143.131</v>
          </cell>
          <cell r="X71">
            <v>123.297</v>
          </cell>
          <cell r="Y71">
            <v>137.387</v>
          </cell>
          <cell r="Z71">
            <v>2818.442</v>
          </cell>
          <cell r="AA71">
            <v>1833.835</v>
          </cell>
          <cell r="AB71">
            <v>5723.3919999999998</v>
          </cell>
          <cell r="AC71">
            <v>362.14100000000002</v>
          </cell>
          <cell r="AD71">
            <v>0</v>
          </cell>
          <cell r="AE71">
            <v>211.059</v>
          </cell>
          <cell r="AF71">
            <v>334.41300000000001</v>
          </cell>
          <cell r="AG71">
            <v>133.71899999999999</v>
          </cell>
          <cell r="AH71">
            <v>0</v>
          </cell>
          <cell r="AI71">
            <v>0</v>
          </cell>
          <cell r="AJ71">
            <v>155.59200000000001</v>
          </cell>
          <cell r="AK71">
            <v>0</v>
          </cell>
          <cell r="AL71">
            <v>7643.8</v>
          </cell>
          <cell r="AM71">
            <v>397.56299999999999</v>
          </cell>
          <cell r="AN71">
            <v>30.297000000000001</v>
          </cell>
          <cell r="AO71">
            <v>0</v>
          </cell>
          <cell r="AR71">
            <v>175.06899999999999</v>
          </cell>
          <cell r="AS71">
            <v>133.71899999999999</v>
          </cell>
          <cell r="AT71">
            <v>47.113999999999997</v>
          </cell>
          <cell r="AU71">
            <v>6770.7</v>
          </cell>
          <cell r="AV71">
            <v>6951.5329999999994</v>
          </cell>
          <cell r="AW71">
            <v>0</v>
          </cell>
          <cell r="AX71">
            <v>0</v>
          </cell>
          <cell r="AY71">
            <v>0</v>
          </cell>
          <cell r="AZ71">
            <v>0</v>
          </cell>
          <cell r="BA71">
            <v>0</v>
          </cell>
          <cell r="BB71">
            <v>0</v>
          </cell>
          <cell r="BC71">
            <v>0</v>
          </cell>
          <cell r="BD71">
            <v>0</v>
          </cell>
          <cell r="BE71">
            <v>0</v>
          </cell>
        </row>
        <row r="72">
          <cell r="H72">
            <v>0</v>
          </cell>
          <cell r="I72">
            <v>0</v>
          </cell>
          <cell r="J72">
            <v>0</v>
          </cell>
          <cell r="K72">
            <v>0</v>
          </cell>
          <cell r="L72">
            <v>0</v>
          </cell>
          <cell r="M72">
            <v>0</v>
          </cell>
          <cell r="N72">
            <v>0</v>
          </cell>
          <cell r="O72">
            <v>0</v>
          </cell>
          <cell r="P72">
            <v>0</v>
          </cell>
          <cell r="Q72">
            <v>0</v>
          </cell>
          <cell r="R72">
            <v>0</v>
          </cell>
          <cell r="S72">
            <v>0</v>
          </cell>
          <cell r="T72">
            <v>0</v>
          </cell>
          <cell r="U72">
            <v>0</v>
          </cell>
          <cell r="W72">
            <v>4.3860000000000001</v>
          </cell>
          <cell r="X72">
            <v>0</v>
          </cell>
          <cell r="Y72">
            <v>0</v>
          </cell>
          <cell r="Z72">
            <v>55.506999999999998</v>
          </cell>
          <cell r="AA72">
            <v>0</v>
          </cell>
          <cell r="AB72">
            <v>30</v>
          </cell>
          <cell r="AC72">
            <v>0</v>
          </cell>
          <cell r="AD72">
            <v>0</v>
          </cell>
          <cell r="AE72">
            <v>0</v>
          </cell>
          <cell r="AF72">
            <v>7.2430000000000003</v>
          </cell>
          <cell r="AG72">
            <v>12.371</v>
          </cell>
          <cell r="AH72">
            <v>0</v>
          </cell>
          <cell r="AI72">
            <v>0</v>
          </cell>
          <cell r="AJ72">
            <v>0</v>
          </cell>
          <cell r="AK72">
            <v>27.8</v>
          </cell>
          <cell r="AL72">
            <v>33.4</v>
          </cell>
          <cell r="AM72">
            <v>270.38200000000001</v>
          </cell>
          <cell r="AN72">
            <v>10.4</v>
          </cell>
          <cell r="AO72">
            <v>0</v>
          </cell>
          <cell r="AR72">
            <v>0</v>
          </cell>
          <cell r="AS72">
            <v>12.371</v>
          </cell>
          <cell r="AT72">
            <v>0</v>
          </cell>
          <cell r="AU72">
            <v>17.2</v>
          </cell>
          <cell r="AV72">
            <v>29.570999999999998</v>
          </cell>
          <cell r="AW72">
            <v>0</v>
          </cell>
          <cell r="AX72">
            <v>0</v>
          </cell>
          <cell r="AY72">
            <v>0</v>
          </cell>
          <cell r="AZ72">
            <v>0</v>
          </cell>
          <cell r="BA72">
            <v>0</v>
          </cell>
          <cell r="BB72">
            <v>0</v>
          </cell>
          <cell r="BC72">
            <v>0</v>
          </cell>
          <cell r="BD72">
            <v>0</v>
          </cell>
          <cell r="BE72">
            <v>0</v>
          </cell>
        </row>
        <row r="73">
          <cell r="H73">
            <v>0</v>
          </cell>
          <cell r="I73">
            <v>0</v>
          </cell>
          <cell r="J73">
            <v>0</v>
          </cell>
          <cell r="K73">
            <v>0</v>
          </cell>
          <cell r="L73">
            <v>0</v>
          </cell>
          <cell r="M73">
            <v>0</v>
          </cell>
          <cell r="N73">
            <v>0</v>
          </cell>
          <cell r="O73">
            <v>0</v>
          </cell>
          <cell r="P73">
            <v>0</v>
          </cell>
          <cell r="Q73">
            <v>0</v>
          </cell>
          <cell r="R73">
            <v>0</v>
          </cell>
          <cell r="S73">
            <v>0</v>
          </cell>
          <cell r="T73">
            <v>0</v>
          </cell>
          <cell r="U73">
            <v>0</v>
          </cell>
          <cell r="W73">
            <v>172.5</v>
          </cell>
          <cell r="X73">
            <v>0</v>
          </cell>
          <cell r="Y73">
            <v>0</v>
          </cell>
          <cell r="Z73">
            <v>0</v>
          </cell>
          <cell r="AA73">
            <v>300</v>
          </cell>
          <cell r="AB73">
            <v>300</v>
          </cell>
          <cell r="AC73">
            <v>0</v>
          </cell>
          <cell r="AD73">
            <v>0</v>
          </cell>
          <cell r="AE73">
            <v>0</v>
          </cell>
          <cell r="AF73">
            <v>0</v>
          </cell>
          <cell r="AG73">
            <v>0</v>
          </cell>
          <cell r="AH73">
            <v>0</v>
          </cell>
          <cell r="AI73">
            <v>0</v>
          </cell>
          <cell r="AJ73">
            <v>0</v>
          </cell>
          <cell r="AK73">
            <v>0</v>
          </cell>
          <cell r="AL73">
            <v>0</v>
          </cell>
          <cell r="AM73">
            <v>0</v>
          </cell>
          <cell r="AN73">
            <v>0</v>
          </cell>
          <cell r="AO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row>
        <row r="74">
          <cell r="H74">
            <v>0</v>
          </cell>
          <cell r="I74">
            <v>0</v>
          </cell>
          <cell r="J74">
            <v>0</v>
          </cell>
          <cell r="K74">
            <v>0</v>
          </cell>
          <cell r="L74">
            <v>0</v>
          </cell>
          <cell r="M74">
            <v>0</v>
          </cell>
          <cell r="N74">
            <v>0</v>
          </cell>
          <cell r="O74">
            <v>0</v>
          </cell>
          <cell r="P74">
            <v>0</v>
          </cell>
          <cell r="Q74">
            <v>0</v>
          </cell>
          <cell r="R74">
            <v>0</v>
          </cell>
          <cell r="S74">
            <v>0</v>
          </cell>
          <cell r="T74">
            <v>0</v>
          </cell>
          <cell r="U74">
            <v>3.028</v>
          </cell>
          <cell r="V74">
            <v>224.68799999999999</v>
          </cell>
          <cell r="W74">
            <v>14.313000000000001</v>
          </cell>
          <cell r="X74">
            <v>332</v>
          </cell>
          <cell r="Y74">
            <v>0</v>
          </cell>
          <cell r="Z74">
            <v>1398.4649999999999</v>
          </cell>
          <cell r="AA74">
            <v>340.93399999999997</v>
          </cell>
          <cell r="AB74">
            <v>1208.8889999999999</v>
          </cell>
          <cell r="AC74">
            <v>242.01499999999999</v>
          </cell>
          <cell r="AD74">
            <v>0</v>
          </cell>
          <cell r="AE74">
            <v>125</v>
          </cell>
          <cell r="AF74">
            <v>241.96799999999999</v>
          </cell>
          <cell r="AG74">
            <v>203.97300000000001</v>
          </cell>
          <cell r="AH74">
            <v>0</v>
          </cell>
          <cell r="AI74">
            <v>0</v>
          </cell>
          <cell r="AJ74">
            <v>227.2</v>
          </cell>
          <cell r="AK74">
            <v>929.7</v>
          </cell>
          <cell r="AL74">
            <v>1293.4000000000001</v>
          </cell>
          <cell r="AM74">
            <v>177.7</v>
          </cell>
          <cell r="AN74">
            <v>0</v>
          </cell>
          <cell r="AO74">
            <v>0</v>
          </cell>
          <cell r="AR74">
            <v>0</v>
          </cell>
          <cell r="AS74">
            <v>203.97300000000001</v>
          </cell>
          <cell r="AT74">
            <v>0</v>
          </cell>
          <cell r="AU74">
            <v>2464</v>
          </cell>
          <cell r="AV74">
            <v>2667.973</v>
          </cell>
          <cell r="AW74">
            <v>0</v>
          </cell>
          <cell r="AX74">
            <v>0</v>
          </cell>
          <cell r="AY74">
            <v>0</v>
          </cell>
          <cell r="AZ74">
            <v>0</v>
          </cell>
          <cell r="BA74">
            <v>0</v>
          </cell>
          <cell r="BB74">
            <v>0</v>
          </cell>
          <cell r="BC74">
            <v>0</v>
          </cell>
          <cell r="BD74">
            <v>0</v>
          </cell>
          <cell r="BE74">
            <v>0</v>
          </cell>
        </row>
        <row r="75">
          <cell r="H75">
            <v>0</v>
          </cell>
          <cell r="I75">
            <v>0</v>
          </cell>
          <cell r="J75">
            <v>0</v>
          </cell>
          <cell r="K75">
            <v>0</v>
          </cell>
          <cell r="L75">
            <v>0</v>
          </cell>
          <cell r="M75">
            <v>0</v>
          </cell>
          <cell r="N75">
            <v>0</v>
          </cell>
          <cell r="O75">
            <v>0</v>
          </cell>
          <cell r="P75">
            <v>0</v>
          </cell>
          <cell r="Q75">
            <v>0</v>
          </cell>
          <cell r="R75">
            <v>0</v>
          </cell>
          <cell r="S75">
            <v>0</v>
          </cell>
          <cell r="T75">
            <v>0</v>
          </cell>
          <cell r="U75">
            <v>0</v>
          </cell>
          <cell r="W75">
            <v>0</v>
          </cell>
          <cell r="X75">
            <v>0</v>
          </cell>
          <cell r="Y75">
            <v>0</v>
          </cell>
          <cell r="Z75">
            <v>300</v>
          </cell>
          <cell r="AA75">
            <v>0</v>
          </cell>
          <cell r="AB75">
            <v>0</v>
          </cell>
          <cell r="AC75">
            <v>132</v>
          </cell>
          <cell r="AD75">
            <v>0</v>
          </cell>
          <cell r="AE75">
            <v>0</v>
          </cell>
          <cell r="AF75">
            <v>0</v>
          </cell>
          <cell r="AG75">
            <v>0</v>
          </cell>
          <cell r="AH75">
            <v>0</v>
          </cell>
          <cell r="AI75">
            <v>0</v>
          </cell>
          <cell r="AJ75">
            <v>0</v>
          </cell>
          <cell r="AK75">
            <v>0</v>
          </cell>
          <cell r="AL75">
            <v>196.1</v>
          </cell>
          <cell r="AM75">
            <v>0</v>
          </cell>
          <cell r="AN75">
            <v>0</v>
          </cell>
          <cell r="AO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row>
        <row r="76">
          <cell r="H76">
            <v>0</v>
          </cell>
          <cell r="I76">
            <v>0</v>
          </cell>
          <cell r="J76">
            <v>0</v>
          </cell>
          <cell r="K76">
            <v>0</v>
          </cell>
          <cell r="L76">
            <v>0</v>
          </cell>
          <cell r="M76">
            <v>0</v>
          </cell>
          <cell r="N76">
            <v>0</v>
          </cell>
          <cell r="O76">
            <v>0</v>
          </cell>
          <cell r="P76">
            <v>0</v>
          </cell>
          <cell r="Q76">
            <v>0</v>
          </cell>
          <cell r="R76">
            <v>0</v>
          </cell>
          <cell r="S76">
            <v>0</v>
          </cell>
          <cell r="T76">
            <v>0</v>
          </cell>
          <cell r="U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row>
        <row r="77">
          <cell r="H77">
            <v>0</v>
          </cell>
          <cell r="I77">
            <v>0</v>
          </cell>
          <cell r="J77">
            <v>0</v>
          </cell>
          <cell r="K77">
            <v>0</v>
          </cell>
          <cell r="L77">
            <v>0</v>
          </cell>
          <cell r="M77">
            <v>0</v>
          </cell>
          <cell r="N77">
            <v>0</v>
          </cell>
          <cell r="O77">
            <v>0</v>
          </cell>
          <cell r="P77">
            <v>0</v>
          </cell>
          <cell r="Q77">
            <v>0</v>
          </cell>
          <cell r="R77">
            <v>0</v>
          </cell>
          <cell r="S77">
            <v>0</v>
          </cell>
          <cell r="T77">
            <v>0</v>
          </cell>
          <cell r="U77">
            <v>0</v>
          </cell>
          <cell r="W77">
            <v>2.4550000000000001</v>
          </cell>
          <cell r="X77">
            <v>45.417000000000002</v>
          </cell>
          <cell r="Y77">
            <v>0</v>
          </cell>
          <cell r="Z77">
            <v>0</v>
          </cell>
          <cell r="AA77">
            <v>0</v>
          </cell>
          <cell r="AB77">
            <v>0</v>
          </cell>
          <cell r="AC77">
            <v>0</v>
          </cell>
          <cell r="AD77">
            <v>0</v>
          </cell>
          <cell r="AE77">
            <v>0</v>
          </cell>
          <cell r="AF77">
            <v>7.5389999999999997</v>
          </cell>
          <cell r="AG77">
            <v>0</v>
          </cell>
          <cell r="AH77">
            <v>0</v>
          </cell>
          <cell r="AI77">
            <v>0</v>
          </cell>
          <cell r="AJ77">
            <v>1.321</v>
          </cell>
          <cell r="AK77">
            <v>0</v>
          </cell>
          <cell r="AL77">
            <v>0</v>
          </cell>
          <cell r="AM77">
            <v>0</v>
          </cell>
          <cell r="AN77">
            <v>0</v>
          </cell>
          <cell r="AO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row>
        <row r="78">
          <cell r="H78">
            <v>0</v>
          </cell>
          <cell r="I78">
            <v>0</v>
          </cell>
          <cell r="J78">
            <v>0</v>
          </cell>
          <cell r="K78">
            <v>0</v>
          </cell>
          <cell r="L78">
            <v>0</v>
          </cell>
          <cell r="M78">
            <v>0</v>
          </cell>
          <cell r="N78">
            <v>0</v>
          </cell>
          <cell r="O78">
            <v>0</v>
          </cell>
          <cell r="P78">
            <v>0</v>
          </cell>
          <cell r="Q78">
            <v>0</v>
          </cell>
          <cell r="R78">
            <v>0</v>
          </cell>
          <cell r="S78">
            <v>0</v>
          </cell>
          <cell r="T78">
            <v>0</v>
          </cell>
          <cell r="U78">
            <v>91.567999999999998</v>
          </cell>
          <cell r="V78">
            <v>471.05399999999997</v>
          </cell>
          <cell r="W78">
            <v>1703.2080000000001</v>
          </cell>
          <cell r="X78">
            <v>375.39800000000002</v>
          </cell>
          <cell r="Y78">
            <v>271.21300000000002</v>
          </cell>
          <cell r="Z78">
            <v>809.50900000000001</v>
          </cell>
          <cell r="AA78">
            <v>402.92500000000001</v>
          </cell>
          <cell r="AB78">
            <v>3049.7260000000001</v>
          </cell>
          <cell r="AC78">
            <v>246.459</v>
          </cell>
          <cell r="AD78">
            <v>0</v>
          </cell>
          <cell r="AE78">
            <v>324.77800000000002</v>
          </cell>
          <cell r="AF78">
            <v>707.42499999999995</v>
          </cell>
          <cell r="AG78">
            <v>245.49199999999999</v>
          </cell>
          <cell r="AH78">
            <v>0</v>
          </cell>
          <cell r="AI78">
            <v>0</v>
          </cell>
          <cell r="AJ78">
            <v>404.96600000000001</v>
          </cell>
          <cell r="AK78">
            <v>45.4</v>
          </cell>
          <cell r="AL78">
            <v>3783.1</v>
          </cell>
          <cell r="AM78">
            <v>805.57983000000002</v>
          </cell>
          <cell r="AN78">
            <v>75.504999999999995</v>
          </cell>
          <cell r="AO78">
            <v>0</v>
          </cell>
          <cell r="AR78">
            <v>543.28300000000002</v>
          </cell>
          <cell r="AS78">
            <v>245.49199999999999</v>
          </cell>
          <cell r="AT78">
            <v>103.72</v>
          </cell>
          <cell r="AU78">
            <v>6209</v>
          </cell>
          <cell r="AV78">
            <v>6209</v>
          </cell>
          <cell r="AW78">
            <v>0</v>
          </cell>
          <cell r="AX78">
            <v>0</v>
          </cell>
          <cell r="AY78">
            <v>0</v>
          </cell>
          <cell r="AZ78">
            <v>0</v>
          </cell>
          <cell r="BA78">
            <v>0</v>
          </cell>
          <cell r="BB78">
            <v>0</v>
          </cell>
          <cell r="BC78">
            <v>0</v>
          </cell>
          <cell r="BD78">
            <v>0</v>
          </cell>
          <cell r="BE78">
            <v>0</v>
          </cell>
        </row>
        <row r="80">
          <cell r="Z80" t="str">
            <v>Purchase price</v>
          </cell>
          <cell r="AA80">
            <v>2427.7871613734401</v>
          </cell>
          <cell r="AK80">
            <v>1025.9000000000001</v>
          </cell>
        </row>
        <row r="81">
          <cell r="Z81" t="str">
            <v>Goodwill created</v>
          </cell>
          <cell r="AA81">
            <v>1618.2781613734401</v>
          </cell>
          <cell r="AQ81">
            <v>0.01</v>
          </cell>
        </row>
        <row r="83">
          <cell r="H83">
            <v>0</v>
          </cell>
          <cell r="I83">
            <v>0</v>
          </cell>
          <cell r="J83">
            <v>0</v>
          </cell>
          <cell r="K83">
            <v>0</v>
          </cell>
          <cell r="L83">
            <v>0</v>
          </cell>
          <cell r="M83">
            <v>0</v>
          </cell>
          <cell r="N83">
            <v>0</v>
          </cell>
          <cell r="O83">
            <v>0</v>
          </cell>
          <cell r="P83">
            <v>0</v>
          </cell>
          <cell r="Q83">
            <v>0</v>
          </cell>
          <cell r="R83">
            <v>0</v>
          </cell>
          <cell r="S83">
            <v>0</v>
          </cell>
          <cell r="T83">
            <v>0</v>
          </cell>
          <cell r="U83">
            <v>21.657</v>
          </cell>
          <cell r="V83">
            <v>248.679</v>
          </cell>
          <cell r="W83">
            <v>156.005</v>
          </cell>
          <cell r="X83">
            <v>157.667</v>
          </cell>
          <cell r="Y83">
            <v>266.45699999999999</v>
          </cell>
          <cell r="Z83">
            <v>5476.2640000000001</v>
          </cell>
          <cell r="AA83">
            <v>3518.8519999999999</v>
          </cell>
          <cell r="AB83">
            <v>9918.6090000000004</v>
          </cell>
          <cell r="AC83">
            <v>966.68299999999999</v>
          </cell>
          <cell r="AD83">
            <v>0</v>
          </cell>
          <cell r="AE83">
            <v>455.31200000000001</v>
          </cell>
          <cell r="AF83">
            <v>647.09299999999996</v>
          </cell>
          <cell r="AG83">
            <v>215.48400000000001</v>
          </cell>
          <cell r="AH83">
            <v>178.49700000000001</v>
          </cell>
          <cell r="AI83">
            <v>172.74</v>
          </cell>
          <cell r="AJ83">
            <v>351.23700000000002</v>
          </cell>
          <cell r="AK83">
            <v>809.9</v>
          </cell>
          <cell r="AL83">
            <v>9629</v>
          </cell>
          <cell r="AM83">
            <v>292.33499999999998</v>
          </cell>
          <cell r="AN83">
            <v>93.427999999999997</v>
          </cell>
          <cell r="AO83">
            <v>0</v>
          </cell>
          <cell r="AP83">
            <v>305.11900000000003</v>
          </cell>
          <cell r="AQ83">
            <v>37.41225</v>
          </cell>
          <cell r="AR83">
            <v>357.39400000000001</v>
          </cell>
          <cell r="AS83">
            <v>215.48400000000001</v>
          </cell>
          <cell r="AT83">
            <v>50.173999999999999</v>
          </cell>
          <cell r="AU83">
            <v>11541.3</v>
          </cell>
          <cell r="AV83">
            <v>11806.958000000001</v>
          </cell>
          <cell r="AW83">
            <v>0</v>
          </cell>
          <cell r="AX83">
            <v>0</v>
          </cell>
          <cell r="AY83">
            <v>0</v>
          </cell>
          <cell r="AZ83">
            <v>0</v>
          </cell>
          <cell r="BA83">
            <v>0</v>
          </cell>
          <cell r="BB83">
            <v>0</v>
          </cell>
          <cell r="BC83">
            <v>0</v>
          </cell>
          <cell r="BD83">
            <v>0</v>
          </cell>
          <cell r="BE83">
            <v>0</v>
          </cell>
        </row>
        <row r="84">
          <cell r="H84">
            <v>0</v>
          </cell>
          <cell r="I84">
            <v>0</v>
          </cell>
          <cell r="J84">
            <v>0</v>
          </cell>
          <cell r="K84">
            <v>0</v>
          </cell>
          <cell r="L84">
            <v>0</v>
          </cell>
          <cell r="M84">
            <v>0</v>
          </cell>
          <cell r="N84">
            <v>0</v>
          </cell>
          <cell r="O84">
            <v>0</v>
          </cell>
          <cell r="P84">
            <v>0</v>
          </cell>
          <cell r="Q84">
            <v>0</v>
          </cell>
          <cell r="R84">
            <v>0</v>
          </cell>
          <cell r="S84">
            <v>0</v>
          </cell>
          <cell r="T84">
            <v>0</v>
          </cell>
          <cell r="U84">
            <v>17.899000000000001</v>
          </cell>
          <cell r="V84">
            <v>225.50800000000001</v>
          </cell>
          <cell r="W84">
            <v>141.75</v>
          </cell>
          <cell r="X84">
            <v>148.267</v>
          </cell>
          <cell r="Y84">
            <v>168.346</v>
          </cell>
          <cell r="Z84">
            <v>4805.4430000000002</v>
          </cell>
          <cell r="AA84">
            <v>2921.424</v>
          </cell>
          <cell r="AB84">
            <v>8467.9760000000006</v>
          </cell>
          <cell r="AC84">
            <v>924.50800000000004</v>
          </cell>
          <cell r="AD84">
            <v>0</v>
          </cell>
          <cell r="AE84">
            <v>449.39400000000001</v>
          </cell>
          <cell r="AF84">
            <v>593.89499999999998</v>
          </cell>
          <cell r="AG84">
            <v>181.416</v>
          </cell>
          <cell r="AH84">
            <v>124.28</v>
          </cell>
          <cell r="AI84">
            <v>174.83175</v>
          </cell>
          <cell r="AJ84">
            <v>299.11175000000003</v>
          </cell>
          <cell r="AK84">
            <v>708.8</v>
          </cell>
          <cell r="AL84">
            <v>8002.7</v>
          </cell>
          <cell r="AM84">
            <v>262.61099999999999</v>
          </cell>
          <cell r="AN84">
            <v>62.843999999999994</v>
          </cell>
          <cell r="AO84">
            <v>0</v>
          </cell>
          <cell r="AP84">
            <v>270.04000000000002</v>
          </cell>
          <cell r="AQ84">
            <v>33.266723499999998</v>
          </cell>
          <cell r="AR84">
            <v>326.089</v>
          </cell>
          <cell r="AS84">
            <v>181.416</v>
          </cell>
          <cell r="AT84">
            <v>46.067</v>
          </cell>
          <cell r="AU84">
            <v>10334.200000000001</v>
          </cell>
          <cell r="AV84">
            <v>10561.682999999999</v>
          </cell>
          <cell r="AW84">
            <v>0</v>
          </cell>
          <cell r="AX84">
            <v>0</v>
          </cell>
          <cell r="AY84">
            <v>0</v>
          </cell>
          <cell r="AZ84">
            <v>0</v>
          </cell>
          <cell r="BA84">
            <v>0</v>
          </cell>
          <cell r="BB84">
            <v>0</v>
          </cell>
          <cell r="BC84">
            <v>0</v>
          </cell>
          <cell r="BD84">
            <v>0</v>
          </cell>
          <cell r="BE84">
            <v>0</v>
          </cell>
        </row>
        <row r="85">
          <cell r="H85">
            <v>0</v>
          </cell>
          <cell r="I85">
            <v>0</v>
          </cell>
          <cell r="J85">
            <v>0</v>
          </cell>
          <cell r="K85">
            <v>0</v>
          </cell>
          <cell r="L85">
            <v>0</v>
          </cell>
          <cell r="M85">
            <v>0</v>
          </cell>
          <cell r="N85">
            <v>0</v>
          </cell>
          <cell r="O85">
            <v>0</v>
          </cell>
          <cell r="P85">
            <v>0</v>
          </cell>
          <cell r="Q85">
            <v>0</v>
          </cell>
          <cell r="R85">
            <v>0</v>
          </cell>
          <cell r="S85">
            <v>0</v>
          </cell>
          <cell r="T85">
            <v>0</v>
          </cell>
          <cell r="U85">
            <v>1.7278360343183984E-2</v>
          </cell>
          <cell r="V85">
            <v>0.43128503980766286</v>
          </cell>
          <cell r="W85">
            <v>0.42099100438629095</v>
          </cell>
          <cell r="X85">
            <v>0.3300802249607146</v>
          </cell>
          <cell r="Y85">
            <v>0.21561950471758168</v>
          </cell>
          <cell r="Z85">
            <v>0.31872743830702677</v>
          </cell>
          <cell r="AA85">
            <v>0.29031699628740149</v>
          </cell>
          <cell r="AB85">
            <v>0.84</v>
          </cell>
          <cell r="AC85">
            <v>0.29162740478994892</v>
          </cell>
          <cell r="AD85">
            <v>0</v>
          </cell>
          <cell r="AE85">
            <v>6.0223542610213163E-2</v>
          </cell>
          <cell r="AF85">
            <v>0.44770700492409626</v>
          </cell>
          <cell r="AG85">
            <v>0.40808768517133026</v>
          </cell>
          <cell r="AH85">
            <v>0</v>
          </cell>
          <cell r="AI85">
            <v>0</v>
          </cell>
          <cell r="AJ85">
            <v>0.45888117014543139</v>
          </cell>
          <cell r="AK85">
            <v>0.4525043177892919</v>
          </cell>
          <cell r="AL85">
            <v>0.37332887700534761</v>
          </cell>
          <cell r="AM85">
            <v>0.45</v>
          </cell>
          <cell r="AN85">
            <v>7.0000000000000007E-2</v>
          </cell>
          <cell r="AO85">
            <v>0</v>
          </cell>
          <cell r="AP85">
            <v>0.30981640291161994</v>
          </cell>
          <cell r="AQ85">
            <v>0.15012607013017476</v>
          </cell>
          <cell r="AR85">
            <v>0.36397215097105173</v>
          </cell>
          <cell r="AS85">
            <v>10.909000000000001</v>
          </cell>
          <cell r="AT85">
            <v>1.883</v>
          </cell>
          <cell r="AU85">
            <v>0</v>
          </cell>
          <cell r="AV85">
            <v>0.71137334829321408</v>
          </cell>
          <cell r="AW85">
            <v>0</v>
          </cell>
          <cell r="AX85">
            <v>0</v>
          </cell>
          <cell r="AY85">
            <v>0</v>
          </cell>
          <cell r="AZ85">
            <v>0</v>
          </cell>
          <cell r="BA85">
            <v>0</v>
          </cell>
          <cell r="BB85">
            <v>0</v>
          </cell>
          <cell r="BC85">
            <v>0</v>
          </cell>
          <cell r="BD85">
            <v>0</v>
          </cell>
          <cell r="BE85">
            <v>0</v>
          </cell>
        </row>
        <row r="86">
          <cell r="H86">
            <v>0</v>
          </cell>
          <cell r="I86">
            <v>0</v>
          </cell>
          <cell r="J86">
            <v>0</v>
          </cell>
          <cell r="K86">
            <v>0</v>
          </cell>
          <cell r="L86">
            <v>0</v>
          </cell>
          <cell r="M86">
            <v>0</v>
          </cell>
          <cell r="N86">
            <v>0</v>
          </cell>
          <cell r="O86">
            <v>0</v>
          </cell>
          <cell r="P86">
            <v>0</v>
          </cell>
          <cell r="Q86">
            <v>0</v>
          </cell>
          <cell r="R86">
            <v>0</v>
          </cell>
          <cell r="S86">
            <v>0</v>
          </cell>
          <cell r="T86">
            <v>0</v>
          </cell>
          <cell r="U86">
            <v>-1.5869880152772291E-2</v>
          </cell>
          <cell r="V86">
            <v>0.37235744721740821</v>
          </cell>
          <cell r="W86">
            <v>0.38252283498449885</v>
          </cell>
          <cell r="X86">
            <v>0.32712136578769435</v>
          </cell>
          <cell r="Y86">
            <v>0.19861669236299087</v>
          </cell>
          <cell r="Z86">
            <v>0.19353407875648096</v>
          </cell>
          <cell r="AA86">
            <v>0.24000267823754298</v>
          </cell>
          <cell r="AB86">
            <v>0.86386163431927232</v>
          </cell>
          <cell r="AC86">
            <v>0.25331095131911907</v>
          </cell>
          <cell r="AD86">
            <v>0</v>
          </cell>
          <cell r="AE86">
            <v>-5.3598091495930367E-2</v>
          </cell>
          <cell r="AF86">
            <v>0.36981411950122839</v>
          </cell>
          <cell r="AG86">
            <v>0.41052728681598466</v>
          </cell>
          <cell r="AH86">
            <v>0</v>
          </cell>
          <cell r="AI86">
            <v>0</v>
          </cell>
          <cell r="AJ86">
            <v>0.27767711258448685</v>
          </cell>
          <cell r="AK86">
            <v>0.29782807151007989</v>
          </cell>
          <cell r="AL86">
            <v>0.2348356489325652</v>
          </cell>
          <cell r="AM86">
            <v>0.41</v>
          </cell>
          <cell r="AN86">
            <v>-0.04</v>
          </cell>
          <cell r="AO86">
            <v>0</v>
          </cell>
          <cell r="AP86">
            <v>0.26646511352184482</v>
          </cell>
          <cell r="AQ86">
            <v>0.1235437885176776</v>
          </cell>
          <cell r="AR86">
            <v>0.31</v>
          </cell>
          <cell r="AS86">
            <v>11.1257</v>
          </cell>
          <cell r="AT86">
            <v>1.389</v>
          </cell>
          <cell r="AU86">
            <v>0</v>
          </cell>
          <cell r="AV86">
            <v>0.59019103295155451</v>
          </cell>
          <cell r="AW86">
            <v>0</v>
          </cell>
          <cell r="AX86">
            <v>0</v>
          </cell>
          <cell r="AY86">
            <v>0</v>
          </cell>
          <cell r="AZ86">
            <v>0</v>
          </cell>
          <cell r="BA86">
            <v>0</v>
          </cell>
          <cell r="BB86">
            <v>0</v>
          </cell>
          <cell r="BC86">
            <v>0</v>
          </cell>
          <cell r="BD86">
            <v>0</v>
          </cell>
          <cell r="BE86">
            <v>0</v>
          </cell>
        </row>
        <row r="88">
          <cell r="AK88">
            <v>1000</v>
          </cell>
        </row>
        <row r="90">
          <cell r="H90">
            <v>0</v>
          </cell>
          <cell r="I90">
            <v>0</v>
          </cell>
          <cell r="J90">
            <v>0</v>
          </cell>
          <cell r="K90">
            <v>0</v>
          </cell>
          <cell r="L90">
            <v>0</v>
          </cell>
          <cell r="M90">
            <v>0</v>
          </cell>
          <cell r="N90">
            <v>0</v>
          </cell>
          <cell r="O90">
            <v>0</v>
          </cell>
          <cell r="P90">
            <v>0</v>
          </cell>
          <cell r="Q90">
            <v>0</v>
          </cell>
          <cell r="R90">
            <v>0</v>
          </cell>
          <cell r="S90">
            <v>0</v>
          </cell>
          <cell r="T90">
            <v>0</v>
          </cell>
          <cell r="U90">
            <v>62.274999999999999</v>
          </cell>
          <cell r="W90">
            <v>476.03399999999999</v>
          </cell>
          <cell r="X90">
            <v>488.137</v>
          </cell>
          <cell r="Y90">
            <v>266.45699999999999</v>
          </cell>
          <cell r="Z90">
            <v>15240.338</v>
          </cell>
          <cell r="AA90">
            <v>10306.288</v>
          </cell>
          <cell r="AB90">
            <v>19604.884999999998</v>
          </cell>
          <cell r="AC90">
            <v>966.68299999999999</v>
          </cell>
          <cell r="AD90">
            <v>0</v>
          </cell>
          <cell r="AE90">
            <v>1350.422</v>
          </cell>
          <cell r="AF90">
            <v>647.09299999999996</v>
          </cell>
          <cell r="AG90">
            <v>215.48400000000001</v>
          </cell>
          <cell r="AH90">
            <v>465.33100000000002</v>
          </cell>
          <cell r="AI90">
            <v>518.22</v>
          </cell>
          <cell r="AJ90">
            <v>983.55100000000004</v>
          </cell>
          <cell r="AK90">
            <v>1585.4</v>
          </cell>
          <cell r="AL90">
            <v>27094.2</v>
          </cell>
          <cell r="AM90">
            <v>0</v>
          </cell>
          <cell r="AN90">
            <v>93.427999999999997</v>
          </cell>
          <cell r="AO90">
            <v>0</v>
          </cell>
          <cell r="AP90">
            <v>0</v>
          </cell>
          <cell r="AQ90">
            <v>0</v>
          </cell>
          <cell r="AR90">
            <v>1049.2940000000001</v>
          </cell>
          <cell r="AS90">
            <v>621.09399999999994</v>
          </cell>
          <cell r="AT90">
            <v>161.69800000000001</v>
          </cell>
          <cell r="AU90">
            <v>32628.400000000001</v>
          </cell>
          <cell r="AV90">
            <v>33411.191999999995</v>
          </cell>
          <cell r="AW90">
            <v>0</v>
          </cell>
          <cell r="AX90">
            <v>0</v>
          </cell>
          <cell r="AY90">
            <v>0</v>
          </cell>
          <cell r="AZ90">
            <v>0</v>
          </cell>
          <cell r="BA90">
            <v>0</v>
          </cell>
          <cell r="BB90">
            <v>0</v>
          </cell>
          <cell r="BC90">
            <v>0</v>
          </cell>
          <cell r="BD90">
            <v>0</v>
          </cell>
          <cell r="BE90">
            <v>0</v>
          </cell>
        </row>
        <row r="91">
          <cell r="H91">
            <v>0</v>
          </cell>
          <cell r="I91">
            <v>0</v>
          </cell>
          <cell r="J91">
            <v>0</v>
          </cell>
          <cell r="K91">
            <v>0</v>
          </cell>
          <cell r="L91">
            <v>0</v>
          </cell>
          <cell r="M91">
            <v>0</v>
          </cell>
          <cell r="N91">
            <v>0</v>
          </cell>
          <cell r="O91">
            <v>0</v>
          </cell>
          <cell r="P91">
            <v>0</v>
          </cell>
          <cell r="Q91">
            <v>0</v>
          </cell>
          <cell r="R91">
            <v>0</v>
          </cell>
          <cell r="S91">
            <v>0</v>
          </cell>
          <cell r="T91">
            <v>0</v>
          </cell>
          <cell r="U91">
            <v>53.747999999999998</v>
          </cell>
          <cell r="W91">
            <v>425.25</v>
          </cell>
          <cell r="X91">
            <v>449.28500000000003</v>
          </cell>
          <cell r="Y91">
            <v>168.346</v>
          </cell>
          <cell r="Z91">
            <v>13888.268</v>
          </cell>
          <cell r="AA91">
            <v>8582.2189999999991</v>
          </cell>
          <cell r="AB91">
            <v>16551.510999999999</v>
          </cell>
          <cell r="AC91">
            <v>924.50800000000004</v>
          </cell>
          <cell r="AD91">
            <v>0</v>
          </cell>
          <cell r="AE91">
            <v>1367.192</v>
          </cell>
          <cell r="AF91">
            <v>593.89499999999998</v>
          </cell>
          <cell r="AG91">
            <v>181.416</v>
          </cell>
          <cell r="AH91">
            <v>337.72699999999998</v>
          </cell>
          <cell r="AI91">
            <v>524.49524999999994</v>
          </cell>
          <cell r="AJ91">
            <v>862.22224999999992</v>
          </cell>
          <cell r="AK91">
            <v>1395.8</v>
          </cell>
          <cell r="AL91">
            <v>22885.200000000001</v>
          </cell>
          <cell r="AM91">
            <v>0</v>
          </cell>
          <cell r="AN91">
            <v>62.844000000000001</v>
          </cell>
          <cell r="AO91">
            <v>0</v>
          </cell>
          <cell r="AP91">
            <v>270.04000000000002</v>
          </cell>
          <cell r="AQ91">
            <v>0</v>
          </cell>
          <cell r="AR91">
            <v>965.88300000000004</v>
          </cell>
          <cell r="AS91">
            <v>507.48599999999999</v>
          </cell>
          <cell r="AT91">
            <v>135.73500000000001</v>
          </cell>
          <cell r="AU91">
            <v>28405.8</v>
          </cell>
          <cell r="AV91">
            <v>29049.021000000001</v>
          </cell>
          <cell r="AW91">
            <v>0</v>
          </cell>
          <cell r="AX91">
            <v>0</v>
          </cell>
          <cell r="AY91">
            <v>0</v>
          </cell>
          <cell r="AZ91">
            <v>0</v>
          </cell>
          <cell r="BA91">
            <v>0</v>
          </cell>
          <cell r="BB91">
            <v>0</v>
          </cell>
          <cell r="BC91">
            <v>0</v>
          </cell>
          <cell r="BD91">
            <v>0</v>
          </cell>
          <cell r="BE91">
            <v>0</v>
          </cell>
        </row>
        <row r="92">
          <cell r="H92">
            <v>0</v>
          </cell>
          <cell r="I92">
            <v>0</v>
          </cell>
          <cell r="J92">
            <v>0</v>
          </cell>
          <cell r="K92">
            <v>0</v>
          </cell>
          <cell r="L92">
            <v>0</v>
          </cell>
          <cell r="M92">
            <v>0</v>
          </cell>
          <cell r="N92">
            <v>0</v>
          </cell>
          <cell r="O92">
            <v>0</v>
          </cell>
          <cell r="P92">
            <v>0</v>
          </cell>
          <cell r="Q92">
            <v>0</v>
          </cell>
          <cell r="R92">
            <v>0</v>
          </cell>
          <cell r="S92">
            <v>0</v>
          </cell>
          <cell r="T92">
            <v>0</v>
          </cell>
          <cell r="U92">
            <v>71.149000000000001</v>
          </cell>
          <cell r="V92">
            <v>859.20799999999997</v>
          </cell>
          <cell r="W92">
            <v>567</v>
          </cell>
          <cell r="X92">
            <v>598.23099999999999</v>
          </cell>
          <cell r="Y92">
            <v>805.12</v>
          </cell>
          <cell r="Z92">
            <v>18725.611000000001</v>
          </cell>
          <cell r="AA92">
            <v>11609.995000000001</v>
          </cell>
          <cell r="AB92">
            <v>34599.31</v>
          </cell>
          <cell r="AC92">
            <v>3814.9940000000001</v>
          </cell>
          <cell r="AD92">
            <v>0</v>
          </cell>
          <cell r="AE92">
            <v>1794.932</v>
          </cell>
          <cell r="AF92">
            <v>2558.2429999999999</v>
          </cell>
          <cell r="AG92">
            <v>774.71799999999996</v>
          </cell>
          <cell r="AH92">
            <v>0</v>
          </cell>
          <cell r="AI92">
            <v>0</v>
          </cell>
          <cell r="AJ92">
            <v>1192.922</v>
          </cell>
          <cell r="AK92">
            <v>2880</v>
          </cell>
          <cell r="AL92">
            <v>31280.2</v>
          </cell>
          <cell r="AM92">
            <v>1179.4469999999999</v>
          </cell>
          <cell r="AN92">
            <v>297.92500000000001</v>
          </cell>
          <cell r="AO92">
            <v>0</v>
          </cell>
          <cell r="AP92">
            <v>1156.4549999999999</v>
          </cell>
          <cell r="AQ92">
            <v>149.649</v>
          </cell>
          <cell r="AR92">
            <v>1306.1039999999998</v>
          </cell>
          <cell r="AS92">
            <v>695.178</v>
          </cell>
          <cell r="AT92">
            <v>189.06200000000001</v>
          </cell>
          <cell r="AU92">
            <v>38660.1</v>
          </cell>
          <cell r="AV92">
            <v>39544.339999999997</v>
          </cell>
          <cell r="AW92">
            <v>0</v>
          </cell>
          <cell r="AX92">
            <v>0</v>
          </cell>
          <cell r="AY92">
            <v>0</v>
          </cell>
          <cell r="AZ92">
            <v>0</v>
          </cell>
          <cell r="BA92">
            <v>0</v>
          </cell>
          <cell r="BB92">
            <v>0</v>
          </cell>
          <cell r="BC92">
            <v>0</v>
          </cell>
          <cell r="BD92">
            <v>0</v>
          </cell>
          <cell r="BE92">
            <v>0</v>
          </cell>
        </row>
        <row r="93">
          <cell r="Z93">
            <v>20077.681</v>
          </cell>
          <cell r="AA93">
            <v>13334.064000000004</v>
          </cell>
        </row>
        <row r="94">
          <cell r="AA94" t="str">
            <v>Gross profit margin</v>
          </cell>
          <cell r="AB94">
            <v>0.94488973862334935</v>
          </cell>
          <cell r="AP94" t="str">
            <v>Webster 2 mos. 2002 rev Stub</v>
          </cell>
          <cell r="AR94">
            <v>33.628000000000043</v>
          </cell>
        </row>
        <row r="95">
          <cell r="AP95" t="str">
            <v>Webster 9 mos. 2001 rev Stub</v>
          </cell>
          <cell r="AR95">
            <v>114.54700000000003</v>
          </cell>
        </row>
        <row r="97">
          <cell r="H97">
            <v>0</v>
          </cell>
          <cell r="I97">
            <v>0</v>
          </cell>
          <cell r="J97">
            <v>0</v>
          </cell>
          <cell r="K97">
            <v>0</v>
          </cell>
          <cell r="L97">
            <v>0</v>
          </cell>
          <cell r="M97">
            <v>0</v>
          </cell>
          <cell r="N97">
            <v>0</v>
          </cell>
          <cell r="O97">
            <v>0</v>
          </cell>
          <cell r="P97">
            <v>0</v>
          </cell>
          <cell r="Q97">
            <v>0</v>
          </cell>
          <cell r="R97">
            <v>0</v>
          </cell>
          <cell r="S97">
            <v>0</v>
          </cell>
          <cell r="T97">
            <v>0</v>
          </cell>
          <cell r="U97">
            <v>19.698</v>
          </cell>
          <cell r="W97">
            <v>216.41900000000001</v>
          </cell>
          <cell r="X97">
            <v>216.59299999999999</v>
          </cell>
          <cell r="Y97">
            <v>236.62700000000001</v>
          </cell>
          <cell r="Z97">
            <v>14275.785999999998</v>
          </cell>
          <cell r="AA97">
            <v>9872.7469999999994</v>
          </cell>
          <cell r="AB97">
            <v>18618.958999999999</v>
          </cell>
          <cell r="AC97">
            <v>863.65200000000004</v>
          </cell>
          <cell r="AD97">
            <v>0</v>
          </cell>
          <cell r="AE97">
            <v>1038.3720000000001</v>
          </cell>
          <cell r="AF97">
            <v>468.70299999999997</v>
          </cell>
          <cell r="AG97">
            <v>133.029</v>
          </cell>
          <cell r="AH97">
            <v>391.76600000000002</v>
          </cell>
          <cell r="AI97">
            <v>360.16800000000001</v>
          </cell>
          <cell r="AJ97">
            <v>751.93399999999997</v>
          </cell>
          <cell r="AK97">
            <v>1166.8</v>
          </cell>
          <cell r="AL97">
            <v>25081.3</v>
          </cell>
          <cell r="AM97">
            <v>0</v>
          </cell>
          <cell r="AN97">
            <v>81.884</v>
          </cell>
          <cell r="AO97">
            <v>0</v>
          </cell>
          <cell r="AR97">
            <v>686.7298876000001</v>
          </cell>
          <cell r="AS97">
            <v>384.524</v>
          </cell>
          <cell r="AT97">
            <v>112.71599999999999</v>
          </cell>
          <cell r="AU97">
            <v>29644.7</v>
          </cell>
          <cell r="AV97">
            <v>30141.94</v>
          </cell>
          <cell r="AW97">
            <v>0</v>
          </cell>
          <cell r="AX97">
            <v>0</v>
          </cell>
          <cell r="AY97">
            <v>0</v>
          </cell>
          <cell r="AZ97">
            <v>0</v>
          </cell>
          <cell r="BA97">
            <v>0</v>
          </cell>
          <cell r="BB97">
            <v>0</v>
          </cell>
          <cell r="BC97">
            <v>0</v>
          </cell>
          <cell r="BD97">
            <v>0</v>
          </cell>
          <cell r="BE97">
            <v>0</v>
          </cell>
        </row>
        <row r="98">
          <cell r="H98">
            <v>0</v>
          </cell>
          <cell r="I98">
            <v>0</v>
          </cell>
          <cell r="J98">
            <v>0</v>
          </cell>
          <cell r="K98">
            <v>0</v>
          </cell>
          <cell r="L98">
            <v>0</v>
          </cell>
          <cell r="M98">
            <v>0</v>
          </cell>
          <cell r="N98">
            <v>0</v>
          </cell>
          <cell r="O98">
            <v>0</v>
          </cell>
          <cell r="P98">
            <v>0</v>
          </cell>
          <cell r="Q98">
            <v>0</v>
          </cell>
          <cell r="R98">
            <v>0</v>
          </cell>
          <cell r="S98">
            <v>0</v>
          </cell>
          <cell r="T98">
            <v>0</v>
          </cell>
          <cell r="U98">
            <v>18.738</v>
          </cell>
          <cell r="W98">
            <v>181.52725172831819</v>
          </cell>
          <cell r="X98">
            <v>198.11799999999999</v>
          </cell>
          <cell r="Y98">
            <v>146.73599999999999</v>
          </cell>
          <cell r="Z98">
            <v>12953.74</v>
          </cell>
          <cell r="AA98">
            <v>8201.2559999999994</v>
          </cell>
          <cell r="AB98">
            <v>15629.226999999999</v>
          </cell>
          <cell r="AC98">
            <v>825.625</v>
          </cell>
          <cell r="AD98">
            <v>0</v>
          </cell>
          <cell r="AE98">
            <v>1046.492</v>
          </cell>
          <cell r="AF98">
            <v>434.53800000000001</v>
          </cell>
          <cell r="AG98">
            <v>112.727</v>
          </cell>
          <cell r="AH98">
            <v>289.32</v>
          </cell>
          <cell r="AI98">
            <v>365.86500000000001</v>
          </cell>
          <cell r="AJ98">
            <v>655.18499999999995</v>
          </cell>
          <cell r="AK98">
            <v>1040.5999999999999</v>
          </cell>
          <cell r="AL98">
            <v>21145.200000000001</v>
          </cell>
          <cell r="AM98">
            <v>0</v>
          </cell>
          <cell r="AN98">
            <v>54.695999999999998</v>
          </cell>
          <cell r="AO98">
            <v>0</v>
          </cell>
          <cell r="AP98">
            <v>176.94499999999999</v>
          </cell>
          <cell r="AQ98">
            <v>0</v>
          </cell>
          <cell r="AR98">
            <v>636.44850990000009</v>
          </cell>
          <cell r="AS98">
            <v>320.38800000000003</v>
          </cell>
          <cell r="AT98">
            <v>96.327999999999989</v>
          </cell>
          <cell r="AU98">
            <v>25771.1</v>
          </cell>
          <cell r="AV98">
            <v>26187.815999999999</v>
          </cell>
          <cell r="AW98">
            <v>0</v>
          </cell>
          <cell r="AX98">
            <v>0</v>
          </cell>
          <cell r="AY98">
            <v>0</v>
          </cell>
          <cell r="AZ98">
            <v>0</v>
          </cell>
          <cell r="BA98">
            <v>0</v>
          </cell>
          <cell r="BB98">
            <v>0</v>
          </cell>
          <cell r="BC98">
            <v>0</v>
          </cell>
          <cell r="BD98">
            <v>0</v>
          </cell>
          <cell r="BE98">
            <v>0</v>
          </cell>
        </row>
        <row r="99">
          <cell r="H99">
            <v>0</v>
          </cell>
          <cell r="I99">
            <v>0</v>
          </cell>
          <cell r="J99">
            <v>0</v>
          </cell>
          <cell r="K99">
            <v>0</v>
          </cell>
          <cell r="L99">
            <v>0</v>
          </cell>
          <cell r="M99">
            <v>0</v>
          </cell>
          <cell r="N99">
            <v>0</v>
          </cell>
          <cell r="O99">
            <v>0</v>
          </cell>
          <cell r="P99">
            <v>0</v>
          </cell>
          <cell r="Q99">
            <v>0</v>
          </cell>
          <cell r="R99">
            <v>0</v>
          </cell>
          <cell r="S99">
            <v>0</v>
          </cell>
          <cell r="T99">
            <v>0</v>
          </cell>
          <cell r="U99">
            <v>24.577000000000002</v>
          </cell>
          <cell r="V99">
            <v>311.23200000000003</v>
          </cell>
          <cell r="W99">
            <v>242.03633563775759</v>
          </cell>
          <cell r="X99">
            <v>265.58699999999999</v>
          </cell>
          <cell r="Y99">
            <v>712.971</v>
          </cell>
          <cell r="Z99">
            <v>17486.464</v>
          </cell>
          <cell r="AA99">
            <v>11090.414000000001</v>
          </cell>
          <cell r="AB99">
            <v>32718.568999999996</v>
          </cell>
          <cell r="AC99">
            <v>3406.7579999999998</v>
          </cell>
          <cell r="AD99">
            <v>0</v>
          </cell>
          <cell r="AE99">
            <v>1384.3860000000002</v>
          </cell>
          <cell r="AF99">
            <v>1858.9190000000001</v>
          </cell>
          <cell r="AG99">
            <v>479.73500000000001</v>
          </cell>
          <cell r="AH99">
            <v>0</v>
          </cell>
          <cell r="AI99">
            <v>0</v>
          </cell>
          <cell r="AJ99">
            <v>914.89700000000005</v>
          </cell>
          <cell r="AK99">
            <v>2142.8000000000002</v>
          </cell>
          <cell r="AL99">
            <v>28849.200000000001</v>
          </cell>
          <cell r="AM99">
            <v>613.04200000000003</v>
          </cell>
          <cell r="AN99">
            <v>262.23200000000003</v>
          </cell>
          <cell r="AO99">
            <v>0</v>
          </cell>
          <cell r="AP99">
            <v>747.30100000000004</v>
          </cell>
          <cell r="AQ99">
            <v>110.994</v>
          </cell>
          <cell r="AR99">
            <v>858.29499999999996</v>
          </cell>
          <cell r="AS99">
            <v>435.90100000000001</v>
          </cell>
          <cell r="AT99">
            <v>133.524</v>
          </cell>
          <cell r="AU99">
            <v>35050.199999999997</v>
          </cell>
          <cell r="AV99">
            <v>35619.624999999993</v>
          </cell>
          <cell r="AW99">
            <v>0</v>
          </cell>
          <cell r="AX99">
            <v>0</v>
          </cell>
          <cell r="AY99">
            <v>0</v>
          </cell>
          <cell r="AZ99">
            <v>0</v>
          </cell>
          <cell r="BA99">
            <v>0</v>
          </cell>
          <cell r="BB99">
            <v>0</v>
          </cell>
          <cell r="BC99">
            <v>0</v>
          </cell>
          <cell r="BD99">
            <v>0</v>
          </cell>
          <cell r="BE99">
            <v>0</v>
          </cell>
        </row>
        <row r="100">
          <cell r="Z100">
            <v>18808.509999999998</v>
          </cell>
          <cell r="AA100">
            <v>12761.905000000001</v>
          </cell>
        </row>
        <row r="101">
          <cell r="AA101" t="str">
            <v>SG&amp;A margin</v>
          </cell>
          <cell r="AB101">
            <v>3.5396086017057772E-2</v>
          </cell>
        </row>
        <row r="104">
          <cell r="H104">
            <v>0</v>
          </cell>
          <cell r="I104">
            <v>0</v>
          </cell>
          <cell r="J104">
            <v>0</v>
          </cell>
          <cell r="K104">
            <v>0</v>
          </cell>
          <cell r="L104">
            <v>0</v>
          </cell>
          <cell r="M104">
            <v>0</v>
          </cell>
          <cell r="N104">
            <v>0</v>
          </cell>
          <cell r="O104">
            <v>0</v>
          </cell>
          <cell r="P104">
            <v>0</v>
          </cell>
          <cell r="Q104">
            <v>0</v>
          </cell>
          <cell r="R104">
            <v>0</v>
          </cell>
          <cell r="S104">
            <v>0</v>
          </cell>
          <cell r="T104">
            <v>0</v>
          </cell>
          <cell r="U104">
            <v>31.42</v>
          </cell>
          <cell r="W104">
            <v>132.999</v>
          </cell>
          <cell r="X104">
            <v>150.18799999999999</v>
          </cell>
          <cell r="Y104">
            <v>14.661</v>
          </cell>
          <cell r="Z104">
            <v>700.26400000000001</v>
          </cell>
          <cell r="AA104">
            <v>241.745</v>
          </cell>
          <cell r="AB104">
            <v>602.16800000000001</v>
          </cell>
          <cell r="AC104">
            <v>75.724000000000004</v>
          </cell>
          <cell r="AD104">
            <v>0</v>
          </cell>
          <cell r="AE104">
            <v>290.37700000000001</v>
          </cell>
          <cell r="AF104">
            <v>143.19200000000001</v>
          </cell>
          <cell r="AG104">
            <v>51.006999999999998</v>
          </cell>
          <cell r="AH104">
            <v>31.154</v>
          </cell>
          <cell r="AI104">
            <v>102.20399999999999</v>
          </cell>
          <cell r="AJ104">
            <v>133.358</v>
          </cell>
          <cell r="AK104">
            <v>303.60000000000002</v>
          </cell>
          <cell r="AL104">
            <v>1518.1</v>
          </cell>
          <cell r="AM104">
            <v>0</v>
          </cell>
          <cell r="AN104">
            <v>10.985999999999999</v>
          </cell>
          <cell r="AO104">
            <v>0</v>
          </cell>
          <cell r="AR104">
            <v>256.42146035999997</v>
          </cell>
          <cell r="AS104">
            <v>150.73399999999998</v>
          </cell>
          <cell r="AT104">
            <v>39.524999999999999</v>
          </cell>
          <cell r="AU104">
            <v>1552.4</v>
          </cell>
          <cell r="AV104">
            <v>1742.6590000000001</v>
          </cell>
          <cell r="AW104">
            <v>0</v>
          </cell>
          <cell r="AX104">
            <v>0</v>
          </cell>
          <cell r="AY104">
            <v>0</v>
          </cell>
          <cell r="AZ104">
            <v>0</v>
          </cell>
          <cell r="BA104">
            <v>0</v>
          </cell>
          <cell r="BB104">
            <v>0</v>
          </cell>
          <cell r="BC104">
            <v>0</v>
          </cell>
          <cell r="BD104">
            <v>0</v>
          </cell>
          <cell r="BE104">
            <v>0</v>
          </cell>
        </row>
        <row r="105">
          <cell r="H105">
            <v>0</v>
          </cell>
          <cell r="I105">
            <v>0</v>
          </cell>
          <cell r="J105">
            <v>0</v>
          </cell>
          <cell r="K105">
            <v>0</v>
          </cell>
          <cell r="L105">
            <v>0</v>
          </cell>
          <cell r="M105">
            <v>0</v>
          </cell>
          <cell r="N105">
            <v>0</v>
          </cell>
          <cell r="O105">
            <v>0</v>
          </cell>
          <cell r="P105">
            <v>0</v>
          </cell>
          <cell r="Q105">
            <v>0</v>
          </cell>
          <cell r="R105">
            <v>0</v>
          </cell>
          <cell r="S105">
            <v>0</v>
          </cell>
          <cell r="T105">
            <v>0</v>
          </cell>
          <cell r="U105">
            <v>27.006000000000004</v>
          </cell>
          <cell r="W105">
            <v>156.1768782149995</v>
          </cell>
          <cell r="X105">
            <v>144.71100000000001</v>
          </cell>
          <cell r="Y105">
            <v>8.9809999999999999</v>
          </cell>
          <cell r="Z105">
            <v>717.07899999999995</v>
          </cell>
          <cell r="AA105">
            <v>224.512</v>
          </cell>
          <cell r="AB105">
            <v>597.33799999999997</v>
          </cell>
          <cell r="AC105">
            <v>72.700999999999993</v>
          </cell>
          <cell r="AD105">
            <v>0</v>
          </cell>
          <cell r="AE105">
            <v>325.358</v>
          </cell>
          <cell r="AF105">
            <v>129.94999999999999</v>
          </cell>
          <cell r="AG105">
            <v>39.011000000000003</v>
          </cell>
          <cell r="AH105">
            <v>21.861000000000001</v>
          </cell>
          <cell r="AI105">
            <v>112.542</v>
          </cell>
          <cell r="AJ105">
            <v>134.40299999999999</v>
          </cell>
          <cell r="AK105">
            <v>258.39999999999998</v>
          </cell>
          <cell r="AL105">
            <v>1369.4</v>
          </cell>
          <cell r="AM105">
            <v>0</v>
          </cell>
          <cell r="AN105">
            <v>8.2260000000000009</v>
          </cell>
          <cell r="AO105">
            <v>0</v>
          </cell>
          <cell r="AP105">
            <v>68.897000000000006</v>
          </cell>
          <cell r="AQ105">
            <v>0</v>
          </cell>
          <cell r="AR105">
            <v>238.47122689000003</v>
          </cell>
          <cell r="AS105">
            <v>116.28100000000001</v>
          </cell>
          <cell r="AT105">
            <v>33.345999999999997</v>
          </cell>
          <cell r="AU105">
            <v>1431.9</v>
          </cell>
          <cell r="AV105">
            <v>1581.527</v>
          </cell>
          <cell r="AW105">
            <v>0</v>
          </cell>
          <cell r="AX105">
            <v>0</v>
          </cell>
          <cell r="AY105">
            <v>0</v>
          </cell>
          <cell r="AZ105">
            <v>0</v>
          </cell>
          <cell r="BA105">
            <v>0</v>
          </cell>
          <cell r="BB105">
            <v>0</v>
          </cell>
          <cell r="BC105">
            <v>0</v>
          </cell>
          <cell r="BD105">
            <v>0</v>
          </cell>
          <cell r="BE105">
            <v>0</v>
          </cell>
        </row>
        <row r="106">
          <cell r="H106">
            <v>0</v>
          </cell>
          <cell r="I106">
            <v>0</v>
          </cell>
          <cell r="J106">
            <v>0</v>
          </cell>
          <cell r="K106">
            <v>0</v>
          </cell>
          <cell r="L106">
            <v>0</v>
          </cell>
          <cell r="M106">
            <v>0</v>
          </cell>
          <cell r="N106">
            <v>0</v>
          </cell>
          <cell r="O106">
            <v>0</v>
          </cell>
          <cell r="P106">
            <v>0</v>
          </cell>
          <cell r="Q106">
            <v>0</v>
          </cell>
          <cell r="R106">
            <v>0</v>
          </cell>
          <cell r="S106">
            <v>0</v>
          </cell>
          <cell r="T106">
            <v>0</v>
          </cell>
          <cell r="U106">
            <v>33.099999999999994</v>
          </cell>
          <cell r="V106">
            <v>269.70600000000002</v>
          </cell>
          <cell r="W106">
            <v>208.23583761999933</v>
          </cell>
          <cell r="X106">
            <v>181.56799999999998</v>
          </cell>
          <cell r="Y106">
            <v>48.348999999999997</v>
          </cell>
          <cell r="Z106">
            <v>879.18899999999996</v>
          </cell>
          <cell r="AA106">
            <v>303.03800000000001</v>
          </cell>
          <cell r="AB106">
            <v>1197.5029999999999</v>
          </cell>
          <cell r="AC106">
            <v>296.80700000000002</v>
          </cell>
          <cell r="AD106">
            <v>0</v>
          </cell>
          <cell r="AE106">
            <v>384.77600000000001</v>
          </cell>
          <cell r="AF106">
            <v>544.27799999999991</v>
          </cell>
          <cell r="AG106">
            <v>180.54499999999999</v>
          </cell>
          <cell r="AH106">
            <v>0</v>
          </cell>
          <cell r="AI106">
            <v>0</v>
          </cell>
          <cell r="AJ106">
            <v>172.601</v>
          </cell>
          <cell r="AK106">
            <v>0</v>
          </cell>
          <cell r="AL106">
            <v>2075.5</v>
          </cell>
          <cell r="AM106">
            <v>347.03</v>
          </cell>
          <cell r="AN106">
            <v>34.326999999999998</v>
          </cell>
          <cell r="AO106">
            <v>0</v>
          </cell>
          <cell r="AP106">
            <v>294.03899999999999</v>
          </cell>
          <cell r="AQ106">
            <v>28.146000000000001</v>
          </cell>
          <cell r="AR106">
            <v>322.185</v>
          </cell>
          <cell r="AS106">
            <v>158.08800000000002</v>
          </cell>
          <cell r="AT106">
            <v>46.335999999999999</v>
          </cell>
          <cell r="AU106">
            <v>1999.6</v>
          </cell>
          <cell r="AV106">
            <v>2204.0239999999999</v>
          </cell>
          <cell r="AW106">
            <v>0</v>
          </cell>
          <cell r="AX106">
            <v>0</v>
          </cell>
          <cell r="AY106">
            <v>0</v>
          </cell>
          <cell r="AZ106">
            <v>0</v>
          </cell>
          <cell r="BA106">
            <v>0</v>
          </cell>
          <cell r="BB106">
            <v>0</v>
          </cell>
          <cell r="BC106">
            <v>0</v>
          </cell>
          <cell r="BD106">
            <v>0</v>
          </cell>
          <cell r="BE106">
            <v>0</v>
          </cell>
        </row>
        <row r="107">
          <cell r="Z107">
            <v>862.37400000000002</v>
          </cell>
          <cell r="AA107">
            <v>320.27100000000002</v>
          </cell>
        </row>
        <row r="108">
          <cell r="AB108">
            <v>683.23800000000188</v>
          </cell>
        </row>
        <row r="111">
          <cell r="H111">
            <v>0</v>
          </cell>
          <cell r="I111">
            <v>0</v>
          </cell>
          <cell r="J111">
            <v>0</v>
          </cell>
          <cell r="K111">
            <v>0</v>
          </cell>
          <cell r="L111">
            <v>0</v>
          </cell>
          <cell r="M111">
            <v>0</v>
          </cell>
          <cell r="N111">
            <v>0</v>
          </cell>
          <cell r="O111">
            <v>0</v>
          </cell>
          <cell r="P111">
            <v>0</v>
          </cell>
          <cell r="Q111">
            <v>0</v>
          </cell>
          <cell r="R111">
            <v>0</v>
          </cell>
          <cell r="S111">
            <v>0</v>
          </cell>
          <cell r="T111">
            <v>0</v>
          </cell>
          <cell r="U111">
            <v>11.292999999999999</v>
          </cell>
          <cell r="W111">
            <v>29.094999999999999</v>
          </cell>
          <cell r="X111">
            <v>33.395000000000003</v>
          </cell>
          <cell r="Y111">
            <v>0</v>
          </cell>
          <cell r="Z111">
            <v>0</v>
          </cell>
          <cell r="AA111">
            <v>0</v>
          </cell>
          <cell r="AB111">
            <v>0</v>
          </cell>
          <cell r="AC111">
            <v>0</v>
          </cell>
          <cell r="AD111">
            <v>0</v>
          </cell>
          <cell r="AE111">
            <v>0</v>
          </cell>
          <cell r="AF111">
            <v>0</v>
          </cell>
          <cell r="AG111">
            <v>0</v>
          </cell>
          <cell r="AH111">
            <v>0</v>
          </cell>
          <cell r="AI111">
            <v>0</v>
          </cell>
          <cell r="AJ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row>
        <row r="112">
          <cell r="H112">
            <v>0</v>
          </cell>
          <cell r="I112">
            <v>0</v>
          </cell>
          <cell r="J112">
            <v>0</v>
          </cell>
          <cell r="K112">
            <v>0</v>
          </cell>
          <cell r="L112">
            <v>0</v>
          </cell>
          <cell r="M112">
            <v>0</v>
          </cell>
          <cell r="N112">
            <v>0</v>
          </cell>
          <cell r="O112">
            <v>0</v>
          </cell>
          <cell r="P112">
            <v>0</v>
          </cell>
          <cell r="Q112">
            <v>0</v>
          </cell>
          <cell r="R112">
            <v>0</v>
          </cell>
          <cell r="S112">
            <v>0</v>
          </cell>
          <cell r="T112">
            <v>0</v>
          </cell>
          <cell r="U112">
            <v>8.11</v>
          </cell>
          <cell r="W112">
            <v>31.519609449231673</v>
          </cell>
          <cell r="X112">
            <v>30.375</v>
          </cell>
          <cell r="Y112">
            <v>0</v>
          </cell>
          <cell r="Z112">
            <v>0</v>
          </cell>
          <cell r="AA112">
            <v>0</v>
          </cell>
          <cell r="AB112">
            <v>0</v>
          </cell>
          <cell r="AC112">
            <v>0</v>
          </cell>
          <cell r="AD112">
            <v>0</v>
          </cell>
          <cell r="AE112">
            <v>0</v>
          </cell>
          <cell r="AF112">
            <v>0</v>
          </cell>
          <cell r="AG112">
            <v>0</v>
          </cell>
          <cell r="AH112">
            <v>0</v>
          </cell>
          <cell r="AI112">
            <v>0</v>
          </cell>
          <cell r="AJ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row>
        <row r="113">
          <cell r="H113">
            <v>0</v>
          </cell>
          <cell r="I113">
            <v>0</v>
          </cell>
          <cell r="J113">
            <v>0</v>
          </cell>
          <cell r="K113">
            <v>0</v>
          </cell>
          <cell r="L113">
            <v>0</v>
          </cell>
          <cell r="M113">
            <v>0</v>
          </cell>
          <cell r="N113">
            <v>0</v>
          </cell>
          <cell r="O113">
            <v>0</v>
          </cell>
          <cell r="P113">
            <v>0</v>
          </cell>
          <cell r="Q113">
            <v>0</v>
          </cell>
          <cell r="R113">
            <v>0</v>
          </cell>
          <cell r="S113">
            <v>0</v>
          </cell>
          <cell r="T113">
            <v>0</v>
          </cell>
          <cell r="U113">
            <v>11.116</v>
          </cell>
          <cell r="V113">
            <v>46.601999999999997</v>
          </cell>
          <cell r="W113">
            <v>42.0261459323089</v>
          </cell>
          <cell r="X113">
            <v>39.486000000000004</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147.5</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row>
        <row r="116">
          <cell r="AF116">
            <v>29.406999999999982</v>
          </cell>
        </row>
        <row r="117">
          <cell r="AF117">
            <v>155.04599999999994</v>
          </cell>
        </row>
        <row r="119">
          <cell r="H119">
            <v>0</v>
          </cell>
          <cell r="I119">
            <v>0</v>
          </cell>
          <cell r="J119">
            <v>0</v>
          </cell>
          <cell r="K119">
            <v>0</v>
          </cell>
          <cell r="L119">
            <v>0</v>
          </cell>
          <cell r="M119">
            <v>0</v>
          </cell>
          <cell r="N119">
            <v>0</v>
          </cell>
          <cell r="O119">
            <v>0</v>
          </cell>
          <cell r="P119">
            <v>0</v>
          </cell>
          <cell r="Q119">
            <v>0</v>
          </cell>
          <cell r="R119">
            <v>0</v>
          </cell>
          <cell r="S119">
            <v>0</v>
          </cell>
          <cell r="T119">
            <v>0</v>
          </cell>
          <cell r="U119">
            <v>-0.1359999999999999</v>
          </cell>
          <cell r="W119">
            <v>97.520999999999987</v>
          </cell>
          <cell r="X119">
            <v>87.960999999999999</v>
          </cell>
          <cell r="Y119">
            <v>14.523</v>
          </cell>
          <cell r="Z119">
            <v>264.28800000000001</v>
          </cell>
          <cell r="AA119">
            <v>179.416</v>
          </cell>
          <cell r="AB119">
            <v>354.30900000000003</v>
          </cell>
          <cell r="AC119">
            <v>23.326000000000001</v>
          </cell>
          <cell r="AD119">
            <v>0</v>
          </cell>
          <cell r="AE119">
            <v>25.34</v>
          </cell>
          <cell r="AF119">
            <v>35.198</v>
          </cell>
          <cell r="AG119">
            <v>21.308</v>
          </cell>
          <cell r="AH119">
            <v>36.216000000000001</v>
          </cell>
          <cell r="AI119">
            <v>28.707000000000001</v>
          </cell>
          <cell r="AJ119">
            <v>64.923000000000002</v>
          </cell>
          <cell r="AK119">
            <v>115</v>
          </cell>
          <cell r="AL119">
            <v>552.70000000000005</v>
          </cell>
          <cell r="AM119">
            <v>0</v>
          </cell>
          <cell r="AN119">
            <v>11.609</v>
          </cell>
          <cell r="AO119">
            <v>0</v>
          </cell>
          <cell r="AR119">
            <v>110.62633092</v>
          </cell>
          <cell r="AS119">
            <v>53.835000000000001</v>
          </cell>
          <cell r="AT119">
            <v>9.4570000000000007</v>
          </cell>
          <cell r="AU119">
            <v>1431.3</v>
          </cell>
          <cell r="AV119">
            <v>1494.5920000000001</v>
          </cell>
          <cell r="AW119">
            <v>0</v>
          </cell>
          <cell r="AX119">
            <v>0</v>
          </cell>
          <cell r="AY119">
            <v>0</v>
          </cell>
          <cell r="AZ119">
            <v>0</v>
          </cell>
          <cell r="BA119">
            <v>0</v>
          </cell>
          <cell r="BB119">
            <v>0</v>
          </cell>
          <cell r="BC119">
            <v>0</v>
          </cell>
          <cell r="BD119">
            <v>0</v>
          </cell>
          <cell r="BE119">
            <v>0</v>
          </cell>
        </row>
        <row r="120">
          <cell r="H120">
            <v>0</v>
          </cell>
          <cell r="I120">
            <v>0</v>
          </cell>
          <cell r="J120">
            <v>0</v>
          </cell>
          <cell r="K120">
            <v>0</v>
          </cell>
          <cell r="L120">
            <v>0</v>
          </cell>
          <cell r="M120">
            <v>0</v>
          </cell>
          <cell r="N120">
            <v>0</v>
          </cell>
          <cell r="O120">
            <v>0</v>
          </cell>
          <cell r="P120">
            <v>0</v>
          </cell>
          <cell r="Q120">
            <v>0</v>
          </cell>
          <cell r="R120">
            <v>0</v>
          </cell>
          <cell r="S120">
            <v>0</v>
          </cell>
          <cell r="T120">
            <v>0</v>
          </cell>
          <cell r="U120">
            <v>-0.10600000000000165</v>
          </cell>
          <cell r="W120">
            <v>53.954883522820339</v>
          </cell>
          <cell r="X120">
            <v>76.080999999999989</v>
          </cell>
          <cell r="Y120">
            <v>12.225</v>
          </cell>
          <cell r="Z120">
            <v>217.44900000000001</v>
          </cell>
          <cell r="AA120">
            <v>144.625</v>
          </cell>
          <cell r="AB120">
            <v>294.02499999999998</v>
          </cell>
          <cell r="AC120">
            <v>20.574999999999999</v>
          </cell>
          <cell r="AD120">
            <v>0</v>
          </cell>
          <cell r="AE120">
            <v>34.225999999999999</v>
          </cell>
          <cell r="AF120">
            <v>29.407</v>
          </cell>
          <cell r="AG120">
            <v>21.936999999999998</v>
          </cell>
          <cell r="AH120">
            <v>19.831</v>
          </cell>
          <cell r="AI120">
            <v>26.346000000000004</v>
          </cell>
          <cell r="AJ120">
            <v>46.177000000000007</v>
          </cell>
          <cell r="AK120">
            <v>96.8</v>
          </cell>
          <cell r="AL120">
            <v>410.5</v>
          </cell>
          <cell r="AM120">
            <v>0</v>
          </cell>
          <cell r="AN120">
            <v>9.3010000000000002</v>
          </cell>
          <cell r="AO120">
            <v>0</v>
          </cell>
          <cell r="AP120">
            <v>24.198</v>
          </cell>
          <cell r="AQ120">
            <v>0</v>
          </cell>
          <cell r="AR120">
            <v>96.873057330000009</v>
          </cell>
          <cell r="AS120">
            <v>48.537999999999997</v>
          </cell>
          <cell r="AT120">
            <v>6.46</v>
          </cell>
          <cell r="AU120">
            <v>1203.8</v>
          </cell>
          <cell r="AV120">
            <v>1258.7979999999998</v>
          </cell>
          <cell r="AW120">
            <v>0</v>
          </cell>
          <cell r="AX120">
            <v>0</v>
          </cell>
          <cell r="AY120">
            <v>0</v>
          </cell>
          <cell r="AZ120">
            <v>0</v>
          </cell>
          <cell r="BA120">
            <v>0</v>
          </cell>
          <cell r="BB120">
            <v>0</v>
          </cell>
          <cell r="BC120">
            <v>0</v>
          </cell>
          <cell r="BD120">
            <v>0</v>
          </cell>
          <cell r="BE120">
            <v>0</v>
          </cell>
        </row>
        <row r="121">
          <cell r="H121">
            <v>0</v>
          </cell>
          <cell r="I121">
            <v>0</v>
          </cell>
          <cell r="J121">
            <v>0</v>
          </cell>
          <cell r="K121">
            <v>0</v>
          </cell>
          <cell r="L121">
            <v>0</v>
          </cell>
          <cell r="M121">
            <v>0</v>
          </cell>
          <cell r="N121">
            <v>0</v>
          </cell>
          <cell r="O121">
            <v>0</v>
          </cell>
          <cell r="P121">
            <v>0</v>
          </cell>
          <cell r="Q121">
            <v>0</v>
          </cell>
          <cell r="R121">
            <v>0</v>
          </cell>
          <cell r="S121">
            <v>0</v>
          </cell>
          <cell r="T121">
            <v>0</v>
          </cell>
          <cell r="U121">
            <v>0.8819999999999979</v>
          </cell>
          <cell r="V121">
            <v>231.66800000000001</v>
          </cell>
          <cell r="W121">
            <v>71.93984469709379</v>
          </cell>
          <cell r="X121">
            <v>111.59</v>
          </cell>
          <cell r="Y121">
            <v>45.207000000000001</v>
          </cell>
          <cell r="Z121">
            <v>283.30200000000002</v>
          </cell>
          <cell r="AA121">
            <v>200.434</v>
          </cell>
          <cell r="AB121">
            <v>620.68299999999999</v>
          </cell>
          <cell r="AC121">
            <v>88.96</v>
          </cell>
          <cell r="AD121">
            <v>0</v>
          </cell>
          <cell r="AE121">
            <v>25.77</v>
          </cell>
          <cell r="AF121">
            <v>155.04599999999999</v>
          </cell>
          <cell r="AG121">
            <v>74.876999999999995</v>
          </cell>
          <cell r="AH121">
            <v>0</v>
          </cell>
          <cell r="AI121">
            <v>0</v>
          </cell>
          <cell r="AJ121">
            <v>56.185000000000002</v>
          </cell>
          <cell r="AK121">
            <v>209</v>
          </cell>
          <cell r="AL121">
            <v>576.79999999999995</v>
          </cell>
          <cell r="AM121">
            <v>219.375</v>
          </cell>
          <cell r="AN121">
            <v>-5.774</v>
          </cell>
          <cell r="AO121">
            <v>0</v>
          </cell>
          <cell r="AP121">
            <v>115.11499999999999</v>
          </cell>
          <cell r="AQ121">
            <v>10.509</v>
          </cell>
          <cell r="AR121">
            <v>122.532</v>
          </cell>
          <cell r="AS121">
            <v>68.950999999999993</v>
          </cell>
          <cell r="AT121">
            <v>9.202</v>
          </cell>
          <cell r="AU121">
            <v>1612</v>
          </cell>
          <cell r="AV121">
            <v>1690.153</v>
          </cell>
          <cell r="AW121">
            <v>0</v>
          </cell>
          <cell r="AX121">
            <v>0</v>
          </cell>
          <cell r="AY121">
            <v>0</v>
          </cell>
          <cell r="AZ121">
            <v>0</v>
          </cell>
          <cell r="BA121">
            <v>0</v>
          </cell>
          <cell r="BB121">
            <v>0</v>
          </cell>
          <cell r="BC121">
            <v>0</v>
          </cell>
          <cell r="BD121">
            <v>0</v>
          </cell>
          <cell r="BE121">
            <v>0</v>
          </cell>
        </row>
        <row r="122">
          <cell r="Z122">
            <v>330.14100000000002</v>
          </cell>
          <cell r="AA122">
            <v>235.22499999999999</v>
          </cell>
        </row>
        <row r="123">
          <cell r="AA123" t="str">
            <v>EBIT margin</v>
          </cell>
          <cell r="AB123">
            <v>1.6921175472876377E-2</v>
          </cell>
        </row>
        <row r="126">
          <cell r="H126">
            <v>0</v>
          </cell>
          <cell r="I126">
            <v>0</v>
          </cell>
          <cell r="J126">
            <v>0</v>
          </cell>
          <cell r="K126">
            <v>0</v>
          </cell>
          <cell r="L126">
            <v>0</v>
          </cell>
          <cell r="M126">
            <v>0</v>
          </cell>
          <cell r="N126">
            <v>0</v>
          </cell>
          <cell r="O126">
            <v>0</v>
          </cell>
          <cell r="P126">
            <v>0</v>
          </cell>
          <cell r="Q126">
            <v>0</v>
          </cell>
          <cell r="R126">
            <v>0</v>
          </cell>
          <cell r="S126">
            <v>0</v>
          </cell>
          <cell r="T126">
            <v>0</v>
          </cell>
          <cell r="U126">
            <v>-0.76</v>
          </cell>
          <cell r="W126">
            <v>7.9530000000000003</v>
          </cell>
          <cell r="X126">
            <v>19.346</v>
          </cell>
          <cell r="Y126">
            <v>0</v>
          </cell>
          <cell r="Z126">
            <v>112.25200000000001</v>
          </cell>
          <cell r="AA126">
            <v>20.698333333333334</v>
          </cell>
          <cell r="AB126">
            <v>75.745000000000005</v>
          </cell>
          <cell r="AC126">
            <v>3.367</v>
          </cell>
          <cell r="AD126">
            <v>0</v>
          </cell>
          <cell r="AE126">
            <v>9.7590000000000003</v>
          </cell>
          <cell r="AF126">
            <v>4.8280000000000003</v>
          </cell>
          <cell r="AG126">
            <v>0</v>
          </cell>
          <cell r="AH126">
            <v>0</v>
          </cell>
          <cell r="AI126">
            <v>0.11</v>
          </cell>
          <cell r="AJ126">
            <v>7.6979999999999995</v>
          </cell>
          <cell r="AK126">
            <v>47.4</v>
          </cell>
          <cell r="AL126">
            <v>81.2</v>
          </cell>
          <cell r="AM126">
            <v>0</v>
          </cell>
          <cell r="AN126">
            <v>8.6999999999999994E-2</v>
          </cell>
          <cell r="AO126">
            <v>0</v>
          </cell>
          <cell r="AP126">
            <v>0</v>
          </cell>
          <cell r="AQ126">
            <v>0</v>
          </cell>
          <cell r="AR126">
            <v>8.3000000000000004E-2</v>
          </cell>
          <cell r="AS126">
            <v>5.7580000000000009</v>
          </cell>
          <cell r="AT126">
            <v>0</v>
          </cell>
          <cell r="AU126">
            <v>107</v>
          </cell>
          <cell r="AV126">
            <v>112.758</v>
          </cell>
          <cell r="AW126">
            <v>0</v>
          </cell>
          <cell r="AX126">
            <v>0</v>
          </cell>
          <cell r="AY126">
            <v>0</v>
          </cell>
          <cell r="AZ126">
            <v>0</v>
          </cell>
          <cell r="BA126">
            <v>0</v>
          </cell>
          <cell r="BB126">
            <v>0</v>
          </cell>
          <cell r="BC126">
            <v>0</v>
          </cell>
          <cell r="BD126">
            <v>0</v>
          </cell>
          <cell r="BE126">
            <v>0</v>
          </cell>
        </row>
        <row r="127">
          <cell r="H127">
            <v>0</v>
          </cell>
          <cell r="I127">
            <v>0</v>
          </cell>
          <cell r="J127">
            <v>0</v>
          </cell>
          <cell r="K127">
            <v>0</v>
          </cell>
          <cell r="L127">
            <v>0</v>
          </cell>
          <cell r="M127">
            <v>0</v>
          </cell>
          <cell r="N127">
            <v>0</v>
          </cell>
          <cell r="O127">
            <v>0</v>
          </cell>
          <cell r="P127">
            <v>0</v>
          </cell>
          <cell r="Q127">
            <v>0</v>
          </cell>
          <cell r="R127">
            <v>0</v>
          </cell>
          <cell r="S127">
            <v>0</v>
          </cell>
          <cell r="T127">
            <v>0</v>
          </cell>
          <cell r="U127">
            <v>-0.91200000000000003</v>
          </cell>
          <cell r="W127">
            <v>10.056750000000001</v>
          </cell>
          <cell r="X127">
            <v>20.728999999999999</v>
          </cell>
          <cell r="Y127">
            <v>0</v>
          </cell>
          <cell r="Z127">
            <v>91.204999999999998</v>
          </cell>
          <cell r="AA127">
            <v>31.202999999999999</v>
          </cell>
          <cell r="AB127">
            <v>91.802999999999997</v>
          </cell>
          <cell r="AC127">
            <v>5.032</v>
          </cell>
          <cell r="AD127">
            <v>0</v>
          </cell>
          <cell r="AE127">
            <v>14.395</v>
          </cell>
          <cell r="AF127">
            <v>5.3680000000000003</v>
          </cell>
          <cell r="AG127">
            <v>0</v>
          </cell>
          <cell r="AH127">
            <v>0</v>
          </cell>
          <cell r="AI127">
            <v>5.109</v>
          </cell>
          <cell r="AJ127">
            <v>7.6979999999999995</v>
          </cell>
          <cell r="AK127">
            <v>52.5</v>
          </cell>
          <cell r="AL127">
            <v>84.4</v>
          </cell>
          <cell r="AM127">
            <v>0</v>
          </cell>
          <cell r="AN127">
            <v>4.8000000000000001E-2</v>
          </cell>
          <cell r="AO127">
            <v>0</v>
          </cell>
          <cell r="AP127">
            <v>0</v>
          </cell>
          <cell r="AQ127">
            <v>0</v>
          </cell>
          <cell r="AR127">
            <v>9.8000000000000004E-2</v>
          </cell>
          <cell r="AS127">
            <v>8.14</v>
          </cell>
          <cell r="AT127">
            <v>0</v>
          </cell>
          <cell r="AU127">
            <v>116.9</v>
          </cell>
          <cell r="AV127">
            <v>125.04</v>
          </cell>
          <cell r="AW127">
            <v>0</v>
          </cell>
          <cell r="AX127">
            <v>0</v>
          </cell>
          <cell r="AY127">
            <v>0</v>
          </cell>
          <cell r="AZ127">
            <v>0</v>
          </cell>
          <cell r="BA127">
            <v>0</v>
          </cell>
          <cell r="BB127">
            <v>0</v>
          </cell>
          <cell r="BC127">
            <v>0</v>
          </cell>
          <cell r="BD127">
            <v>0</v>
          </cell>
          <cell r="BE127">
            <v>0</v>
          </cell>
        </row>
        <row r="128">
          <cell r="H128">
            <v>0</v>
          </cell>
          <cell r="I128">
            <v>0</v>
          </cell>
          <cell r="J128">
            <v>0</v>
          </cell>
          <cell r="K128">
            <v>0</v>
          </cell>
          <cell r="L128">
            <v>0</v>
          </cell>
          <cell r="M128">
            <v>0</v>
          </cell>
          <cell r="N128">
            <v>0</v>
          </cell>
          <cell r="O128">
            <v>0</v>
          </cell>
          <cell r="P128">
            <v>0</v>
          </cell>
          <cell r="Q128">
            <v>0</v>
          </cell>
          <cell r="R128">
            <v>0</v>
          </cell>
          <cell r="S128">
            <v>0</v>
          </cell>
          <cell r="T128">
            <v>0</v>
          </cell>
          <cell r="U128">
            <v>-1.3460000000000001</v>
          </cell>
          <cell r="V128">
            <v>1.258</v>
          </cell>
          <cell r="W128">
            <v>13.409000000000002</v>
          </cell>
          <cell r="X128">
            <v>26.922000000000001</v>
          </cell>
          <cell r="Y128">
            <v>0</v>
          </cell>
          <cell r="Z128">
            <v>159.06666666666669</v>
          </cell>
          <cell r="AA128">
            <v>41.856999999999999</v>
          </cell>
          <cell r="AB128">
            <v>200.92366666666669</v>
          </cell>
          <cell r="AC128">
            <v>17.692999999999998</v>
          </cell>
          <cell r="AD128">
            <v>0</v>
          </cell>
          <cell r="AE128">
            <v>19.670000000000002</v>
          </cell>
          <cell r="AF128">
            <v>17.324000000000002</v>
          </cell>
          <cell r="AG128">
            <v>13.374000000000001</v>
          </cell>
          <cell r="AH128">
            <v>0</v>
          </cell>
          <cell r="AI128">
            <v>0</v>
          </cell>
          <cell r="AJ128">
            <v>8.6509999999999998</v>
          </cell>
          <cell r="AK128">
            <v>100.8</v>
          </cell>
          <cell r="AL128">
            <v>111.6</v>
          </cell>
          <cell r="AM128">
            <v>16.542000000000002</v>
          </cell>
          <cell r="AN128">
            <v>0</v>
          </cell>
          <cell r="AO128">
            <v>0</v>
          </cell>
          <cell r="AP128">
            <v>7.0810000000000004</v>
          </cell>
          <cell r="AQ128">
            <v>0.13100000000000001</v>
          </cell>
          <cell r="AR128">
            <v>4.6910000000000007</v>
          </cell>
          <cell r="AS128">
            <v>15.755999999999998</v>
          </cell>
          <cell r="AT128">
            <v>0</v>
          </cell>
          <cell r="AU128">
            <v>154.9</v>
          </cell>
          <cell r="AV128">
            <v>170.65600000000001</v>
          </cell>
          <cell r="AW128">
            <v>0</v>
          </cell>
          <cell r="AX128">
            <v>0</v>
          </cell>
          <cell r="AY128">
            <v>0</v>
          </cell>
          <cell r="AZ128">
            <v>0</v>
          </cell>
          <cell r="BA128">
            <v>0</v>
          </cell>
          <cell r="BB128">
            <v>0</v>
          </cell>
          <cell r="BC128">
            <v>0</v>
          </cell>
          <cell r="BD128">
            <v>0</v>
          </cell>
          <cell r="BE128">
            <v>0</v>
          </cell>
        </row>
        <row r="133">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W133">
            <v>16.024000000000001</v>
          </cell>
          <cell r="X133">
            <v>2.1579999999999999</v>
          </cell>
          <cell r="Y133">
            <v>0.86699999999999999</v>
          </cell>
          <cell r="Z133">
            <v>0</v>
          </cell>
          <cell r="AA133">
            <v>0</v>
          </cell>
          <cell r="AB133">
            <v>0</v>
          </cell>
          <cell r="AC133">
            <v>0</v>
          </cell>
          <cell r="AD133">
            <v>0</v>
          </cell>
          <cell r="AE133">
            <v>0.32600000000000001</v>
          </cell>
          <cell r="AF133">
            <v>2.4390000000000001</v>
          </cell>
          <cell r="AG133">
            <v>0</v>
          </cell>
          <cell r="AH133">
            <v>0.83799999999999997</v>
          </cell>
          <cell r="AI133">
            <v>0</v>
          </cell>
          <cell r="AJ133">
            <v>0.83799999999999997</v>
          </cell>
          <cell r="AL133">
            <v>0</v>
          </cell>
          <cell r="AM133">
            <v>0</v>
          </cell>
          <cell r="AN133">
            <v>0.112</v>
          </cell>
          <cell r="AO133">
            <v>0</v>
          </cell>
          <cell r="AP133">
            <v>0</v>
          </cell>
          <cell r="AQ133">
            <v>0</v>
          </cell>
          <cell r="AR133">
            <v>0</v>
          </cell>
          <cell r="AS133">
            <v>2.2650000000000001</v>
          </cell>
          <cell r="AT133">
            <v>0.22300000000000003</v>
          </cell>
          <cell r="AU133">
            <v>0</v>
          </cell>
          <cell r="AV133">
            <v>2.488</v>
          </cell>
          <cell r="AW133">
            <v>0</v>
          </cell>
          <cell r="AX133">
            <v>0</v>
          </cell>
          <cell r="AY133">
            <v>0</v>
          </cell>
          <cell r="AZ133">
            <v>0</v>
          </cell>
          <cell r="BA133">
            <v>0</v>
          </cell>
          <cell r="BB133">
            <v>0</v>
          </cell>
          <cell r="BC133">
            <v>0</v>
          </cell>
          <cell r="BD133">
            <v>0</v>
          </cell>
          <cell r="BE133">
            <v>0</v>
          </cell>
        </row>
        <row r="134">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W134">
            <v>11.177</v>
          </cell>
          <cell r="X134">
            <v>2.5390000000000001</v>
          </cell>
          <cell r="Y134">
            <v>1.873</v>
          </cell>
          <cell r="Z134">
            <v>0</v>
          </cell>
          <cell r="AA134">
            <v>0</v>
          </cell>
          <cell r="AB134">
            <v>0</v>
          </cell>
          <cell r="AC134">
            <v>0</v>
          </cell>
          <cell r="AD134">
            <v>0</v>
          </cell>
          <cell r="AE134">
            <v>1.8080000000000001</v>
          </cell>
          <cell r="AF134">
            <v>1.2410000000000001</v>
          </cell>
          <cell r="AG134">
            <v>0</v>
          </cell>
          <cell r="AH134">
            <v>2.1259999999999999</v>
          </cell>
          <cell r="AI134">
            <v>0</v>
          </cell>
          <cell r="AJ134">
            <v>2.1259999999999999</v>
          </cell>
          <cell r="AL134">
            <v>0</v>
          </cell>
          <cell r="AM134">
            <v>0</v>
          </cell>
          <cell r="AN134">
            <v>0.05</v>
          </cell>
          <cell r="AO134">
            <v>0</v>
          </cell>
          <cell r="AP134">
            <v>0</v>
          </cell>
          <cell r="AQ134">
            <v>0</v>
          </cell>
          <cell r="AR134">
            <v>0</v>
          </cell>
          <cell r="AS134">
            <v>2.298</v>
          </cell>
          <cell r="AT134">
            <v>1.3530000000000002</v>
          </cell>
          <cell r="AU134">
            <v>0</v>
          </cell>
          <cell r="AV134">
            <v>3.6510000000000002</v>
          </cell>
          <cell r="AW134">
            <v>0</v>
          </cell>
          <cell r="AX134">
            <v>0</v>
          </cell>
          <cell r="AY134">
            <v>0</v>
          </cell>
          <cell r="AZ134">
            <v>0</v>
          </cell>
          <cell r="BA134">
            <v>0</v>
          </cell>
          <cell r="BB134">
            <v>0</v>
          </cell>
          <cell r="BC134">
            <v>0</v>
          </cell>
          <cell r="BD134">
            <v>0</v>
          </cell>
          <cell r="BE134">
            <v>0</v>
          </cell>
        </row>
        <row r="135">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6.2229999999999999</v>
          </cell>
          <cell r="W135">
            <v>14.902666666666667</v>
          </cell>
          <cell r="X135">
            <v>3.4860000000000002</v>
          </cell>
          <cell r="Y135">
            <v>5.9720000000000004</v>
          </cell>
          <cell r="Z135">
            <v>0</v>
          </cell>
          <cell r="AA135">
            <v>0</v>
          </cell>
          <cell r="AB135">
            <v>0</v>
          </cell>
          <cell r="AC135">
            <v>0</v>
          </cell>
          <cell r="AD135">
            <v>0</v>
          </cell>
          <cell r="AE135">
            <v>2.706</v>
          </cell>
          <cell r="AF135">
            <v>10.077999999999999</v>
          </cell>
          <cell r="AG135">
            <v>2.2650000000000001</v>
          </cell>
          <cell r="AH135">
            <v>0</v>
          </cell>
          <cell r="AI135">
            <v>0</v>
          </cell>
          <cell r="AJ135">
            <v>0</v>
          </cell>
          <cell r="AK135">
            <v>0</v>
          </cell>
          <cell r="AL135">
            <v>0</v>
          </cell>
          <cell r="AM135">
            <v>0</v>
          </cell>
          <cell r="AN135">
            <v>0.56799999999999995</v>
          </cell>
          <cell r="AO135">
            <v>0</v>
          </cell>
          <cell r="AP135">
            <v>0</v>
          </cell>
          <cell r="AQ135">
            <v>0</v>
          </cell>
          <cell r="AR135">
            <v>0</v>
          </cell>
          <cell r="AS135">
            <v>2.298</v>
          </cell>
          <cell r="AT135">
            <v>1.542</v>
          </cell>
          <cell r="AU135">
            <v>0</v>
          </cell>
          <cell r="AV135">
            <v>3.84</v>
          </cell>
          <cell r="AW135">
            <v>0</v>
          </cell>
          <cell r="AX135">
            <v>0</v>
          </cell>
          <cell r="AY135">
            <v>0</v>
          </cell>
          <cell r="AZ135">
            <v>0</v>
          </cell>
          <cell r="BA135">
            <v>0</v>
          </cell>
          <cell r="BB135">
            <v>0</v>
          </cell>
          <cell r="BC135">
            <v>0</v>
          </cell>
          <cell r="BD135">
            <v>0</v>
          </cell>
          <cell r="BE135">
            <v>0</v>
          </cell>
        </row>
        <row r="141">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W141">
            <v>0.98</v>
          </cell>
          <cell r="X141">
            <v>0</v>
          </cell>
          <cell r="Y141">
            <v>0</v>
          </cell>
          <cell r="Z141">
            <v>0</v>
          </cell>
          <cell r="AA141">
            <v>0</v>
          </cell>
          <cell r="AB141">
            <v>0</v>
          </cell>
          <cell r="AC141">
            <v>0</v>
          </cell>
          <cell r="AD141">
            <v>0</v>
          </cell>
          <cell r="AE141">
            <v>0</v>
          </cell>
          <cell r="AF141">
            <v>0.56899999999999995</v>
          </cell>
          <cell r="AG141">
            <v>0</v>
          </cell>
          <cell r="AH141">
            <v>0.5796</v>
          </cell>
          <cell r="AI141">
            <v>0</v>
          </cell>
          <cell r="AJ141">
            <v>0.5796</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row>
        <row r="142">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W142">
            <v>0.06</v>
          </cell>
          <cell r="X142">
            <v>0</v>
          </cell>
          <cell r="Y142">
            <v>0</v>
          </cell>
          <cell r="Z142">
            <v>0</v>
          </cell>
          <cell r="AA142">
            <v>0</v>
          </cell>
          <cell r="AB142">
            <v>0</v>
          </cell>
          <cell r="AC142">
            <v>0</v>
          </cell>
          <cell r="AD142">
            <v>0</v>
          </cell>
          <cell r="AE142">
            <v>0</v>
          </cell>
          <cell r="AF142">
            <v>0.53100000000000003</v>
          </cell>
          <cell r="AG142">
            <v>0</v>
          </cell>
          <cell r="AH142">
            <v>0.28559999999999997</v>
          </cell>
          <cell r="AI142">
            <v>0</v>
          </cell>
          <cell r="AJ142">
            <v>0.28559999999999997</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row>
        <row r="143">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1.462</v>
          </cell>
          <cell r="AG143">
            <v>0</v>
          </cell>
          <cell r="AH143">
            <v>0</v>
          </cell>
          <cell r="AI143">
            <v>0</v>
          </cell>
          <cell r="AJ143">
            <v>0.41519999999999996</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row>
        <row r="149">
          <cell r="H149">
            <v>0</v>
          </cell>
          <cell r="I149">
            <v>0</v>
          </cell>
          <cell r="J149">
            <v>0</v>
          </cell>
          <cell r="K149">
            <v>0</v>
          </cell>
          <cell r="L149">
            <v>0</v>
          </cell>
          <cell r="M149">
            <v>0</v>
          </cell>
          <cell r="N149">
            <v>0</v>
          </cell>
          <cell r="O149">
            <v>0</v>
          </cell>
          <cell r="P149">
            <v>0</v>
          </cell>
          <cell r="Q149">
            <v>0</v>
          </cell>
          <cell r="R149">
            <v>0</v>
          </cell>
          <cell r="S149">
            <v>0</v>
          </cell>
          <cell r="T149">
            <v>0</v>
          </cell>
          <cell r="U149">
            <v>-0.82199999999999995</v>
          </cell>
          <cell r="W149">
            <v>72.207999999999998</v>
          </cell>
          <cell r="X149">
            <v>54.305199999999999</v>
          </cell>
          <cell r="Y149">
            <v>9.6189999999999998</v>
          </cell>
          <cell r="Z149">
            <v>0</v>
          </cell>
          <cell r="AA149">
            <v>0</v>
          </cell>
          <cell r="AB149">
            <v>167.09980000000002</v>
          </cell>
          <cell r="AC149">
            <v>11.884399999999999</v>
          </cell>
          <cell r="AD149">
            <v>0</v>
          </cell>
          <cell r="AE149">
            <v>11.396800000000001</v>
          </cell>
          <cell r="AF149">
            <v>19.73</v>
          </cell>
          <cell r="AG149">
            <v>10.909000000000001</v>
          </cell>
          <cell r="AH149">
            <v>22.082000000000001</v>
          </cell>
          <cell r="AI149">
            <v>17.373000000000001</v>
          </cell>
          <cell r="AJ149">
            <v>39.454999999999998</v>
          </cell>
          <cell r="AK149">
            <v>46</v>
          </cell>
          <cell r="AL149">
            <v>301.89999999999998</v>
          </cell>
          <cell r="AM149">
            <v>0</v>
          </cell>
          <cell r="AN149">
            <v>0.85399999999999998</v>
          </cell>
          <cell r="AO149">
            <v>0</v>
          </cell>
          <cell r="AP149">
            <v>0</v>
          </cell>
          <cell r="AQ149">
            <v>0</v>
          </cell>
          <cell r="AS149">
            <v>27.588999999999999</v>
          </cell>
          <cell r="AT149">
            <v>5.6859999999999999</v>
          </cell>
          <cell r="AU149">
            <v>872.6</v>
          </cell>
          <cell r="AV149">
            <v>905.875</v>
          </cell>
          <cell r="AW149">
            <v>0</v>
          </cell>
          <cell r="AX149">
            <v>0</v>
          </cell>
          <cell r="AY149">
            <v>0</v>
          </cell>
          <cell r="AZ149">
            <v>0</v>
          </cell>
          <cell r="BA149">
            <v>0</v>
          </cell>
          <cell r="BB149">
            <v>0</v>
          </cell>
          <cell r="BC149">
            <v>0</v>
          </cell>
          <cell r="BD149">
            <v>0</v>
          </cell>
          <cell r="BE149">
            <v>0</v>
          </cell>
        </row>
        <row r="150">
          <cell r="H150">
            <v>0</v>
          </cell>
          <cell r="I150">
            <v>0</v>
          </cell>
          <cell r="J150">
            <v>0</v>
          </cell>
          <cell r="K150">
            <v>0</v>
          </cell>
          <cell r="L150">
            <v>0</v>
          </cell>
          <cell r="M150">
            <v>0</v>
          </cell>
          <cell r="N150">
            <v>0</v>
          </cell>
          <cell r="O150">
            <v>0</v>
          </cell>
          <cell r="P150">
            <v>0</v>
          </cell>
          <cell r="Q150">
            <v>0</v>
          </cell>
          <cell r="R150">
            <v>0</v>
          </cell>
          <cell r="S150">
            <v>0</v>
          </cell>
          <cell r="T150">
            <v>0</v>
          </cell>
          <cell r="U150">
            <v>-9.4015999999999984</v>
          </cell>
          <cell r="W150">
            <v>15.532500000000001</v>
          </cell>
          <cell r="X150">
            <v>45.239400000000003</v>
          </cell>
          <cell r="Y150">
            <v>8.8580000000000005</v>
          </cell>
          <cell r="Z150">
            <v>0</v>
          </cell>
          <cell r="AA150">
            <v>0</v>
          </cell>
          <cell r="AB150">
            <v>115.86057699999999</v>
          </cell>
          <cell r="AC150">
            <v>10.110399999999998</v>
          </cell>
          <cell r="AD150">
            <v>0</v>
          </cell>
          <cell r="AE150">
            <v>5.8875999999999991</v>
          </cell>
          <cell r="AF150">
            <v>15.956</v>
          </cell>
          <cell r="AG150">
            <v>11.125</v>
          </cell>
          <cell r="AH150">
            <v>13.395</v>
          </cell>
          <cell r="AI150">
            <v>12.120750000000001</v>
          </cell>
          <cell r="AJ150">
            <v>25.515750000000001</v>
          </cell>
          <cell r="AK150">
            <v>28.086200000000002</v>
          </cell>
          <cell r="AL150">
            <v>198.9</v>
          </cell>
          <cell r="AM150">
            <v>0</v>
          </cell>
          <cell r="AN150">
            <v>-0.53300000000000003</v>
          </cell>
          <cell r="AO150">
            <v>0</v>
          </cell>
          <cell r="AP150">
            <v>9.6159999999999997</v>
          </cell>
          <cell r="AQ150">
            <v>2.5602499999999999</v>
          </cell>
          <cell r="AS150">
            <v>24.225000000000001</v>
          </cell>
          <cell r="AT150">
            <v>4.8570000000000002</v>
          </cell>
          <cell r="AU150">
            <v>518.79999999999995</v>
          </cell>
          <cell r="AV150">
            <v>547.88199999999995</v>
          </cell>
          <cell r="AW150">
            <v>0</v>
          </cell>
          <cell r="AX150">
            <v>0</v>
          </cell>
          <cell r="AY150">
            <v>0</v>
          </cell>
          <cell r="AZ150">
            <v>0</v>
          </cell>
          <cell r="BA150">
            <v>0</v>
          </cell>
          <cell r="BB150">
            <v>0</v>
          </cell>
          <cell r="BC150">
            <v>0</v>
          </cell>
          <cell r="BD150">
            <v>0</v>
          </cell>
          <cell r="BE150">
            <v>0</v>
          </cell>
        </row>
        <row r="151">
          <cell r="H151">
            <v>0</v>
          </cell>
          <cell r="I151">
            <v>0</v>
          </cell>
          <cell r="J151">
            <v>0</v>
          </cell>
          <cell r="K151">
            <v>0</v>
          </cell>
          <cell r="L151">
            <v>0</v>
          </cell>
          <cell r="M151">
            <v>0</v>
          </cell>
          <cell r="N151">
            <v>0</v>
          </cell>
          <cell r="O151">
            <v>0</v>
          </cell>
          <cell r="P151">
            <v>0</v>
          </cell>
          <cell r="Q151">
            <v>0</v>
          </cell>
          <cell r="R151">
            <v>0</v>
          </cell>
          <cell r="S151">
            <v>0</v>
          </cell>
          <cell r="T151">
            <v>0</v>
          </cell>
          <cell r="U151">
            <v>-8.9296000000000042</v>
          </cell>
          <cell r="V151">
            <v>177.45399930934306</v>
          </cell>
          <cell r="W151">
            <v>20.71</v>
          </cell>
          <cell r="X151">
            <v>84.511600000000001</v>
          </cell>
          <cell r="Y151">
            <v>31.986000000000001</v>
          </cell>
          <cell r="Z151">
            <v>80.3</v>
          </cell>
          <cell r="AA151">
            <v>98.340199999999996</v>
          </cell>
          <cell r="AB151">
            <v>251.047</v>
          </cell>
          <cell r="AC151">
            <v>34.117000000000004</v>
          </cell>
          <cell r="AD151">
            <v>0</v>
          </cell>
          <cell r="AE151">
            <v>5.2836000000000007</v>
          </cell>
          <cell r="AF151">
            <v>94.669000000000011</v>
          </cell>
          <cell r="AG151">
            <v>37.869</v>
          </cell>
          <cell r="AH151">
            <v>0</v>
          </cell>
          <cell r="AI151">
            <v>0</v>
          </cell>
          <cell r="AJ151">
            <v>28.309000000000001</v>
          </cell>
          <cell r="AK151">
            <v>69.412600000000012</v>
          </cell>
          <cell r="AL151">
            <v>289.2</v>
          </cell>
          <cell r="AM151">
            <v>141.5</v>
          </cell>
          <cell r="AN151">
            <v>-4.4580000000000002</v>
          </cell>
          <cell r="AO151">
            <v>0</v>
          </cell>
          <cell r="AP151">
            <v>76.474999999999994</v>
          </cell>
          <cell r="AQ151">
            <v>10.241</v>
          </cell>
          <cell r="AR151">
            <v>79.626999999999995</v>
          </cell>
          <cell r="AS151">
            <v>34.289000000000001</v>
          </cell>
          <cell r="AT151">
            <v>6.4554</v>
          </cell>
          <cell r="AU151">
            <v>942.7</v>
          </cell>
          <cell r="AV151">
            <v>983.44439999999997</v>
          </cell>
          <cell r="AW151">
            <v>0</v>
          </cell>
          <cell r="AX151">
            <v>0</v>
          </cell>
          <cell r="AY151">
            <v>0</v>
          </cell>
          <cell r="AZ151">
            <v>0</v>
          </cell>
          <cell r="BA151">
            <v>0</v>
          </cell>
          <cell r="BB151">
            <v>0</v>
          </cell>
          <cell r="BC151">
            <v>0</v>
          </cell>
          <cell r="BD151">
            <v>0</v>
          </cell>
          <cell r="BE151">
            <v>0</v>
          </cell>
        </row>
        <row r="152">
          <cell r="Z152">
            <v>80.3</v>
          </cell>
          <cell r="AA152">
            <v>98.340199999999996</v>
          </cell>
        </row>
        <row r="157">
          <cell r="AU157" t="str">
            <v>CAH stand alone</v>
          </cell>
          <cell r="AV157" t="str">
            <v>Pro forma</v>
          </cell>
        </row>
        <row r="158">
          <cell r="H158">
            <v>0</v>
          </cell>
          <cell r="I158">
            <v>0</v>
          </cell>
          <cell r="J158">
            <v>0</v>
          </cell>
          <cell r="K158">
            <v>0</v>
          </cell>
          <cell r="L158">
            <v>0</v>
          </cell>
          <cell r="M158">
            <v>0</v>
          </cell>
          <cell r="N158">
            <v>0</v>
          </cell>
          <cell r="O158">
            <v>0</v>
          </cell>
          <cell r="P158">
            <v>0</v>
          </cell>
          <cell r="Q158">
            <v>0</v>
          </cell>
          <cell r="R158">
            <v>0</v>
          </cell>
          <cell r="S158">
            <v>0</v>
          </cell>
          <cell r="T158">
            <v>0</v>
          </cell>
          <cell r="U158">
            <v>-5.1920161697827177E-2</v>
          </cell>
          <cell r="W158">
            <v>1.3420563526875324</v>
          </cell>
          <cell r="X158">
            <v>1.1336729155358858</v>
          </cell>
          <cell r="Y158">
            <v>0.21561950471758168</v>
          </cell>
          <cell r="Z158">
            <v>0</v>
          </cell>
          <cell r="AA158">
            <v>0</v>
          </cell>
          <cell r="AB158">
            <v>1.4994194341501936</v>
          </cell>
          <cell r="AC158">
            <v>0.29162740478994892</v>
          </cell>
          <cell r="AD158">
            <v>0</v>
          </cell>
          <cell r="AE158">
            <v>0.15865688471872261</v>
          </cell>
          <cell r="AF158">
            <v>0.44770700492409626</v>
          </cell>
          <cell r="AG158">
            <v>0.40808768517133026</v>
          </cell>
          <cell r="AH158">
            <v>0</v>
          </cell>
          <cell r="AI158">
            <v>0</v>
          </cell>
          <cell r="AJ158">
            <v>1.2316604187202145</v>
          </cell>
          <cell r="AK158">
            <v>0.7962543177892919</v>
          </cell>
          <cell r="AL158">
            <v>1.0096989966555185</v>
          </cell>
          <cell r="AM158">
            <v>0</v>
          </cell>
          <cell r="AN158">
            <v>7.0000000000000007E-2</v>
          </cell>
          <cell r="AO158">
            <v>0</v>
          </cell>
          <cell r="AS158">
            <v>0</v>
          </cell>
          <cell r="AT158">
            <v>0</v>
          </cell>
          <cell r="AU158">
            <v>1.8977816441931274</v>
          </cell>
          <cell r="AV158">
            <v>1.9049200553432737</v>
          </cell>
          <cell r="AW158">
            <v>0</v>
          </cell>
          <cell r="AX158">
            <v>0</v>
          </cell>
          <cell r="AY158">
            <v>0</v>
          </cell>
          <cell r="AZ158">
            <v>0</v>
          </cell>
          <cell r="BA158">
            <v>0</v>
          </cell>
          <cell r="BB158">
            <v>0</v>
          </cell>
          <cell r="BC158">
            <v>0</v>
          </cell>
          <cell r="BD158">
            <v>0</v>
          </cell>
          <cell r="BE158">
            <v>0</v>
          </cell>
        </row>
        <row r="159">
          <cell r="H159">
            <v>0</v>
          </cell>
          <cell r="I159">
            <v>0</v>
          </cell>
          <cell r="J159">
            <v>0</v>
          </cell>
          <cell r="K159">
            <v>0</v>
          </cell>
          <cell r="L159">
            <v>0</v>
          </cell>
          <cell r="M159">
            <v>0</v>
          </cell>
          <cell r="N159">
            <v>0</v>
          </cell>
          <cell r="O159">
            <v>0</v>
          </cell>
          <cell r="P159">
            <v>0</v>
          </cell>
          <cell r="Q159">
            <v>0</v>
          </cell>
          <cell r="R159">
            <v>0</v>
          </cell>
          <cell r="S159">
            <v>0</v>
          </cell>
          <cell r="T159">
            <v>0</v>
          </cell>
          <cell r="U159">
            <v>-0.64575863726904315</v>
          </cell>
          <cell r="W159">
            <v>0.28868671474239832</v>
          </cell>
          <cell r="X159">
            <v>0.9604764230058811</v>
          </cell>
          <cell r="Y159">
            <v>0.19861669236299087</v>
          </cell>
          <cell r="Z159">
            <v>0</v>
          </cell>
          <cell r="AA159">
            <v>0</v>
          </cell>
          <cell r="AB159">
            <v>1.1103661353240726</v>
          </cell>
          <cell r="AC159">
            <v>0.25331095131911907</v>
          </cell>
          <cell r="AD159">
            <v>0</v>
          </cell>
          <cell r="AE159">
            <v>8.2608634648033544E-2</v>
          </cell>
          <cell r="AF159">
            <v>0.36981411950122839</v>
          </cell>
          <cell r="AG159">
            <v>0.41050145751079298</v>
          </cell>
          <cell r="AH159">
            <v>0</v>
          </cell>
          <cell r="AI159">
            <v>0</v>
          </cell>
          <cell r="AJ159">
            <v>0.82418229323443903</v>
          </cell>
          <cell r="AK159">
            <v>0.58024625332826174</v>
          </cell>
          <cell r="AL159">
            <v>0.6804652754019842</v>
          </cell>
          <cell r="AM159">
            <v>0</v>
          </cell>
          <cell r="AN159">
            <v>-0.04</v>
          </cell>
          <cell r="AO159">
            <v>0</v>
          </cell>
          <cell r="AP159">
            <v>0.14214968882581636</v>
          </cell>
          <cell r="AQ159">
            <v>0</v>
          </cell>
          <cell r="AS159">
            <v>0</v>
          </cell>
          <cell r="AT159">
            <v>0</v>
          </cell>
          <cell r="AU159">
            <v>1.1429830359109936</v>
          </cell>
          <cell r="AV159">
            <v>1.1665877997386225</v>
          </cell>
          <cell r="AW159">
            <v>0</v>
          </cell>
          <cell r="AX159">
            <v>0</v>
          </cell>
          <cell r="AY159">
            <v>0</v>
          </cell>
          <cell r="AZ159">
            <v>0</v>
          </cell>
          <cell r="BA159">
            <v>0</v>
          </cell>
          <cell r="BB159">
            <v>0</v>
          </cell>
          <cell r="BC159">
            <v>0</v>
          </cell>
          <cell r="BD159">
            <v>0</v>
          </cell>
          <cell r="BE159">
            <v>0</v>
          </cell>
        </row>
        <row r="160">
          <cell r="H160">
            <v>0</v>
          </cell>
          <cell r="I160">
            <v>0</v>
          </cell>
          <cell r="J160">
            <v>0</v>
          </cell>
          <cell r="K160">
            <v>0</v>
          </cell>
          <cell r="L160">
            <v>0</v>
          </cell>
          <cell r="M160">
            <v>0</v>
          </cell>
          <cell r="N160">
            <v>0</v>
          </cell>
          <cell r="O160">
            <v>0</v>
          </cell>
          <cell r="P160">
            <v>0</v>
          </cell>
          <cell r="Q160">
            <v>0</v>
          </cell>
          <cell r="R160">
            <v>0</v>
          </cell>
          <cell r="S160">
            <v>0</v>
          </cell>
          <cell r="T160">
            <v>0</v>
          </cell>
          <cell r="U160">
            <v>-0.60457684495599218</v>
          </cell>
          <cell r="V160">
            <v>1.2918271786108628</v>
          </cell>
          <cell r="W160">
            <v>0.38491561965653109</v>
          </cell>
          <cell r="X160">
            <v>1.7966283296838792</v>
          </cell>
          <cell r="Y160">
            <v>0.71788978378603308</v>
          </cell>
          <cell r="Z160">
            <v>0.78890634591155917</v>
          </cell>
          <cell r="AA160">
            <v>0.96614206523302504</v>
          </cell>
          <cell r="AB160">
            <v>2.37</v>
          </cell>
          <cell r="AC160">
            <v>0.84475202416619222</v>
          </cell>
          <cell r="AD160">
            <v>0</v>
          </cell>
          <cell r="AE160">
            <v>7.409443408265437E-2</v>
          </cell>
          <cell r="AF160">
            <v>2.1740498335055691</v>
          </cell>
          <cell r="AG160">
            <v>1.4010507232971994</v>
          </cell>
          <cell r="AH160">
            <v>0</v>
          </cell>
          <cell r="AI160">
            <v>0</v>
          </cell>
          <cell r="AJ160">
            <v>0.90773236693242798</v>
          </cell>
          <cell r="AK160">
            <v>1.3104134415707005</v>
          </cell>
          <cell r="AL160">
            <v>0.98736770228747017</v>
          </cell>
          <cell r="AM160">
            <v>2.0301291248206601</v>
          </cell>
          <cell r="AN160">
            <v>-0.36523021464853356</v>
          </cell>
          <cell r="AO160">
            <v>0</v>
          </cell>
          <cell r="AP160">
            <v>1.1322249200521142</v>
          </cell>
          <cell r="AQ160">
            <v>0</v>
          </cell>
          <cell r="AR160">
            <v>1.1690426203514748</v>
          </cell>
          <cell r="AS160">
            <v>0</v>
          </cell>
          <cell r="AT160">
            <v>0</v>
          </cell>
          <cell r="AU160">
            <v>2.0695938529088913</v>
          </cell>
          <cell r="AV160">
            <v>2.0869072935790371</v>
          </cell>
          <cell r="AW160">
            <v>0</v>
          </cell>
          <cell r="AX160">
            <v>0</v>
          </cell>
          <cell r="AY160">
            <v>0</v>
          </cell>
          <cell r="AZ160">
            <v>0</v>
          </cell>
          <cell r="BA160">
            <v>0</v>
          </cell>
          <cell r="BB160">
            <v>0</v>
          </cell>
          <cell r="BC160">
            <v>0</v>
          </cell>
          <cell r="BD160">
            <v>0</v>
          </cell>
          <cell r="BE160">
            <v>0</v>
          </cell>
        </row>
        <row r="163">
          <cell r="AK163">
            <v>1000</v>
          </cell>
        </row>
        <row r="166">
          <cell r="H166">
            <v>0</v>
          </cell>
          <cell r="I166">
            <v>0</v>
          </cell>
          <cell r="J166">
            <v>0</v>
          </cell>
          <cell r="K166">
            <v>0</v>
          </cell>
          <cell r="L166">
            <v>0</v>
          </cell>
          <cell r="M166">
            <v>0</v>
          </cell>
          <cell r="N166">
            <v>0</v>
          </cell>
          <cell r="O166">
            <v>0</v>
          </cell>
          <cell r="P166">
            <v>0</v>
          </cell>
          <cell r="Q166">
            <v>0</v>
          </cell>
          <cell r="R166">
            <v>0</v>
          </cell>
          <cell r="S166">
            <v>0</v>
          </cell>
          <cell r="T166">
            <v>0</v>
          </cell>
          <cell r="U166">
            <v>5.0110000000000001</v>
          </cell>
          <cell r="W166">
            <v>15.741</v>
          </cell>
          <cell r="X166">
            <v>23.265000000000001</v>
          </cell>
          <cell r="Y166">
            <v>0.64600000000000002</v>
          </cell>
          <cell r="Z166">
            <v>0</v>
          </cell>
          <cell r="AA166">
            <v>0</v>
          </cell>
          <cell r="AB166">
            <v>32.15</v>
          </cell>
          <cell r="AC166">
            <v>3.9809999999999999</v>
          </cell>
          <cell r="AD166">
            <v>0</v>
          </cell>
          <cell r="AE166">
            <v>13.801</v>
          </cell>
          <cell r="AF166">
            <v>5.798</v>
          </cell>
          <cell r="AG166">
            <v>10.14</v>
          </cell>
          <cell r="AH166">
            <v>2.3690000000000002</v>
          </cell>
          <cell r="AI166">
            <v>5.5410000000000004</v>
          </cell>
          <cell r="AJ166">
            <v>7.91</v>
          </cell>
          <cell r="AK166">
            <v>37.6</v>
          </cell>
          <cell r="AL166">
            <v>153.5</v>
          </cell>
          <cell r="AM166">
            <v>0</v>
          </cell>
          <cell r="AN166">
            <v>0.73099999999999998</v>
          </cell>
          <cell r="AO166">
            <v>0</v>
          </cell>
          <cell r="AS166">
            <v>32.001000000000005</v>
          </cell>
          <cell r="AT166">
            <v>4.2259999999999991</v>
          </cell>
          <cell r="AU166">
            <v>181.5</v>
          </cell>
          <cell r="AV166">
            <v>217.727</v>
          </cell>
          <cell r="AW166">
            <v>0</v>
          </cell>
          <cell r="AX166">
            <v>0</v>
          </cell>
          <cell r="AY166">
            <v>0</v>
          </cell>
          <cell r="AZ166">
            <v>0</v>
          </cell>
          <cell r="BA166">
            <v>0</v>
          </cell>
          <cell r="BB166">
            <v>0</v>
          </cell>
          <cell r="BC166">
            <v>0</v>
          </cell>
          <cell r="BD166">
            <v>0</v>
          </cell>
          <cell r="BE166">
            <v>0</v>
          </cell>
        </row>
        <row r="167">
          <cell r="H167">
            <v>0</v>
          </cell>
          <cell r="I167">
            <v>0</v>
          </cell>
          <cell r="J167">
            <v>0</v>
          </cell>
          <cell r="K167">
            <v>0</v>
          </cell>
          <cell r="L167">
            <v>0</v>
          </cell>
          <cell r="M167">
            <v>0</v>
          </cell>
          <cell r="N167">
            <v>0</v>
          </cell>
          <cell r="O167">
            <v>0</v>
          </cell>
          <cell r="P167">
            <v>0</v>
          </cell>
          <cell r="Q167">
            <v>0</v>
          </cell>
          <cell r="R167">
            <v>0</v>
          </cell>
          <cell r="S167">
            <v>0</v>
          </cell>
          <cell r="T167">
            <v>0</v>
          </cell>
          <cell r="U167">
            <v>4.0979999999999999</v>
          </cell>
          <cell r="W167">
            <v>18.335250000000002</v>
          </cell>
          <cell r="X167">
            <v>22.844000000000001</v>
          </cell>
          <cell r="Y167">
            <v>0.40400000000000003</v>
          </cell>
          <cell r="Z167">
            <v>0</v>
          </cell>
          <cell r="AA167">
            <v>0</v>
          </cell>
          <cell r="AB167">
            <v>30.920999999999999</v>
          </cell>
          <cell r="AC167">
            <v>4.2720000000000002</v>
          </cell>
          <cell r="AD167">
            <v>0</v>
          </cell>
          <cell r="AE167">
            <v>17.189</v>
          </cell>
          <cell r="AF167">
            <v>7.6419999999999995</v>
          </cell>
          <cell r="AG167">
            <v>7.7410000000000005</v>
          </cell>
          <cell r="AH167">
            <v>1.986</v>
          </cell>
          <cell r="AI167">
            <v>7.2164999999999999</v>
          </cell>
          <cell r="AJ167">
            <v>9.2025000000000006</v>
          </cell>
          <cell r="AK167">
            <v>39</v>
          </cell>
          <cell r="AL167">
            <v>177.8</v>
          </cell>
          <cell r="AM167">
            <v>0</v>
          </cell>
          <cell r="AN167">
            <v>0.7</v>
          </cell>
          <cell r="AO167">
            <v>0</v>
          </cell>
          <cell r="AP167">
            <v>2.7509999999999999</v>
          </cell>
          <cell r="AQ167">
            <v>0.1998675</v>
          </cell>
          <cell r="AS167">
            <v>22.279</v>
          </cell>
          <cell r="AT167">
            <v>3.6370000000000005</v>
          </cell>
          <cell r="AU167">
            <v>175.2</v>
          </cell>
          <cell r="AV167">
            <v>201.11599999999999</v>
          </cell>
          <cell r="AW167">
            <v>0</v>
          </cell>
          <cell r="AX167">
            <v>0</v>
          </cell>
          <cell r="AY167">
            <v>0</v>
          </cell>
          <cell r="AZ167">
            <v>0</v>
          </cell>
          <cell r="BA167">
            <v>0</v>
          </cell>
          <cell r="BB167">
            <v>0</v>
          </cell>
          <cell r="BC167">
            <v>0</v>
          </cell>
          <cell r="BD167">
            <v>0</v>
          </cell>
          <cell r="BE167">
            <v>0</v>
          </cell>
        </row>
        <row r="168">
          <cell r="H168">
            <v>0</v>
          </cell>
          <cell r="I168">
            <v>0</v>
          </cell>
          <cell r="J168">
            <v>0</v>
          </cell>
          <cell r="K168">
            <v>0</v>
          </cell>
          <cell r="L168">
            <v>0</v>
          </cell>
          <cell r="M168">
            <v>0</v>
          </cell>
          <cell r="N168">
            <v>0</v>
          </cell>
          <cell r="O168">
            <v>0</v>
          </cell>
          <cell r="P168">
            <v>0</v>
          </cell>
          <cell r="Q168">
            <v>0</v>
          </cell>
          <cell r="R168">
            <v>0</v>
          </cell>
          <cell r="S168">
            <v>0</v>
          </cell>
          <cell r="T168">
            <v>0</v>
          </cell>
          <cell r="U168">
            <v>5.4969999999999999</v>
          </cell>
          <cell r="V168">
            <v>30.077000000000002</v>
          </cell>
          <cell r="W168">
            <v>24.447000000000003</v>
          </cell>
          <cell r="X168">
            <v>32.134</v>
          </cell>
          <cell r="Y168">
            <v>3.4</v>
          </cell>
          <cell r="Z168">
            <v>82.698000000000008</v>
          </cell>
          <cell r="AA168">
            <v>17.420000000000002</v>
          </cell>
          <cell r="AB168">
            <v>62.555</v>
          </cell>
          <cell r="AC168">
            <v>22.469000000000001</v>
          </cell>
          <cell r="AD168">
            <v>0</v>
          </cell>
          <cell r="AE168">
            <v>24.97</v>
          </cell>
          <cell r="AF168">
            <v>28.346000000000004</v>
          </cell>
          <cell r="AG168">
            <v>39.561</v>
          </cell>
          <cell r="AH168">
            <v>0</v>
          </cell>
          <cell r="AI168">
            <v>0</v>
          </cell>
          <cell r="AJ168">
            <v>16.257000000000001</v>
          </cell>
          <cell r="AK168">
            <v>82</v>
          </cell>
          <cell r="AL168">
            <v>246.1</v>
          </cell>
          <cell r="AM168">
            <v>71.373000000000005</v>
          </cell>
          <cell r="AN168">
            <v>4.056</v>
          </cell>
          <cell r="AO168">
            <v>0</v>
          </cell>
          <cell r="AP168">
            <v>10.19</v>
          </cell>
          <cell r="AQ168">
            <v>0.79947000000000001</v>
          </cell>
          <cell r="AR168">
            <v>10.989469999999999</v>
          </cell>
          <cell r="AS168">
            <v>32.238</v>
          </cell>
          <cell r="AT168">
            <v>5.5010000000000003</v>
          </cell>
          <cell r="AU168">
            <v>280.60000000000002</v>
          </cell>
          <cell r="AV168">
            <v>318.339</v>
          </cell>
          <cell r="AW168">
            <v>0</v>
          </cell>
          <cell r="AX168">
            <v>0</v>
          </cell>
          <cell r="AY168">
            <v>0</v>
          </cell>
          <cell r="AZ168">
            <v>0</v>
          </cell>
          <cell r="BA168">
            <v>0</v>
          </cell>
          <cell r="BB168">
            <v>0</v>
          </cell>
          <cell r="BC168">
            <v>0</v>
          </cell>
          <cell r="BD168">
            <v>0</v>
          </cell>
          <cell r="BE168">
            <v>0</v>
          </cell>
        </row>
        <row r="174">
          <cell r="H174">
            <v>0</v>
          </cell>
          <cell r="I174">
            <v>0</v>
          </cell>
          <cell r="J174">
            <v>0</v>
          </cell>
          <cell r="K174">
            <v>0</v>
          </cell>
          <cell r="L174">
            <v>0</v>
          </cell>
          <cell r="M174">
            <v>0</v>
          </cell>
          <cell r="N174">
            <v>0</v>
          </cell>
          <cell r="O174">
            <v>0</v>
          </cell>
          <cell r="P174">
            <v>0</v>
          </cell>
          <cell r="Q174">
            <v>0</v>
          </cell>
          <cell r="R174">
            <v>0</v>
          </cell>
          <cell r="S174">
            <v>0</v>
          </cell>
          <cell r="T174">
            <v>0</v>
          </cell>
          <cell r="U174">
            <v>18.178999999999998</v>
          </cell>
          <cell r="W174">
            <v>25.146999999999998</v>
          </cell>
          <cell r="X174">
            <v>49.847000000000001</v>
          </cell>
          <cell r="Y174">
            <v>1.849</v>
          </cell>
          <cell r="Z174">
            <v>0</v>
          </cell>
          <cell r="AA174">
            <v>0</v>
          </cell>
          <cell r="AB174">
            <v>20.998999999999999</v>
          </cell>
          <cell r="AC174">
            <v>1.3320000000000001</v>
          </cell>
          <cell r="AD174">
            <v>0</v>
          </cell>
          <cell r="AE174">
            <v>16.545999999999999</v>
          </cell>
          <cell r="AF174">
            <v>17.59</v>
          </cell>
          <cell r="AG174">
            <v>8.9949999999999992</v>
          </cell>
          <cell r="AH174">
            <v>4.4660000000000002</v>
          </cell>
          <cell r="AI174">
            <v>2.999333333333333</v>
          </cell>
          <cell r="AJ174">
            <v>7.4653333333333336</v>
          </cell>
          <cell r="AK174">
            <v>15.9</v>
          </cell>
          <cell r="AL174">
            <v>74.8</v>
          </cell>
          <cell r="AM174">
            <v>0</v>
          </cell>
          <cell r="AN174">
            <v>0.46</v>
          </cell>
          <cell r="AO174">
            <v>0</v>
          </cell>
          <cell r="AS174">
            <v>46.41</v>
          </cell>
          <cell r="AT174">
            <v>2.23</v>
          </cell>
          <cell r="AU174">
            <v>186.1</v>
          </cell>
          <cell r="AV174">
            <v>234.74</v>
          </cell>
          <cell r="AW174">
            <v>0</v>
          </cell>
          <cell r="AX174">
            <v>0</v>
          </cell>
          <cell r="AY174">
            <v>0</v>
          </cell>
          <cell r="AZ174">
            <v>0</v>
          </cell>
          <cell r="BA174">
            <v>0</v>
          </cell>
          <cell r="BB174">
            <v>0</v>
          </cell>
          <cell r="BC174">
            <v>0</v>
          </cell>
          <cell r="BD174">
            <v>0</v>
          </cell>
          <cell r="BE174">
            <v>0</v>
          </cell>
        </row>
        <row r="175">
          <cell r="H175">
            <v>0</v>
          </cell>
          <cell r="I175">
            <v>0</v>
          </cell>
          <cell r="J175">
            <v>0</v>
          </cell>
          <cell r="K175">
            <v>0</v>
          </cell>
          <cell r="L175">
            <v>0</v>
          </cell>
          <cell r="M175">
            <v>0</v>
          </cell>
          <cell r="N175">
            <v>0</v>
          </cell>
          <cell r="O175">
            <v>0</v>
          </cell>
          <cell r="P175">
            <v>0</v>
          </cell>
          <cell r="Q175">
            <v>0</v>
          </cell>
          <cell r="R175">
            <v>0</v>
          </cell>
          <cell r="S175">
            <v>0</v>
          </cell>
          <cell r="T175">
            <v>0</v>
          </cell>
          <cell r="U175">
            <v>10.798</v>
          </cell>
          <cell r="W175">
            <v>26.192250000000001</v>
          </cell>
          <cell r="X175">
            <v>17.690000000000001</v>
          </cell>
          <cell r="Y175">
            <v>0.121</v>
          </cell>
          <cell r="Z175">
            <v>0</v>
          </cell>
          <cell r="AA175">
            <v>0</v>
          </cell>
          <cell r="AB175">
            <v>26.433</v>
          </cell>
          <cell r="AC175">
            <v>5.0129999999999999</v>
          </cell>
          <cell r="AD175">
            <v>0</v>
          </cell>
          <cell r="AE175">
            <v>16.494</v>
          </cell>
          <cell r="AF175">
            <v>6.157</v>
          </cell>
          <cell r="AG175">
            <v>10.218999999999999</v>
          </cell>
          <cell r="AH175">
            <v>1.419</v>
          </cell>
          <cell r="AI175">
            <v>2.8485</v>
          </cell>
          <cell r="AJ175">
            <v>4.2675000000000001</v>
          </cell>
          <cell r="AK175">
            <v>14</v>
          </cell>
          <cell r="AL175">
            <v>96</v>
          </cell>
          <cell r="AM175">
            <v>0</v>
          </cell>
          <cell r="AN175">
            <v>0.56599999999999995</v>
          </cell>
          <cell r="AO175">
            <v>0</v>
          </cell>
          <cell r="AP175">
            <v>2.3980000000000001</v>
          </cell>
          <cell r="AQ175">
            <v>0.12210275</v>
          </cell>
          <cell r="AS175">
            <v>28.722999999999999</v>
          </cell>
          <cell r="AT175">
            <v>4.9450000000000003</v>
          </cell>
          <cell r="AU175">
            <v>234.8</v>
          </cell>
          <cell r="AV175">
            <v>268.46800000000002</v>
          </cell>
          <cell r="AW175">
            <v>0</v>
          </cell>
          <cell r="AX175">
            <v>0</v>
          </cell>
          <cell r="AY175">
            <v>0</v>
          </cell>
          <cell r="AZ175">
            <v>0</v>
          </cell>
          <cell r="BA175">
            <v>0</v>
          </cell>
          <cell r="BB175">
            <v>0</v>
          </cell>
          <cell r="BC175">
            <v>0</v>
          </cell>
          <cell r="BD175">
            <v>0</v>
          </cell>
          <cell r="BE175">
            <v>0</v>
          </cell>
        </row>
        <row r="176">
          <cell r="H176">
            <v>0</v>
          </cell>
          <cell r="I176">
            <v>0</v>
          </cell>
          <cell r="J176">
            <v>0</v>
          </cell>
          <cell r="K176">
            <v>0</v>
          </cell>
          <cell r="L176">
            <v>0</v>
          </cell>
          <cell r="M176">
            <v>0</v>
          </cell>
          <cell r="N176">
            <v>0</v>
          </cell>
          <cell r="O176">
            <v>0</v>
          </cell>
          <cell r="P176">
            <v>0</v>
          </cell>
          <cell r="Q176">
            <v>0</v>
          </cell>
          <cell r="R176">
            <v>0</v>
          </cell>
          <cell r="S176">
            <v>0</v>
          </cell>
          <cell r="T176">
            <v>0</v>
          </cell>
          <cell r="U176">
            <v>15.15</v>
          </cell>
          <cell r="V176">
            <v>37.673000000000002</v>
          </cell>
          <cell r="W176">
            <v>34.923000000000002</v>
          </cell>
          <cell r="X176">
            <v>40.412000000000006</v>
          </cell>
          <cell r="Y176">
            <v>7.4459999999999997</v>
          </cell>
          <cell r="Z176">
            <v>69.308999999999997</v>
          </cell>
          <cell r="AA176">
            <v>16.619</v>
          </cell>
          <cell r="AB176">
            <v>55.454999999999998</v>
          </cell>
          <cell r="AC176">
            <v>10.147</v>
          </cell>
          <cell r="AD176">
            <v>0</v>
          </cell>
          <cell r="AE176">
            <v>22.856999999999999</v>
          </cell>
          <cell r="AF176">
            <v>46.127000000000002</v>
          </cell>
          <cell r="AG176">
            <v>64.891999999999996</v>
          </cell>
          <cell r="AH176">
            <v>2.6349999999999998</v>
          </cell>
          <cell r="AI176">
            <v>3.798</v>
          </cell>
          <cell r="AJ176">
            <v>6.4329999999999998</v>
          </cell>
          <cell r="AK176">
            <v>40.1</v>
          </cell>
          <cell r="AL176">
            <v>158.9</v>
          </cell>
          <cell r="AM176">
            <v>109.76300000000001</v>
          </cell>
          <cell r="AN176">
            <v>2.85</v>
          </cell>
          <cell r="AO176">
            <v>0</v>
          </cell>
          <cell r="AP176">
            <v>15.372999999999999</v>
          </cell>
          <cell r="AQ176">
            <v>0.48841099999999998</v>
          </cell>
          <cell r="AR176">
            <v>15.861410999999999</v>
          </cell>
          <cell r="AS176">
            <v>45.980999999999995</v>
          </cell>
          <cell r="AT176">
            <v>6.8949999999999996</v>
          </cell>
          <cell r="AU176">
            <v>341.2</v>
          </cell>
          <cell r="AV176">
            <v>394.07599999999996</v>
          </cell>
          <cell r="AW176">
            <v>0</v>
          </cell>
          <cell r="AX176">
            <v>0</v>
          </cell>
          <cell r="AY176">
            <v>0</v>
          </cell>
          <cell r="AZ176">
            <v>0</v>
          </cell>
          <cell r="BA176">
            <v>0</v>
          </cell>
          <cell r="BB176">
            <v>0</v>
          </cell>
          <cell r="BC176">
            <v>0</v>
          </cell>
          <cell r="BD176">
            <v>0</v>
          </cell>
          <cell r="BE176">
            <v>0</v>
          </cell>
        </row>
        <row r="180">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row>
        <row r="181">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row>
        <row r="184">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row>
        <row r="185">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row>
        <row r="186">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row>
        <row r="190">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row>
        <row r="191">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row>
        <row r="192">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row>
        <row r="193">
          <cell r="Z193" t="str">
            <v>B</v>
          </cell>
        </row>
        <row r="196">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row>
        <row r="197">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row>
        <row r="198">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row>
        <row r="204">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row>
        <row r="205">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row>
        <row r="206">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row>
        <row r="207">
          <cell r="Y207">
            <v>0</v>
          </cell>
          <cell r="Z207">
            <v>0</v>
          </cell>
        </row>
        <row r="212">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254.59899999999999</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row>
        <row r="213">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22.143000000000001</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row>
        <row r="214">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2.4900000000000002</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row>
        <row r="215">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row>
        <row r="216">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14.489000000000001</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row>
        <row r="217">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0.42934186742525265</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row>
        <row r="221">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row>
        <row r="222">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row>
        <row r="223">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row>
        <row r="224">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row>
        <row r="229">
          <cell r="H229" t="str">
            <v>Spare</v>
          </cell>
          <cell r="I229" t="str">
            <v>Spare</v>
          </cell>
          <cell r="J229" t="str">
            <v>Spare</v>
          </cell>
          <cell r="K229" t="str">
            <v>Spare</v>
          </cell>
          <cell r="L229" t="str">
            <v>Spare</v>
          </cell>
          <cell r="M229" t="str">
            <v>Spare</v>
          </cell>
          <cell r="N229" t="str">
            <v>Spare</v>
          </cell>
          <cell r="O229" t="str">
            <v>Spare</v>
          </cell>
          <cell r="P229" t="str">
            <v>Spare</v>
          </cell>
          <cell r="Q229" t="str">
            <v>Spare</v>
          </cell>
          <cell r="R229" t="str">
            <v>Spare</v>
          </cell>
          <cell r="S229" t="str">
            <v>Spare</v>
          </cell>
          <cell r="T229" t="str">
            <v>Spare</v>
          </cell>
          <cell r="U229" t="str">
            <v>Spare</v>
          </cell>
          <cell r="V229" t="str">
            <v>Spare</v>
          </cell>
          <cell r="W229" t="str">
            <v>Spare</v>
          </cell>
          <cell r="X229" t="str">
            <v>Spare</v>
          </cell>
          <cell r="Y229" t="str">
            <v>Spare</v>
          </cell>
          <cell r="Z229" t="str">
            <v>Spare</v>
          </cell>
          <cell r="AA229" t="str">
            <v>Spare</v>
          </cell>
          <cell r="AB229" t="str">
            <v>Spare</v>
          </cell>
          <cell r="AC229" t="str">
            <v>Spare</v>
          </cell>
          <cell r="AD229" t="str">
            <v>Spare</v>
          </cell>
          <cell r="AE229" t="str">
            <v>Spare</v>
          </cell>
          <cell r="AF229" t="str">
            <v>Spare</v>
          </cell>
          <cell r="AG229" t="str">
            <v>Spare</v>
          </cell>
          <cell r="AH229">
            <v>0.13140653897996923</v>
          </cell>
          <cell r="AI229" t="str">
            <v>Spare</v>
          </cell>
          <cell r="AJ229" t="str">
            <v>Spare</v>
          </cell>
          <cell r="AK229" t="str">
            <v>Spare</v>
          </cell>
          <cell r="AL229" t="str">
            <v>Spare</v>
          </cell>
          <cell r="AM229" t="str">
            <v>Spare</v>
          </cell>
          <cell r="AN229" t="str">
            <v>Spare</v>
          </cell>
          <cell r="AO229" t="str">
            <v>Spare</v>
          </cell>
          <cell r="AP229" t="str">
            <v>Spare</v>
          </cell>
          <cell r="AQ229" t="str">
            <v>Spare</v>
          </cell>
          <cell r="AR229" t="str">
            <v>Spare</v>
          </cell>
          <cell r="AS229" t="str">
            <v>Spare</v>
          </cell>
          <cell r="AT229" t="str">
            <v>Spare</v>
          </cell>
          <cell r="AU229" t="str">
            <v>Spare</v>
          </cell>
          <cell r="AV229" t="str">
            <v>Spare</v>
          </cell>
          <cell r="AW229" t="str">
            <v>Spare</v>
          </cell>
          <cell r="AX229" t="str">
            <v>Spare</v>
          </cell>
          <cell r="AY229" t="str">
            <v>Spare</v>
          </cell>
          <cell r="AZ229" t="str">
            <v>Spare</v>
          </cell>
          <cell r="BA229" t="str">
            <v>Spare</v>
          </cell>
          <cell r="BB229" t="str">
            <v>Spare</v>
          </cell>
          <cell r="BC229" t="str">
            <v>Spare</v>
          </cell>
          <cell r="BD229" t="str">
            <v>Spare</v>
          </cell>
          <cell r="BE229" t="str">
            <v>Spare</v>
          </cell>
        </row>
        <row r="230">
          <cell r="H230" t="str">
            <v>Spare</v>
          </cell>
          <cell r="I230" t="str">
            <v>Spare</v>
          </cell>
          <cell r="J230" t="str">
            <v>Spare</v>
          </cell>
          <cell r="K230" t="str">
            <v>Spare</v>
          </cell>
          <cell r="L230" t="str">
            <v>Spare</v>
          </cell>
          <cell r="M230" t="str">
            <v>Spare</v>
          </cell>
          <cell r="N230" t="str">
            <v>Spare</v>
          </cell>
          <cell r="O230" t="str">
            <v>Spare</v>
          </cell>
          <cell r="P230" t="str">
            <v>Spare</v>
          </cell>
          <cell r="Q230" t="str">
            <v>Spare</v>
          </cell>
          <cell r="R230" t="str">
            <v>Spare</v>
          </cell>
          <cell r="S230" t="str">
            <v>Spare</v>
          </cell>
          <cell r="T230" t="str">
            <v>Spare</v>
          </cell>
          <cell r="U230" t="str">
            <v>Spare</v>
          </cell>
          <cell r="V230" t="str">
            <v>Spare</v>
          </cell>
          <cell r="W230" t="str">
            <v>Spare</v>
          </cell>
          <cell r="X230" t="str">
            <v>Spare</v>
          </cell>
          <cell r="Y230" t="str">
            <v>Spare</v>
          </cell>
          <cell r="Z230" t="str">
            <v>Spare</v>
          </cell>
          <cell r="AA230" t="str">
            <v>Spare</v>
          </cell>
          <cell r="AB230" t="str">
            <v>Spare</v>
          </cell>
          <cell r="AC230" t="str">
            <v>Spare</v>
          </cell>
          <cell r="AD230" t="str">
            <v>Spare</v>
          </cell>
          <cell r="AE230" t="str">
            <v>Spare</v>
          </cell>
          <cell r="AF230" t="str">
            <v>Spare</v>
          </cell>
          <cell r="AG230" t="str">
            <v>Spare</v>
          </cell>
          <cell r="AH230" t="str">
            <v>Spare</v>
          </cell>
          <cell r="AI230" t="str">
            <v>Spare</v>
          </cell>
          <cell r="AJ230" t="str">
            <v>Spare</v>
          </cell>
          <cell r="AK230" t="str">
            <v>Spare</v>
          </cell>
          <cell r="AL230" t="str">
            <v>Spare</v>
          </cell>
          <cell r="AM230" t="str">
            <v>Spare</v>
          </cell>
          <cell r="AN230" t="str">
            <v>Spare</v>
          </cell>
          <cell r="AO230" t="str">
            <v>Spare</v>
          </cell>
          <cell r="AP230" t="str">
            <v>Spare</v>
          </cell>
          <cell r="AQ230" t="str">
            <v>Spare</v>
          </cell>
          <cell r="AR230" t="str">
            <v>Spare</v>
          </cell>
          <cell r="AS230" t="str">
            <v>Spare</v>
          </cell>
          <cell r="AT230" t="str">
            <v>Spare</v>
          </cell>
          <cell r="AU230" t="str">
            <v>Spare</v>
          </cell>
          <cell r="AV230" t="str">
            <v>Spare</v>
          </cell>
          <cell r="AW230" t="str">
            <v>Spare</v>
          </cell>
          <cell r="AX230" t="str">
            <v>Spare</v>
          </cell>
          <cell r="AY230" t="str">
            <v>Spare</v>
          </cell>
          <cell r="AZ230" t="str">
            <v>Spare</v>
          </cell>
          <cell r="BA230" t="str">
            <v>Spare</v>
          </cell>
          <cell r="BB230" t="str">
            <v>Spare</v>
          </cell>
          <cell r="BC230" t="str">
            <v>Spare</v>
          </cell>
          <cell r="BD230" t="str">
            <v>Spare</v>
          </cell>
          <cell r="BE230" t="str">
            <v>Spare</v>
          </cell>
        </row>
        <row r="231">
          <cell r="H231" t="str">
            <v>Spare</v>
          </cell>
          <cell r="I231" t="str">
            <v>Spare</v>
          </cell>
          <cell r="J231" t="str">
            <v>Spare</v>
          </cell>
          <cell r="K231" t="str">
            <v>Spare</v>
          </cell>
          <cell r="L231" t="str">
            <v>Spare</v>
          </cell>
          <cell r="M231" t="str">
            <v>Spare</v>
          </cell>
          <cell r="N231" t="str">
            <v>Spare</v>
          </cell>
          <cell r="O231" t="str">
            <v>Spare</v>
          </cell>
          <cell r="P231" t="str">
            <v>Spare</v>
          </cell>
          <cell r="Q231" t="str">
            <v>Spare</v>
          </cell>
          <cell r="R231" t="str">
            <v>Spare</v>
          </cell>
          <cell r="S231" t="str">
            <v>Spare</v>
          </cell>
          <cell r="T231" t="str">
            <v>Spare</v>
          </cell>
          <cell r="U231" t="str">
            <v>Spare</v>
          </cell>
          <cell r="V231" t="str">
            <v>Spare</v>
          </cell>
          <cell r="W231" t="str">
            <v>Spare</v>
          </cell>
          <cell r="X231" t="str">
            <v>Spare</v>
          </cell>
          <cell r="Y231" t="str">
            <v>Spare</v>
          </cell>
          <cell r="Z231" t="str">
            <v>Spare</v>
          </cell>
          <cell r="AA231" t="str">
            <v>Spare</v>
          </cell>
          <cell r="AB231" t="str">
            <v>Spare</v>
          </cell>
          <cell r="AC231" t="str">
            <v>Spare</v>
          </cell>
          <cell r="AD231" t="str">
            <v>Spare</v>
          </cell>
          <cell r="AE231" t="str">
            <v>Spare</v>
          </cell>
          <cell r="AF231" t="str">
            <v>Spare</v>
          </cell>
          <cell r="AG231" t="str">
            <v>Spare</v>
          </cell>
          <cell r="AH231" t="str">
            <v>Spare</v>
          </cell>
          <cell r="AI231" t="str">
            <v>Spare</v>
          </cell>
          <cell r="AJ231" t="str">
            <v>Spare</v>
          </cell>
          <cell r="AK231" t="str">
            <v>Spare</v>
          </cell>
          <cell r="AL231" t="str">
            <v>Spare</v>
          </cell>
          <cell r="AM231" t="str">
            <v>Spare</v>
          </cell>
          <cell r="AN231" t="str">
            <v>Spare</v>
          </cell>
          <cell r="AO231" t="str">
            <v>Spare</v>
          </cell>
          <cell r="AP231" t="str">
            <v>Spare</v>
          </cell>
          <cell r="AQ231" t="str">
            <v>Spare</v>
          </cell>
          <cell r="AR231" t="str">
            <v>Spare</v>
          </cell>
          <cell r="AS231" t="str">
            <v>Spare</v>
          </cell>
          <cell r="AT231" t="str">
            <v>Spare</v>
          </cell>
          <cell r="AU231" t="str">
            <v>Spare</v>
          </cell>
          <cell r="AV231" t="str">
            <v>Spare</v>
          </cell>
          <cell r="AW231" t="str">
            <v>Spare</v>
          </cell>
          <cell r="AX231" t="str">
            <v>Spare</v>
          </cell>
          <cell r="AY231" t="str">
            <v>Spare</v>
          </cell>
          <cell r="AZ231" t="str">
            <v>Spare</v>
          </cell>
          <cell r="BA231" t="str">
            <v>Spare</v>
          </cell>
          <cell r="BB231" t="str">
            <v>Spare</v>
          </cell>
          <cell r="BC231" t="str">
            <v>Spare</v>
          </cell>
          <cell r="BD231" t="str">
            <v>Spare</v>
          </cell>
          <cell r="BE231" t="str">
            <v>Spare</v>
          </cell>
        </row>
        <row r="232">
          <cell r="H232" t="str">
            <v>Spare</v>
          </cell>
          <cell r="I232" t="str">
            <v>Spare</v>
          </cell>
          <cell r="J232" t="str">
            <v>Spare</v>
          </cell>
          <cell r="K232" t="str">
            <v>Spare</v>
          </cell>
          <cell r="L232" t="str">
            <v>Spare</v>
          </cell>
          <cell r="M232" t="str">
            <v>Spare</v>
          </cell>
          <cell r="N232" t="str">
            <v>Spare</v>
          </cell>
          <cell r="O232" t="str">
            <v>Spare</v>
          </cell>
          <cell r="P232" t="str">
            <v>Spare</v>
          </cell>
          <cell r="Q232" t="str">
            <v>Spare</v>
          </cell>
          <cell r="R232" t="str">
            <v>Spare</v>
          </cell>
          <cell r="S232" t="str">
            <v>Spare</v>
          </cell>
          <cell r="T232" t="str">
            <v>Spare</v>
          </cell>
          <cell r="U232" t="str">
            <v>Spare</v>
          </cell>
          <cell r="V232" t="str">
            <v>Spare</v>
          </cell>
          <cell r="W232" t="str">
            <v>Spare</v>
          </cell>
          <cell r="X232" t="str">
            <v>Spare</v>
          </cell>
          <cell r="Y232" t="str">
            <v>Spare</v>
          </cell>
          <cell r="Z232" t="str">
            <v>Spare</v>
          </cell>
          <cell r="AA232" t="str">
            <v>Spare</v>
          </cell>
          <cell r="AB232" t="str">
            <v>Spare</v>
          </cell>
          <cell r="AC232" t="str">
            <v>Spare</v>
          </cell>
          <cell r="AD232" t="str">
            <v>Spare</v>
          </cell>
          <cell r="AE232" t="str">
            <v>Spare</v>
          </cell>
          <cell r="AF232" t="str">
            <v>Spare</v>
          </cell>
          <cell r="AG232" t="str">
            <v>Spare</v>
          </cell>
          <cell r="AH232" t="str">
            <v>Spare</v>
          </cell>
          <cell r="AI232" t="str">
            <v>Spare</v>
          </cell>
          <cell r="AJ232" t="str">
            <v>Spare</v>
          </cell>
          <cell r="AK232" t="str">
            <v>Spare</v>
          </cell>
          <cell r="AL232" t="str">
            <v>Spare</v>
          </cell>
          <cell r="AM232" t="str">
            <v>Spare</v>
          </cell>
          <cell r="AN232" t="str">
            <v>Spare</v>
          </cell>
          <cell r="AO232" t="str">
            <v>Spare</v>
          </cell>
          <cell r="AP232" t="str">
            <v>Spare</v>
          </cell>
          <cell r="AQ232" t="str">
            <v>Spare</v>
          </cell>
          <cell r="AR232" t="str">
            <v>Spare</v>
          </cell>
          <cell r="AS232" t="str">
            <v>Spare</v>
          </cell>
          <cell r="AT232" t="str">
            <v>Spare</v>
          </cell>
          <cell r="AU232" t="str">
            <v>Spare</v>
          </cell>
          <cell r="AV232" t="str">
            <v>Spare</v>
          </cell>
          <cell r="AW232" t="str">
            <v>Spare</v>
          </cell>
          <cell r="AX232" t="str">
            <v>Spare</v>
          </cell>
          <cell r="AY232" t="str">
            <v>Spare</v>
          </cell>
          <cell r="AZ232" t="str">
            <v>Spare</v>
          </cell>
          <cell r="BA232" t="str">
            <v>Spare</v>
          </cell>
          <cell r="BB232" t="str">
            <v>Spare</v>
          </cell>
          <cell r="BC232" t="str">
            <v>Spare</v>
          </cell>
          <cell r="BD232" t="str">
            <v>Spare</v>
          </cell>
          <cell r="BE232" t="str">
            <v>Spare</v>
          </cell>
        </row>
        <row r="233">
          <cell r="H233" t="str">
            <v>Spare</v>
          </cell>
          <cell r="I233" t="str">
            <v>Spare</v>
          </cell>
          <cell r="J233" t="str">
            <v>Spare</v>
          </cell>
          <cell r="K233" t="str">
            <v>Spare</v>
          </cell>
          <cell r="L233" t="str">
            <v>Spare</v>
          </cell>
          <cell r="M233" t="str">
            <v>Spare</v>
          </cell>
          <cell r="N233" t="str">
            <v>Spare</v>
          </cell>
          <cell r="O233" t="str">
            <v>Spare</v>
          </cell>
          <cell r="P233" t="str">
            <v>Spare</v>
          </cell>
          <cell r="Q233" t="str">
            <v>Spare</v>
          </cell>
          <cell r="R233" t="str">
            <v>Spare</v>
          </cell>
          <cell r="S233" t="str">
            <v>Spare</v>
          </cell>
          <cell r="T233" t="str">
            <v>Spare</v>
          </cell>
          <cell r="U233" t="str">
            <v>Spare</v>
          </cell>
          <cell r="V233" t="str">
            <v>Spare</v>
          </cell>
          <cell r="W233" t="str">
            <v>Spare</v>
          </cell>
          <cell r="X233" t="str">
            <v>Spare</v>
          </cell>
          <cell r="Y233" t="str">
            <v>Spare</v>
          </cell>
          <cell r="Z233" t="str">
            <v>Spare</v>
          </cell>
          <cell r="AA233" t="str">
            <v>Spare</v>
          </cell>
          <cell r="AB233" t="str">
            <v>Spare</v>
          </cell>
          <cell r="AC233" t="str">
            <v>Spare</v>
          </cell>
          <cell r="AD233" t="str">
            <v>Spare</v>
          </cell>
          <cell r="AE233" t="str">
            <v>Spare</v>
          </cell>
          <cell r="AF233" t="str">
            <v>Spare</v>
          </cell>
          <cell r="AG233" t="str">
            <v>Spare</v>
          </cell>
          <cell r="AH233" t="str">
            <v>Spare</v>
          </cell>
          <cell r="AI233" t="str">
            <v>Spare</v>
          </cell>
          <cell r="AJ233" t="str">
            <v>Spare</v>
          </cell>
          <cell r="AK233" t="str">
            <v>Spare</v>
          </cell>
          <cell r="AL233" t="str">
            <v>Spare</v>
          </cell>
          <cell r="AM233" t="str">
            <v>Spare</v>
          </cell>
          <cell r="AN233" t="str">
            <v>Spare</v>
          </cell>
          <cell r="AO233" t="str">
            <v>Spare</v>
          </cell>
          <cell r="AP233" t="str">
            <v>Spare</v>
          </cell>
          <cell r="AQ233" t="str">
            <v>Spare</v>
          </cell>
          <cell r="AR233" t="str">
            <v>Spare</v>
          </cell>
          <cell r="AS233" t="str">
            <v>Spare</v>
          </cell>
          <cell r="AT233" t="str">
            <v>Spare</v>
          </cell>
          <cell r="AU233" t="str">
            <v>Spare</v>
          </cell>
          <cell r="AV233" t="str">
            <v>Spare</v>
          </cell>
          <cell r="AW233" t="str">
            <v>Spare</v>
          </cell>
          <cell r="AX233" t="str">
            <v>Spare</v>
          </cell>
          <cell r="AY233" t="str">
            <v>Spare</v>
          </cell>
          <cell r="AZ233" t="str">
            <v>Spare</v>
          </cell>
          <cell r="BA233" t="str">
            <v>Spare</v>
          </cell>
          <cell r="BB233" t="str">
            <v>Spare</v>
          </cell>
          <cell r="BC233" t="str">
            <v>Spare</v>
          </cell>
          <cell r="BD233" t="str">
            <v>Spare</v>
          </cell>
          <cell r="BE233" t="str">
            <v>Spare</v>
          </cell>
        </row>
        <row r="238">
          <cell r="H238">
            <v>34.51</v>
          </cell>
          <cell r="I238">
            <v>5.66</v>
          </cell>
          <cell r="J238">
            <v>29.09</v>
          </cell>
          <cell r="K238">
            <v>44.25</v>
          </cell>
          <cell r="L238">
            <v>18.05</v>
          </cell>
          <cell r="M238">
            <v>19</v>
          </cell>
          <cell r="N238">
            <v>30.01</v>
          </cell>
          <cell r="O238">
            <v>12.27</v>
          </cell>
          <cell r="P238">
            <v>5.52</v>
          </cell>
          <cell r="Q238">
            <v>17.329999999999998</v>
          </cell>
          <cell r="R238">
            <v>33.479999999999997</v>
          </cell>
          <cell r="S238">
            <v>24.02</v>
          </cell>
          <cell r="T238" t="e">
            <v>#VALUE!</v>
          </cell>
          <cell r="U238">
            <v>21.26</v>
          </cell>
          <cell r="V238">
            <v>52.05</v>
          </cell>
          <cell r="W238">
            <v>34.51</v>
          </cell>
          <cell r="X238">
            <v>34.64</v>
          </cell>
          <cell r="Y238">
            <v>24.38</v>
          </cell>
          <cell r="Z238" t="e">
            <v>#N/A</v>
          </cell>
          <cell r="AA238">
            <v>72.7</v>
          </cell>
          <cell r="AB238">
            <v>72.7</v>
          </cell>
          <cell r="AC238">
            <v>14.75</v>
          </cell>
          <cell r="AD238" t="e">
            <v>#N/A</v>
          </cell>
          <cell r="AE238">
            <v>7.84</v>
          </cell>
          <cell r="AF238">
            <v>53.25</v>
          </cell>
          <cell r="AG238">
            <v>33.58</v>
          </cell>
          <cell r="AH238">
            <v>52.05</v>
          </cell>
          <cell r="AI238">
            <v>8.26</v>
          </cell>
          <cell r="AJ238" t="e">
            <v>#VALUE!</v>
          </cell>
          <cell r="AK238">
            <v>28.9</v>
          </cell>
          <cell r="AL238">
            <v>31.81</v>
          </cell>
          <cell r="AM238">
            <v>50.35</v>
          </cell>
          <cell r="AN238">
            <v>4.99</v>
          </cell>
          <cell r="AO238" t="e">
            <v>#N/A</v>
          </cell>
          <cell r="AP238">
            <v>47.72</v>
          </cell>
          <cell r="AQ238" t="e">
            <v>#VALUE!</v>
          </cell>
          <cell r="AR238">
            <v>47.72</v>
          </cell>
          <cell r="AS238">
            <v>33.58</v>
          </cell>
          <cell r="AT238" t="e">
            <v>#N/A</v>
          </cell>
          <cell r="AU238">
            <v>64.69</v>
          </cell>
          <cell r="AV238">
            <v>64.69</v>
          </cell>
          <cell r="AW238" t="e">
            <v>#VALUE!</v>
          </cell>
          <cell r="AX238" t="e">
            <v>#VALUE!</v>
          </cell>
          <cell r="AY238" t="e">
            <v>#VALUE!</v>
          </cell>
          <cell r="AZ238" t="e">
            <v>#VALUE!</v>
          </cell>
          <cell r="BA238" t="e">
            <v>#VALUE!</v>
          </cell>
          <cell r="BB238" t="e">
            <v>#VALUE!</v>
          </cell>
          <cell r="BC238" t="e">
            <v>#VALUE!</v>
          </cell>
          <cell r="BD238" t="e">
            <v>#VALUE!</v>
          </cell>
          <cell r="BE238" t="e">
            <v>#VALUE!</v>
          </cell>
        </row>
        <row r="239">
          <cell r="H239">
            <v>69.5</v>
          </cell>
          <cell r="I239">
            <v>18.05</v>
          </cell>
          <cell r="J239">
            <v>29.95</v>
          </cell>
          <cell r="K239">
            <v>27.125</v>
          </cell>
          <cell r="L239">
            <v>19.95</v>
          </cell>
          <cell r="M239">
            <v>24.14</v>
          </cell>
          <cell r="N239">
            <v>46</v>
          </cell>
          <cell r="O239">
            <v>23.66</v>
          </cell>
          <cell r="P239">
            <v>30.43</v>
          </cell>
          <cell r="Q239">
            <v>21.14</v>
          </cell>
          <cell r="R239">
            <v>28.14</v>
          </cell>
          <cell r="S239">
            <v>35.51</v>
          </cell>
          <cell r="T239" t="e">
            <v>#VALUE!</v>
          </cell>
          <cell r="U239">
            <v>26.86</v>
          </cell>
          <cell r="V239">
            <v>34.4</v>
          </cell>
          <cell r="W239">
            <v>69.5</v>
          </cell>
          <cell r="X239">
            <v>58.88</v>
          </cell>
          <cell r="Y239">
            <v>26.65</v>
          </cell>
          <cell r="Z239" t="e">
            <v>#N/A</v>
          </cell>
          <cell r="AA239">
            <v>66.709999999999994</v>
          </cell>
          <cell r="AB239">
            <v>66.709999999999994</v>
          </cell>
          <cell r="AC239">
            <v>20.3</v>
          </cell>
          <cell r="AD239" t="e">
            <v>#N/A</v>
          </cell>
          <cell r="AE239">
            <v>8.2100000000000009</v>
          </cell>
          <cell r="AF239">
            <v>35.46</v>
          </cell>
          <cell r="AG239">
            <v>34.25</v>
          </cell>
          <cell r="AH239">
            <v>34.4</v>
          </cell>
          <cell r="AI239">
            <v>19.5</v>
          </cell>
          <cell r="AJ239" t="e">
            <v>#VALUE!</v>
          </cell>
          <cell r="AK239">
            <v>25.25</v>
          </cell>
          <cell r="AL239">
            <v>40.130000000000003</v>
          </cell>
          <cell r="AM239">
            <v>45.96</v>
          </cell>
          <cell r="AN239">
            <v>4.66</v>
          </cell>
          <cell r="AO239" t="e">
            <v>#N/A</v>
          </cell>
          <cell r="AP239">
            <v>35.25</v>
          </cell>
          <cell r="AQ239" t="e">
            <v>#VALUE!</v>
          </cell>
          <cell r="AR239">
            <v>35.25</v>
          </cell>
          <cell r="AS239">
            <v>34.25</v>
          </cell>
          <cell r="AT239" t="e">
            <v>#N/A</v>
          </cell>
          <cell r="AU239">
            <v>73.319999999999993</v>
          </cell>
          <cell r="AV239">
            <v>73.319999999999993</v>
          </cell>
          <cell r="AW239" t="e">
            <v>#VALUE!</v>
          </cell>
          <cell r="AX239" t="e">
            <v>#VALUE!</v>
          </cell>
          <cell r="AY239" t="e">
            <v>#VALUE!</v>
          </cell>
          <cell r="AZ239" t="e">
            <v>#VALUE!</v>
          </cell>
          <cell r="BA239" t="e">
            <v>#VALUE!</v>
          </cell>
          <cell r="BB239" t="e">
            <v>#VALUE!</v>
          </cell>
          <cell r="BC239" t="e">
            <v>#VALUE!</v>
          </cell>
          <cell r="BD239" t="e">
            <v>#VALUE!</v>
          </cell>
          <cell r="BE239" t="e">
            <v>#VALUE!</v>
          </cell>
        </row>
        <row r="240">
          <cell r="H240">
            <v>34.5</v>
          </cell>
          <cell r="I240">
            <v>6.9</v>
          </cell>
          <cell r="J240">
            <v>26.74</v>
          </cell>
          <cell r="K240">
            <v>40.51</v>
          </cell>
          <cell r="L240">
            <v>16.59</v>
          </cell>
          <cell r="M240">
            <v>17.079999999999998</v>
          </cell>
          <cell r="N240">
            <v>27.38</v>
          </cell>
          <cell r="O240">
            <v>13.84</v>
          </cell>
          <cell r="P240">
            <v>7.31</v>
          </cell>
          <cell r="Q240">
            <v>16.579999999999998</v>
          </cell>
          <cell r="R240">
            <v>32.35</v>
          </cell>
          <cell r="S240">
            <v>21.6</v>
          </cell>
          <cell r="T240" t="e">
            <v>#VALUE!</v>
          </cell>
          <cell r="U240">
            <v>22</v>
          </cell>
          <cell r="V240">
            <v>44.89</v>
          </cell>
          <cell r="W240">
            <v>34.5</v>
          </cell>
          <cell r="X240">
            <v>32.450000000000003</v>
          </cell>
          <cell r="Y240">
            <v>20.95</v>
          </cell>
          <cell r="Z240" t="e">
            <v>#N/A</v>
          </cell>
          <cell r="AA240">
            <v>63.64</v>
          </cell>
          <cell r="AB240">
            <v>63.64</v>
          </cell>
          <cell r="AC240">
            <v>14.5</v>
          </cell>
          <cell r="AD240" t="e">
            <v>#N/A</v>
          </cell>
          <cell r="AE240">
            <v>7.17</v>
          </cell>
          <cell r="AF240">
            <v>42.92</v>
          </cell>
          <cell r="AG240">
            <v>28.85</v>
          </cell>
          <cell r="AH240">
            <v>44.89</v>
          </cell>
          <cell r="AI240">
            <v>8.26</v>
          </cell>
          <cell r="AJ240" t="e">
            <v>#VALUE!</v>
          </cell>
          <cell r="AK240">
            <v>26.75</v>
          </cell>
          <cell r="AL240">
            <v>31.14</v>
          </cell>
          <cell r="AM240">
            <v>48.32</v>
          </cell>
          <cell r="AN240">
            <v>4.6500000000000004</v>
          </cell>
          <cell r="AO240" t="e">
            <v>#N/A</v>
          </cell>
          <cell r="AP240">
            <v>45.19</v>
          </cell>
          <cell r="AQ240" t="e">
            <v>#VALUE!</v>
          </cell>
          <cell r="AR240">
            <v>45.19</v>
          </cell>
          <cell r="AS240">
            <v>28.85</v>
          </cell>
          <cell r="AT240" t="e">
            <v>#N/A</v>
          </cell>
          <cell r="AU240">
            <v>55.71</v>
          </cell>
          <cell r="AV240">
            <v>55.71</v>
          </cell>
          <cell r="AW240" t="e">
            <v>#VALUE!</v>
          </cell>
          <cell r="AX240" t="e">
            <v>#VALUE!</v>
          </cell>
          <cell r="AY240" t="e">
            <v>#VALUE!</v>
          </cell>
          <cell r="AZ240" t="e">
            <v>#VALUE!</v>
          </cell>
          <cell r="BA240" t="e">
            <v>#VALUE!</v>
          </cell>
          <cell r="BB240" t="e">
            <v>#VALUE!</v>
          </cell>
          <cell r="BC240" t="e">
            <v>#VALUE!</v>
          </cell>
          <cell r="BD240" t="e">
            <v>#VALUE!</v>
          </cell>
          <cell r="BE240" t="e">
            <v>#VALUE!</v>
          </cell>
        </row>
        <row r="241">
          <cell r="H241">
            <v>32.119999999999997</v>
          </cell>
          <cell r="I241">
            <v>13.81</v>
          </cell>
          <cell r="J241">
            <v>29</v>
          </cell>
          <cell r="K241">
            <v>40.159999999999997</v>
          </cell>
          <cell r="L241">
            <v>22.86</v>
          </cell>
          <cell r="M241">
            <v>18.36</v>
          </cell>
          <cell r="N241">
            <v>38.94</v>
          </cell>
          <cell r="O241">
            <v>18.78</v>
          </cell>
          <cell r="P241">
            <v>13.35</v>
          </cell>
          <cell r="Q241">
            <v>17.7</v>
          </cell>
          <cell r="R241">
            <v>31.84</v>
          </cell>
          <cell r="S241">
            <v>24.29</v>
          </cell>
          <cell r="T241" t="e">
            <v>#VALUE!</v>
          </cell>
          <cell r="U241">
            <v>20.350000000000001</v>
          </cell>
          <cell r="V241">
            <v>49.47</v>
          </cell>
          <cell r="W241">
            <v>32.119999999999997</v>
          </cell>
          <cell r="X241">
            <v>37.880000000000003</v>
          </cell>
          <cell r="Y241">
            <v>24.17</v>
          </cell>
          <cell r="Z241" t="e">
            <v>#N/A</v>
          </cell>
          <cell r="AA241">
            <v>76.25</v>
          </cell>
          <cell r="AB241">
            <v>76.25</v>
          </cell>
          <cell r="AC241">
            <v>18.23</v>
          </cell>
          <cell r="AD241" t="e">
            <v>#N/A</v>
          </cell>
          <cell r="AE241">
            <v>7.92</v>
          </cell>
          <cell r="AF241">
            <v>47.86</v>
          </cell>
          <cell r="AG241">
            <v>30.01</v>
          </cell>
          <cell r="AH241">
            <v>49.47</v>
          </cell>
          <cell r="AI241">
            <v>24.56</v>
          </cell>
          <cell r="AJ241" t="e">
            <v>#VALUE!</v>
          </cell>
          <cell r="AK241">
            <v>29.4</v>
          </cell>
          <cell r="AL241">
            <v>36.29</v>
          </cell>
          <cell r="AM241">
            <v>47.98</v>
          </cell>
          <cell r="AN241">
            <v>4.8</v>
          </cell>
          <cell r="AO241" t="e">
            <v>#N/A</v>
          </cell>
          <cell r="AP241">
            <v>49.25</v>
          </cell>
          <cell r="AQ241" t="e">
            <v>#VALUE!</v>
          </cell>
          <cell r="AR241">
            <v>49.25</v>
          </cell>
          <cell r="AS241">
            <v>30.01</v>
          </cell>
          <cell r="AT241" t="e">
            <v>#N/A</v>
          </cell>
          <cell r="AU241">
            <v>63.03</v>
          </cell>
          <cell r="AV241">
            <v>63.03</v>
          </cell>
          <cell r="AW241" t="e">
            <v>#VALUE!</v>
          </cell>
          <cell r="AX241" t="e">
            <v>#VALUE!</v>
          </cell>
          <cell r="AY241" t="e">
            <v>#VALUE!</v>
          </cell>
          <cell r="AZ241" t="e">
            <v>#VALUE!</v>
          </cell>
          <cell r="BA241" t="e">
            <v>#VALUE!</v>
          </cell>
          <cell r="BB241" t="e">
            <v>#VALUE!</v>
          </cell>
          <cell r="BC241" t="e">
            <v>#VALUE!</v>
          </cell>
          <cell r="BD241" t="e">
            <v>#VALUE!</v>
          </cell>
          <cell r="BE241" t="e">
            <v>#VALUE!</v>
          </cell>
        </row>
        <row r="242">
          <cell r="H242">
            <v>37</v>
          </cell>
          <cell r="I242">
            <v>15.6</v>
          </cell>
          <cell r="J242">
            <v>27.42</v>
          </cell>
          <cell r="K242">
            <v>33.5</v>
          </cell>
          <cell r="L242">
            <v>26.99</v>
          </cell>
          <cell r="M242">
            <v>23.94</v>
          </cell>
          <cell r="N242">
            <v>45.24</v>
          </cell>
          <cell r="O242">
            <v>20.14</v>
          </cell>
          <cell r="P242">
            <v>17</v>
          </cell>
          <cell r="Q242">
            <v>20.88</v>
          </cell>
          <cell r="R242">
            <v>32.049999999999997</v>
          </cell>
          <cell r="S242">
            <v>30.4</v>
          </cell>
          <cell r="T242" t="e">
            <v>#VALUE!</v>
          </cell>
          <cell r="U242">
            <v>18.3</v>
          </cell>
          <cell r="V242">
            <v>53.69</v>
          </cell>
          <cell r="W242">
            <v>37</v>
          </cell>
          <cell r="X242">
            <v>47</v>
          </cell>
          <cell r="Y242">
            <v>24.6</v>
          </cell>
          <cell r="Z242" t="e">
            <v>#N/A</v>
          </cell>
          <cell r="AA242">
            <v>66.260000000000005</v>
          </cell>
          <cell r="AB242">
            <v>66.260000000000005</v>
          </cell>
          <cell r="AC242">
            <v>19.13</v>
          </cell>
          <cell r="AD242" t="e">
            <v>#N/A</v>
          </cell>
          <cell r="AE242">
            <v>9.33</v>
          </cell>
          <cell r="AF242">
            <v>42.92</v>
          </cell>
          <cell r="AG242">
            <v>27.22</v>
          </cell>
          <cell r="AH242">
            <v>53.69</v>
          </cell>
          <cell r="AI242">
            <v>24.25</v>
          </cell>
          <cell r="AJ242" t="e">
            <v>#VALUE!</v>
          </cell>
          <cell r="AK242">
            <v>27.2</v>
          </cell>
          <cell r="AL242">
            <v>32.07</v>
          </cell>
          <cell r="AM242">
            <v>46.62</v>
          </cell>
          <cell r="AN242">
            <v>6.7</v>
          </cell>
          <cell r="AO242" t="e">
            <v>#N/A</v>
          </cell>
          <cell r="AP242">
            <v>39.909999999999997</v>
          </cell>
          <cell r="AQ242" t="e">
            <v>#VALUE!</v>
          </cell>
          <cell r="AR242">
            <v>39.909999999999997</v>
          </cell>
          <cell r="AS242">
            <v>27.22</v>
          </cell>
          <cell r="AT242" t="e">
            <v>#N/A</v>
          </cell>
          <cell r="AU242">
            <v>65.650000000000006</v>
          </cell>
          <cell r="AV242">
            <v>65.650000000000006</v>
          </cell>
          <cell r="AW242" t="e">
            <v>#VALUE!</v>
          </cell>
          <cell r="AX242" t="e">
            <v>#VALUE!</v>
          </cell>
          <cell r="AY242" t="e">
            <v>#VALUE!</v>
          </cell>
          <cell r="AZ242" t="e">
            <v>#VALUE!</v>
          </cell>
          <cell r="BA242" t="e">
            <v>#VALUE!</v>
          </cell>
          <cell r="BB242" t="e">
            <v>#VALUE!</v>
          </cell>
          <cell r="BC242" t="e">
            <v>#VALUE!</v>
          </cell>
          <cell r="BD242" t="e">
            <v>#VALUE!</v>
          </cell>
          <cell r="BE242" t="e">
            <v>#VALUE!</v>
          </cell>
        </row>
        <row r="243">
          <cell r="H243">
            <v>1.72</v>
          </cell>
          <cell r="I243">
            <v>0.25</v>
          </cell>
          <cell r="J243">
            <v>0.96</v>
          </cell>
          <cell r="K243">
            <v>2.1800000000000002</v>
          </cell>
          <cell r="L243">
            <v>-0.2</v>
          </cell>
          <cell r="M243">
            <v>0.91</v>
          </cell>
          <cell r="N243">
            <v>2.02</v>
          </cell>
          <cell r="O243">
            <v>0.45</v>
          </cell>
          <cell r="P243">
            <v>1.0900000000000001</v>
          </cell>
          <cell r="Q243">
            <v>0.91</v>
          </cell>
          <cell r="R243">
            <v>1.4475</v>
          </cell>
          <cell r="S243">
            <v>1.27</v>
          </cell>
          <cell r="T243" t="e">
            <v>#VALUE!</v>
          </cell>
          <cell r="U243">
            <v>0.09</v>
          </cell>
          <cell r="V243">
            <v>0.88</v>
          </cell>
          <cell r="W243">
            <v>1.72</v>
          </cell>
          <cell r="X243">
            <v>1.56</v>
          </cell>
          <cell r="Y243">
            <v>0.72</v>
          </cell>
          <cell r="Z243" t="e">
            <v>#N/A</v>
          </cell>
          <cell r="AA243">
            <v>2.5150000000000001</v>
          </cell>
          <cell r="AB243">
            <v>2.5150000000000001</v>
          </cell>
          <cell r="AC243">
            <v>1.03</v>
          </cell>
          <cell r="AD243" t="e">
            <v>#N/A</v>
          </cell>
          <cell r="AE243">
            <v>0.40749999999999997</v>
          </cell>
          <cell r="AF243">
            <v>2.0099999999999998</v>
          </cell>
          <cell r="AG243">
            <v>1.4</v>
          </cell>
          <cell r="AH243">
            <v>1.0900000000000001</v>
          </cell>
          <cell r="AI243">
            <v>0.89</v>
          </cell>
          <cell r="AJ243" t="e">
            <v>#VALUE!</v>
          </cell>
          <cell r="AK243">
            <v>1.31</v>
          </cell>
          <cell r="AL243">
            <v>1.3674999999999999</v>
          </cell>
          <cell r="AM243">
            <v>1.88</v>
          </cell>
          <cell r="AN243">
            <v>0.64500000000000002</v>
          </cell>
          <cell r="AO243" t="e">
            <v>#N/A</v>
          </cell>
          <cell r="AP243">
            <v>1.2666666666666666</v>
          </cell>
          <cell r="AQ243" t="e">
            <v>#VALUE!</v>
          </cell>
          <cell r="AR243">
            <v>1.2666666666666666</v>
          </cell>
          <cell r="AS243">
            <v>1.4</v>
          </cell>
          <cell r="AT243" t="e">
            <v>#N/A</v>
          </cell>
          <cell r="AU243">
            <v>1.82</v>
          </cell>
          <cell r="AV243">
            <v>1.82</v>
          </cell>
          <cell r="AW243" t="e">
            <v>#VALUE!</v>
          </cell>
          <cell r="AX243" t="e">
            <v>#VALUE!</v>
          </cell>
          <cell r="AY243" t="e">
            <v>#VALUE!</v>
          </cell>
          <cell r="AZ243" t="e">
            <v>#VALUE!</v>
          </cell>
          <cell r="BA243" t="e">
            <v>#VALUE!</v>
          </cell>
          <cell r="BB243" t="e">
            <v>#VALUE!</v>
          </cell>
          <cell r="BC243" t="e">
            <v>#VALUE!</v>
          </cell>
          <cell r="BD243" t="e">
            <v>#VALUE!</v>
          </cell>
          <cell r="BE243" t="e">
            <v>#VALUE!</v>
          </cell>
        </row>
        <row r="244">
          <cell r="H244">
            <v>1.9</v>
          </cell>
          <cell r="I244">
            <v>0.23</v>
          </cell>
          <cell r="J244">
            <v>1.05</v>
          </cell>
          <cell r="K244">
            <v>2.77</v>
          </cell>
          <cell r="L244">
            <v>0.1</v>
          </cell>
          <cell r="M244">
            <v>0.83</v>
          </cell>
          <cell r="N244">
            <v>2.16</v>
          </cell>
          <cell r="O244">
            <v>0.51</v>
          </cell>
          <cell r="P244">
            <v>0.33</v>
          </cell>
          <cell r="Q244">
            <v>0.95</v>
          </cell>
          <cell r="R244">
            <v>1.53</v>
          </cell>
          <cell r="S244">
            <v>1.34</v>
          </cell>
          <cell r="T244">
            <v>1.76</v>
          </cell>
          <cell r="U244">
            <v>0.32</v>
          </cell>
          <cell r="V244">
            <v>1.54</v>
          </cell>
          <cell r="W244">
            <v>1.88</v>
          </cell>
          <cell r="X244">
            <v>1.78</v>
          </cell>
          <cell r="Y244">
            <v>1.01</v>
          </cell>
          <cell r="Z244" t="e">
            <v>#N/A</v>
          </cell>
          <cell r="AA244">
            <v>3.41</v>
          </cell>
          <cell r="AB244">
            <v>3.41</v>
          </cell>
          <cell r="AC244">
            <v>1.28</v>
          </cell>
          <cell r="AD244" t="e">
            <v>#N/A</v>
          </cell>
          <cell r="AE244">
            <v>0.26250000000000001</v>
          </cell>
          <cell r="AF244">
            <v>2.56</v>
          </cell>
          <cell r="AG244">
            <v>1.82</v>
          </cell>
          <cell r="AH244">
            <v>1.5649999999999999</v>
          </cell>
          <cell r="AI244">
            <v>0.24</v>
          </cell>
          <cell r="AJ244" t="e">
            <v>#VALUE!</v>
          </cell>
          <cell r="AK244">
            <v>1.76</v>
          </cell>
          <cell r="AL244">
            <v>1.7825</v>
          </cell>
          <cell r="AM244">
            <v>2.2799999999999998</v>
          </cell>
          <cell r="AN244">
            <v>0.33500000000000002</v>
          </cell>
          <cell r="AO244" t="e">
            <v>#N/A</v>
          </cell>
          <cell r="AP244">
            <v>1.5933333333333333</v>
          </cell>
          <cell r="AQ244" t="e">
            <v>#VALUE!</v>
          </cell>
          <cell r="AR244">
            <v>1.5933333333333333</v>
          </cell>
          <cell r="AS244">
            <v>1.82</v>
          </cell>
          <cell r="AT244" t="e">
            <v>#N/A</v>
          </cell>
          <cell r="AU244">
            <v>2.91</v>
          </cell>
          <cell r="AV244">
            <v>2.91</v>
          </cell>
          <cell r="AW244" t="e">
            <v>#VALUE!</v>
          </cell>
          <cell r="AX244" t="e">
            <v>#VALUE!</v>
          </cell>
          <cell r="AY244" t="e">
            <v>#VALUE!</v>
          </cell>
          <cell r="AZ244" t="e">
            <v>#VALUE!</v>
          </cell>
          <cell r="BA244" t="e">
            <v>#VALUE!</v>
          </cell>
          <cell r="BB244" t="e">
            <v>#VALUE!</v>
          </cell>
          <cell r="BC244" t="e">
            <v>#VALUE!</v>
          </cell>
          <cell r="BD244" t="e">
            <v>#VALUE!</v>
          </cell>
          <cell r="BE244" t="e">
            <v>#VALUE!</v>
          </cell>
        </row>
        <row r="245">
          <cell r="H245">
            <v>2.14</v>
          </cell>
          <cell r="I245">
            <v>0.34</v>
          </cell>
          <cell r="J245">
            <v>1.19</v>
          </cell>
          <cell r="K245">
            <v>3.12</v>
          </cell>
          <cell r="L245">
            <v>0.45</v>
          </cell>
          <cell r="M245">
            <v>1.02</v>
          </cell>
          <cell r="N245">
            <v>2.39</v>
          </cell>
          <cell r="O245">
            <v>0.73</v>
          </cell>
          <cell r="P245">
            <v>0.7</v>
          </cell>
          <cell r="Q245">
            <v>1.1100000000000001</v>
          </cell>
          <cell r="R245">
            <v>1.78083675</v>
          </cell>
          <cell r="S245">
            <v>1.55</v>
          </cell>
          <cell r="T245">
            <v>2.0299999999999998</v>
          </cell>
          <cell r="U245">
            <v>0.65</v>
          </cell>
          <cell r="V245">
            <v>2.2799999999999998</v>
          </cell>
          <cell r="W245">
            <v>2.14</v>
          </cell>
          <cell r="X245">
            <v>2.06</v>
          </cell>
          <cell r="Y245">
            <v>1.27</v>
          </cell>
          <cell r="Z245" t="e">
            <v>#N/A</v>
          </cell>
          <cell r="AA245">
            <v>4.08</v>
          </cell>
          <cell r="AB245">
            <v>4.08</v>
          </cell>
          <cell r="AC245">
            <v>1.42</v>
          </cell>
          <cell r="AD245" t="e">
            <v>#N/A</v>
          </cell>
          <cell r="AE245">
            <v>0.37</v>
          </cell>
          <cell r="AF245">
            <v>2.96</v>
          </cell>
          <cell r="AG245">
            <v>2.1800000000000002</v>
          </cell>
          <cell r="AH245">
            <v>2.2149999999999999</v>
          </cell>
          <cell r="AI245">
            <v>0.48</v>
          </cell>
          <cell r="AJ245" t="e">
            <v>#VALUE!</v>
          </cell>
          <cell r="AK245">
            <v>2.0299999999999998</v>
          </cell>
          <cell r="AL245">
            <v>2.1724999999999999</v>
          </cell>
          <cell r="AM245">
            <v>2.54</v>
          </cell>
          <cell r="AN245">
            <v>0.50160000000000005</v>
          </cell>
          <cell r="AO245" t="e">
            <v>#N/A</v>
          </cell>
          <cell r="AP245">
            <v>1.91</v>
          </cell>
          <cell r="AQ245" t="e">
            <v>#VALUE!</v>
          </cell>
          <cell r="AR245">
            <v>1.91</v>
          </cell>
          <cell r="AS245">
            <v>2.1800000000000002</v>
          </cell>
          <cell r="AT245" t="e">
            <v>#N/A</v>
          </cell>
          <cell r="AU245">
            <v>3.5</v>
          </cell>
          <cell r="AV245">
            <v>3.5</v>
          </cell>
          <cell r="AW245" t="e">
            <v>#VALUE!</v>
          </cell>
          <cell r="AX245" t="e">
            <v>#VALUE!</v>
          </cell>
          <cell r="AY245" t="e">
            <v>#VALUE!</v>
          </cell>
          <cell r="AZ245" t="e">
            <v>#VALUE!</v>
          </cell>
          <cell r="BA245" t="e">
            <v>#VALUE!</v>
          </cell>
          <cell r="BB245" t="e">
            <v>#VALUE!</v>
          </cell>
          <cell r="BC245" t="e">
            <v>#VALUE!</v>
          </cell>
          <cell r="BD245" t="e">
            <v>#VALUE!</v>
          </cell>
          <cell r="BE245" t="e">
            <v>#VALUE!</v>
          </cell>
        </row>
        <row r="246">
          <cell r="H246">
            <v>2.6</v>
          </cell>
          <cell r="I246">
            <v>0.46</v>
          </cell>
          <cell r="J246">
            <v>1.3729374999999999</v>
          </cell>
          <cell r="K246">
            <v>3.6816</v>
          </cell>
          <cell r="L246">
            <v>0.7</v>
          </cell>
          <cell r="M246">
            <v>1.25</v>
          </cell>
          <cell r="N246">
            <v>2.65</v>
          </cell>
          <cell r="O246">
            <v>0.86903999999999992</v>
          </cell>
          <cell r="P246">
            <v>0.81025000000000003</v>
          </cell>
          <cell r="Q246">
            <v>1.2931500000000002</v>
          </cell>
          <cell r="R246">
            <v>1.78083675</v>
          </cell>
          <cell r="S246">
            <v>1.75</v>
          </cell>
          <cell r="T246" t="e">
            <v>#VALUE!</v>
          </cell>
          <cell r="U246">
            <v>0.80437499999999995</v>
          </cell>
          <cell r="V246">
            <v>2.8143040000000004</v>
          </cell>
          <cell r="W246">
            <v>2.6</v>
          </cell>
          <cell r="X246">
            <v>2.38</v>
          </cell>
          <cell r="Y246">
            <v>1.5972790000000001</v>
          </cell>
          <cell r="Z246" t="e">
            <v>#N/A</v>
          </cell>
          <cell r="AA246" t="e">
            <v>#N/A</v>
          </cell>
          <cell r="AB246" t="e">
            <v>#N/A</v>
          </cell>
          <cell r="AC246">
            <v>1.6045999999999998</v>
          </cell>
          <cell r="AD246" t="e">
            <v>#N/A</v>
          </cell>
          <cell r="AE246">
            <v>0.44800000000000006</v>
          </cell>
          <cell r="AF246">
            <v>3.4039999999999999</v>
          </cell>
          <cell r="AG246">
            <v>2.6515339999999998</v>
          </cell>
          <cell r="AH246">
            <v>2.8143040000000004</v>
          </cell>
          <cell r="AI246">
            <v>0.52800000000000002</v>
          </cell>
          <cell r="AJ246" t="e">
            <v>#VALUE!</v>
          </cell>
          <cell r="AK246">
            <v>2.25</v>
          </cell>
          <cell r="AL246">
            <v>2.54</v>
          </cell>
          <cell r="AM246">
            <v>2.8305760000000002</v>
          </cell>
          <cell r="AN246">
            <v>0.50160000000000005</v>
          </cell>
          <cell r="AO246" t="e">
            <v>#N/A</v>
          </cell>
          <cell r="AP246">
            <v>2.271422666666667</v>
          </cell>
          <cell r="AQ246" t="e">
            <v>#VALUE!</v>
          </cell>
          <cell r="AR246">
            <v>2.271422666666667</v>
          </cell>
          <cell r="AS246">
            <v>2.6515339999999998</v>
          </cell>
          <cell r="AT246" t="e">
            <v>#N/A</v>
          </cell>
          <cell r="AU246">
            <v>4.1981800000000007</v>
          </cell>
          <cell r="AV246">
            <v>4.1981800000000007</v>
          </cell>
          <cell r="AW246" t="e">
            <v>#VALUE!</v>
          </cell>
          <cell r="AX246" t="e">
            <v>#VALUE!</v>
          </cell>
          <cell r="AY246" t="e">
            <v>#VALUE!</v>
          </cell>
          <cell r="AZ246" t="e">
            <v>#VALUE!</v>
          </cell>
          <cell r="BA246" t="e">
            <v>#VALUE!</v>
          </cell>
          <cell r="BB246" t="e">
            <v>#VALUE!</v>
          </cell>
          <cell r="BC246" t="e">
            <v>#VALUE!</v>
          </cell>
          <cell r="BD246" t="e">
            <v>#VALUE!</v>
          </cell>
          <cell r="BE246" t="e">
            <v>#VALUE!</v>
          </cell>
        </row>
        <row r="247">
          <cell r="H247">
            <v>0.17</v>
          </cell>
          <cell r="I247">
            <v>0.2</v>
          </cell>
          <cell r="J247">
            <v>0.19</v>
          </cell>
          <cell r="K247">
            <v>0.18</v>
          </cell>
          <cell r="L247">
            <v>0.38750000000000001</v>
          </cell>
          <cell r="M247">
            <v>0.17</v>
          </cell>
          <cell r="N247">
            <v>0.13</v>
          </cell>
          <cell r="O247">
            <v>0.2</v>
          </cell>
          <cell r="P247">
            <v>0.1575</v>
          </cell>
          <cell r="Q247">
            <v>0.16500000000000001</v>
          </cell>
          <cell r="R247">
            <v>0.16570000000000001</v>
          </cell>
          <cell r="S247">
            <v>0.17</v>
          </cell>
          <cell r="T247">
            <v>0.16</v>
          </cell>
          <cell r="U247">
            <v>0.23749999999999999</v>
          </cell>
          <cell r="V247">
            <v>0.3</v>
          </cell>
          <cell r="W247">
            <v>0.18760000000000002</v>
          </cell>
          <cell r="X247">
            <v>0.15670000000000001</v>
          </cell>
          <cell r="Y247">
            <v>0.25769999999999998</v>
          </cell>
          <cell r="Z247" t="e">
            <v>#N/A</v>
          </cell>
          <cell r="AA247">
            <v>0.19320000000000001</v>
          </cell>
          <cell r="AB247">
            <v>0.19320000000000001</v>
          </cell>
          <cell r="AC247">
            <v>0.13</v>
          </cell>
          <cell r="AD247" t="e">
            <v>#N/A</v>
          </cell>
          <cell r="AE247">
            <v>0.16</v>
          </cell>
          <cell r="AF247">
            <v>0.15</v>
          </cell>
          <cell r="AG247">
            <v>0.21629999999999999</v>
          </cell>
          <cell r="AH247">
            <v>0.26960000000000001</v>
          </cell>
          <cell r="AI247">
            <v>0.1</v>
          </cell>
          <cell r="AJ247" t="e">
            <v>#VALUE!</v>
          </cell>
          <cell r="AK247">
            <v>0.16</v>
          </cell>
          <cell r="AL247">
            <v>0.18760000000000002</v>
          </cell>
          <cell r="AM247">
            <v>0.1144</v>
          </cell>
          <cell r="AN247">
            <v>0.2</v>
          </cell>
          <cell r="AO247" t="e">
            <v>#N/A</v>
          </cell>
          <cell r="AP247">
            <v>0.1867</v>
          </cell>
          <cell r="AQ247" t="e">
            <v>#VALUE!</v>
          </cell>
          <cell r="AR247">
            <v>0.1867</v>
          </cell>
          <cell r="AS247">
            <v>0.21629999999999999</v>
          </cell>
          <cell r="AT247" t="e">
            <v>#N/A</v>
          </cell>
          <cell r="AU247">
            <v>0.19800000000000001</v>
          </cell>
          <cell r="AV247">
            <v>0.19800000000000001</v>
          </cell>
          <cell r="AW247" t="e">
            <v>#VALUE!</v>
          </cell>
          <cell r="AX247" t="e">
            <v>#VALUE!</v>
          </cell>
          <cell r="AY247" t="e">
            <v>#VALUE!</v>
          </cell>
          <cell r="AZ247" t="e">
            <v>#VALUE!</v>
          </cell>
          <cell r="BA247" t="e">
            <v>#VALUE!</v>
          </cell>
          <cell r="BB247" t="e">
            <v>#VALUE!</v>
          </cell>
          <cell r="BC247" t="e">
            <v>#VALUE!</v>
          </cell>
          <cell r="BD247" t="e">
            <v>#VALUE!</v>
          </cell>
          <cell r="BE247" t="e">
            <v>#VALUE!</v>
          </cell>
        </row>
        <row r="248">
          <cell r="H248">
            <v>73.790000000000006</v>
          </cell>
          <cell r="I248">
            <v>21.36</v>
          </cell>
          <cell r="J248">
            <v>38.06</v>
          </cell>
          <cell r="K248">
            <v>51</v>
          </cell>
          <cell r="L248">
            <v>41.95</v>
          </cell>
          <cell r="M248">
            <v>40.42</v>
          </cell>
          <cell r="N248">
            <v>51.98</v>
          </cell>
          <cell r="O248">
            <v>24.05</v>
          </cell>
          <cell r="P248">
            <v>36.299999999999997</v>
          </cell>
          <cell r="Q248">
            <v>24.6</v>
          </cell>
          <cell r="R248">
            <v>39.6</v>
          </cell>
          <cell r="S248">
            <v>40.950000000000003</v>
          </cell>
          <cell r="T248" t="e">
            <v>#VALUE!</v>
          </cell>
          <cell r="U248">
            <v>26.86</v>
          </cell>
          <cell r="V248">
            <v>64.819999999999993</v>
          </cell>
          <cell r="W248">
            <v>73.790000000000006</v>
          </cell>
          <cell r="X248">
            <v>56.248170000000002</v>
          </cell>
          <cell r="Y248">
            <v>35.96</v>
          </cell>
          <cell r="Z248" t="e">
            <v>#N/A</v>
          </cell>
          <cell r="AA248">
            <v>82.85</v>
          </cell>
          <cell r="AB248">
            <v>82.85</v>
          </cell>
          <cell r="AC248">
            <v>20.9</v>
          </cell>
          <cell r="AD248" t="e">
            <v>#N/A</v>
          </cell>
          <cell r="AE248">
            <v>10.48</v>
          </cell>
          <cell r="AF248">
            <v>53.35</v>
          </cell>
          <cell r="AG248">
            <v>35.799999999999997</v>
          </cell>
          <cell r="AH248">
            <v>64.819999999999993</v>
          </cell>
          <cell r="AI248">
            <v>9.5009999999999994</v>
          </cell>
          <cell r="AJ248" t="e">
            <v>#VALUE!</v>
          </cell>
          <cell r="AK248">
            <v>33.43</v>
          </cell>
          <cell r="AL248">
            <v>42.09</v>
          </cell>
          <cell r="AM248">
            <v>52.8</v>
          </cell>
          <cell r="AN248">
            <v>8.15</v>
          </cell>
          <cell r="AO248" t="e">
            <v>#N/A</v>
          </cell>
          <cell r="AP248">
            <v>53.47</v>
          </cell>
          <cell r="AQ248" t="e">
            <v>#VALUE!</v>
          </cell>
          <cell r="AR248">
            <v>53.47</v>
          </cell>
          <cell r="AS248">
            <v>35.799999999999997</v>
          </cell>
          <cell r="AT248">
            <v>16.12</v>
          </cell>
          <cell r="AU248">
            <v>76.599999999999994</v>
          </cell>
          <cell r="AV248">
            <v>76.599999999999994</v>
          </cell>
          <cell r="AW248" t="e">
            <v>#VALUE!</v>
          </cell>
          <cell r="AX248" t="e">
            <v>#VALUE!</v>
          </cell>
          <cell r="AY248" t="e">
            <v>#VALUE!</v>
          </cell>
          <cell r="AZ248" t="e">
            <v>#VALUE!</v>
          </cell>
          <cell r="BA248" t="e">
            <v>#VALUE!</v>
          </cell>
          <cell r="BB248" t="e">
            <v>#VALUE!</v>
          </cell>
          <cell r="BC248" t="e">
            <v>#VALUE!</v>
          </cell>
          <cell r="BD248" t="e">
            <v>#VALUE!</v>
          </cell>
          <cell r="BE248" t="e">
            <v>#VALUE!</v>
          </cell>
        </row>
        <row r="249">
          <cell r="H249">
            <v>26.58</v>
          </cell>
          <cell r="I249">
            <v>5.2</v>
          </cell>
          <cell r="J249">
            <v>21.8</v>
          </cell>
          <cell r="K249">
            <v>21</v>
          </cell>
          <cell r="L249">
            <v>13.8</v>
          </cell>
          <cell r="M249">
            <v>13</v>
          </cell>
          <cell r="N249">
            <v>24.85</v>
          </cell>
          <cell r="O249">
            <v>9.9499999999999993</v>
          </cell>
          <cell r="P249">
            <v>4.28</v>
          </cell>
          <cell r="Q249">
            <v>14.33</v>
          </cell>
          <cell r="R249">
            <v>22.33</v>
          </cell>
          <cell r="S249">
            <v>17.86</v>
          </cell>
          <cell r="T249" t="e">
            <v>#VALUE!</v>
          </cell>
          <cell r="U249">
            <v>18</v>
          </cell>
          <cell r="V249">
            <v>29.25</v>
          </cell>
          <cell r="W249">
            <v>26.58</v>
          </cell>
          <cell r="X249">
            <v>27.25</v>
          </cell>
          <cell r="Y249">
            <v>18.16</v>
          </cell>
          <cell r="Z249" t="e">
            <v>#N/A</v>
          </cell>
          <cell r="AA249">
            <v>53.850999999999999</v>
          </cell>
          <cell r="AB249">
            <v>53.850999999999999</v>
          </cell>
          <cell r="AC249">
            <v>13.27</v>
          </cell>
          <cell r="AD249" t="e">
            <v>#N/A</v>
          </cell>
          <cell r="AE249">
            <v>4.55</v>
          </cell>
          <cell r="AF249">
            <v>31.9</v>
          </cell>
          <cell r="AG249">
            <v>20.5</v>
          </cell>
          <cell r="AH249">
            <v>29.25</v>
          </cell>
          <cell r="AI249">
            <v>4.8816200000000007</v>
          </cell>
          <cell r="AJ249" t="e">
            <v>#VALUE!</v>
          </cell>
          <cell r="AK249">
            <v>21</v>
          </cell>
          <cell r="AL249">
            <v>26.5</v>
          </cell>
          <cell r="AM249">
            <v>36.25</v>
          </cell>
          <cell r="AN249">
            <v>1.75</v>
          </cell>
          <cell r="AO249" t="e">
            <v>#N/A</v>
          </cell>
          <cell r="AP249">
            <v>32.799999999999997</v>
          </cell>
          <cell r="AQ249" t="e">
            <v>#VALUE!</v>
          </cell>
          <cell r="AR249">
            <v>32.799999999999997</v>
          </cell>
          <cell r="AS249">
            <v>20.5</v>
          </cell>
          <cell r="AT249">
            <v>8</v>
          </cell>
          <cell r="AU249">
            <v>46.6</v>
          </cell>
          <cell r="AV249">
            <v>46.6</v>
          </cell>
          <cell r="AW249" t="e">
            <v>#VALUE!</v>
          </cell>
          <cell r="AX249" t="e">
            <v>#VALUE!</v>
          </cell>
          <cell r="AY249" t="e">
            <v>#VALUE!</v>
          </cell>
          <cell r="AZ249" t="e">
            <v>#VALUE!</v>
          </cell>
          <cell r="BA249" t="e">
            <v>#VALUE!</v>
          </cell>
          <cell r="BB249" t="e">
            <v>#VALUE!</v>
          </cell>
          <cell r="BC249" t="e">
            <v>#VALUE!</v>
          </cell>
          <cell r="BD249" t="e">
            <v>#VALUE!</v>
          </cell>
          <cell r="BE249" t="e">
            <v>#VALUE!</v>
          </cell>
        </row>
        <row r="252">
          <cell r="H252">
            <v>37256</v>
          </cell>
          <cell r="I252">
            <v>37256</v>
          </cell>
          <cell r="J252">
            <v>37437</v>
          </cell>
          <cell r="K252">
            <v>37256</v>
          </cell>
          <cell r="L252">
            <v>37256</v>
          </cell>
          <cell r="M252">
            <v>37256</v>
          </cell>
          <cell r="N252">
            <v>37256</v>
          </cell>
          <cell r="O252">
            <v>37256</v>
          </cell>
          <cell r="P252">
            <v>37256</v>
          </cell>
          <cell r="Q252">
            <v>37256</v>
          </cell>
          <cell r="R252">
            <v>37256</v>
          </cell>
          <cell r="S252">
            <v>37256</v>
          </cell>
          <cell r="T252">
            <v>37256</v>
          </cell>
          <cell r="U252">
            <v>37256</v>
          </cell>
          <cell r="V252">
            <v>37437</v>
          </cell>
          <cell r="W252">
            <v>37256</v>
          </cell>
          <cell r="X252">
            <v>37256</v>
          </cell>
          <cell r="Y252">
            <v>37345</v>
          </cell>
          <cell r="Z252">
            <v>0</v>
          </cell>
          <cell r="AA252">
            <v>0</v>
          </cell>
          <cell r="AB252">
            <v>37346</v>
          </cell>
          <cell r="AC252">
            <v>37346</v>
          </cell>
          <cell r="AD252">
            <v>36891</v>
          </cell>
          <cell r="AE252">
            <v>37253</v>
          </cell>
          <cell r="AF252">
            <v>37345</v>
          </cell>
          <cell r="AG252">
            <v>37346</v>
          </cell>
          <cell r="AH252">
            <v>0</v>
          </cell>
          <cell r="AI252">
            <v>0</v>
          </cell>
          <cell r="AJ252">
            <v>37256</v>
          </cell>
          <cell r="AK252">
            <v>37437</v>
          </cell>
          <cell r="AL252">
            <v>37256</v>
          </cell>
          <cell r="AM252">
            <v>37256</v>
          </cell>
          <cell r="AN252">
            <v>37162</v>
          </cell>
          <cell r="AO252">
            <v>36891</v>
          </cell>
          <cell r="AP252">
            <v>37009</v>
          </cell>
          <cell r="AQ252">
            <v>37009</v>
          </cell>
          <cell r="AR252">
            <v>37434</v>
          </cell>
          <cell r="AS252">
            <v>0</v>
          </cell>
          <cell r="AT252">
            <v>0</v>
          </cell>
          <cell r="AU252">
            <v>0</v>
          </cell>
          <cell r="AV252">
            <v>37346</v>
          </cell>
          <cell r="AW252">
            <v>36891</v>
          </cell>
          <cell r="AX252">
            <v>36891</v>
          </cell>
          <cell r="AY252">
            <v>36891</v>
          </cell>
          <cell r="AZ252">
            <v>36891</v>
          </cell>
          <cell r="BA252">
            <v>36891</v>
          </cell>
          <cell r="BB252">
            <v>36891</v>
          </cell>
          <cell r="BC252">
            <v>36891</v>
          </cell>
          <cell r="BD252">
            <v>36891</v>
          </cell>
          <cell r="BE252">
            <v>36891</v>
          </cell>
        </row>
        <row r="253">
          <cell r="H253">
            <v>0</v>
          </cell>
          <cell r="I253">
            <v>0</v>
          </cell>
          <cell r="J253">
            <v>0</v>
          </cell>
          <cell r="K253">
            <v>0</v>
          </cell>
          <cell r="L253">
            <v>0</v>
          </cell>
          <cell r="M253">
            <v>0</v>
          </cell>
          <cell r="N253">
            <v>0</v>
          </cell>
          <cell r="O253">
            <v>0</v>
          </cell>
          <cell r="P253">
            <v>0</v>
          </cell>
          <cell r="Q253">
            <v>0</v>
          </cell>
          <cell r="R253">
            <v>0</v>
          </cell>
          <cell r="S253">
            <v>0</v>
          </cell>
          <cell r="T253">
            <v>0</v>
          </cell>
          <cell r="U253">
            <v>79.676000000000016</v>
          </cell>
          <cell r="V253">
            <v>859.20799999999997</v>
          </cell>
          <cell r="W253">
            <v>617.78400000000011</v>
          </cell>
          <cell r="X253">
            <v>637.08299999999986</v>
          </cell>
          <cell r="Y253">
            <v>903.23099999999999</v>
          </cell>
          <cell r="Z253">
            <v>20077.681</v>
          </cell>
          <cell r="AA253">
            <v>13334.064000000004</v>
          </cell>
          <cell r="AB253">
            <v>37652.683999999994</v>
          </cell>
          <cell r="AC253">
            <v>3857.1689999999999</v>
          </cell>
          <cell r="AD253">
            <v>0</v>
          </cell>
          <cell r="AE253">
            <v>1778.1620000000003</v>
          </cell>
          <cell r="AF253">
            <v>2611.4409999999998</v>
          </cell>
          <cell r="AG253">
            <v>808.78600000000006</v>
          </cell>
          <cell r="AH253">
            <v>127.60400000000004</v>
          </cell>
          <cell r="AI253">
            <v>-6.2752499999999145</v>
          </cell>
          <cell r="AJ253">
            <v>1314.2507500000002</v>
          </cell>
          <cell r="AK253">
            <v>3069.5999999999995</v>
          </cell>
          <cell r="AL253">
            <v>35489.199999999997</v>
          </cell>
          <cell r="AM253">
            <v>1179.4469999999999</v>
          </cell>
          <cell r="AN253">
            <v>328.50900000000001</v>
          </cell>
          <cell r="AO253">
            <v>0</v>
          </cell>
          <cell r="AP253">
            <v>886.41499999999996</v>
          </cell>
          <cell r="AQ253">
            <v>149.649</v>
          </cell>
          <cell r="AR253">
            <v>1389.5150000000001</v>
          </cell>
          <cell r="AS253">
            <v>808.78599999999994</v>
          </cell>
          <cell r="AT253">
            <v>215.02499999999998</v>
          </cell>
          <cell r="AU253">
            <v>42882.7</v>
          </cell>
          <cell r="AV253">
            <v>43906.510999999991</v>
          </cell>
          <cell r="AW253">
            <v>0</v>
          </cell>
          <cell r="AX253">
            <v>0</v>
          </cell>
          <cell r="AY253">
            <v>0</v>
          </cell>
          <cell r="AZ253">
            <v>0</v>
          </cell>
          <cell r="BA253">
            <v>0</v>
          </cell>
          <cell r="BB253">
            <v>0</v>
          </cell>
          <cell r="BC253">
            <v>0</v>
          </cell>
          <cell r="BD253">
            <v>0</v>
          </cell>
          <cell r="BE253">
            <v>0</v>
          </cell>
        </row>
        <row r="254">
          <cell r="H254">
            <v>0</v>
          </cell>
          <cell r="I254">
            <v>0</v>
          </cell>
          <cell r="J254">
            <v>0</v>
          </cell>
          <cell r="K254">
            <v>0</v>
          </cell>
          <cell r="L254">
            <v>0</v>
          </cell>
          <cell r="M254">
            <v>0</v>
          </cell>
          <cell r="N254">
            <v>0</v>
          </cell>
          <cell r="O254">
            <v>0</v>
          </cell>
          <cell r="P254">
            <v>0</v>
          </cell>
          <cell r="Q254">
            <v>0</v>
          </cell>
          <cell r="R254">
            <v>0</v>
          </cell>
          <cell r="S254">
            <v>0</v>
          </cell>
          <cell r="T254">
            <v>0</v>
          </cell>
          <cell r="U254">
            <v>25.537000000000006</v>
          </cell>
          <cell r="V254">
            <v>311.23200000000003</v>
          </cell>
          <cell r="W254">
            <v>276.92808390943935</v>
          </cell>
          <cell r="X254">
            <v>284.06199999999995</v>
          </cell>
          <cell r="Y254">
            <v>802.86199999999997</v>
          </cell>
          <cell r="Z254">
            <v>18808.510000000002</v>
          </cell>
          <cell r="AA254">
            <v>12761.905000000001</v>
          </cell>
          <cell r="AB254">
            <v>35708.300999999992</v>
          </cell>
          <cell r="AC254">
            <v>3444.7849999999999</v>
          </cell>
          <cell r="AD254">
            <v>0</v>
          </cell>
          <cell r="AE254">
            <v>1376.2660000000003</v>
          </cell>
          <cell r="AF254">
            <v>1893.0840000000003</v>
          </cell>
          <cell r="AG254">
            <v>500.03700000000003</v>
          </cell>
          <cell r="AH254">
            <v>102.44600000000003</v>
          </cell>
          <cell r="AI254">
            <v>-5.6970000000000027</v>
          </cell>
          <cell r="AJ254">
            <v>1011.6460000000002</v>
          </cell>
          <cell r="AK254">
            <v>2269.0000000000005</v>
          </cell>
          <cell r="AL254">
            <v>32785.300000000003</v>
          </cell>
          <cell r="AM254">
            <v>613.04200000000003</v>
          </cell>
          <cell r="AN254">
            <v>289.42000000000007</v>
          </cell>
          <cell r="AO254">
            <v>0</v>
          </cell>
          <cell r="AP254">
            <v>570.35599999999999</v>
          </cell>
          <cell r="AQ254">
            <v>110.994</v>
          </cell>
          <cell r="AR254">
            <v>908.57637769999997</v>
          </cell>
          <cell r="AS254">
            <v>500.03699999999992</v>
          </cell>
          <cell r="AT254">
            <v>149.91200000000003</v>
          </cell>
          <cell r="AU254">
            <v>38923.799999999996</v>
          </cell>
          <cell r="AV254">
            <v>39573.748999999989</v>
          </cell>
          <cell r="AW254">
            <v>0</v>
          </cell>
          <cell r="AX254">
            <v>0</v>
          </cell>
          <cell r="AY254">
            <v>0</v>
          </cell>
          <cell r="AZ254">
            <v>0</v>
          </cell>
          <cell r="BA254">
            <v>0</v>
          </cell>
          <cell r="BB254">
            <v>0</v>
          </cell>
          <cell r="BC254">
            <v>0</v>
          </cell>
          <cell r="BD254">
            <v>0</v>
          </cell>
          <cell r="BE254">
            <v>0</v>
          </cell>
        </row>
        <row r="255">
          <cell r="H255">
            <v>0</v>
          </cell>
          <cell r="I255">
            <v>0</v>
          </cell>
          <cell r="J255">
            <v>0</v>
          </cell>
          <cell r="K255">
            <v>0</v>
          </cell>
          <cell r="L255">
            <v>0</v>
          </cell>
          <cell r="M255">
            <v>0</v>
          </cell>
          <cell r="N255">
            <v>0</v>
          </cell>
          <cell r="O255">
            <v>0</v>
          </cell>
          <cell r="P255">
            <v>0</v>
          </cell>
          <cell r="Q255">
            <v>0</v>
          </cell>
          <cell r="R255">
            <v>0</v>
          </cell>
          <cell r="S255">
            <v>0</v>
          </cell>
          <cell r="T255">
            <v>0</v>
          </cell>
          <cell r="U255">
            <v>54.13900000000001</v>
          </cell>
          <cell r="V255">
            <v>547.97599999999989</v>
          </cell>
          <cell r="W255">
            <v>340.85591609056075</v>
          </cell>
          <cell r="X255">
            <v>353.0209999999999</v>
          </cell>
          <cell r="Y255">
            <v>100.36900000000003</v>
          </cell>
          <cell r="Z255">
            <v>1269.1709999999985</v>
          </cell>
          <cell r="AA255">
            <v>572.15900000000329</v>
          </cell>
          <cell r="AB255">
            <v>1944.3830000000016</v>
          </cell>
          <cell r="AC255">
            <v>412.38400000000001</v>
          </cell>
          <cell r="AD255">
            <v>0</v>
          </cell>
          <cell r="AE255">
            <v>401.89599999999996</v>
          </cell>
          <cell r="AF255">
            <v>718.35699999999952</v>
          </cell>
          <cell r="AG255">
            <v>308.74900000000002</v>
          </cell>
          <cell r="AH255">
            <v>25.158000000000015</v>
          </cell>
          <cell r="AI255">
            <v>-0.57824999999991178</v>
          </cell>
          <cell r="AJ255">
            <v>302.60474999999997</v>
          </cell>
          <cell r="AK255">
            <v>800.599999999999</v>
          </cell>
          <cell r="AL255">
            <v>2703.8999999999942</v>
          </cell>
          <cell r="AM255">
            <v>566.40499999999986</v>
          </cell>
          <cell r="AN255">
            <v>39.088999999999942</v>
          </cell>
          <cell r="AO255">
            <v>0</v>
          </cell>
          <cell r="AP255">
            <v>316.05899999999997</v>
          </cell>
          <cell r="AQ255">
            <v>38.655000000000001</v>
          </cell>
          <cell r="AR255">
            <v>480.93862230000013</v>
          </cell>
          <cell r="AS255">
            <v>308.74900000000002</v>
          </cell>
          <cell r="AT255">
            <v>65.112999999999943</v>
          </cell>
          <cell r="AU255">
            <v>3958.9000000000015</v>
          </cell>
          <cell r="AV255">
            <v>4332.7620000000024</v>
          </cell>
          <cell r="AW255">
            <v>0</v>
          </cell>
          <cell r="AX255">
            <v>0</v>
          </cell>
          <cell r="AY255">
            <v>0</v>
          </cell>
          <cell r="AZ255">
            <v>0</v>
          </cell>
          <cell r="BA255">
            <v>0</v>
          </cell>
          <cell r="BB255">
            <v>0</v>
          </cell>
          <cell r="BC255">
            <v>0</v>
          </cell>
          <cell r="BD255">
            <v>0</v>
          </cell>
          <cell r="BE255">
            <v>0</v>
          </cell>
        </row>
        <row r="256">
          <cell r="H256">
            <v>0</v>
          </cell>
          <cell r="I256">
            <v>0</v>
          </cell>
          <cell r="J256">
            <v>0</v>
          </cell>
          <cell r="K256">
            <v>0</v>
          </cell>
          <cell r="L256">
            <v>0</v>
          </cell>
          <cell r="M256">
            <v>0</v>
          </cell>
          <cell r="N256">
            <v>0</v>
          </cell>
          <cell r="O256">
            <v>0</v>
          </cell>
          <cell r="P256">
            <v>0</v>
          </cell>
          <cell r="Q256">
            <v>0</v>
          </cell>
          <cell r="R256">
            <v>0</v>
          </cell>
          <cell r="S256">
            <v>0</v>
          </cell>
          <cell r="T256">
            <v>0</v>
          </cell>
          <cell r="U256">
            <v>6.4099999999999993</v>
          </cell>
          <cell r="V256">
            <v>30.077000000000002</v>
          </cell>
          <cell r="W256">
            <v>21.85275</v>
          </cell>
          <cell r="X256">
            <v>32.555</v>
          </cell>
          <cell r="Y256">
            <v>3.6420000000000003</v>
          </cell>
          <cell r="Z256">
            <v>82.698000000000008</v>
          </cell>
          <cell r="AA256">
            <v>17.420000000000002</v>
          </cell>
          <cell r="AB256">
            <v>63.783999999999999</v>
          </cell>
          <cell r="AC256">
            <v>22.178000000000004</v>
          </cell>
          <cell r="AD256">
            <v>0</v>
          </cell>
          <cell r="AE256">
            <v>21.582000000000001</v>
          </cell>
          <cell r="AF256">
            <v>26.502000000000006</v>
          </cell>
          <cell r="AG256">
            <v>41.96</v>
          </cell>
          <cell r="AH256">
            <v>0.38300000000000023</v>
          </cell>
          <cell r="AI256">
            <v>-1.6754999999999995</v>
          </cell>
          <cell r="AJ256">
            <v>14.964500000000001</v>
          </cell>
          <cell r="AK256">
            <v>80.599999999999994</v>
          </cell>
          <cell r="AL256">
            <v>221.8</v>
          </cell>
          <cell r="AM256">
            <v>71.373000000000005</v>
          </cell>
          <cell r="AN256">
            <v>4.0869999999999997</v>
          </cell>
          <cell r="AO256">
            <v>0</v>
          </cell>
          <cell r="AP256">
            <v>7.4390000000000001</v>
          </cell>
          <cell r="AQ256">
            <v>0.59960250000000004</v>
          </cell>
          <cell r="AR256">
            <v>10.989469999999999</v>
          </cell>
          <cell r="AS256">
            <v>41.960000000000008</v>
          </cell>
          <cell r="AT256">
            <v>6.09</v>
          </cell>
          <cell r="AU256">
            <v>286.90000000000003</v>
          </cell>
          <cell r="AV256">
            <v>334.95000000000005</v>
          </cell>
          <cell r="AW256">
            <v>0</v>
          </cell>
          <cell r="AX256">
            <v>0</v>
          </cell>
          <cell r="AY256">
            <v>0</v>
          </cell>
          <cell r="AZ256">
            <v>0</v>
          </cell>
          <cell r="BA256">
            <v>0</v>
          </cell>
          <cell r="BB256">
            <v>0</v>
          </cell>
          <cell r="BC256">
            <v>0</v>
          </cell>
          <cell r="BD256">
            <v>0</v>
          </cell>
          <cell r="BE256">
            <v>0</v>
          </cell>
        </row>
        <row r="257">
          <cell r="H257">
            <v>0</v>
          </cell>
          <cell r="I257">
            <v>0</v>
          </cell>
          <cell r="J257">
            <v>0</v>
          </cell>
          <cell r="K257">
            <v>0</v>
          </cell>
          <cell r="L257">
            <v>0</v>
          </cell>
          <cell r="M257">
            <v>0</v>
          </cell>
          <cell r="N257">
            <v>0</v>
          </cell>
          <cell r="O257">
            <v>0</v>
          </cell>
          <cell r="P257">
            <v>0</v>
          </cell>
          <cell r="Q257">
            <v>0</v>
          </cell>
          <cell r="R257">
            <v>0</v>
          </cell>
          <cell r="S257">
            <v>0</v>
          </cell>
          <cell r="T257">
            <v>0</v>
          </cell>
          <cell r="U257">
            <v>37.513999999999996</v>
          </cell>
          <cell r="V257">
            <v>269.70600000000002</v>
          </cell>
          <cell r="W257">
            <v>185.05795940499982</v>
          </cell>
          <cell r="X257">
            <v>187.04499999999996</v>
          </cell>
          <cell r="Y257">
            <v>54.028999999999996</v>
          </cell>
          <cell r="Z257">
            <v>862.37400000000002</v>
          </cell>
          <cell r="AA257">
            <v>320.27100000000002</v>
          </cell>
          <cell r="AB257">
            <v>1202.3329999999999</v>
          </cell>
          <cell r="AC257">
            <v>299.83000000000004</v>
          </cell>
          <cell r="AD257">
            <v>0</v>
          </cell>
          <cell r="AE257">
            <v>349.79500000000002</v>
          </cell>
          <cell r="AF257">
            <v>557.52</v>
          </cell>
          <cell r="AG257">
            <v>192.541</v>
          </cell>
          <cell r="AH257">
            <v>9.2929999999999993</v>
          </cell>
          <cell r="AI257">
            <v>-10.338000000000008</v>
          </cell>
          <cell r="AJ257">
            <v>171.55600000000001</v>
          </cell>
          <cell r="AK257">
            <v>45.200000000000045</v>
          </cell>
          <cell r="AL257">
            <v>2224.1999999999998</v>
          </cell>
          <cell r="AM257">
            <v>347.03</v>
          </cell>
          <cell r="AN257">
            <v>37.086999999999996</v>
          </cell>
          <cell r="AO257">
            <v>0</v>
          </cell>
          <cell r="AP257">
            <v>225.142</v>
          </cell>
          <cell r="AQ257">
            <v>28.146000000000001</v>
          </cell>
          <cell r="AR257">
            <v>340.13523347</v>
          </cell>
          <cell r="AS257">
            <v>192.541</v>
          </cell>
          <cell r="AT257">
            <v>52.514999999999993</v>
          </cell>
          <cell r="AU257">
            <v>2120.1</v>
          </cell>
          <cell r="AV257">
            <v>2365.1559999999999</v>
          </cell>
          <cell r="AW257">
            <v>0</v>
          </cell>
          <cell r="AX257">
            <v>0</v>
          </cell>
          <cell r="AY257">
            <v>0</v>
          </cell>
          <cell r="AZ257">
            <v>0</v>
          </cell>
          <cell r="BA257">
            <v>0</v>
          </cell>
          <cell r="BB257">
            <v>0</v>
          </cell>
          <cell r="BC257">
            <v>0</v>
          </cell>
          <cell r="BD257">
            <v>0</v>
          </cell>
          <cell r="BE257">
            <v>0</v>
          </cell>
        </row>
        <row r="258">
          <cell r="H258">
            <v>0</v>
          </cell>
          <cell r="I258">
            <v>0</v>
          </cell>
          <cell r="J258">
            <v>0</v>
          </cell>
          <cell r="K258">
            <v>0</v>
          </cell>
          <cell r="L258">
            <v>0</v>
          </cell>
          <cell r="M258">
            <v>0</v>
          </cell>
          <cell r="N258">
            <v>0</v>
          </cell>
          <cell r="O258">
            <v>0</v>
          </cell>
          <cell r="P258">
            <v>0</v>
          </cell>
          <cell r="Q258">
            <v>0</v>
          </cell>
          <cell r="R258">
            <v>0</v>
          </cell>
          <cell r="S258">
            <v>0</v>
          </cell>
          <cell r="T258">
            <v>0</v>
          </cell>
          <cell r="U258">
            <v>14.298999999999999</v>
          </cell>
          <cell r="V258">
            <v>46.601999999999997</v>
          </cell>
          <cell r="W258">
            <v>39.601536483077233</v>
          </cell>
          <cell r="X258">
            <v>42.506</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147.5</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row>
        <row r="259">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row>
        <row r="260">
          <cell r="H260">
            <v>0</v>
          </cell>
          <cell r="I260">
            <v>0</v>
          </cell>
          <cell r="J260">
            <v>0</v>
          </cell>
          <cell r="K260">
            <v>0</v>
          </cell>
          <cell r="L260">
            <v>0</v>
          </cell>
          <cell r="M260">
            <v>0</v>
          </cell>
          <cell r="N260">
            <v>0</v>
          </cell>
          <cell r="O260">
            <v>0</v>
          </cell>
          <cell r="P260">
            <v>0</v>
          </cell>
          <cell r="Q260">
            <v>0</v>
          </cell>
          <cell r="R260">
            <v>0</v>
          </cell>
          <cell r="S260">
            <v>0</v>
          </cell>
          <cell r="T260">
            <v>0</v>
          </cell>
          <cell r="U260">
            <v>0.85199999999999965</v>
          </cell>
          <cell r="V260">
            <v>231.66800000000001</v>
          </cell>
          <cell r="W260">
            <v>115.50596117427342</v>
          </cell>
          <cell r="X260">
            <v>123.47</v>
          </cell>
          <cell r="Y260">
            <v>47.505000000000003</v>
          </cell>
          <cell r="Z260">
            <v>330.14100000000002</v>
          </cell>
          <cell r="AA260">
            <v>235.22500000000002</v>
          </cell>
          <cell r="AB260">
            <v>680.96699999999998</v>
          </cell>
          <cell r="AC260">
            <v>91.710999999999999</v>
          </cell>
          <cell r="AD260">
            <v>0</v>
          </cell>
          <cell r="AE260">
            <v>16.884</v>
          </cell>
          <cell r="AF260">
            <v>160.83699999999999</v>
          </cell>
          <cell r="AG260">
            <v>74.248000000000005</v>
          </cell>
          <cell r="AH260">
            <v>16.385000000000002</v>
          </cell>
          <cell r="AI260">
            <v>2.3609999999999971</v>
          </cell>
          <cell r="AJ260">
            <v>74.930999999999997</v>
          </cell>
          <cell r="AK260">
            <v>227.2</v>
          </cell>
          <cell r="AL260">
            <v>719</v>
          </cell>
          <cell r="AM260">
            <v>219.375</v>
          </cell>
          <cell r="AN260">
            <v>-3.4660000000000002</v>
          </cell>
          <cell r="AO260">
            <v>0</v>
          </cell>
          <cell r="AP260">
            <v>90.917000000000002</v>
          </cell>
          <cell r="AQ260">
            <v>10.509</v>
          </cell>
          <cell r="AR260">
            <v>136.28527358999997</v>
          </cell>
          <cell r="AS260">
            <v>74.248000000000005</v>
          </cell>
          <cell r="AT260">
            <v>12.198999999999998</v>
          </cell>
          <cell r="AU260">
            <v>1839.5000000000002</v>
          </cell>
          <cell r="AV260">
            <v>1925.9470000000001</v>
          </cell>
          <cell r="AW260">
            <v>0</v>
          </cell>
          <cell r="AX260">
            <v>0</v>
          </cell>
          <cell r="AY260">
            <v>0</v>
          </cell>
          <cell r="AZ260">
            <v>0</v>
          </cell>
          <cell r="BA260">
            <v>0</v>
          </cell>
          <cell r="BB260">
            <v>0</v>
          </cell>
          <cell r="BC260">
            <v>0</v>
          </cell>
          <cell r="BD260">
            <v>0</v>
          </cell>
          <cell r="BE260">
            <v>0</v>
          </cell>
        </row>
        <row r="261">
          <cell r="H261">
            <v>0</v>
          </cell>
          <cell r="I261">
            <v>0</v>
          </cell>
          <cell r="J261">
            <v>0</v>
          </cell>
          <cell r="K261">
            <v>0</v>
          </cell>
          <cell r="L261">
            <v>0</v>
          </cell>
          <cell r="M261">
            <v>0</v>
          </cell>
          <cell r="N261">
            <v>0</v>
          </cell>
          <cell r="O261">
            <v>0</v>
          </cell>
          <cell r="P261">
            <v>0</v>
          </cell>
          <cell r="Q261">
            <v>0</v>
          </cell>
          <cell r="R261">
            <v>0</v>
          </cell>
          <cell r="S261">
            <v>0</v>
          </cell>
          <cell r="T261">
            <v>0</v>
          </cell>
          <cell r="U261">
            <v>-1.194</v>
          </cell>
          <cell r="V261">
            <v>-4.9649999999999999</v>
          </cell>
          <cell r="W261">
            <v>-8.4444166666666689</v>
          </cell>
          <cell r="X261">
            <v>22.434000000000001</v>
          </cell>
          <cell r="Y261">
            <v>-4.9660000000000002</v>
          </cell>
          <cell r="Z261">
            <v>180.11366666666669</v>
          </cell>
          <cell r="AA261">
            <v>31.352333333333338</v>
          </cell>
          <cell r="AB261">
            <v>184.8656666666667</v>
          </cell>
          <cell r="AC261">
            <v>16.027999999999999</v>
          </cell>
          <cell r="AD261">
            <v>0</v>
          </cell>
          <cell r="AE261">
            <v>13.810000000000002</v>
          </cell>
          <cell r="AF261">
            <v>5.5079999999999991</v>
          </cell>
          <cell r="AG261">
            <v>11.109</v>
          </cell>
          <cell r="AH261">
            <v>1.2879999999999998</v>
          </cell>
          <cell r="AI261">
            <v>-4.9989999999999997</v>
          </cell>
          <cell r="AJ261">
            <v>9.9390000000000001</v>
          </cell>
          <cell r="AK261">
            <v>95.699999999999989</v>
          </cell>
          <cell r="AL261">
            <v>108.4</v>
          </cell>
          <cell r="AM261">
            <v>16.542000000000002</v>
          </cell>
          <cell r="AN261">
            <v>-0.59099999999999986</v>
          </cell>
          <cell r="AO261">
            <v>0</v>
          </cell>
          <cell r="AP261">
            <v>7.0810000000000004</v>
          </cell>
          <cell r="AQ261">
            <v>0.13100000000000001</v>
          </cell>
          <cell r="AR261">
            <v>4.676000000000001</v>
          </cell>
          <cell r="AS261">
            <v>11.108999999999998</v>
          </cell>
          <cell r="AT261">
            <v>-0.41199999999999992</v>
          </cell>
          <cell r="AU261">
            <v>144.99999999999997</v>
          </cell>
          <cell r="AV261">
            <v>155.69699999999997</v>
          </cell>
          <cell r="AW261">
            <v>0</v>
          </cell>
          <cell r="AX261">
            <v>0</v>
          </cell>
          <cell r="AY261">
            <v>0</v>
          </cell>
          <cell r="AZ261">
            <v>0</v>
          </cell>
          <cell r="BA261">
            <v>0</v>
          </cell>
          <cell r="BB261">
            <v>0</v>
          </cell>
          <cell r="BC261">
            <v>0</v>
          </cell>
          <cell r="BD261">
            <v>0</v>
          </cell>
          <cell r="BE261">
            <v>0</v>
          </cell>
        </row>
        <row r="262">
          <cell r="H262">
            <v>0</v>
          </cell>
          <cell r="I262">
            <v>0</v>
          </cell>
          <cell r="J262">
            <v>0</v>
          </cell>
          <cell r="K262">
            <v>0</v>
          </cell>
          <cell r="L262">
            <v>0</v>
          </cell>
          <cell r="M262">
            <v>0</v>
          </cell>
          <cell r="N262">
            <v>0</v>
          </cell>
          <cell r="O262">
            <v>0</v>
          </cell>
          <cell r="P262">
            <v>0</v>
          </cell>
          <cell r="Q262">
            <v>0</v>
          </cell>
          <cell r="R262">
            <v>0</v>
          </cell>
          <cell r="S262">
            <v>0</v>
          </cell>
          <cell r="T262">
            <v>0</v>
          </cell>
          <cell r="U262">
            <v>2.0459999999999994</v>
          </cell>
          <cell r="V262">
            <v>236.63300000000001</v>
          </cell>
          <cell r="W262">
            <v>123.95037784094009</v>
          </cell>
          <cell r="X262">
            <v>101.036</v>
          </cell>
          <cell r="Y262">
            <v>52.471000000000004</v>
          </cell>
          <cell r="Z262">
            <v>150.02733333333333</v>
          </cell>
          <cell r="AA262">
            <v>203.87266666666667</v>
          </cell>
          <cell r="AB262">
            <v>496.10133333333329</v>
          </cell>
          <cell r="AC262">
            <v>75.682999999999993</v>
          </cell>
          <cell r="AD262">
            <v>0</v>
          </cell>
          <cell r="AE262">
            <v>3.0739999999999981</v>
          </cell>
          <cell r="AF262">
            <v>155.32899999999998</v>
          </cell>
          <cell r="AG262">
            <v>63.139000000000003</v>
          </cell>
          <cell r="AH262">
            <v>15.097000000000001</v>
          </cell>
          <cell r="AI262">
            <v>7.3599999999999968</v>
          </cell>
          <cell r="AJ262">
            <v>64.99199999999999</v>
          </cell>
          <cell r="AK262">
            <v>131.5</v>
          </cell>
          <cell r="AL262">
            <v>610.6</v>
          </cell>
          <cell r="AM262">
            <v>202.833</v>
          </cell>
          <cell r="AN262">
            <v>-2.8750000000000004</v>
          </cell>
          <cell r="AO262">
            <v>0</v>
          </cell>
          <cell r="AP262">
            <v>83.835999999999999</v>
          </cell>
          <cell r="AQ262">
            <v>10.378</v>
          </cell>
          <cell r="AR262">
            <v>131.60927358999999</v>
          </cell>
          <cell r="AS262">
            <v>63.13900000000001</v>
          </cell>
          <cell r="AT262">
            <v>12.610999999999997</v>
          </cell>
          <cell r="AU262">
            <v>1694.5000000000002</v>
          </cell>
          <cell r="AV262">
            <v>1770.2500000000002</v>
          </cell>
          <cell r="AW262">
            <v>0</v>
          </cell>
          <cell r="AX262">
            <v>0</v>
          </cell>
          <cell r="AY262">
            <v>0</v>
          </cell>
          <cell r="AZ262">
            <v>0</v>
          </cell>
          <cell r="BA262">
            <v>0</v>
          </cell>
          <cell r="BB262">
            <v>0</v>
          </cell>
          <cell r="BC262">
            <v>0</v>
          </cell>
          <cell r="BD262">
            <v>0</v>
          </cell>
          <cell r="BE262">
            <v>0</v>
          </cell>
        </row>
        <row r="263">
          <cell r="H263">
            <v>0</v>
          </cell>
          <cell r="I263">
            <v>0</v>
          </cell>
          <cell r="J263">
            <v>0</v>
          </cell>
          <cell r="K263">
            <v>0</v>
          </cell>
          <cell r="L263">
            <v>0</v>
          </cell>
          <cell r="M263">
            <v>0</v>
          </cell>
          <cell r="N263">
            <v>0</v>
          </cell>
          <cell r="O263">
            <v>0</v>
          </cell>
          <cell r="P263">
            <v>0</v>
          </cell>
          <cell r="Q263">
            <v>0</v>
          </cell>
          <cell r="R263">
            <v>0</v>
          </cell>
          <cell r="S263">
            <v>0</v>
          </cell>
          <cell r="T263">
            <v>0</v>
          </cell>
          <cell r="U263">
            <v>2.3960000000000043</v>
          </cell>
          <cell r="V263">
            <v>59.179000690656949</v>
          </cell>
          <cell r="W263">
            <v>45.644877840940083</v>
          </cell>
          <cell r="X263">
            <v>7.4586000000000041</v>
          </cell>
          <cell r="Y263">
            <v>19.724000000000004</v>
          </cell>
          <cell r="Z263">
            <v>69.727333333333334</v>
          </cell>
          <cell r="AA263">
            <v>105.53246666666668</v>
          </cell>
          <cell r="AB263">
            <v>193.81511033333328</v>
          </cell>
          <cell r="AC263">
            <v>39.791999999999987</v>
          </cell>
          <cell r="AD263">
            <v>0</v>
          </cell>
          <cell r="AE263">
            <v>-7.7188000000000052</v>
          </cell>
          <cell r="AF263">
            <v>55.385999999999967</v>
          </cell>
          <cell r="AG263">
            <v>25.486000000000004</v>
          </cell>
          <cell r="AH263">
            <v>6.1159999999999997</v>
          </cell>
          <cell r="AI263">
            <v>2.1077499999999967</v>
          </cell>
          <cell r="AJ263">
            <v>22.034549999999996</v>
          </cell>
          <cell r="AK263">
            <v>44.173599999999993</v>
          </cell>
          <cell r="AL263">
            <v>218.40000000000009</v>
          </cell>
          <cell r="AM263">
            <v>61.332999999999998</v>
          </cell>
          <cell r="AN263">
            <v>0.19599999999999973</v>
          </cell>
          <cell r="AO263">
            <v>0</v>
          </cell>
          <cell r="AP263">
            <v>16.977000000000004</v>
          </cell>
          <cell r="AQ263">
            <v>2.6972500000000004</v>
          </cell>
          <cell r="AR263">
            <v>51.982273589999991</v>
          </cell>
          <cell r="AS263">
            <v>25.486000000000011</v>
          </cell>
          <cell r="AT263">
            <v>5.3265999999999964</v>
          </cell>
          <cell r="AU263">
            <v>398</v>
          </cell>
          <cell r="AV263">
            <v>428.81260000000043</v>
          </cell>
          <cell r="AW263">
            <v>0</v>
          </cell>
          <cell r="AX263">
            <v>0</v>
          </cell>
          <cell r="AY263">
            <v>0</v>
          </cell>
          <cell r="AZ263">
            <v>0</v>
          </cell>
          <cell r="BA263">
            <v>0</v>
          </cell>
          <cell r="BB263">
            <v>0</v>
          </cell>
          <cell r="BC263">
            <v>0</v>
          </cell>
          <cell r="BD263">
            <v>0</v>
          </cell>
          <cell r="BE263">
            <v>0</v>
          </cell>
        </row>
        <row r="264">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0.91999999999999993</v>
          </cell>
          <cell r="X264">
            <v>0</v>
          </cell>
          <cell r="Y264">
            <v>0</v>
          </cell>
          <cell r="Z264">
            <v>0</v>
          </cell>
          <cell r="AA264">
            <v>0</v>
          </cell>
          <cell r="AB264">
            <v>0</v>
          </cell>
          <cell r="AC264">
            <v>0</v>
          </cell>
          <cell r="AD264">
            <v>0</v>
          </cell>
          <cell r="AE264">
            <v>0</v>
          </cell>
          <cell r="AF264">
            <v>1.4999999999999996</v>
          </cell>
          <cell r="AG264">
            <v>0</v>
          </cell>
          <cell r="AH264">
            <v>0.29400000000000004</v>
          </cell>
          <cell r="AI264">
            <v>0</v>
          </cell>
          <cell r="AJ264">
            <v>0.70919999999999994</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row>
        <row r="265">
          <cell r="H265">
            <v>0</v>
          </cell>
          <cell r="I265">
            <v>0</v>
          </cell>
          <cell r="J265">
            <v>0</v>
          </cell>
          <cell r="K265">
            <v>0</v>
          </cell>
          <cell r="L265">
            <v>0</v>
          </cell>
          <cell r="M265">
            <v>0</v>
          </cell>
          <cell r="N265">
            <v>0</v>
          </cell>
          <cell r="O265">
            <v>0</v>
          </cell>
          <cell r="P265">
            <v>0</v>
          </cell>
          <cell r="Q265">
            <v>0</v>
          </cell>
          <cell r="R265">
            <v>0</v>
          </cell>
          <cell r="S265">
            <v>0</v>
          </cell>
          <cell r="T265">
            <v>0</v>
          </cell>
          <cell r="U265">
            <v>-0.35000000000000497</v>
          </cell>
          <cell r="V265">
            <v>177.45399930934306</v>
          </cell>
          <cell r="W265">
            <v>77.385500000000008</v>
          </cell>
          <cell r="X265">
            <v>93.577399999999997</v>
          </cell>
          <cell r="Y265">
            <v>32.747</v>
          </cell>
          <cell r="Z265">
            <v>80.3</v>
          </cell>
          <cell r="AA265">
            <v>98.340199999999996</v>
          </cell>
          <cell r="AB265">
            <v>302.28622300000001</v>
          </cell>
          <cell r="AC265">
            <v>35.891000000000005</v>
          </cell>
          <cell r="AD265">
            <v>0</v>
          </cell>
          <cell r="AE265">
            <v>10.792800000000003</v>
          </cell>
          <cell r="AF265">
            <v>98.443000000000012</v>
          </cell>
          <cell r="AG265">
            <v>37.652999999999999</v>
          </cell>
          <cell r="AH265">
            <v>8.6870000000000012</v>
          </cell>
          <cell r="AI265">
            <v>5.2522500000000001</v>
          </cell>
          <cell r="AJ265">
            <v>42.248249999999999</v>
          </cell>
          <cell r="AK265">
            <v>87.326400000000007</v>
          </cell>
          <cell r="AL265">
            <v>392.19999999999993</v>
          </cell>
          <cell r="AM265">
            <v>141.5</v>
          </cell>
          <cell r="AN265">
            <v>-3.0710000000000002</v>
          </cell>
          <cell r="AO265">
            <v>0</v>
          </cell>
          <cell r="AP265">
            <v>66.858999999999995</v>
          </cell>
          <cell r="AQ265">
            <v>7.6807499999999997</v>
          </cell>
          <cell r="AR265">
            <v>79.626999999999995</v>
          </cell>
          <cell r="AS265">
            <v>37.652999999999999</v>
          </cell>
          <cell r="AT265">
            <v>7.2844000000000007</v>
          </cell>
          <cell r="AU265">
            <v>1296.5000000000002</v>
          </cell>
          <cell r="AV265">
            <v>1341.4373999999998</v>
          </cell>
          <cell r="AW265">
            <v>0</v>
          </cell>
          <cell r="AX265">
            <v>0</v>
          </cell>
          <cell r="AY265">
            <v>0</v>
          </cell>
          <cell r="AZ265">
            <v>0</v>
          </cell>
          <cell r="BA265">
            <v>0</v>
          </cell>
          <cell r="BB265">
            <v>0</v>
          </cell>
          <cell r="BC265">
            <v>0</v>
          </cell>
          <cell r="BD265">
            <v>0</v>
          </cell>
          <cell r="BE265">
            <v>0</v>
          </cell>
        </row>
        <row r="267">
          <cell r="H267">
            <v>0</v>
          </cell>
          <cell r="I267">
            <v>0</v>
          </cell>
          <cell r="J267">
            <v>0</v>
          </cell>
          <cell r="K267">
            <v>0</v>
          </cell>
          <cell r="L267">
            <v>0</v>
          </cell>
          <cell r="M267">
            <v>0</v>
          </cell>
          <cell r="N267">
            <v>0</v>
          </cell>
          <cell r="O267">
            <v>0</v>
          </cell>
          <cell r="P267">
            <v>0</v>
          </cell>
          <cell r="Q267">
            <v>0</v>
          </cell>
          <cell r="R267">
            <v>0</v>
          </cell>
          <cell r="S267">
            <v>0</v>
          </cell>
          <cell r="T267">
            <v>0</v>
          </cell>
          <cell r="U267">
            <v>-1.0738369384776236E-2</v>
          </cell>
          <cell r="V267">
            <v>1.2918271786108628</v>
          </cell>
          <cell r="W267">
            <v>1.4382852576016651</v>
          </cell>
          <cell r="X267">
            <v>1.9698248222138839</v>
          </cell>
          <cell r="Y267">
            <v>0.73489259614062385</v>
          </cell>
          <cell r="Z267">
            <v>0.78890634591155917</v>
          </cell>
          <cell r="AA267">
            <v>0.96614206523302504</v>
          </cell>
          <cell r="AB267">
            <v>2.7590532988261209</v>
          </cell>
          <cell r="AC267">
            <v>0.88306847763702201</v>
          </cell>
          <cell r="AD267">
            <v>0</v>
          </cell>
          <cell r="AE267">
            <v>0.15014268415334342</v>
          </cell>
          <cell r="AF267">
            <v>2.2519427189284369</v>
          </cell>
          <cell r="AG267">
            <v>1.3986369509577365</v>
          </cell>
          <cell r="AH267">
            <v>0</v>
          </cell>
          <cell r="AI267">
            <v>0</v>
          </cell>
          <cell r="AJ267">
            <v>1.3152104924182035</v>
          </cell>
          <cell r="AK267">
            <v>1.5264215060317308</v>
          </cell>
          <cell r="AL267">
            <v>1.3166014235410044</v>
          </cell>
          <cell r="AM267">
            <v>2.0301291248206601</v>
          </cell>
          <cell r="AN267">
            <v>-0.25523021464853357</v>
          </cell>
          <cell r="AO267">
            <v>0</v>
          </cell>
          <cell r="AP267">
            <v>0.99007523122629781</v>
          </cell>
          <cell r="AQ267">
            <v>0</v>
          </cell>
          <cell r="AR267">
            <v>1.1690426203514748</v>
          </cell>
          <cell r="AS267">
            <v>0</v>
          </cell>
          <cell r="AT267">
            <v>0</v>
          </cell>
          <cell r="AU267">
            <v>2.8243924611910254</v>
          </cell>
          <cell r="AV267">
            <v>2.8252395491836886</v>
          </cell>
          <cell r="AW267">
            <v>0</v>
          </cell>
          <cell r="AX267">
            <v>0</v>
          </cell>
          <cell r="AY267">
            <v>0</v>
          </cell>
          <cell r="AZ267">
            <v>0</v>
          </cell>
          <cell r="BA267">
            <v>0</v>
          </cell>
          <cell r="BB267">
            <v>0</v>
          </cell>
          <cell r="BC267">
            <v>0</v>
          </cell>
          <cell r="BD267">
            <v>0</v>
          </cell>
          <cell r="BE267">
            <v>0</v>
          </cell>
        </row>
        <row r="269">
          <cell r="H269">
            <v>0</v>
          </cell>
          <cell r="I269">
            <v>0</v>
          </cell>
          <cell r="J269">
            <v>0</v>
          </cell>
          <cell r="K269">
            <v>0</v>
          </cell>
          <cell r="L269">
            <v>0</v>
          </cell>
          <cell r="M269">
            <v>0</v>
          </cell>
          <cell r="N269">
            <v>0</v>
          </cell>
          <cell r="O269">
            <v>0</v>
          </cell>
          <cell r="P269">
            <v>0</v>
          </cell>
          <cell r="Q269">
            <v>0</v>
          </cell>
          <cell r="R269">
            <v>0</v>
          </cell>
          <cell r="S269">
            <v>0</v>
          </cell>
          <cell r="T269">
            <v>0</v>
          </cell>
          <cell r="U269">
            <v>6.4099999999999993</v>
          </cell>
          <cell r="V269">
            <v>30.077000000000002</v>
          </cell>
          <cell r="W269">
            <v>21.85275</v>
          </cell>
          <cell r="X269">
            <v>32.555</v>
          </cell>
          <cell r="Y269">
            <v>3.6420000000000003</v>
          </cell>
          <cell r="Z269">
            <v>82.698000000000008</v>
          </cell>
          <cell r="AA269">
            <v>17.420000000000002</v>
          </cell>
          <cell r="AB269">
            <v>63.783999999999999</v>
          </cell>
          <cell r="AC269">
            <v>22.178000000000004</v>
          </cell>
          <cell r="AD269">
            <v>0</v>
          </cell>
          <cell r="AE269">
            <v>21.582000000000001</v>
          </cell>
          <cell r="AF269">
            <v>26.502000000000006</v>
          </cell>
          <cell r="AG269">
            <v>41.96</v>
          </cell>
          <cell r="AH269">
            <v>0.38300000000000023</v>
          </cell>
          <cell r="AI269">
            <v>-1.6754999999999995</v>
          </cell>
          <cell r="AJ269">
            <v>14.964500000000001</v>
          </cell>
          <cell r="AK269">
            <v>80.599999999999994</v>
          </cell>
          <cell r="AL269">
            <v>221.8</v>
          </cell>
          <cell r="AM269">
            <v>71.373000000000005</v>
          </cell>
          <cell r="AN269">
            <v>4.0869999999999997</v>
          </cell>
          <cell r="AO269">
            <v>0</v>
          </cell>
          <cell r="AP269">
            <v>7.4390000000000001</v>
          </cell>
          <cell r="AQ269">
            <v>0.59960250000000004</v>
          </cell>
          <cell r="AR269">
            <v>10.989469999999999</v>
          </cell>
          <cell r="AS269">
            <v>41.960000000000008</v>
          </cell>
          <cell r="AT269">
            <v>6.09</v>
          </cell>
          <cell r="AU269">
            <v>286.90000000000003</v>
          </cell>
          <cell r="AV269">
            <v>334.95000000000005</v>
          </cell>
          <cell r="AW269">
            <v>0</v>
          </cell>
          <cell r="AX269">
            <v>0</v>
          </cell>
          <cell r="AY269">
            <v>0</v>
          </cell>
          <cell r="AZ269">
            <v>0</v>
          </cell>
          <cell r="BA269">
            <v>0</v>
          </cell>
          <cell r="BB269">
            <v>0</v>
          </cell>
          <cell r="BC269">
            <v>0</v>
          </cell>
          <cell r="BD269">
            <v>0</v>
          </cell>
          <cell r="BE269">
            <v>0</v>
          </cell>
        </row>
        <row r="270">
          <cell r="H270">
            <v>0</v>
          </cell>
          <cell r="I270">
            <v>0</v>
          </cell>
          <cell r="J270">
            <v>0</v>
          </cell>
          <cell r="K270">
            <v>0</v>
          </cell>
          <cell r="L270">
            <v>0</v>
          </cell>
          <cell r="M270">
            <v>0</v>
          </cell>
          <cell r="N270">
            <v>0</v>
          </cell>
          <cell r="O270">
            <v>0</v>
          </cell>
          <cell r="P270">
            <v>0</v>
          </cell>
          <cell r="Q270">
            <v>0</v>
          </cell>
          <cell r="R270">
            <v>0</v>
          </cell>
          <cell r="S270">
            <v>0</v>
          </cell>
          <cell r="T270">
            <v>0</v>
          </cell>
          <cell r="U270">
            <v>7.2619999999999987</v>
          </cell>
          <cell r="V270">
            <v>261.745</v>
          </cell>
          <cell r="W270">
            <v>137.35871117427342</v>
          </cell>
          <cell r="X270">
            <v>156.02500000000001</v>
          </cell>
          <cell r="Y270">
            <v>51.147000000000006</v>
          </cell>
          <cell r="Z270">
            <v>412.83900000000006</v>
          </cell>
          <cell r="AA270">
            <v>252.64500000000004</v>
          </cell>
          <cell r="AB270">
            <v>744.75099999999998</v>
          </cell>
          <cell r="AC270">
            <v>113.88900000000001</v>
          </cell>
          <cell r="AD270">
            <v>0</v>
          </cell>
          <cell r="AE270">
            <v>38.466000000000001</v>
          </cell>
          <cell r="AF270">
            <v>187.339</v>
          </cell>
          <cell r="AG270">
            <v>116.208</v>
          </cell>
          <cell r="AH270">
            <v>16.768000000000001</v>
          </cell>
          <cell r="AI270">
            <v>0.68549999999999756</v>
          </cell>
          <cell r="AJ270">
            <v>89.895499999999998</v>
          </cell>
          <cell r="AK270">
            <v>307.79999999999995</v>
          </cell>
          <cell r="AL270">
            <v>940.8</v>
          </cell>
          <cell r="AM270">
            <v>290.74799999999999</v>
          </cell>
          <cell r="AN270">
            <v>0.62099999999999955</v>
          </cell>
          <cell r="AO270">
            <v>0</v>
          </cell>
          <cell r="AP270">
            <v>98.355999999999995</v>
          </cell>
          <cell r="AQ270">
            <v>11.1086025</v>
          </cell>
          <cell r="AR270">
            <v>147.27474358999999</v>
          </cell>
          <cell r="AS270">
            <v>116.20800000000001</v>
          </cell>
          <cell r="AT270">
            <v>18.288999999999998</v>
          </cell>
          <cell r="AU270">
            <v>2126.4</v>
          </cell>
          <cell r="AV270">
            <v>2260.8969999999999</v>
          </cell>
          <cell r="AW270">
            <v>0</v>
          </cell>
          <cell r="AX270">
            <v>0</v>
          </cell>
          <cell r="AY270">
            <v>0</v>
          </cell>
          <cell r="AZ270">
            <v>0</v>
          </cell>
          <cell r="BA270">
            <v>0</v>
          </cell>
          <cell r="BB270">
            <v>0</v>
          </cell>
          <cell r="BC270">
            <v>0</v>
          </cell>
          <cell r="BD270">
            <v>0</v>
          </cell>
          <cell r="BE270">
            <v>0</v>
          </cell>
        </row>
        <row r="271">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row>
        <row r="272">
          <cell r="H272">
            <v>0</v>
          </cell>
          <cell r="I272">
            <v>0</v>
          </cell>
          <cell r="J272">
            <v>0</v>
          </cell>
          <cell r="K272">
            <v>0</v>
          </cell>
          <cell r="L272">
            <v>0</v>
          </cell>
          <cell r="M272">
            <v>0</v>
          </cell>
          <cell r="N272">
            <v>0</v>
          </cell>
          <cell r="O272">
            <v>0</v>
          </cell>
          <cell r="P272">
            <v>0</v>
          </cell>
          <cell r="Q272">
            <v>0</v>
          </cell>
          <cell r="R272">
            <v>0</v>
          </cell>
          <cell r="S272">
            <v>0</v>
          </cell>
          <cell r="T272">
            <v>0</v>
          </cell>
          <cell r="U272">
            <v>22.530999999999999</v>
          </cell>
          <cell r="V272">
            <v>37.673000000000002</v>
          </cell>
          <cell r="W272">
            <v>33.877749999999999</v>
          </cell>
          <cell r="X272">
            <v>72.569000000000017</v>
          </cell>
          <cell r="Y272">
            <v>9.1739999999999995</v>
          </cell>
          <cell r="Z272">
            <v>69.308999999999997</v>
          </cell>
          <cell r="AA272">
            <v>16.619</v>
          </cell>
          <cell r="AB272">
            <v>50.020999999999994</v>
          </cell>
          <cell r="AC272">
            <v>6.4660000000000011</v>
          </cell>
          <cell r="AD272">
            <v>0</v>
          </cell>
          <cell r="AE272">
            <v>22.908999999999999</v>
          </cell>
          <cell r="AF272">
            <v>57.56</v>
          </cell>
          <cell r="AG272">
            <v>63.667999999999999</v>
          </cell>
          <cell r="AH272">
            <v>5.6820000000000004</v>
          </cell>
          <cell r="AI272">
            <v>3.9488333333333325</v>
          </cell>
          <cell r="AJ272">
            <v>9.6308333333333334</v>
          </cell>
          <cell r="AK272">
            <v>42</v>
          </cell>
          <cell r="AL272">
            <v>137.69999999999999</v>
          </cell>
          <cell r="AM272">
            <v>109.76300000000001</v>
          </cell>
          <cell r="AN272">
            <v>2.7440000000000002</v>
          </cell>
          <cell r="AO272">
            <v>0</v>
          </cell>
          <cell r="AP272">
            <v>12.975</v>
          </cell>
          <cell r="AQ272">
            <v>0.36630825</v>
          </cell>
          <cell r="AR272">
            <v>15.861410999999999</v>
          </cell>
          <cell r="AS272">
            <v>63.667999999999992</v>
          </cell>
          <cell r="AT272">
            <v>4.18</v>
          </cell>
          <cell r="AU272">
            <v>292.49999999999994</v>
          </cell>
          <cell r="AV272">
            <v>360.34800000000001</v>
          </cell>
          <cell r="AW272">
            <v>0</v>
          </cell>
          <cell r="AX272">
            <v>0</v>
          </cell>
          <cell r="AY272">
            <v>0</v>
          </cell>
          <cell r="AZ272">
            <v>0</v>
          </cell>
          <cell r="BA272">
            <v>0</v>
          </cell>
          <cell r="BB272">
            <v>0</v>
          </cell>
          <cell r="BC272">
            <v>0</v>
          </cell>
          <cell r="BD272">
            <v>0</v>
          </cell>
          <cell r="BE272">
            <v>0</v>
          </cell>
        </row>
        <row r="274">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6.2229999999999999</v>
          </cell>
          <cell r="W274">
            <v>19.74966666666667</v>
          </cell>
          <cell r="X274">
            <v>3.105</v>
          </cell>
          <cell r="Y274">
            <v>4.9660000000000002</v>
          </cell>
          <cell r="Z274">
            <v>0</v>
          </cell>
          <cell r="AA274">
            <v>0</v>
          </cell>
          <cell r="AB274">
            <v>0</v>
          </cell>
          <cell r="AC274">
            <v>0</v>
          </cell>
          <cell r="AD274">
            <v>0</v>
          </cell>
          <cell r="AE274">
            <v>1.224</v>
          </cell>
          <cell r="AF274">
            <v>11.276</v>
          </cell>
          <cell r="AG274">
            <v>2.2650000000000001</v>
          </cell>
          <cell r="AH274">
            <v>-1.2879999999999998</v>
          </cell>
          <cell r="AI274">
            <v>0</v>
          </cell>
          <cell r="AJ274">
            <v>-1.2879999999999998</v>
          </cell>
          <cell r="AK274">
            <v>0</v>
          </cell>
          <cell r="AL274">
            <v>0</v>
          </cell>
          <cell r="AM274">
            <v>0</v>
          </cell>
          <cell r="AN274">
            <v>0.62999999999999989</v>
          </cell>
          <cell r="AO274">
            <v>0</v>
          </cell>
          <cell r="AP274">
            <v>0</v>
          </cell>
          <cell r="AQ274">
            <v>0</v>
          </cell>
          <cell r="AR274">
            <v>0</v>
          </cell>
          <cell r="AS274">
            <v>2.2650000000000006</v>
          </cell>
          <cell r="AT274">
            <v>0.41199999999999992</v>
          </cell>
          <cell r="AU274">
            <v>0</v>
          </cell>
          <cell r="AV274">
            <v>2.6769999999999992</v>
          </cell>
          <cell r="AW274">
            <v>0</v>
          </cell>
          <cell r="AX274">
            <v>0</v>
          </cell>
          <cell r="AY274">
            <v>0</v>
          </cell>
          <cell r="AZ274">
            <v>0</v>
          </cell>
          <cell r="BA274">
            <v>0</v>
          </cell>
          <cell r="BB274">
            <v>0</v>
          </cell>
          <cell r="BC274">
            <v>0</v>
          </cell>
          <cell r="BD274">
            <v>0</v>
          </cell>
          <cell r="BE274">
            <v>0</v>
          </cell>
        </row>
        <row r="275">
          <cell r="H275">
            <v>0</v>
          </cell>
          <cell r="I275">
            <v>0</v>
          </cell>
          <cell r="J275">
            <v>0</v>
          </cell>
          <cell r="K275">
            <v>0</v>
          </cell>
          <cell r="L275">
            <v>0</v>
          </cell>
          <cell r="M275">
            <v>0</v>
          </cell>
          <cell r="N275">
            <v>0</v>
          </cell>
          <cell r="O275">
            <v>0</v>
          </cell>
          <cell r="P275">
            <v>0</v>
          </cell>
          <cell r="Q275">
            <v>0</v>
          </cell>
          <cell r="R275">
            <v>0</v>
          </cell>
          <cell r="S275">
            <v>0</v>
          </cell>
          <cell r="T275">
            <v>0</v>
          </cell>
          <cell r="U275">
            <v>-1.194</v>
          </cell>
          <cell r="V275">
            <v>1.258</v>
          </cell>
          <cell r="W275">
            <v>11.305250000000001</v>
          </cell>
          <cell r="X275">
            <v>25.539000000000001</v>
          </cell>
          <cell r="Y275">
            <v>0</v>
          </cell>
          <cell r="Z275">
            <v>180.11366666666669</v>
          </cell>
          <cell r="AA275">
            <v>31.352333333333338</v>
          </cell>
          <cell r="AB275">
            <v>184.8656666666667</v>
          </cell>
          <cell r="AC275">
            <v>16.027999999999999</v>
          </cell>
          <cell r="AD275">
            <v>0</v>
          </cell>
          <cell r="AE275">
            <v>15.034000000000002</v>
          </cell>
          <cell r="AF275">
            <v>16.783999999999999</v>
          </cell>
          <cell r="AG275">
            <v>13.374000000000001</v>
          </cell>
          <cell r="AH275">
            <v>0</v>
          </cell>
          <cell r="AI275">
            <v>-4.9989999999999997</v>
          </cell>
          <cell r="AJ275">
            <v>8.6509999999999998</v>
          </cell>
          <cell r="AK275">
            <v>95.699999999999989</v>
          </cell>
          <cell r="AL275">
            <v>108.4</v>
          </cell>
          <cell r="AM275">
            <v>16.542000000000002</v>
          </cell>
          <cell r="AN275">
            <v>3.8999999999999993E-2</v>
          </cell>
          <cell r="AO275">
            <v>0</v>
          </cell>
          <cell r="AP275">
            <v>7.0810000000000004</v>
          </cell>
          <cell r="AQ275">
            <v>0.13100000000000001</v>
          </cell>
          <cell r="AR275">
            <v>4.676000000000001</v>
          </cell>
          <cell r="AS275">
            <v>13.373999999999999</v>
          </cell>
          <cell r="AT275">
            <v>0</v>
          </cell>
          <cell r="AU275">
            <v>144.99999999999997</v>
          </cell>
          <cell r="AV275">
            <v>158.37399999999997</v>
          </cell>
          <cell r="AW275">
            <v>0</v>
          </cell>
          <cell r="AX275">
            <v>0</v>
          </cell>
          <cell r="AY275">
            <v>0</v>
          </cell>
          <cell r="AZ275">
            <v>0</v>
          </cell>
          <cell r="BA275">
            <v>0</v>
          </cell>
          <cell r="BB275">
            <v>0</v>
          </cell>
          <cell r="BC275">
            <v>0</v>
          </cell>
          <cell r="BD275">
            <v>0</v>
          </cell>
          <cell r="BE275">
            <v>0</v>
          </cell>
        </row>
        <row r="278">
          <cell r="H278" t="str">
            <v>Invitrogen</v>
          </cell>
          <cell r="I278" t="str">
            <v>QIAGEN NV</v>
          </cell>
          <cell r="J278" t="str">
            <v>TECHNE</v>
          </cell>
          <cell r="K278" t="str">
            <v>Bio-Rad Laboratories</v>
          </cell>
          <cell r="L278" t="str">
            <v>Affymetrix</v>
          </cell>
          <cell r="M278" t="str">
            <v>Applied Biosystems*</v>
          </cell>
          <cell r="N278" t="str">
            <v>Mettler Toledo*</v>
          </cell>
          <cell r="O278" t="str">
            <v>Molecular Devices*</v>
          </cell>
          <cell r="P278" t="str">
            <v>PerkinElmer</v>
          </cell>
          <cell r="Q278" t="str">
            <v>Thermo Electron</v>
          </cell>
          <cell r="R278" t="str">
            <v>Varian</v>
          </cell>
          <cell r="S278" t="str">
            <v>Waters*</v>
          </cell>
          <cell r="T278" t="str">
            <v>Fisher Scientific*</v>
          </cell>
          <cell r="U278" t="str">
            <v>Ventana Medical Systems, Inc.</v>
          </cell>
          <cell r="V278" t="str">
            <v>Accredo Health*</v>
          </cell>
          <cell r="W278" t="str">
            <v>Invitrogen</v>
          </cell>
          <cell r="X278" t="str">
            <v>Millipore</v>
          </cell>
          <cell r="Y278" t="str">
            <v>Priority Healthcare</v>
          </cell>
          <cell r="Z278" t="str">
            <v>Bergen Brunswig</v>
          </cell>
          <cell r="AA278" t="str">
            <v>AmeriSource</v>
          </cell>
          <cell r="AB278" t="str">
            <v>AmerisourceBergen</v>
          </cell>
          <cell r="AC278" t="str">
            <v>Owens &amp; Minor</v>
          </cell>
          <cell r="AD278" t="str">
            <v>Short Name</v>
          </cell>
          <cell r="AE278" t="str">
            <v>PSS World Medical, Inc.</v>
          </cell>
          <cell r="AF278" t="str">
            <v>Henry Schein</v>
          </cell>
          <cell r="AG278" t="str">
            <v>Syncor</v>
          </cell>
          <cell r="AH278" t="str">
            <v>Accredo</v>
          </cell>
          <cell r="AI278" t="str">
            <v>Gentiva</v>
          </cell>
          <cell r="AJ278" t="str">
            <v>Accredo*</v>
          </cell>
          <cell r="AK278" t="str">
            <v>Fisher Scientific*</v>
          </cell>
          <cell r="AL278" t="str">
            <v>McKesson Corporation</v>
          </cell>
          <cell r="AM278" t="str">
            <v>Sigma-Aldrich</v>
          </cell>
          <cell r="AN278" t="str">
            <v>Chronimed</v>
          </cell>
          <cell r="AO278" t="str">
            <v>Short Name</v>
          </cell>
          <cell r="AP278" t="str">
            <v>Patterson Dental</v>
          </cell>
          <cell r="AQ278" t="str">
            <v>Short Name</v>
          </cell>
          <cell r="AR278" t="str">
            <v>Patterson Dental</v>
          </cell>
          <cell r="AS278" t="str">
            <v>Syncor</v>
          </cell>
          <cell r="AT278" t="str">
            <v>Boron, LePore</v>
          </cell>
          <cell r="AU278" t="str">
            <v>Cardinal Health</v>
          </cell>
          <cell r="AV278" t="str">
            <v>Cardinal Health</v>
          </cell>
          <cell r="AW278" t="str">
            <v>Short Name</v>
          </cell>
          <cell r="AX278" t="str">
            <v>Short Name</v>
          </cell>
          <cell r="AY278" t="str">
            <v>Short Name</v>
          </cell>
          <cell r="AZ278" t="str">
            <v>Short Name</v>
          </cell>
          <cell r="BA278" t="str">
            <v>Short Name</v>
          </cell>
          <cell r="BB278" t="str">
            <v>Short Name</v>
          </cell>
          <cell r="BC278" t="str">
            <v>Short Name</v>
          </cell>
          <cell r="BD278" t="str">
            <v>Short Name</v>
          </cell>
          <cell r="BE278" t="str">
            <v>Short Name</v>
          </cell>
        </row>
        <row r="283">
          <cell r="H283">
            <v>0</v>
          </cell>
          <cell r="I283">
            <v>0</v>
          </cell>
          <cell r="J283">
            <v>0</v>
          </cell>
          <cell r="K283">
            <v>0</v>
          </cell>
          <cell r="L283">
            <v>0</v>
          </cell>
          <cell r="M283">
            <v>0</v>
          </cell>
          <cell r="N283">
            <v>0</v>
          </cell>
          <cell r="O283">
            <v>0</v>
          </cell>
          <cell r="P283">
            <v>0</v>
          </cell>
          <cell r="Q283">
            <v>0</v>
          </cell>
          <cell r="R283">
            <v>0</v>
          </cell>
          <cell r="S283">
            <v>0</v>
          </cell>
          <cell r="T283">
            <v>0</v>
          </cell>
          <cell r="U283">
            <v>4.875</v>
          </cell>
          <cell r="V283">
            <v>0</v>
          </cell>
          <cell r="W283">
            <v>113.26199999999999</v>
          </cell>
          <cell r="X283">
            <v>111.226</v>
          </cell>
          <cell r="Y283">
            <v>15.169</v>
          </cell>
          <cell r="Z283">
            <v>264.28800000000001</v>
          </cell>
          <cell r="AA283">
            <v>179.416</v>
          </cell>
          <cell r="AB283">
            <v>386.459</v>
          </cell>
          <cell r="AC283">
            <v>27.307000000000002</v>
          </cell>
          <cell r="AD283">
            <v>0</v>
          </cell>
          <cell r="AE283">
            <v>39.140999999999998</v>
          </cell>
          <cell r="AF283">
            <v>40.996000000000002</v>
          </cell>
          <cell r="AG283">
            <v>31.448</v>
          </cell>
          <cell r="AH283">
            <v>38.585000000000001</v>
          </cell>
          <cell r="AI283">
            <v>34.248000000000005</v>
          </cell>
          <cell r="AJ283">
            <v>72.832999999999998</v>
          </cell>
          <cell r="AK283">
            <v>152.6</v>
          </cell>
          <cell r="AL283">
            <v>706.2</v>
          </cell>
          <cell r="AM283">
            <v>0</v>
          </cell>
          <cell r="AN283">
            <v>12.34</v>
          </cell>
          <cell r="AO283">
            <v>0</v>
          </cell>
          <cell r="AP283">
            <v>0</v>
          </cell>
          <cell r="AQ283">
            <v>0</v>
          </cell>
          <cell r="AR283">
            <v>110.62633092</v>
          </cell>
          <cell r="AS283">
            <v>85.836000000000013</v>
          </cell>
          <cell r="AT283">
            <v>13.683</v>
          </cell>
          <cell r="AU283">
            <v>1612.8</v>
          </cell>
          <cell r="AV283">
            <v>1712.3190000000002</v>
          </cell>
          <cell r="AW283">
            <v>0</v>
          </cell>
          <cell r="AX283">
            <v>0</v>
          </cell>
          <cell r="AY283">
            <v>0</v>
          </cell>
          <cell r="AZ283">
            <v>0</v>
          </cell>
          <cell r="BA283">
            <v>0</v>
          </cell>
          <cell r="BB283">
            <v>0</v>
          </cell>
          <cell r="BC283">
            <v>0</v>
          </cell>
          <cell r="BD283">
            <v>0</v>
          </cell>
          <cell r="BE283">
            <v>0</v>
          </cell>
        </row>
        <row r="284">
          <cell r="H284">
            <v>0</v>
          </cell>
          <cell r="I284">
            <v>0</v>
          </cell>
          <cell r="J284">
            <v>0</v>
          </cell>
          <cell r="K284">
            <v>0</v>
          </cell>
          <cell r="L284">
            <v>0</v>
          </cell>
          <cell r="M284">
            <v>0</v>
          </cell>
          <cell r="N284">
            <v>0</v>
          </cell>
          <cell r="O284">
            <v>0</v>
          </cell>
          <cell r="P284">
            <v>0</v>
          </cell>
          <cell r="Q284">
            <v>0</v>
          </cell>
          <cell r="R284">
            <v>0</v>
          </cell>
          <cell r="S284">
            <v>0</v>
          </cell>
          <cell r="T284">
            <v>0</v>
          </cell>
          <cell r="U284">
            <v>3.9919999999999982</v>
          </cell>
          <cell r="V284">
            <v>0</v>
          </cell>
          <cell r="W284">
            <v>72.290133522820341</v>
          </cell>
          <cell r="X284">
            <v>98.924999999999983</v>
          </cell>
          <cell r="Y284">
            <v>12.629</v>
          </cell>
          <cell r="Z284">
            <v>217.44900000000001</v>
          </cell>
          <cell r="AA284">
            <v>144.625</v>
          </cell>
          <cell r="AB284">
            <v>324.94599999999997</v>
          </cell>
          <cell r="AC284">
            <v>24.847000000000001</v>
          </cell>
          <cell r="AD284">
            <v>0</v>
          </cell>
          <cell r="AE284">
            <v>51.414999999999999</v>
          </cell>
          <cell r="AF284">
            <v>37.048999999999999</v>
          </cell>
          <cell r="AG284">
            <v>29.677999999999997</v>
          </cell>
          <cell r="AH284">
            <v>21.817</v>
          </cell>
          <cell r="AI284">
            <v>33.5625</v>
          </cell>
          <cell r="AJ284">
            <v>55.379500000000007</v>
          </cell>
          <cell r="AK284">
            <v>135.80000000000001</v>
          </cell>
          <cell r="AL284">
            <v>588.29999999999995</v>
          </cell>
          <cell r="AM284">
            <v>0</v>
          </cell>
          <cell r="AN284">
            <v>10.000999999999999</v>
          </cell>
          <cell r="AO284">
            <v>0</v>
          </cell>
          <cell r="AP284">
            <v>26.949000000000002</v>
          </cell>
          <cell r="AQ284">
            <v>0.1998675</v>
          </cell>
          <cell r="AR284">
            <v>96.873057330000009</v>
          </cell>
          <cell r="AS284">
            <v>70.816999999999993</v>
          </cell>
          <cell r="AT284">
            <v>10.097000000000001</v>
          </cell>
          <cell r="AU284">
            <v>1379</v>
          </cell>
          <cell r="AV284">
            <v>1459.9139999999998</v>
          </cell>
          <cell r="AW284">
            <v>0</v>
          </cell>
          <cell r="AX284">
            <v>0</v>
          </cell>
          <cell r="AY284">
            <v>0</v>
          </cell>
          <cell r="AZ284">
            <v>0</v>
          </cell>
          <cell r="BA284">
            <v>0</v>
          </cell>
          <cell r="BB284">
            <v>0</v>
          </cell>
          <cell r="BC284">
            <v>0</v>
          </cell>
          <cell r="BD284">
            <v>0</v>
          </cell>
          <cell r="BE284">
            <v>0</v>
          </cell>
        </row>
        <row r="285">
          <cell r="H285">
            <v>0</v>
          </cell>
          <cell r="I285">
            <v>0</v>
          </cell>
          <cell r="J285">
            <v>0</v>
          </cell>
          <cell r="K285">
            <v>0</v>
          </cell>
          <cell r="L285">
            <v>0</v>
          </cell>
          <cell r="M285">
            <v>0</v>
          </cell>
          <cell r="N285">
            <v>0</v>
          </cell>
          <cell r="O285">
            <v>0</v>
          </cell>
          <cell r="P285">
            <v>0</v>
          </cell>
          <cell r="Q285">
            <v>0</v>
          </cell>
          <cell r="R285">
            <v>0</v>
          </cell>
          <cell r="S285">
            <v>0</v>
          </cell>
          <cell r="T285">
            <v>0</v>
          </cell>
          <cell r="U285">
            <v>6.3789999999999978</v>
          </cell>
          <cell r="V285">
            <v>261.745</v>
          </cell>
          <cell r="W285">
            <v>96.386844697093792</v>
          </cell>
          <cell r="X285">
            <v>143.72399999999999</v>
          </cell>
          <cell r="Y285">
            <v>48.606999999999999</v>
          </cell>
          <cell r="Z285">
            <v>366</v>
          </cell>
          <cell r="AA285">
            <v>217.85399999999998</v>
          </cell>
          <cell r="AB285">
            <v>683.23799999999994</v>
          </cell>
          <cell r="AC285">
            <v>111.429</v>
          </cell>
          <cell r="AD285">
            <v>0</v>
          </cell>
          <cell r="AE285">
            <v>50.739999999999995</v>
          </cell>
          <cell r="AF285">
            <v>183.392</v>
          </cell>
          <cell r="AG285">
            <v>114.43799999999999</v>
          </cell>
          <cell r="AH285">
            <v>0</v>
          </cell>
          <cell r="AI285">
            <v>0</v>
          </cell>
          <cell r="AJ285">
            <v>72.442000000000007</v>
          </cell>
          <cell r="AK285">
            <v>291</v>
          </cell>
          <cell r="AL285">
            <v>822.9</v>
          </cell>
          <cell r="AM285">
            <v>290.74799999999999</v>
          </cell>
          <cell r="AN285">
            <v>-1.718</v>
          </cell>
          <cell r="AO285">
            <v>0</v>
          </cell>
          <cell r="AP285">
            <v>125.30499999999999</v>
          </cell>
          <cell r="AQ285">
            <v>11.30847</v>
          </cell>
          <cell r="AR285">
            <v>133.52146999999999</v>
          </cell>
          <cell r="AS285">
            <v>101.18899999999999</v>
          </cell>
          <cell r="AT285">
            <v>14.702999999999999</v>
          </cell>
          <cell r="AU285">
            <v>1892.6</v>
          </cell>
          <cell r="AV285">
            <v>2008.492</v>
          </cell>
          <cell r="AW285">
            <v>0</v>
          </cell>
          <cell r="AX285">
            <v>0</v>
          </cell>
          <cell r="AY285">
            <v>0</v>
          </cell>
          <cell r="AZ285">
            <v>0</v>
          </cell>
          <cell r="BA285">
            <v>0</v>
          </cell>
          <cell r="BB285">
            <v>0</v>
          </cell>
          <cell r="BC285">
            <v>0</v>
          </cell>
          <cell r="BD285">
            <v>0</v>
          </cell>
          <cell r="BE285">
            <v>0</v>
          </cell>
        </row>
        <row r="286">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330.14100000000002</v>
          </cell>
          <cell r="AA286">
            <v>235.22499999999999</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row>
        <row r="290">
          <cell r="H290" t="str">
            <v xml:space="preserve">NM  </v>
          </cell>
          <cell r="I290" t="str">
            <v xml:space="preserve">NM  </v>
          </cell>
          <cell r="J290" t="str">
            <v xml:space="preserve">NM  </v>
          </cell>
          <cell r="K290" t="str">
            <v xml:space="preserve">NM  </v>
          </cell>
          <cell r="L290" t="str">
            <v xml:space="preserve">NM  </v>
          </cell>
          <cell r="M290" t="str">
            <v xml:space="preserve">NM  </v>
          </cell>
          <cell r="N290" t="str">
            <v xml:space="preserve">NM  </v>
          </cell>
          <cell r="O290" t="str">
            <v xml:space="preserve">NM  </v>
          </cell>
          <cell r="P290" t="str">
            <v xml:space="preserve">NM  </v>
          </cell>
          <cell r="Q290" t="str">
            <v xml:space="preserve">NM  </v>
          </cell>
          <cell r="R290" t="str">
            <v xml:space="preserve">NM  </v>
          </cell>
          <cell r="S290" t="str">
            <v xml:space="preserve">NM  </v>
          </cell>
          <cell r="T290" t="str">
            <v xml:space="preserve">NM  </v>
          </cell>
          <cell r="U290" t="str">
            <v xml:space="preserve">NM  </v>
          </cell>
          <cell r="V290" t="str">
            <v xml:space="preserve">NM  </v>
          </cell>
          <cell r="W290" t="str">
            <v xml:space="preserve">NM  </v>
          </cell>
          <cell r="X290" t="str">
            <v xml:space="preserve">NM  </v>
          </cell>
          <cell r="Y290" t="str">
            <v xml:space="preserve">NM  </v>
          </cell>
          <cell r="Z290" t="str">
            <v xml:space="preserve">NM  </v>
          </cell>
          <cell r="AA290" t="str">
            <v xml:space="preserve">NM  </v>
          </cell>
          <cell r="AB290" t="str">
            <v xml:space="preserve">NM  </v>
          </cell>
          <cell r="AC290" t="str">
            <v xml:space="preserve">NM  </v>
          </cell>
          <cell r="AD290" t="str">
            <v xml:space="preserve">NM  </v>
          </cell>
          <cell r="AE290" t="str">
            <v xml:space="preserve">NM  </v>
          </cell>
          <cell r="AF290" t="str">
            <v xml:space="preserve">NM  </v>
          </cell>
          <cell r="AG290" t="str">
            <v xml:space="preserve">NM  </v>
          </cell>
          <cell r="AH290" t="str">
            <v xml:space="preserve">NM  </v>
          </cell>
          <cell r="AI290" t="str">
            <v xml:space="preserve">NM  </v>
          </cell>
          <cell r="AJ290" t="str">
            <v xml:space="preserve">NM  </v>
          </cell>
          <cell r="AK290" t="str">
            <v xml:space="preserve">NM  </v>
          </cell>
          <cell r="AL290" t="str">
            <v xml:space="preserve">NM  </v>
          </cell>
          <cell r="AM290" t="str">
            <v xml:space="preserve">NM  </v>
          </cell>
          <cell r="AN290" t="str">
            <v xml:space="preserve">NM  </v>
          </cell>
          <cell r="AO290" t="str">
            <v xml:space="preserve">NM  </v>
          </cell>
          <cell r="AP290" t="str">
            <v xml:space="preserve">NM  </v>
          </cell>
          <cell r="AQ290" t="str">
            <v xml:space="preserve">NM  </v>
          </cell>
          <cell r="AR290" t="str">
            <v xml:space="preserve">NM  </v>
          </cell>
          <cell r="AS290" t="str">
            <v xml:space="preserve">NM  </v>
          </cell>
          <cell r="AT290" t="str">
            <v xml:space="preserve">NM  </v>
          </cell>
          <cell r="AU290" t="str">
            <v xml:space="preserve">NM  </v>
          </cell>
          <cell r="AV290" t="str">
            <v xml:space="preserve">NM  </v>
          </cell>
          <cell r="AW290" t="str">
            <v xml:space="preserve">NM  </v>
          </cell>
          <cell r="AX290" t="str">
            <v xml:space="preserve">NM  </v>
          </cell>
          <cell r="AY290" t="str">
            <v xml:space="preserve">NM  </v>
          </cell>
          <cell r="AZ290" t="str">
            <v xml:space="preserve">NM  </v>
          </cell>
          <cell r="BA290" t="str">
            <v xml:space="preserve">NM  </v>
          </cell>
          <cell r="BB290" t="str">
            <v xml:space="preserve">NM  </v>
          </cell>
          <cell r="BC290" t="str">
            <v xml:space="preserve">NM  </v>
          </cell>
          <cell r="BD290" t="str">
            <v xml:space="preserve">NM  </v>
          </cell>
          <cell r="BE290" t="str">
            <v xml:space="preserve">NM  </v>
          </cell>
        </row>
        <row r="291">
          <cell r="H291" t="str">
            <v xml:space="preserve">NM  </v>
          </cell>
          <cell r="I291" t="str">
            <v xml:space="preserve">NM  </v>
          </cell>
          <cell r="J291" t="str">
            <v xml:space="preserve">NM  </v>
          </cell>
          <cell r="K291" t="str">
            <v xml:space="preserve">NM  </v>
          </cell>
          <cell r="L291" t="str">
            <v xml:space="preserve">NM  </v>
          </cell>
          <cell r="M291" t="str">
            <v xml:space="preserve">NM  </v>
          </cell>
          <cell r="N291" t="str">
            <v xml:space="preserve">NM  </v>
          </cell>
          <cell r="O291" t="str">
            <v xml:space="preserve">NM  </v>
          </cell>
          <cell r="P291" t="str">
            <v xml:space="preserve">NM  </v>
          </cell>
          <cell r="Q291" t="str">
            <v xml:space="preserve">NM  </v>
          </cell>
          <cell r="R291" t="str">
            <v xml:space="preserve">NM  </v>
          </cell>
          <cell r="S291" t="str">
            <v xml:space="preserve">NM  </v>
          </cell>
          <cell r="T291" t="str">
            <v xml:space="preserve">NM  </v>
          </cell>
          <cell r="U291" t="str">
            <v xml:space="preserve">NM  </v>
          </cell>
          <cell r="V291" t="str">
            <v xml:space="preserve">NM  </v>
          </cell>
          <cell r="W291" t="str">
            <v xml:space="preserve">NM  </v>
          </cell>
          <cell r="X291" t="str">
            <v xml:space="preserve">NM  </v>
          </cell>
          <cell r="Y291" t="str">
            <v xml:space="preserve">NM  </v>
          </cell>
          <cell r="Z291" t="str">
            <v xml:space="preserve">NM  </v>
          </cell>
          <cell r="AA291" t="str">
            <v xml:space="preserve">NM  </v>
          </cell>
          <cell r="AB291" t="str">
            <v xml:space="preserve">NM  </v>
          </cell>
          <cell r="AC291" t="str">
            <v xml:space="preserve">NM  </v>
          </cell>
          <cell r="AD291" t="str">
            <v xml:space="preserve">NM  </v>
          </cell>
          <cell r="AE291" t="str">
            <v xml:space="preserve">NM  </v>
          </cell>
          <cell r="AF291" t="str">
            <v xml:space="preserve">NM  </v>
          </cell>
          <cell r="AG291" t="str">
            <v xml:space="preserve">NM  </v>
          </cell>
          <cell r="AH291" t="str">
            <v xml:space="preserve">NM  </v>
          </cell>
          <cell r="AI291" t="str">
            <v xml:space="preserve">NM  </v>
          </cell>
          <cell r="AJ291" t="str">
            <v xml:space="preserve">NM  </v>
          </cell>
          <cell r="AK291" t="str">
            <v xml:space="preserve">NM  </v>
          </cell>
          <cell r="AL291" t="str">
            <v xml:space="preserve">NM  </v>
          </cell>
          <cell r="AM291" t="str">
            <v xml:space="preserve">NM  </v>
          </cell>
          <cell r="AN291" t="str">
            <v xml:space="preserve">NM  </v>
          </cell>
          <cell r="AO291" t="str">
            <v xml:space="preserve">NM  </v>
          </cell>
          <cell r="AP291" t="str">
            <v xml:space="preserve">NM  </v>
          </cell>
          <cell r="AQ291" t="str">
            <v xml:space="preserve">NM  </v>
          </cell>
          <cell r="AR291" t="str">
            <v xml:space="preserve">NM  </v>
          </cell>
          <cell r="AS291" t="str">
            <v xml:space="preserve">NM  </v>
          </cell>
          <cell r="AT291" t="str">
            <v xml:space="preserve">NM  </v>
          </cell>
          <cell r="AU291" t="str">
            <v xml:space="preserve">NM  </v>
          </cell>
          <cell r="AV291" t="str">
            <v xml:space="preserve">NM  </v>
          </cell>
          <cell r="AW291" t="str">
            <v xml:space="preserve">NM  </v>
          </cell>
          <cell r="AX291" t="str">
            <v xml:space="preserve">NM  </v>
          </cell>
          <cell r="AY291" t="str">
            <v xml:space="preserve">NM  </v>
          </cell>
          <cell r="AZ291" t="str">
            <v xml:space="preserve">NM  </v>
          </cell>
          <cell r="BA291" t="str">
            <v xml:space="preserve">NM  </v>
          </cell>
          <cell r="BB291" t="str">
            <v xml:space="preserve">NM  </v>
          </cell>
          <cell r="BC291" t="str">
            <v xml:space="preserve">NM  </v>
          </cell>
          <cell r="BD291" t="str">
            <v xml:space="preserve">NM  </v>
          </cell>
          <cell r="BE291" t="str">
            <v xml:space="preserve">NM  </v>
          </cell>
        </row>
        <row r="297">
          <cell r="H297">
            <v>0</v>
          </cell>
          <cell r="I297">
            <v>0</v>
          </cell>
          <cell r="J297">
            <v>0</v>
          </cell>
          <cell r="K297">
            <v>0</v>
          </cell>
          <cell r="L297">
            <v>0</v>
          </cell>
          <cell r="M297">
            <v>0</v>
          </cell>
          <cell r="N297">
            <v>0</v>
          </cell>
          <cell r="O297">
            <v>0</v>
          </cell>
          <cell r="P297">
            <v>0</v>
          </cell>
          <cell r="Q297">
            <v>0</v>
          </cell>
          <cell r="R297">
            <v>0</v>
          </cell>
          <cell r="S297">
            <v>0</v>
          </cell>
          <cell r="T297">
            <v>0</v>
          </cell>
          <cell r="U297">
            <v>40.082000000000001</v>
          </cell>
          <cell r="V297">
            <v>0</v>
          </cell>
          <cell r="W297">
            <v>672.03399999999999</v>
          </cell>
          <cell r="X297">
            <v>225.69399999999999</v>
          </cell>
          <cell r="Y297">
            <v>176.33999999999997</v>
          </cell>
          <cell r="Z297">
            <v>1516.5680000000002</v>
          </cell>
          <cell r="AA297">
            <v>897.29399999999987</v>
          </cell>
          <cell r="AB297">
            <v>2115.509</v>
          </cell>
          <cell r="AC297">
            <v>365.26499999999993</v>
          </cell>
          <cell r="AD297">
            <v>0</v>
          </cell>
          <cell r="AE297">
            <v>269.43100000000004</v>
          </cell>
          <cell r="AF297">
            <v>492.99599999999998</v>
          </cell>
          <cell r="AG297">
            <v>113.709</v>
          </cell>
          <cell r="AH297">
            <v>0</v>
          </cell>
          <cell r="AI297">
            <v>0</v>
          </cell>
          <cell r="AJ297">
            <v>327.29399999999998</v>
          </cell>
          <cell r="AK297">
            <v>0</v>
          </cell>
          <cell r="AL297">
            <v>2765.9000000000005</v>
          </cell>
          <cell r="AM297">
            <v>329.74800000000005</v>
          </cell>
          <cell r="AN297">
            <v>37.251000000000005</v>
          </cell>
          <cell r="AO297">
            <v>0</v>
          </cell>
          <cell r="AP297">
            <v>0</v>
          </cell>
          <cell r="AQ297">
            <v>0</v>
          </cell>
          <cell r="AR297">
            <v>344.90300000000002</v>
          </cell>
          <cell r="AS297">
            <v>113.709</v>
          </cell>
          <cell r="AT297">
            <v>42.294000000000004</v>
          </cell>
          <cell r="AU297">
            <v>5611.9000000000005</v>
          </cell>
          <cell r="AV297">
            <v>5767.9030000000002</v>
          </cell>
          <cell r="AW297">
            <v>0</v>
          </cell>
          <cell r="AX297">
            <v>0</v>
          </cell>
          <cell r="AY297">
            <v>0</v>
          </cell>
          <cell r="AZ297">
            <v>0</v>
          </cell>
          <cell r="BA297">
            <v>0</v>
          </cell>
          <cell r="BB297">
            <v>0</v>
          </cell>
          <cell r="BC297">
            <v>0</v>
          </cell>
          <cell r="BD297">
            <v>0</v>
          </cell>
          <cell r="BE297">
            <v>0</v>
          </cell>
        </row>
        <row r="298">
          <cell r="H298">
            <v>0</v>
          </cell>
          <cell r="I298">
            <v>0</v>
          </cell>
          <cell r="J298">
            <v>0</v>
          </cell>
          <cell r="K298">
            <v>0</v>
          </cell>
          <cell r="L298">
            <v>0</v>
          </cell>
          <cell r="M298">
            <v>0</v>
          </cell>
          <cell r="N298">
            <v>0</v>
          </cell>
          <cell r="O298">
            <v>0</v>
          </cell>
          <cell r="P298">
            <v>0</v>
          </cell>
          <cell r="Q298">
            <v>0</v>
          </cell>
          <cell r="R298">
            <v>0</v>
          </cell>
          <cell r="S298">
            <v>0</v>
          </cell>
          <cell r="T298" t="e">
            <v>#VALUE!</v>
          </cell>
          <cell r="U298">
            <v>80.890999999999991</v>
          </cell>
          <cell r="V298">
            <v>471.05399999999997</v>
          </cell>
          <cell r="W298">
            <v>634.49500000000012</v>
          </cell>
          <cell r="X298">
            <v>347.14600000000002</v>
          </cell>
          <cell r="Y298">
            <v>187.65000000000003</v>
          </cell>
          <cell r="Z298" t="e">
            <v>#N/A</v>
          </cell>
          <cell r="AA298">
            <v>617.11899999999991</v>
          </cell>
          <cell r="AB298">
            <v>1223.605</v>
          </cell>
          <cell r="AC298">
            <v>180.13499999999999</v>
          </cell>
          <cell r="AD298" t="e">
            <v>#N/A</v>
          </cell>
          <cell r="AE298">
            <v>247.65600000000001</v>
          </cell>
          <cell r="AF298">
            <v>414.31899999999996</v>
          </cell>
          <cell r="AG298">
            <v>102.33199999999999</v>
          </cell>
          <cell r="AH298">
            <v>0</v>
          </cell>
          <cell r="AI298" t="e">
            <v>#DIV/0!</v>
          </cell>
          <cell r="AJ298" t="e">
            <v>#VALUE!</v>
          </cell>
          <cell r="AK298">
            <v>45.4</v>
          </cell>
          <cell r="AL298">
            <v>3004.8999999999996</v>
          </cell>
          <cell r="AM298">
            <v>677.97783000000004</v>
          </cell>
          <cell r="AN298">
            <v>45.271999999999991</v>
          </cell>
          <cell r="AO298" t="e">
            <v>#N/A</v>
          </cell>
          <cell r="AP298" t="e">
            <v>#DIV/0!</v>
          </cell>
          <cell r="AQ298" t="e">
            <v>#VALUE!</v>
          </cell>
          <cell r="AR298">
            <v>412.27100000000002</v>
          </cell>
          <cell r="AS298">
            <v>102.33199999999999</v>
          </cell>
          <cell r="AT298" t="e">
            <v>#N/A</v>
          </cell>
          <cell r="AU298" t="e">
            <v>#DIV/0!</v>
          </cell>
          <cell r="AV298">
            <v>4835.4490000000005</v>
          </cell>
          <cell r="AW298" t="e">
            <v>#VALUE!</v>
          </cell>
          <cell r="AX298" t="e">
            <v>#VALUE!</v>
          </cell>
          <cell r="AY298" t="e">
            <v>#VALUE!</v>
          </cell>
          <cell r="AZ298" t="e">
            <v>#VALUE!</v>
          </cell>
          <cell r="BA298" t="e">
            <v>#VALUE!</v>
          </cell>
          <cell r="BB298" t="e">
            <v>#VALUE!</v>
          </cell>
          <cell r="BC298" t="e">
            <v>#VALUE!</v>
          </cell>
          <cell r="BD298" t="e">
            <v>#VALUE!</v>
          </cell>
          <cell r="BE298" t="e">
            <v>#VALUE!</v>
          </cell>
        </row>
        <row r="299">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300</v>
          </cell>
          <cell r="AA299">
            <v>0</v>
          </cell>
          <cell r="AB299">
            <v>0</v>
          </cell>
          <cell r="AC299">
            <v>132</v>
          </cell>
          <cell r="AD299">
            <v>0</v>
          </cell>
          <cell r="AE299">
            <v>0</v>
          </cell>
          <cell r="AF299">
            <v>0</v>
          </cell>
          <cell r="AG299">
            <v>0</v>
          </cell>
          <cell r="AH299">
            <v>0</v>
          </cell>
          <cell r="AI299">
            <v>0</v>
          </cell>
          <cell r="AJ299">
            <v>0</v>
          </cell>
          <cell r="AK299">
            <v>0</v>
          </cell>
          <cell r="AL299">
            <v>196.1</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row>
        <row r="300">
          <cell r="H300">
            <v>0</v>
          </cell>
          <cell r="I300">
            <v>0</v>
          </cell>
          <cell r="J300">
            <v>0</v>
          </cell>
          <cell r="K300">
            <v>0</v>
          </cell>
          <cell r="L300">
            <v>0</v>
          </cell>
          <cell r="M300">
            <v>0</v>
          </cell>
          <cell r="N300">
            <v>0</v>
          </cell>
          <cell r="O300">
            <v>0</v>
          </cell>
          <cell r="P300">
            <v>0</v>
          </cell>
          <cell r="Q300">
            <v>0</v>
          </cell>
          <cell r="R300">
            <v>0</v>
          </cell>
          <cell r="S300">
            <v>0</v>
          </cell>
          <cell r="T300" t="e">
            <v>#VALUE!</v>
          </cell>
          <cell r="U300">
            <v>3.028</v>
          </cell>
          <cell r="V300">
            <v>224.68799999999999</v>
          </cell>
          <cell r="W300">
            <v>21.153999999999996</v>
          </cell>
          <cell r="X300">
            <v>377.41700000000003</v>
          </cell>
          <cell r="Y300">
            <v>0</v>
          </cell>
          <cell r="Z300" t="e">
            <v>#N/A</v>
          </cell>
          <cell r="AA300">
            <v>340.93399999999997</v>
          </cell>
          <cell r="AB300">
            <v>1238.8889999999999</v>
          </cell>
          <cell r="AC300">
            <v>242.01499999999999</v>
          </cell>
          <cell r="AD300" t="e">
            <v>#N/A</v>
          </cell>
          <cell r="AE300">
            <v>125</v>
          </cell>
          <cell r="AF300">
            <v>256.75</v>
          </cell>
          <cell r="AG300">
            <v>216.34400000000002</v>
          </cell>
          <cell r="AH300">
            <v>0</v>
          </cell>
          <cell r="AI300" t="e">
            <v>#DIV/0!</v>
          </cell>
          <cell r="AJ300" t="e">
            <v>#VALUE!</v>
          </cell>
          <cell r="AK300">
            <v>957.5</v>
          </cell>
          <cell r="AL300">
            <v>1326.8000000000002</v>
          </cell>
          <cell r="AM300">
            <v>448.08199999999999</v>
          </cell>
          <cell r="AN300">
            <v>10.4</v>
          </cell>
          <cell r="AO300" t="e">
            <v>#N/A</v>
          </cell>
          <cell r="AP300" t="e">
            <v>#DIV/0!</v>
          </cell>
          <cell r="AQ300" t="e">
            <v>#VALUE!</v>
          </cell>
          <cell r="AR300">
            <v>0</v>
          </cell>
          <cell r="AS300">
            <v>216.34400000000002</v>
          </cell>
          <cell r="AT300" t="e">
            <v>#N/A</v>
          </cell>
          <cell r="AU300" t="e">
            <v>#DIV/0!</v>
          </cell>
          <cell r="AV300">
            <v>2697.5439999999999</v>
          </cell>
          <cell r="AW300" t="e">
            <v>#VALUE!</v>
          </cell>
          <cell r="AX300" t="e">
            <v>#VALUE!</v>
          </cell>
          <cell r="AY300" t="e">
            <v>#VALUE!</v>
          </cell>
          <cell r="AZ300" t="e">
            <v>#VALUE!</v>
          </cell>
          <cell r="BA300" t="e">
            <v>#VALUE!</v>
          </cell>
          <cell r="BB300" t="e">
            <v>#VALUE!</v>
          </cell>
          <cell r="BC300" t="e">
            <v>#VALUE!</v>
          </cell>
          <cell r="BD300" t="e">
            <v>#VALUE!</v>
          </cell>
          <cell r="BE300" t="e">
            <v>#VALUE!</v>
          </cell>
        </row>
        <row r="301">
          <cell r="H301">
            <v>0</v>
          </cell>
          <cell r="I301">
            <v>0</v>
          </cell>
          <cell r="J301">
            <v>0</v>
          </cell>
          <cell r="K301">
            <v>0</v>
          </cell>
          <cell r="L301">
            <v>0</v>
          </cell>
          <cell r="M301">
            <v>0</v>
          </cell>
          <cell r="N301">
            <v>0</v>
          </cell>
          <cell r="O301">
            <v>0</v>
          </cell>
          <cell r="P301">
            <v>0</v>
          </cell>
          <cell r="Q301">
            <v>0</v>
          </cell>
          <cell r="R301">
            <v>0</v>
          </cell>
          <cell r="S301">
            <v>0</v>
          </cell>
          <cell r="T301" t="e">
            <v>#VALUE!</v>
          </cell>
          <cell r="U301">
            <v>16.299999999999997</v>
          </cell>
          <cell r="V301">
            <v>453.77499999999998</v>
          </cell>
          <cell r="W301">
            <v>350.19299999999976</v>
          </cell>
          <cell r="X301">
            <v>547.45100000000002</v>
          </cell>
          <cell r="Y301">
            <v>138.10899999999998</v>
          </cell>
          <cell r="Z301" t="e">
            <v>#N/A</v>
          </cell>
          <cell r="AA301">
            <v>2185.0190000000002</v>
          </cell>
          <cell r="AB301">
            <v>7250.4929999999986</v>
          </cell>
          <cell r="AC301">
            <v>618.97900000000004</v>
          </cell>
          <cell r="AD301" t="e">
            <v>#N/A</v>
          </cell>
          <cell r="AE301">
            <v>345.41200000000003</v>
          </cell>
          <cell r="AF301">
            <v>602.09400000000005</v>
          </cell>
          <cell r="AG301">
            <v>348.87900000000002</v>
          </cell>
          <cell r="AH301">
            <v>0</v>
          </cell>
          <cell r="AI301" t="e">
            <v>#DIV/0!</v>
          </cell>
          <cell r="AJ301" t="e">
            <v>#VALUE!</v>
          </cell>
          <cell r="AK301">
            <v>-45.4</v>
          </cell>
          <cell r="AL301">
            <v>8909.7000000000007</v>
          </cell>
          <cell r="AM301">
            <v>634.22216999999989</v>
          </cell>
          <cell r="AN301">
            <v>30.297000000000011</v>
          </cell>
          <cell r="AO301" t="e">
            <v>#N/A</v>
          </cell>
          <cell r="AP301" t="e">
            <v>#DIV/0!</v>
          </cell>
          <cell r="AQ301" t="e">
            <v>#VALUE!</v>
          </cell>
          <cell r="AR301">
            <v>177.53899999999999</v>
          </cell>
          <cell r="AS301">
            <v>348.87900000000002</v>
          </cell>
          <cell r="AT301" t="e">
            <v>#N/A</v>
          </cell>
          <cell r="AU301" t="e">
            <v>#DIV/0!</v>
          </cell>
          <cell r="AV301">
            <v>10795.365999999998</v>
          </cell>
          <cell r="AW301" t="e">
            <v>#VALUE!</v>
          </cell>
          <cell r="AX301" t="e">
            <v>#VALUE!</v>
          </cell>
          <cell r="AY301" t="e">
            <v>#VALUE!</v>
          </cell>
          <cell r="AZ301" t="e">
            <v>#VALUE!</v>
          </cell>
          <cell r="BA301" t="e">
            <v>#VALUE!</v>
          </cell>
          <cell r="BB301" t="e">
            <v>#VALUE!</v>
          </cell>
          <cell r="BC301" t="e">
            <v>#VALUE!</v>
          </cell>
          <cell r="BD301" t="e">
            <v>#VALUE!</v>
          </cell>
          <cell r="BE301" t="e">
            <v>#VALUE!</v>
          </cell>
        </row>
        <row r="302">
          <cell r="H302">
            <v>0</v>
          </cell>
          <cell r="I302">
            <v>0</v>
          </cell>
          <cell r="J302">
            <v>0</v>
          </cell>
          <cell r="K302">
            <v>0</v>
          </cell>
          <cell r="L302">
            <v>0</v>
          </cell>
          <cell r="M302">
            <v>0</v>
          </cell>
          <cell r="N302">
            <v>0</v>
          </cell>
          <cell r="O302">
            <v>0</v>
          </cell>
          <cell r="P302">
            <v>0</v>
          </cell>
          <cell r="Q302">
            <v>0</v>
          </cell>
          <cell r="R302">
            <v>0</v>
          </cell>
          <cell r="S302">
            <v>0</v>
          </cell>
          <cell r="T302">
            <v>0</v>
          </cell>
          <cell r="U302">
            <v>20.766999999999999</v>
          </cell>
          <cell r="V302">
            <v>0</v>
          </cell>
          <cell r="W302">
            <v>572.90300000000002</v>
          </cell>
          <cell r="X302">
            <v>70.257999999999996</v>
          </cell>
          <cell r="Y302">
            <v>91.347999999999999</v>
          </cell>
          <cell r="Z302">
            <v>60.804000000000002</v>
          </cell>
          <cell r="AA302">
            <v>94.298000000000002</v>
          </cell>
          <cell r="AB302">
            <v>463.815</v>
          </cell>
          <cell r="AC302">
            <v>0.68799999999999994</v>
          </cell>
          <cell r="AD302">
            <v>0</v>
          </cell>
          <cell r="AE302">
            <v>40.206000000000003</v>
          </cell>
          <cell r="AF302">
            <v>93.421000000000006</v>
          </cell>
          <cell r="AG302">
            <v>24.074999999999999</v>
          </cell>
          <cell r="AH302">
            <v>0</v>
          </cell>
          <cell r="AI302">
            <v>0</v>
          </cell>
          <cell r="AJ302">
            <v>58.841999999999999</v>
          </cell>
          <cell r="AK302">
            <v>0</v>
          </cell>
          <cell r="AL302">
            <v>385.5</v>
          </cell>
          <cell r="AM302">
            <v>33.501829999999998</v>
          </cell>
          <cell r="AN302">
            <v>3.6070000000000002</v>
          </cell>
          <cell r="AO302">
            <v>0</v>
          </cell>
          <cell r="AP302">
            <v>0</v>
          </cell>
          <cell r="AQ302">
            <v>0</v>
          </cell>
          <cell r="AR302">
            <v>132.43700000000001</v>
          </cell>
          <cell r="AS302">
            <v>24.074999999999999</v>
          </cell>
          <cell r="AT302">
            <v>14.052</v>
          </cell>
          <cell r="AU302">
            <v>869.2</v>
          </cell>
          <cell r="AV302">
            <v>703.32700000000011</v>
          </cell>
          <cell r="AW302">
            <v>0</v>
          </cell>
          <cell r="AX302">
            <v>0</v>
          </cell>
          <cell r="AY302">
            <v>0</v>
          </cell>
          <cell r="AZ302">
            <v>0</v>
          </cell>
          <cell r="BA302">
            <v>0</v>
          </cell>
          <cell r="BB302">
            <v>0</v>
          </cell>
          <cell r="BC302">
            <v>0</v>
          </cell>
          <cell r="BD302">
            <v>0</v>
          </cell>
          <cell r="BE302">
            <v>0</v>
          </cell>
        </row>
        <row r="303">
          <cell r="H303">
            <v>0</v>
          </cell>
          <cell r="I303">
            <v>0</v>
          </cell>
          <cell r="J303">
            <v>0</v>
          </cell>
          <cell r="K303">
            <v>0</v>
          </cell>
          <cell r="L303">
            <v>0</v>
          </cell>
          <cell r="M303">
            <v>0</v>
          </cell>
          <cell r="N303">
            <v>0</v>
          </cell>
          <cell r="O303">
            <v>0</v>
          </cell>
          <cell r="P303">
            <v>0</v>
          </cell>
          <cell r="Q303">
            <v>0</v>
          </cell>
          <cell r="R303">
            <v>0</v>
          </cell>
          <cell r="S303">
            <v>0</v>
          </cell>
          <cell r="T303" t="e">
            <v>#VALUE!</v>
          </cell>
          <cell r="U303">
            <v>91.567999999999998</v>
          </cell>
          <cell r="V303">
            <v>471.05399999999997</v>
          </cell>
          <cell r="W303">
            <v>1875.7080000000001</v>
          </cell>
          <cell r="X303">
            <v>375.39800000000002</v>
          </cell>
          <cell r="Y303">
            <v>271.21300000000002</v>
          </cell>
          <cell r="Z303" t="e">
            <v>#N/A</v>
          </cell>
          <cell r="AA303">
            <v>702.92499999999995</v>
          </cell>
          <cell r="AB303">
            <v>3349.7260000000001</v>
          </cell>
          <cell r="AC303">
            <v>378.459</v>
          </cell>
          <cell r="AD303" t="e">
            <v>#N/A</v>
          </cell>
          <cell r="AE303">
            <v>324.77800000000002</v>
          </cell>
          <cell r="AF303">
            <v>707.42499999999995</v>
          </cell>
          <cell r="AG303">
            <v>245.49199999999999</v>
          </cell>
          <cell r="AH303">
            <v>0</v>
          </cell>
          <cell r="AI303" t="e">
            <v>#DIV/0!</v>
          </cell>
          <cell r="AJ303" t="e">
            <v>#VALUE!</v>
          </cell>
          <cell r="AK303">
            <v>45.4</v>
          </cell>
          <cell r="AL303">
            <v>3979.2</v>
          </cell>
          <cell r="AM303">
            <v>805.57983000000002</v>
          </cell>
          <cell r="AN303">
            <v>75.504999999999995</v>
          </cell>
          <cell r="AO303" t="e">
            <v>#N/A</v>
          </cell>
          <cell r="AP303" t="e">
            <v>#DIV/0!</v>
          </cell>
          <cell r="AQ303" t="e">
            <v>#VALUE!</v>
          </cell>
          <cell r="AR303">
            <v>543.28300000000002</v>
          </cell>
          <cell r="AS303">
            <v>245.49199999999999</v>
          </cell>
          <cell r="AT303" t="e">
            <v>#N/A</v>
          </cell>
          <cell r="AU303" t="e">
            <v>#DIV/0!</v>
          </cell>
          <cell r="AV303">
            <v>6209</v>
          </cell>
          <cell r="AW303" t="e">
            <v>#VALUE!</v>
          </cell>
          <cell r="AX303" t="e">
            <v>#VALUE!</v>
          </cell>
          <cell r="AY303" t="e">
            <v>#VALUE!</v>
          </cell>
          <cell r="AZ303" t="e">
            <v>#VALUE!</v>
          </cell>
          <cell r="BA303" t="e">
            <v>#VALUE!</v>
          </cell>
          <cell r="BB303" t="e">
            <v>#VALUE!</v>
          </cell>
          <cell r="BC303" t="e">
            <v>#VALUE!</v>
          </cell>
          <cell r="BD303" t="e">
            <v>#VALUE!</v>
          </cell>
          <cell r="BE303" t="e">
            <v>#VALUE!</v>
          </cell>
        </row>
        <row r="304">
          <cell r="H304">
            <v>0</v>
          </cell>
          <cell r="I304">
            <v>0</v>
          </cell>
          <cell r="J304">
            <v>0</v>
          </cell>
          <cell r="K304">
            <v>0</v>
          </cell>
          <cell r="L304">
            <v>0</v>
          </cell>
          <cell r="M304">
            <v>0</v>
          </cell>
          <cell r="N304">
            <v>0</v>
          </cell>
          <cell r="O304">
            <v>0</v>
          </cell>
          <cell r="P304">
            <v>0</v>
          </cell>
          <cell r="Q304">
            <v>0</v>
          </cell>
          <cell r="R304">
            <v>0</v>
          </cell>
          <cell r="S304">
            <v>0</v>
          </cell>
          <cell r="T304" t="e">
            <v>#VALUE!</v>
          </cell>
          <cell r="U304">
            <v>3.028</v>
          </cell>
          <cell r="V304">
            <v>224.68799999999999</v>
          </cell>
          <cell r="W304">
            <v>21.153999999999996</v>
          </cell>
          <cell r="X304">
            <v>377.41700000000003</v>
          </cell>
          <cell r="Y304">
            <v>0</v>
          </cell>
          <cell r="Z304" t="e">
            <v>#N/A</v>
          </cell>
          <cell r="AA304">
            <v>340.93399999999997</v>
          </cell>
          <cell r="AB304">
            <v>1238.8889999999999</v>
          </cell>
          <cell r="AC304">
            <v>242.01499999999999</v>
          </cell>
          <cell r="AD304" t="e">
            <v>#N/A</v>
          </cell>
          <cell r="AE304">
            <v>125</v>
          </cell>
          <cell r="AF304">
            <v>256.75</v>
          </cell>
          <cell r="AG304">
            <v>216.34400000000002</v>
          </cell>
          <cell r="AH304">
            <v>0</v>
          </cell>
          <cell r="AI304" t="e">
            <v>#DIV/0!</v>
          </cell>
          <cell r="AJ304" t="e">
            <v>#VALUE!</v>
          </cell>
          <cell r="AK304">
            <v>957.5</v>
          </cell>
          <cell r="AL304">
            <v>1326.8000000000002</v>
          </cell>
          <cell r="AM304">
            <v>448.08199999999999</v>
          </cell>
          <cell r="AN304">
            <v>10.4</v>
          </cell>
          <cell r="AO304" t="e">
            <v>#N/A</v>
          </cell>
          <cell r="AP304" t="e">
            <v>#DIV/0!</v>
          </cell>
          <cell r="AQ304" t="e">
            <v>#VALUE!</v>
          </cell>
          <cell r="AR304">
            <v>0</v>
          </cell>
          <cell r="AS304">
            <v>216.34400000000002</v>
          </cell>
          <cell r="AT304" t="e">
            <v>#N/A</v>
          </cell>
          <cell r="AU304" t="e">
            <v>#DIV/0!</v>
          </cell>
          <cell r="AV304">
            <v>2697.5439999999999</v>
          </cell>
          <cell r="AW304" t="e">
            <v>#VALUE!</v>
          </cell>
          <cell r="AX304" t="e">
            <v>#VALUE!</v>
          </cell>
          <cell r="AY304" t="e">
            <v>#VALUE!</v>
          </cell>
          <cell r="AZ304" t="e">
            <v>#VALUE!</v>
          </cell>
          <cell r="BA304" t="e">
            <v>#VALUE!</v>
          </cell>
          <cell r="BB304" t="e">
            <v>#VALUE!</v>
          </cell>
          <cell r="BC304" t="e">
            <v>#VALUE!</v>
          </cell>
          <cell r="BD304" t="e">
            <v>#VALUE!</v>
          </cell>
          <cell r="BE304" t="e">
            <v>#VALUE!</v>
          </cell>
        </row>
        <row r="305">
          <cell r="H305">
            <v>0</v>
          </cell>
          <cell r="I305">
            <v>0</v>
          </cell>
          <cell r="J305">
            <v>0</v>
          </cell>
          <cell r="K305">
            <v>0</v>
          </cell>
          <cell r="L305">
            <v>0</v>
          </cell>
          <cell r="M305">
            <v>0</v>
          </cell>
          <cell r="N305">
            <v>0</v>
          </cell>
          <cell r="O305">
            <v>0</v>
          </cell>
          <cell r="P305">
            <v>0</v>
          </cell>
          <cell r="Q305">
            <v>0</v>
          </cell>
          <cell r="R305">
            <v>0</v>
          </cell>
          <cell r="S305">
            <v>0</v>
          </cell>
          <cell r="T305" t="e">
            <v>#VALUE!</v>
          </cell>
          <cell r="U305">
            <v>94.596000000000004</v>
          </cell>
          <cell r="V305">
            <v>695.74199999999996</v>
          </cell>
          <cell r="W305">
            <v>1896.8620000000001</v>
          </cell>
          <cell r="X305">
            <v>752.81500000000005</v>
          </cell>
          <cell r="Y305">
            <v>271.21300000000002</v>
          </cell>
          <cell r="Z305" t="e">
            <v>#N/A</v>
          </cell>
          <cell r="AA305">
            <v>1043.8589999999999</v>
          </cell>
          <cell r="AB305">
            <v>4588.6149999999998</v>
          </cell>
          <cell r="AC305">
            <v>620.47399999999993</v>
          </cell>
          <cell r="AD305" t="e">
            <v>#N/A</v>
          </cell>
          <cell r="AE305">
            <v>449.77800000000002</v>
          </cell>
          <cell r="AF305">
            <v>964.17499999999995</v>
          </cell>
          <cell r="AG305">
            <v>461.83600000000001</v>
          </cell>
          <cell r="AH305">
            <v>0</v>
          </cell>
          <cell r="AI305" t="e">
            <v>#DIV/0!</v>
          </cell>
          <cell r="AJ305" t="e">
            <v>#VALUE!</v>
          </cell>
          <cell r="AK305">
            <v>1002.9</v>
          </cell>
          <cell r="AL305">
            <v>5306</v>
          </cell>
          <cell r="AM305">
            <v>1253.66183</v>
          </cell>
          <cell r="AN305">
            <v>85.905000000000001</v>
          </cell>
          <cell r="AO305" t="e">
            <v>#N/A</v>
          </cell>
          <cell r="AP305" t="e">
            <v>#DIV/0!</v>
          </cell>
          <cell r="AQ305" t="e">
            <v>#VALUE!</v>
          </cell>
          <cell r="AR305">
            <v>543.28300000000002</v>
          </cell>
          <cell r="AS305">
            <v>461.83600000000001</v>
          </cell>
          <cell r="AT305" t="e">
            <v>#N/A</v>
          </cell>
          <cell r="AU305" t="e">
            <v>#DIV/0!</v>
          </cell>
          <cell r="AV305">
            <v>8906.5439999999999</v>
          </cell>
          <cell r="AW305" t="e">
            <v>#VALUE!</v>
          </cell>
          <cell r="AX305" t="e">
            <v>#VALUE!</v>
          </cell>
          <cell r="AY305" t="e">
            <v>#VALUE!</v>
          </cell>
          <cell r="AZ305" t="e">
            <v>#VALUE!</v>
          </cell>
          <cell r="BA305" t="e">
            <v>#VALUE!</v>
          </cell>
          <cell r="BB305" t="e">
            <v>#VALUE!</v>
          </cell>
          <cell r="BC305" t="e">
            <v>#VALUE!</v>
          </cell>
          <cell r="BD305" t="e">
            <v>#VALUE!</v>
          </cell>
          <cell r="BE305" t="e">
            <v>#VALUE!</v>
          </cell>
        </row>
        <row r="309">
          <cell r="H309">
            <v>0</v>
          </cell>
          <cell r="I309">
            <v>0</v>
          </cell>
          <cell r="J309">
            <v>0.5</v>
          </cell>
          <cell r="K309">
            <v>0</v>
          </cell>
          <cell r="L309">
            <v>0</v>
          </cell>
          <cell r="M309">
            <v>0.5</v>
          </cell>
          <cell r="N309">
            <v>0</v>
          </cell>
          <cell r="O309">
            <v>0</v>
          </cell>
          <cell r="P309">
            <v>0</v>
          </cell>
          <cell r="Q309">
            <v>0</v>
          </cell>
          <cell r="R309">
            <v>193.71250000000001</v>
          </cell>
          <cell r="S309">
            <v>0</v>
          </cell>
          <cell r="T309" t="str">
            <v xml:space="preserve">NA </v>
          </cell>
          <cell r="U309">
            <v>71.149000000000001</v>
          </cell>
          <cell r="V309">
            <v>430.10399999999998</v>
          </cell>
          <cell r="W309">
            <v>0</v>
          </cell>
          <cell r="X309">
            <v>598.23099999999999</v>
          </cell>
          <cell r="Y309">
            <v>805.12</v>
          </cell>
          <cell r="Z309" t="str">
            <v xml:space="preserve">NA </v>
          </cell>
          <cell r="AA309" t="str">
            <v xml:space="preserve">NA </v>
          </cell>
          <cell r="AB309">
            <v>36038.432499999995</v>
          </cell>
          <cell r="AC309">
            <v>3814.9940000000001</v>
          </cell>
          <cell r="AD309" t="str">
            <v xml:space="preserve">NA </v>
          </cell>
          <cell r="AE309">
            <v>1346.4490000000001</v>
          </cell>
          <cell r="AF309">
            <v>2558.2429999999999</v>
          </cell>
          <cell r="AG309">
            <v>774.71799999999996</v>
          </cell>
          <cell r="AH309">
            <v>430.10399999999998</v>
          </cell>
          <cell r="AI309" t="str">
            <v xml:space="preserve">NA </v>
          </cell>
          <cell r="AJ309" t="str">
            <v xml:space="preserve">NA </v>
          </cell>
          <cell r="AK309">
            <v>2880</v>
          </cell>
          <cell r="AL309">
            <v>23460.400000000001</v>
          </cell>
          <cell r="AM309">
            <v>1179.4469999999999</v>
          </cell>
          <cell r="AN309">
            <v>149.46250000000001</v>
          </cell>
          <cell r="AO309" t="str">
            <v xml:space="preserve">NA </v>
          </cell>
          <cell r="AP309">
            <v>871.06933333333325</v>
          </cell>
          <cell r="AQ309" t="str">
            <v xml:space="preserve">NA </v>
          </cell>
          <cell r="AR309">
            <v>871.06933333333325</v>
          </cell>
          <cell r="AS309">
            <v>774.71799999999996</v>
          </cell>
          <cell r="AT309" t="str">
            <v xml:space="preserve">NA </v>
          </cell>
          <cell r="AU309">
            <v>19772.669999999998</v>
          </cell>
          <cell r="AV309">
            <v>19772.669999999998</v>
          </cell>
          <cell r="AW309" t="str">
            <v xml:space="preserve">NA </v>
          </cell>
          <cell r="AX309" t="str">
            <v xml:space="preserve">NA </v>
          </cell>
          <cell r="AY309" t="str">
            <v xml:space="preserve">NA </v>
          </cell>
          <cell r="AZ309" t="str">
            <v xml:space="preserve">NA </v>
          </cell>
          <cell r="BA309" t="str">
            <v xml:space="preserve">NA </v>
          </cell>
          <cell r="BB309" t="str">
            <v xml:space="preserve">NA </v>
          </cell>
          <cell r="BC309" t="str">
            <v xml:space="preserve">NA </v>
          </cell>
          <cell r="BD309" t="str">
            <v xml:space="preserve">NA </v>
          </cell>
          <cell r="BE309" t="str">
            <v xml:space="preserve">NA </v>
          </cell>
        </row>
        <row r="310">
          <cell r="H310">
            <v>651.88599999999997</v>
          </cell>
          <cell r="I310">
            <v>297.774</v>
          </cell>
          <cell r="J310">
            <v>74.204000000000008</v>
          </cell>
          <cell r="K310">
            <v>865.8</v>
          </cell>
          <cell r="L310">
            <v>286.60300000000001</v>
          </cell>
          <cell r="M310">
            <v>863.29</v>
          </cell>
          <cell r="N310">
            <v>1179.02</v>
          </cell>
          <cell r="O310">
            <v>104.3</v>
          </cell>
          <cell r="P310">
            <v>1298.22</v>
          </cell>
          <cell r="Q310">
            <v>2055.6999999999998</v>
          </cell>
          <cell r="R310">
            <v>792.83749999999998</v>
          </cell>
          <cell r="S310">
            <v>902.26099999999997</v>
          </cell>
          <cell r="T310" t="str">
            <v xml:space="preserve">NA </v>
          </cell>
          <cell r="U310">
            <v>105.1</v>
          </cell>
          <cell r="V310">
            <v>1170.8699999999999</v>
          </cell>
          <cell r="W310">
            <v>651.88599999999997</v>
          </cell>
          <cell r="X310">
            <v>706.82500000000005</v>
          </cell>
          <cell r="Y310">
            <v>1181.761</v>
          </cell>
          <cell r="Z310" t="str">
            <v xml:space="preserve">NA </v>
          </cell>
          <cell r="AA310">
            <v>41782.035000000003</v>
          </cell>
          <cell r="AB310">
            <v>41782.035000000003</v>
          </cell>
          <cell r="AC310">
            <v>4007.8830000000003</v>
          </cell>
          <cell r="AD310" t="str">
            <v xml:space="preserve">NA </v>
          </cell>
          <cell r="AE310">
            <v>1873.2455</v>
          </cell>
          <cell r="AF310">
            <v>2805.6</v>
          </cell>
          <cell r="AG310">
            <v>931.6</v>
          </cell>
          <cell r="AH310">
            <v>1170.8699999999999</v>
          </cell>
          <cell r="AI310">
            <v>826.72300000000007</v>
          </cell>
          <cell r="AJ310" t="str">
            <v xml:space="preserve">NA </v>
          </cell>
          <cell r="AK310">
            <v>3203.14</v>
          </cell>
          <cell r="AL310">
            <v>39302.589999999997</v>
          </cell>
          <cell r="AM310">
            <v>1220.6500000000001</v>
          </cell>
          <cell r="AN310">
            <v>366.50400000000002</v>
          </cell>
          <cell r="AO310" t="str">
            <v xml:space="preserve">NA </v>
          </cell>
          <cell r="AP310">
            <v>1530.0246666666667</v>
          </cell>
          <cell r="AQ310" t="str">
            <v xml:space="preserve">NA </v>
          </cell>
          <cell r="AR310">
            <v>1530.0246666666667</v>
          </cell>
          <cell r="AS310">
            <v>931.6</v>
          </cell>
          <cell r="AT310" t="str">
            <v xml:space="preserve">NA </v>
          </cell>
          <cell r="AU310">
            <v>45340.45</v>
          </cell>
          <cell r="AV310">
            <v>45340.45</v>
          </cell>
          <cell r="AW310" t="str">
            <v xml:space="preserve">NA </v>
          </cell>
          <cell r="AX310" t="str">
            <v xml:space="preserve">NA </v>
          </cell>
          <cell r="AY310" t="str">
            <v xml:space="preserve">NA </v>
          </cell>
          <cell r="AZ310" t="str">
            <v xml:space="preserve">NA </v>
          </cell>
          <cell r="BA310" t="str">
            <v xml:space="preserve">NA </v>
          </cell>
          <cell r="BB310" t="str">
            <v xml:space="preserve">NA </v>
          </cell>
          <cell r="BC310" t="str">
            <v xml:space="preserve">NA </v>
          </cell>
          <cell r="BD310" t="str">
            <v xml:space="preserve">NA </v>
          </cell>
          <cell r="BE310" t="str">
            <v xml:space="preserve">NA </v>
          </cell>
        </row>
        <row r="311">
          <cell r="H311">
            <v>739.88300000000004</v>
          </cell>
          <cell r="I311">
            <v>346.4</v>
          </cell>
          <cell r="J311">
            <v>159.20400000000001</v>
          </cell>
          <cell r="K311">
            <v>937</v>
          </cell>
          <cell r="L311">
            <v>346.274</v>
          </cell>
          <cell r="M311">
            <v>1808.665</v>
          </cell>
          <cell r="N311">
            <v>1241.45</v>
          </cell>
          <cell r="O311">
            <v>122.65</v>
          </cell>
          <cell r="P311">
            <v>1396.81</v>
          </cell>
          <cell r="Q311">
            <v>2192.38</v>
          </cell>
          <cell r="R311">
            <v>881.87869000000001</v>
          </cell>
          <cell r="S311">
            <v>996.26700000000005</v>
          </cell>
          <cell r="T311" t="str">
            <v xml:space="preserve">NA </v>
          </cell>
          <cell r="U311">
            <v>131.9</v>
          </cell>
          <cell r="V311">
            <v>1665.0744999999999</v>
          </cell>
          <cell r="W311">
            <v>739.88300000000004</v>
          </cell>
          <cell r="X311">
            <v>788.39400000000001</v>
          </cell>
          <cell r="Y311">
            <v>1462.2560000000001</v>
          </cell>
          <cell r="Z311" t="str">
            <v xml:space="preserve">NA </v>
          </cell>
          <cell r="AA311">
            <v>47526.497499999998</v>
          </cell>
          <cell r="AB311">
            <v>47526.497499999998</v>
          </cell>
          <cell r="AC311">
            <v>4167.6499999999996</v>
          </cell>
          <cell r="AD311" t="str">
            <v xml:space="preserve">NA </v>
          </cell>
          <cell r="AE311">
            <v>2467.6355199999998</v>
          </cell>
          <cell r="AF311">
            <v>3000</v>
          </cell>
          <cell r="AG311">
            <v>1072.6500000000001</v>
          </cell>
          <cell r="AH311">
            <v>1665.0744999999999</v>
          </cell>
          <cell r="AI311">
            <v>799.10500000000002</v>
          </cell>
          <cell r="AJ311" t="str">
            <v xml:space="preserve">NA </v>
          </cell>
          <cell r="AK311">
            <v>3397.2649999999999</v>
          </cell>
          <cell r="AL311">
            <v>46176.817499999997</v>
          </cell>
          <cell r="AM311">
            <v>1309.6600000000001</v>
          </cell>
          <cell r="AN311">
            <v>574.30956000000003</v>
          </cell>
          <cell r="AO311" t="str">
            <v xml:space="preserve">NA </v>
          </cell>
          <cell r="AP311">
            <v>1763.9683333333332</v>
          </cell>
          <cell r="AQ311" t="str">
            <v xml:space="preserve">NA </v>
          </cell>
          <cell r="AR311">
            <v>1763.9683333333332</v>
          </cell>
          <cell r="AS311">
            <v>1072.6500000000001</v>
          </cell>
          <cell r="AT311" t="str">
            <v xml:space="preserve">NA </v>
          </cell>
          <cell r="AU311">
            <v>54681.75</v>
          </cell>
          <cell r="AV311">
            <v>54681.75</v>
          </cell>
          <cell r="AW311" t="str">
            <v xml:space="preserve">NA </v>
          </cell>
          <cell r="AX311" t="str">
            <v xml:space="preserve">NA </v>
          </cell>
          <cell r="AY311" t="str">
            <v xml:space="preserve">NA </v>
          </cell>
          <cell r="AZ311" t="str">
            <v xml:space="preserve">NA </v>
          </cell>
          <cell r="BA311" t="str">
            <v xml:space="preserve">NA </v>
          </cell>
          <cell r="BB311" t="str">
            <v xml:space="preserve">NA </v>
          </cell>
          <cell r="BC311" t="str">
            <v xml:space="preserve">NA </v>
          </cell>
          <cell r="BD311" t="str">
            <v xml:space="preserve">NA </v>
          </cell>
          <cell r="BE311" t="str">
            <v xml:space="preserve">NA </v>
          </cell>
        </row>
        <row r="312">
          <cell r="H312">
            <v>878.6850508</v>
          </cell>
          <cell r="I312">
            <v>418</v>
          </cell>
          <cell r="J312">
            <v>186.71949999999998</v>
          </cell>
          <cell r="K312">
            <v>1105.6600000000001</v>
          </cell>
          <cell r="L312">
            <v>407.96699999999998</v>
          </cell>
          <cell r="M312">
            <v>2046.16965</v>
          </cell>
          <cell r="N312">
            <v>1322.8</v>
          </cell>
          <cell r="O312">
            <v>150.12360000000001</v>
          </cell>
          <cell r="P312">
            <v>1616.8075749999998</v>
          </cell>
          <cell r="Q312">
            <v>2554.1227000000003</v>
          </cell>
          <cell r="R312">
            <v>881.87869000000001</v>
          </cell>
          <cell r="S312">
            <v>1177.7868473999999</v>
          </cell>
          <cell r="T312" t="str">
            <v xml:space="preserve">NA </v>
          </cell>
          <cell r="U312">
            <v>163.22624999999999</v>
          </cell>
          <cell r="V312">
            <v>2096.6757716000002</v>
          </cell>
          <cell r="W312">
            <v>878.6850508</v>
          </cell>
          <cell r="X312">
            <v>911.93533980000007</v>
          </cell>
          <cell r="Y312">
            <v>1839.0793712000002</v>
          </cell>
          <cell r="Z312" t="str">
            <v xml:space="preserve">NA </v>
          </cell>
          <cell r="AA312" t="str">
            <v xml:space="preserve">NA </v>
          </cell>
          <cell r="AB312" t="str">
            <v xml:space="preserve">NA </v>
          </cell>
          <cell r="AC312">
            <v>4709.4444999999987</v>
          </cell>
          <cell r="AD312" t="str">
            <v xml:space="preserve">NA </v>
          </cell>
          <cell r="AE312">
            <v>2467.6355199999998</v>
          </cell>
          <cell r="AF312">
            <v>3450</v>
          </cell>
          <cell r="AG312">
            <v>1304.6641950000001</v>
          </cell>
          <cell r="AH312">
            <v>2096.6757716000002</v>
          </cell>
          <cell r="AI312">
            <v>879.01550000000009</v>
          </cell>
          <cell r="AJ312" t="str">
            <v xml:space="preserve">NA </v>
          </cell>
          <cell r="AK312">
            <v>3935.0520495000001</v>
          </cell>
          <cell r="AL312">
            <v>52035.112500000003</v>
          </cell>
          <cell r="AM312">
            <v>1459.4851040000001</v>
          </cell>
          <cell r="AN312">
            <v>574.30956000000003</v>
          </cell>
          <cell r="AO312" t="str">
            <v xml:space="preserve">NA </v>
          </cell>
          <cell r="AP312">
            <v>2052.1066880000003</v>
          </cell>
          <cell r="AQ312" t="str">
            <v xml:space="preserve">NA </v>
          </cell>
          <cell r="AR312">
            <v>2052.1066880000003</v>
          </cell>
          <cell r="AS312">
            <v>1304.6641950000001</v>
          </cell>
          <cell r="AT312" t="str">
            <v xml:space="preserve">NA </v>
          </cell>
          <cell r="AU312">
            <v>62265.919999999998</v>
          </cell>
          <cell r="AV312">
            <v>62265.919999999998</v>
          </cell>
          <cell r="AW312" t="str">
            <v xml:space="preserve">NA </v>
          </cell>
          <cell r="AX312" t="str">
            <v xml:space="preserve">NA </v>
          </cell>
          <cell r="AY312" t="str">
            <v xml:space="preserve">NA </v>
          </cell>
          <cell r="AZ312" t="str">
            <v xml:space="preserve">NA </v>
          </cell>
          <cell r="BA312" t="str">
            <v xml:space="preserve">NA </v>
          </cell>
          <cell r="BB312" t="str">
            <v xml:space="preserve">NA </v>
          </cell>
          <cell r="BC312" t="str">
            <v xml:space="preserve">NA </v>
          </cell>
          <cell r="BD312" t="str">
            <v xml:space="preserve">NA </v>
          </cell>
          <cell r="BE312" t="str">
            <v xml:space="preserve">NA </v>
          </cell>
        </row>
        <row r="319">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row>
        <row r="322">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1018.396</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row>
        <row r="323">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88.572000000000003</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row>
        <row r="324">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9.9600000000000009</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row>
        <row r="325">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row>
        <row r="326">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98.532000000000011</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row>
        <row r="327">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98.532000000000011</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row>
        <row r="328">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57.956000000000003</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row>
        <row r="329">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1.7173674697010106</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row>
        <row r="333">
          <cell r="H333" t="e">
            <v>#DIV/0!</v>
          </cell>
          <cell r="I333" t="e">
            <v>#DIV/0!</v>
          </cell>
          <cell r="J333" t="e">
            <v>#DIV/0!</v>
          </cell>
          <cell r="K333" t="e">
            <v>#DIV/0!</v>
          </cell>
          <cell r="L333" t="e">
            <v>#DIV/0!</v>
          </cell>
          <cell r="M333" t="e">
            <v>#DIV/0!</v>
          </cell>
          <cell r="N333" t="e">
            <v>#DIV/0!</v>
          </cell>
          <cell r="O333" t="e">
            <v>#DIV/0!</v>
          </cell>
          <cell r="P333" t="e">
            <v>#DIV/0!</v>
          </cell>
          <cell r="Q333" t="e">
            <v>#DIV/0!</v>
          </cell>
          <cell r="R333" t="e">
            <v>#DIV/0!</v>
          </cell>
          <cell r="S333" t="e">
            <v>#DIV/0!</v>
          </cell>
          <cell r="T333" t="e">
            <v>#VALUE!</v>
          </cell>
          <cell r="U333">
            <v>3.3068320810763586E-2</v>
          </cell>
          <cell r="V333">
            <v>0.47698989924722007</v>
          </cell>
          <cell r="W333">
            <v>1.1277874807805904E-2</v>
          </cell>
          <cell r="X333">
            <v>1.0053782918395942</v>
          </cell>
          <cell r="Y333">
            <v>0</v>
          </cell>
          <cell r="Z333" t="e">
            <v>#N/A</v>
          </cell>
          <cell r="AA333">
            <v>0.48502187288828819</v>
          </cell>
          <cell r="AB333">
            <v>0.36984786218335464</v>
          </cell>
          <cell r="AC333">
            <v>0.63947481761564662</v>
          </cell>
          <cell r="AD333" t="e">
            <v>#N/A</v>
          </cell>
          <cell r="AE333">
            <v>0.3848782860908066</v>
          </cell>
          <cell r="AF333">
            <v>0.3629360002827155</v>
          </cell>
          <cell r="AG333">
            <v>0.88126700666416846</v>
          </cell>
          <cell r="AH333" t="e">
            <v>#DIV/0!</v>
          </cell>
          <cell r="AI333" t="e">
            <v>#DIV/0!</v>
          </cell>
          <cell r="AJ333" t="e">
            <v>#VALUE!</v>
          </cell>
          <cell r="AK333">
            <v>21.090308370044053</v>
          </cell>
          <cell r="AL333">
            <v>0.33343385605146769</v>
          </cell>
          <cell r="AM333">
            <v>0.55622296303024366</v>
          </cell>
          <cell r="AN333">
            <v>0.13773922256804186</v>
          </cell>
          <cell r="AO333" t="e">
            <v>#N/A</v>
          </cell>
          <cell r="AP333" t="e">
            <v>#DIV/0!</v>
          </cell>
          <cell r="AQ333" t="e">
            <v>#VALUE!</v>
          </cell>
          <cell r="AR333">
            <v>0</v>
          </cell>
          <cell r="AS333">
            <v>0.88126700666416846</v>
          </cell>
          <cell r="AT333" t="e">
            <v>#N/A</v>
          </cell>
          <cell r="AU333" t="e">
            <v>#DIV/0!</v>
          </cell>
          <cell r="AV333">
            <v>0.43445707843453052</v>
          </cell>
          <cell r="AW333" t="e">
            <v>#VALUE!</v>
          </cell>
          <cell r="AX333" t="e">
            <v>#VALUE!</v>
          </cell>
          <cell r="AY333" t="e">
            <v>#VALUE!</v>
          </cell>
          <cell r="AZ333" t="e">
            <v>#VALUE!</v>
          </cell>
          <cell r="BA333" t="e">
            <v>#VALUE!</v>
          </cell>
          <cell r="BB333" t="e">
            <v>#VALUE!</v>
          </cell>
          <cell r="BC333" t="e">
            <v>#VALUE!</v>
          </cell>
          <cell r="BD333" t="e">
            <v>#VALUE!</v>
          </cell>
          <cell r="BE333" t="e">
            <v>#VALUE!</v>
          </cell>
        </row>
        <row r="334">
          <cell r="H334" t="e">
            <v>#DIV/0!</v>
          </cell>
          <cell r="I334" t="e">
            <v>#DIV/0!</v>
          </cell>
          <cell r="J334" t="e">
            <v>#DIV/0!</v>
          </cell>
          <cell r="K334" t="e">
            <v>#DIV/0!</v>
          </cell>
          <cell r="L334" t="e">
            <v>#DIV/0!</v>
          </cell>
          <cell r="M334" t="e">
            <v>#DIV/0!</v>
          </cell>
          <cell r="N334" t="e">
            <v>#DIV/0!</v>
          </cell>
          <cell r="O334" t="e">
            <v>#DIV/0!</v>
          </cell>
          <cell r="P334" t="e">
            <v>#DIV/0!</v>
          </cell>
          <cell r="Q334" t="e">
            <v>#DIV/0!</v>
          </cell>
          <cell r="R334" t="e">
            <v>#DIV/0!</v>
          </cell>
          <cell r="S334" t="e">
            <v>#DIV/0!</v>
          </cell>
          <cell r="T334" t="e">
            <v>#VALUE!</v>
          </cell>
          <cell r="U334">
            <v>3.2009810139963631E-2</v>
          </cell>
          <cell r="V334">
            <v>0.32294729942996109</v>
          </cell>
          <cell r="W334">
            <v>1.1152102788711038E-2</v>
          </cell>
          <cell r="X334">
            <v>0.50134096690421948</v>
          </cell>
          <cell r="Y334">
            <v>0</v>
          </cell>
          <cell r="Z334" t="e">
            <v>#N/A</v>
          </cell>
          <cell r="AA334">
            <v>0.3266092451183541</v>
          </cell>
          <cell r="AB334">
            <v>0.26999192566820268</v>
          </cell>
          <cell r="AC334">
            <v>0.39004857576626906</v>
          </cell>
          <cell r="AD334" t="e">
            <v>#N/A</v>
          </cell>
          <cell r="AE334">
            <v>0.27791488245312129</v>
          </cell>
          <cell r="AF334">
            <v>0.26628983327715405</v>
          </cell>
          <cell r="AG334">
            <v>0.4684433435245412</v>
          </cell>
          <cell r="AH334" t="e">
            <v>#DIV/0!</v>
          </cell>
          <cell r="AI334" t="e">
            <v>#DIV/0!</v>
          </cell>
          <cell r="AJ334" t="e">
            <v>#VALUE!</v>
          </cell>
          <cell r="AK334">
            <v>0.95473127929005885</v>
          </cell>
          <cell r="AL334">
            <v>0.25005653976630232</v>
          </cell>
          <cell r="AM334">
            <v>0.35741855520958149</v>
          </cell>
          <cell r="AN334">
            <v>0.12106396600896339</v>
          </cell>
          <cell r="AO334" t="e">
            <v>#N/A</v>
          </cell>
          <cell r="AP334" t="e">
            <v>#DIV/0!</v>
          </cell>
          <cell r="AQ334" t="e">
            <v>#VALUE!</v>
          </cell>
          <cell r="AR334">
            <v>0</v>
          </cell>
          <cell r="AS334">
            <v>0.4684433435245412</v>
          </cell>
          <cell r="AT334" t="e">
            <v>#N/A</v>
          </cell>
          <cell r="AU334" t="e">
            <v>#DIV/0!</v>
          </cell>
          <cell r="AV334">
            <v>0.30287213536473856</v>
          </cell>
          <cell r="AW334" t="e">
            <v>#VALUE!</v>
          </cell>
          <cell r="AX334" t="e">
            <v>#VALUE!</v>
          </cell>
          <cell r="AY334" t="e">
            <v>#VALUE!</v>
          </cell>
          <cell r="AZ334" t="e">
            <v>#VALUE!</v>
          </cell>
          <cell r="BA334" t="e">
            <v>#VALUE!</v>
          </cell>
          <cell r="BB334" t="e">
            <v>#VALUE!</v>
          </cell>
          <cell r="BC334" t="e">
            <v>#VALUE!</v>
          </cell>
          <cell r="BD334" t="e">
            <v>#VALUE!</v>
          </cell>
          <cell r="BE334" t="e">
            <v>#VALUE!</v>
          </cell>
        </row>
        <row r="335">
          <cell r="H335">
            <v>0</v>
          </cell>
          <cell r="I335">
            <v>0</v>
          </cell>
          <cell r="J335">
            <v>0</v>
          </cell>
          <cell r="K335">
            <v>0</v>
          </cell>
          <cell r="L335">
            <v>0</v>
          </cell>
          <cell r="M335">
            <v>0</v>
          </cell>
          <cell r="N335">
            <v>0</v>
          </cell>
          <cell r="O335">
            <v>0</v>
          </cell>
          <cell r="P335">
            <v>0</v>
          </cell>
          <cell r="Q335">
            <v>0</v>
          </cell>
          <cell r="R335">
            <v>0</v>
          </cell>
          <cell r="S335">
            <v>0</v>
          </cell>
          <cell r="T335" t="e">
            <v>#VALUE!</v>
          </cell>
          <cell r="U335">
            <v>8.8588866269284829E-3</v>
          </cell>
          <cell r="V335">
            <v>0.15307732625778603</v>
          </cell>
          <cell r="W335">
            <v>1.1574160335215539E-2</v>
          </cell>
          <cell r="X335">
            <v>0.22820228024703099</v>
          </cell>
          <cell r="Y335">
            <v>0</v>
          </cell>
          <cell r="Z335" t="e">
            <v>#N/A</v>
          </cell>
          <cell r="AA335">
            <v>8.8481266666178393E-2</v>
          </cell>
          <cell r="AB335">
            <v>0.15095192856660783</v>
          </cell>
          <cell r="AC335">
            <v>0.40164981543094397</v>
          </cell>
          <cell r="AD335" t="e">
            <v>#N/A</v>
          </cell>
          <cell r="AE335">
            <v>0.22387679760513463</v>
          </cell>
          <cell r="AF335">
            <v>0.10775239109060843</v>
          </cell>
          <cell r="AG335">
            <v>0.26001184308563613</v>
          </cell>
          <cell r="AH335">
            <v>0</v>
          </cell>
          <cell r="AI335" t="e">
            <v>#DIV/0!</v>
          </cell>
          <cell r="AJ335" t="e">
            <v>#VALUE!</v>
          </cell>
          <cell r="AK335">
            <v>0.57221913452976436</v>
          </cell>
          <cell r="AL335">
            <v>0.13857194033093087</v>
          </cell>
          <cell r="AM335">
            <v>0.12063472892986141</v>
          </cell>
          <cell r="AN335">
            <v>0.16923387716085408</v>
          </cell>
          <cell r="AO335" t="e">
            <v>#N/A</v>
          </cell>
          <cell r="AP335" t="e">
            <v>#DIV/0!</v>
          </cell>
          <cell r="AQ335" t="e">
            <v>#VALUE!</v>
          </cell>
          <cell r="AR335">
            <v>0</v>
          </cell>
          <cell r="AS335">
            <v>0.50002277516468485</v>
          </cell>
          <cell r="AT335" t="e">
            <v>#N/A</v>
          </cell>
          <cell r="AU335" t="e">
            <v>#DIV/0!</v>
          </cell>
          <cell r="AV335">
            <v>9.0651199365535964E-2</v>
          </cell>
          <cell r="AW335" t="e">
            <v>#VALUE!</v>
          </cell>
          <cell r="AX335" t="e">
            <v>#VALUE!</v>
          </cell>
          <cell r="AY335" t="e">
            <v>#VALUE!</v>
          </cell>
          <cell r="AZ335" t="e">
            <v>#VALUE!</v>
          </cell>
          <cell r="BA335" t="e">
            <v>#VALUE!</v>
          </cell>
          <cell r="BB335" t="e">
            <v>#VALUE!</v>
          </cell>
          <cell r="BC335" t="e">
            <v>#VALUE!</v>
          </cell>
          <cell r="BD335" t="e">
            <v>#VALUE!</v>
          </cell>
          <cell r="BE335" t="e">
            <v>#VALUE!</v>
          </cell>
        </row>
        <row r="336">
          <cell r="H336" t="e">
            <v>#DIV/0!</v>
          </cell>
          <cell r="I336" t="e">
            <v>#DIV/0!</v>
          </cell>
          <cell r="J336" t="e">
            <v>#DIV/0!</v>
          </cell>
          <cell r="K336" t="e">
            <v>#DIV/0!</v>
          </cell>
          <cell r="L336" t="e">
            <v>#DIV/0!</v>
          </cell>
          <cell r="M336" t="e">
            <v>#DIV/0!</v>
          </cell>
          <cell r="N336" t="e">
            <v>#DIV/0!</v>
          </cell>
          <cell r="O336" t="e">
            <v>#DIV/0!</v>
          </cell>
          <cell r="P336" t="e">
            <v>#DIV/0!</v>
          </cell>
          <cell r="Q336" t="e">
            <v>#DIV/0!</v>
          </cell>
          <cell r="R336" t="e">
            <v>#DIV/0!</v>
          </cell>
          <cell r="S336" t="e">
            <v>#DIV/0!</v>
          </cell>
          <cell r="T336" t="e">
            <v>#DIV/0!</v>
          </cell>
          <cell r="U336">
            <v>-6.082077051926297</v>
          </cell>
          <cell r="V336">
            <v>213.01112877583466</v>
          </cell>
          <cell r="W336">
            <v>13.896939726316541</v>
          </cell>
          <cell r="X336">
            <v>6.230862602294529</v>
          </cell>
          <cell r="Y336" t="e">
            <v>#DIV/0!</v>
          </cell>
          <cell r="Z336">
            <v>2.2921025796672843</v>
          </cell>
          <cell r="AA336">
            <v>8.0582519110751996</v>
          </cell>
          <cell r="AB336">
            <v>4.0286063574090729</v>
          </cell>
          <cell r="AC336">
            <v>7.1056276516096846</v>
          </cell>
          <cell r="AD336" t="e">
            <v>#DIV/0!</v>
          </cell>
          <cell r="AE336">
            <v>2.6400159638153511</v>
          </cell>
          <cell r="AF336">
            <v>11.833591515729267</v>
          </cell>
          <cell r="AG336">
            <v>8.8584567070435174</v>
          </cell>
          <cell r="AH336" t="e">
            <v>#DIV/0!</v>
          </cell>
          <cell r="AI336">
            <v>-0.13712742548509654</v>
          </cell>
          <cell r="AJ336">
            <v>10.242457519361924</v>
          </cell>
          <cell r="AK336">
            <v>3.2163009404388712</v>
          </cell>
          <cell r="AL336">
            <v>8.6789667896678964</v>
          </cell>
          <cell r="AM336">
            <v>17.576351106274934</v>
          </cell>
          <cell r="AN336">
            <v>32.076923076923066</v>
          </cell>
          <cell r="AO336" t="e">
            <v>#DIV/0!</v>
          </cell>
          <cell r="AP336">
            <v>13.890128512921903</v>
          </cell>
          <cell r="AQ336">
            <v>84.798492366412205</v>
          </cell>
          <cell r="AR336">
            <v>31.495881862703154</v>
          </cell>
          <cell r="AS336">
            <v>8.8584567070435192</v>
          </cell>
          <cell r="AT336" t="e">
            <v>#DIV/0!</v>
          </cell>
          <cell r="AU336">
            <v>14.664827586206901</v>
          </cell>
          <cell r="AV336">
            <v>14.292585904251965</v>
          </cell>
          <cell r="AW336" t="e">
            <v>#DIV/0!</v>
          </cell>
          <cell r="AX336" t="e">
            <v>#DIV/0!</v>
          </cell>
          <cell r="AY336" t="e">
            <v>#DIV/0!</v>
          </cell>
          <cell r="AZ336" t="e">
            <v>#DIV/0!</v>
          </cell>
          <cell r="BA336" t="e">
            <v>#DIV/0!</v>
          </cell>
          <cell r="BB336" t="e">
            <v>#DIV/0!</v>
          </cell>
          <cell r="BC336" t="e">
            <v>#DIV/0!</v>
          </cell>
          <cell r="BD336" t="e">
            <v>#DIV/0!</v>
          </cell>
          <cell r="BE336" t="e">
            <v>#DIV/0!</v>
          </cell>
        </row>
        <row r="337">
          <cell r="H337" t="e">
            <v>#DIV/0!</v>
          </cell>
          <cell r="I337" t="e">
            <v>#DIV/0!</v>
          </cell>
          <cell r="J337" t="e">
            <v>#DIV/0!</v>
          </cell>
          <cell r="K337" t="e">
            <v>#DIV/0!</v>
          </cell>
          <cell r="L337" t="e">
            <v>#DIV/0!</v>
          </cell>
          <cell r="M337" t="e">
            <v>#DIV/0!</v>
          </cell>
          <cell r="N337" t="e">
            <v>#DIV/0!</v>
          </cell>
          <cell r="O337" t="e">
            <v>#DIV/0!</v>
          </cell>
          <cell r="P337" t="e">
            <v>#DIV/0!</v>
          </cell>
          <cell r="Q337" t="e">
            <v>#DIV/0!</v>
          </cell>
          <cell r="R337" t="e">
            <v>#DIV/0!</v>
          </cell>
          <cell r="S337" t="e">
            <v>#DIV/0!</v>
          </cell>
          <cell r="T337" t="e">
            <v>#DIV/0!</v>
          </cell>
          <cell r="U337">
            <v>12.788107202680068</v>
          </cell>
          <cell r="V337">
            <v>183.0643879173291</v>
          </cell>
          <cell r="W337">
            <v>10.900300996522862</v>
          </cell>
          <cell r="X337">
            <v>3.3893652844668929</v>
          </cell>
          <cell r="Y337" t="e">
            <v>#DIV/0!</v>
          </cell>
          <cell r="Z337">
            <v>1.907295578162679</v>
          </cell>
          <cell r="AA337">
            <v>7.5281797208075956</v>
          </cell>
          <cell r="AB337">
            <v>3.7580260982298852</v>
          </cell>
          <cell r="AC337">
            <v>6.7022086348889447</v>
          </cell>
          <cell r="AD337" t="e">
            <v>#DIV/0!</v>
          </cell>
          <cell r="AE337">
            <v>1.1162032725821469</v>
          </cell>
          <cell r="AF337">
            <v>8.4041348903717843</v>
          </cell>
          <cell r="AG337">
            <v>4.0978764767459248</v>
          </cell>
          <cell r="AH337" t="e">
            <v>#DIV/0!</v>
          </cell>
          <cell r="AI337">
            <v>0.65279722611188939</v>
          </cell>
          <cell r="AJ337">
            <v>9.1291950834200293</v>
          </cell>
          <cell r="AK337">
            <v>2.7774294670846396</v>
          </cell>
          <cell r="AL337">
            <v>7.4086715867158661</v>
          </cell>
          <cell r="AM337">
            <v>10.940938217869663</v>
          </cell>
          <cell r="AN337">
            <v>-38.282051282051306</v>
          </cell>
          <cell r="AO337" t="e">
            <v>#DIV/0!</v>
          </cell>
          <cell r="AP337">
            <v>12.057760203361106</v>
          </cell>
          <cell r="AQ337">
            <v>82.002246183206111</v>
          </cell>
          <cell r="AR337">
            <v>28.103792256201871</v>
          </cell>
          <cell r="AS337">
            <v>4.0978764767459266</v>
          </cell>
          <cell r="AT337" t="e">
            <v>#DIV/0!</v>
          </cell>
          <cell r="AU337">
            <v>12.647586206896555</v>
          </cell>
          <cell r="AV337">
            <v>12.017288191243516</v>
          </cell>
          <cell r="AW337" t="e">
            <v>#DIV/0!</v>
          </cell>
          <cell r="AX337" t="e">
            <v>#DIV/0!</v>
          </cell>
          <cell r="AY337" t="e">
            <v>#DIV/0!</v>
          </cell>
          <cell r="AZ337" t="e">
            <v>#DIV/0!</v>
          </cell>
          <cell r="BA337" t="e">
            <v>#DIV/0!</v>
          </cell>
          <cell r="BB337" t="e">
            <v>#DIV/0!</v>
          </cell>
          <cell r="BC337" t="e">
            <v>#DIV/0!</v>
          </cell>
          <cell r="BD337" t="e">
            <v>#DIV/0!</v>
          </cell>
          <cell r="BE337" t="e">
            <v>#DIV/0!</v>
          </cell>
        </row>
        <row r="338">
          <cell r="H338" t="str">
            <v xml:space="preserve">NA </v>
          </cell>
          <cell r="I338" t="str">
            <v xml:space="preserve">NA </v>
          </cell>
          <cell r="J338" t="str">
            <v xml:space="preserve">NA </v>
          </cell>
          <cell r="K338" t="str">
            <v xml:space="preserve">NA </v>
          </cell>
          <cell r="L338" t="str">
            <v xml:space="preserve">NA </v>
          </cell>
          <cell r="M338" t="str">
            <v xml:space="preserve">NA </v>
          </cell>
          <cell r="N338" t="str">
            <v xml:space="preserve">NA </v>
          </cell>
          <cell r="O338" t="str">
            <v xml:space="preserve">NA </v>
          </cell>
          <cell r="P338" t="str">
            <v xml:space="preserve">NA </v>
          </cell>
          <cell r="Q338" t="str">
            <v xml:space="preserve">NA </v>
          </cell>
          <cell r="R338" t="str">
            <v xml:space="preserve">NA </v>
          </cell>
          <cell r="S338" t="str">
            <v xml:space="preserve">NA </v>
          </cell>
          <cell r="T338" t="str">
            <v xml:space="preserve">NA </v>
          </cell>
          <cell r="U338">
            <v>0.41696502340952912</v>
          </cell>
          <cell r="V338">
            <v>0.85842327456111855</v>
          </cell>
          <cell r="W338">
            <v>0.1540055218861287</v>
          </cell>
          <cell r="X338">
            <v>2.418952091011056</v>
          </cell>
          <cell r="Y338">
            <v>0</v>
          </cell>
          <cell r="Z338" t="e">
            <v>#N/A</v>
          </cell>
          <cell r="AA338">
            <v>1.3494587266718119</v>
          </cell>
          <cell r="AB338">
            <v>1.6634942416995746</v>
          </cell>
          <cell r="AC338">
            <v>2.1250076829193336</v>
          </cell>
          <cell r="AD338" t="str">
            <v xml:space="preserve">NA </v>
          </cell>
          <cell r="AE338">
            <v>3.2496230437269276</v>
          </cell>
          <cell r="AF338">
            <v>1.3705101447109251</v>
          </cell>
          <cell r="AG338">
            <v>1.861696268759466</v>
          </cell>
          <cell r="AH338">
            <v>0</v>
          </cell>
          <cell r="AI338" t="e">
            <v>#DIV/0!</v>
          </cell>
          <cell r="AJ338" t="e">
            <v>#VALUE!</v>
          </cell>
          <cell r="AK338">
            <v>3.1107862248213132</v>
          </cell>
          <cell r="AL338">
            <v>1.4102891156462587</v>
          </cell>
          <cell r="AM338">
            <v>1.5411352786605583</v>
          </cell>
          <cell r="AN338">
            <v>16.747181964573283</v>
          </cell>
          <cell r="AO338" t="str">
            <v xml:space="preserve">NA </v>
          </cell>
          <cell r="AP338" t="e">
            <v>#DIV/0!</v>
          </cell>
          <cell r="AQ338" t="e">
            <v>#VALUE!</v>
          </cell>
          <cell r="AR338">
            <v>0</v>
          </cell>
          <cell r="AS338">
            <v>1.8616962687594658</v>
          </cell>
          <cell r="AT338" t="e">
            <v>#N/A</v>
          </cell>
          <cell r="AU338" t="e">
            <v>#DIV/0!</v>
          </cell>
          <cell r="AV338">
            <v>1.1931299833650095</v>
          </cell>
          <cell r="AW338" t="str">
            <v xml:space="preserve">NA </v>
          </cell>
          <cell r="AX338" t="str">
            <v xml:space="preserve">NA </v>
          </cell>
          <cell r="AY338" t="str">
            <v xml:space="preserve">NA </v>
          </cell>
          <cell r="AZ338" t="str">
            <v xml:space="preserve">NA </v>
          </cell>
          <cell r="BA338" t="str">
            <v xml:space="preserve">NA </v>
          </cell>
          <cell r="BB338" t="str">
            <v xml:space="preserve">NA </v>
          </cell>
          <cell r="BC338" t="str">
            <v xml:space="preserve">NA </v>
          </cell>
          <cell r="BD338" t="str">
            <v xml:space="preserve">NA </v>
          </cell>
          <cell r="BE338" t="str">
            <v xml:space="preserve">NA </v>
          </cell>
        </row>
        <row r="339">
          <cell r="H339" t="e">
            <v>#DIV/0!</v>
          </cell>
          <cell r="I339" t="e">
            <v>#DIV/0!</v>
          </cell>
          <cell r="J339" t="e">
            <v>#DIV/0!</v>
          </cell>
          <cell r="K339" t="e">
            <v>#DIV/0!</v>
          </cell>
          <cell r="L339" t="e">
            <v>#DIV/0!</v>
          </cell>
          <cell r="M339" t="e">
            <v>#DIV/0!</v>
          </cell>
          <cell r="N339" t="e">
            <v>#DIV/0!</v>
          </cell>
          <cell r="O339" t="e">
            <v>#DIV/0!</v>
          </cell>
          <cell r="P339" t="e">
            <v>#DIV/0!</v>
          </cell>
          <cell r="Q339" t="e">
            <v>#DIV/0!</v>
          </cell>
          <cell r="R339" t="e">
            <v>#DIV/0!</v>
          </cell>
          <cell r="S339" t="e">
            <v>#DIV/0!</v>
          </cell>
          <cell r="T339" t="e">
            <v>#VALUE!</v>
          </cell>
          <cell r="U339">
            <v>3.7433088971579043E-2</v>
          </cell>
          <cell r="V339">
            <v>0.47698989924722007</v>
          </cell>
          <cell r="W339">
            <v>3.3339900235620445E-2</v>
          </cell>
          <cell r="X339">
            <v>1.0871996220610349</v>
          </cell>
          <cell r="Y339">
            <v>0</v>
          </cell>
          <cell r="Z339" t="e">
            <v>#N/A</v>
          </cell>
          <cell r="AA339">
            <v>0.55246070855053886</v>
          </cell>
          <cell r="AB339">
            <v>1.0124909590921907</v>
          </cell>
          <cell r="AC339">
            <v>1.3435201376745218</v>
          </cell>
          <cell r="AD339" t="e">
            <v>#N/A</v>
          </cell>
          <cell r="AE339">
            <v>0.5047323707077559</v>
          </cell>
          <cell r="AF339">
            <v>0.61969159029636589</v>
          </cell>
          <cell r="AG339">
            <v>2.1141382949614984</v>
          </cell>
          <cell r="AH339" t="e">
            <v>#DIV/0!</v>
          </cell>
          <cell r="AI339" t="e">
            <v>#DIV/0!</v>
          </cell>
          <cell r="AJ339" t="e">
            <v>#VALUE!</v>
          </cell>
          <cell r="AK339">
            <v>21.090308370044053</v>
          </cell>
          <cell r="AL339">
            <v>0.44154547572298591</v>
          </cell>
          <cell r="AM339">
            <v>0.66090951676104215</v>
          </cell>
          <cell r="AN339">
            <v>0.22972256582435063</v>
          </cell>
          <cell r="AO339" t="e">
            <v>#N/A</v>
          </cell>
          <cell r="AP339" t="e">
            <v>#DIV/0!</v>
          </cell>
          <cell r="AQ339" t="e">
            <v>#VALUE!</v>
          </cell>
          <cell r="AR339">
            <v>0</v>
          </cell>
          <cell r="AS339">
            <v>2.1141382949614984</v>
          </cell>
          <cell r="AT339" t="e">
            <v>#N/A</v>
          </cell>
          <cell r="AU339" t="e">
            <v>#DIV/0!</v>
          </cell>
          <cell r="AV339">
            <v>0.55786835927749412</v>
          </cell>
          <cell r="AW339" t="e">
            <v>#VALUE!</v>
          </cell>
          <cell r="AX339" t="e">
            <v>#VALUE!</v>
          </cell>
          <cell r="AY339" t="e">
            <v>#VALUE!</v>
          </cell>
          <cell r="AZ339" t="e">
            <v>#VALUE!</v>
          </cell>
          <cell r="BA339" t="e">
            <v>#VALUE!</v>
          </cell>
          <cell r="BB339" t="e">
            <v>#VALUE!</v>
          </cell>
          <cell r="BC339" t="e">
            <v>#VALUE!</v>
          </cell>
          <cell r="BD339" t="e">
            <v>#VALUE!</v>
          </cell>
          <cell r="BE339" t="e">
            <v>#VALUE!</v>
          </cell>
        </row>
        <row r="340">
          <cell r="H340" t="e">
            <v>#DIV/0!</v>
          </cell>
          <cell r="I340" t="e">
            <v>#DIV/0!</v>
          </cell>
          <cell r="J340" t="e">
            <v>#DIV/0!</v>
          </cell>
          <cell r="K340" t="e">
            <v>#DIV/0!</v>
          </cell>
          <cell r="L340" t="e">
            <v>#DIV/0!</v>
          </cell>
          <cell r="M340" t="e">
            <v>#DIV/0!</v>
          </cell>
          <cell r="N340" t="e">
            <v>#DIV/0!</v>
          </cell>
          <cell r="O340" t="e">
            <v>#DIV/0!</v>
          </cell>
          <cell r="P340" t="e">
            <v>#DIV/0!</v>
          </cell>
          <cell r="Q340" t="e">
            <v>#DIV/0!</v>
          </cell>
          <cell r="R340" t="e">
            <v>#DIV/0!</v>
          </cell>
          <cell r="S340" t="e">
            <v>#DIV/0!</v>
          </cell>
          <cell r="T340" t="e">
            <v>#DIV/0!</v>
          </cell>
          <cell r="U340">
            <v>4.0200421940928273</v>
          </cell>
          <cell r="V340" t="e">
            <v>#DIV/0!</v>
          </cell>
          <cell r="W340">
            <v>5.6952372302296492</v>
          </cell>
          <cell r="X340">
            <v>2.8304906039887427</v>
          </cell>
          <cell r="Y340">
            <v>2.2835275535531014</v>
          </cell>
          <cell r="Z340">
            <v>1.5380873546448712</v>
          </cell>
          <cell r="AA340">
            <v>1.4892992008550388</v>
          </cell>
          <cell r="AB340">
            <v>1.3696250405354029</v>
          </cell>
          <cell r="AC340">
            <v>2.0086264742186053</v>
          </cell>
          <cell r="AD340" t="e">
            <v>#DIV/0!</v>
          </cell>
          <cell r="AE340">
            <v>2.2765672158022165</v>
          </cell>
          <cell r="AF340">
            <v>2.4742130240152145</v>
          </cell>
          <cell r="AG340">
            <v>1.8503578399479506</v>
          </cell>
          <cell r="AH340" t="e">
            <v>#DIV/0!</v>
          </cell>
          <cell r="AI340" t="e">
            <v>#DIV/0!</v>
          </cell>
          <cell r="AJ340">
            <v>3.1035400277649234</v>
          </cell>
          <cell r="AK340" t="e">
            <v>#DIV/0!</v>
          </cell>
          <cell r="AL340">
            <v>1.3618488186504096</v>
          </cell>
          <cell r="AM340">
            <v>1.8294232612189767</v>
          </cell>
          <cell r="AN340">
            <v>2.2295276760075255</v>
          </cell>
          <cell r="AO340" t="e">
            <v>#DIV/0!</v>
          </cell>
          <cell r="AP340" t="e">
            <v>#DIV/0!</v>
          </cell>
          <cell r="AQ340" t="e">
            <v>#DIV/0!</v>
          </cell>
          <cell r="AR340">
            <v>2.9700975044125459</v>
          </cell>
          <cell r="AS340">
            <v>1.8503578399479506</v>
          </cell>
          <cell r="AT340">
            <v>1.8976949526679969</v>
          </cell>
          <cell r="AU340">
            <v>1.8288507835231218</v>
          </cell>
          <cell r="AV340">
            <v>1.8297310823382411</v>
          </cell>
          <cell r="AW340" t="e">
            <v>#DIV/0!</v>
          </cell>
          <cell r="AX340" t="e">
            <v>#DIV/0!</v>
          </cell>
          <cell r="AY340" t="e">
            <v>#DIV/0!</v>
          </cell>
          <cell r="AZ340" t="e">
            <v>#DIV/0!</v>
          </cell>
          <cell r="BA340" t="e">
            <v>#DIV/0!</v>
          </cell>
          <cell r="BB340" t="e">
            <v>#DIV/0!</v>
          </cell>
          <cell r="BC340" t="e">
            <v>#DIV/0!</v>
          </cell>
          <cell r="BD340" t="e">
            <v>#DIV/0!</v>
          </cell>
          <cell r="BE340" t="e">
            <v>#DIV/0!</v>
          </cell>
        </row>
        <row r="341">
          <cell r="H341" t="e">
            <v>#DIV/0!</v>
          </cell>
          <cell r="I341" t="e">
            <v>#DIV/0!</v>
          </cell>
          <cell r="J341" t="e">
            <v>#DIV/0!</v>
          </cell>
          <cell r="K341" t="e">
            <v>#DIV/0!</v>
          </cell>
          <cell r="L341" t="e">
            <v>#DIV/0!</v>
          </cell>
          <cell r="M341" t="e">
            <v>#DIV/0!</v>
          </cell>
          <cell r="N341" t="e">
            <v>#DIV/0!</v>
          </cell>
          <cell r="O341" t="e">
            <v>#DIV/0!</v>
          </cell>
          <cell r="P341" t="e">
            <v>#DIV/0!</v>
          </cell>
          <cell r="Q341" t="e">
            <v>#DIV/0!</v>
          </cell>
          <cell r="R341" t="e">
            <v>#DIV/0!</v>
          </cell>
          <cell r="S341" t="e">
            <v>#DIV/0!</v>
          </cell>
          <cell r="T341" t="e">
            <v>#DIV/0!</v>
          </cell>
          <cell r="U341">
            <v>3.2170735382760696</v>
          </cell>
          <cell r="V341" t="e">
            <v>#DIV/0!</v>
          </cell>
          <cell r="W341">
            <v>4.9949836164073469</v>
          </cell>
          <cell r="X341">
            <v>2.1273348094438629</v>
          </cell>
          <cell r="Y341">
            <v>1.7665354072801644</v>
          </cell>
          <cell r="Z341">
            <v>0.60121301059237708</v>
          </cell>
          <cell r="AA341">
            <v>0.42069106544481916</v>
          </cell>
          <cell r="AB341">
            <v>0.44119745773135927</v>
          </cell>
          <cell r="AC341">
            <v>1.0545726664475989</v>
          </cell>
          <cell r="AD341" t="e">
            <v>#DIV/0!</v>
          </cell>
          <cell r="AE341">
            <v>1.2656697890163415</v>
          </cell>
          <cell r="AF341">
            <v>1.4248847981388282</v>
          </cell>
          <cell r="AG341">
            <v>1.4328853790411236</v>
          </cell>
          <cell r="AH341" t="e">
            <v>#DIV/0!</v>
          </cell>
          <cell r="AI341" t="e">
            <v>#DIV/0!</v>
          </cell>
          <cell r="AJ341">
            <v>2.5559283253637717</v>
          </cell>
          <cell r="AK341" t="e">
            <v>#DIV/0!</v>
          </cell>
          <cell r="AL341">
            <v>0.52195243203642172</v>
          </cell>
          <cell r="AM341">
            <v>0.64992215070315917</v>
          </cell>
          <cell r="AN341">
            <v>1.8742779813182824</v>
          </cell>
          <cell r="AO341" t="e">
            <v>#DIV/0!</v>
          </cell>
          <cell r="AP341" t="e">
            <v>#DIV/0!</v>
          </cell>
          <cell r="AQ341" t="e">
            <v>#DIV/0!</v>
          </cell>
          <cell r="AR341">
            <v>2.0066202468740895</v>
          </cell>
          <cell r="AS341">
            <v>1.4328853790411236</v>
          </cell>
          <cell r="AT341">
            <v>1.7320117162626822</v>
          </cell>
          <cell r="AU341">
            <v>0.53315019126530494</v>
          </cell>
          <cell r="AV341">
            <v>0.55858268960242297</v>
          </cell>
          <cell r="AW341" t="e">
            <v>#DIV/0!</v>
          </cell>
          <cell r="AX341" t="e">
            <v>#DIV/0!</v>
          </cell>
          <cell r="AY341" t="e">
            <v>#DIV/0!</v>
          </cell>
          <cell r="AZ341" t="e">
            <v>#DIV/0!</v>
          </cell>
          <cell r="BA341" t="e">
            <v>#DIV/0!</v>
          </cell>
          <cell r="BB341" t="e">
            <v>#DIV/0!</v>
          </cell>
          <cell r="BC341" t="e">
            <v>#DIV/0!</v>
          </cell>
          <cell r="BD341" t="e">
            <v>#DIV/0!</v>
          </cell>
          <cell r="BE341" t="e">
            <v>#DIV/0!</v>
          </cell>
        </row>
        <row r="342">
          <cell r="H342" t="e">
            <v>#DIV/0!</v>
          </cell>
          <cell r="I342" t="e">
            <v>#DIV/0!</v>
          </cell>
          <cell r="J342" t="e">
            <v>#DIV/0!</v>
          </cell>
          <cell r="K342" t="e">
            <v>#DIV/0!</v>
          </cell>
          <cell r="L342" t="e">
            <v>#DIV/0!</v>
          </cell>
          <cell r="M342" t="e">
            <v>#DIV/0!</v>
          </cell>
          <cell r="N342" t="e">
            <v>#DIV/0!</v>
          </cell>
          <cell r="O342" t="e">
            <v>#DIV/0!</v>
          </cell>
          <cell r="P342" t="e">
            <v>#DIV/0!</v>
          </cell>
          <cell r="Q342" t="e">
            <v>#DIV/0!</v>
          </cell>
          <cell r="R342" t="e">
            <v>#DIV/0!</v>
          </cell>
          <cell r="S342" t="e">
            <v>#DIV/0!</v>
          </cell>
          <cell r="T342" t="e">
            <v>#DIV/0!</v>
          </cell>
          <cell r="U342">
            <v>75.504919925699056</v>
          </cell>
          <cell r="V342">
            <v>142.41876821444865</v>
          </cell>
          <cell r="W342">
            <v>60.599368063918767</v>
          </cell>
          <cell r="X342">
            <v>84.677561636395907</v>
          </cell>
          <cell r="Y342">
            <v>56.086920178780403</v>
          </cell>
          <cell r="Z342">
            <v>29.462047185628659</v>
          </cell>
          <cell r="AA342">
            <v>18.536786684089705</v>
          </cell>
          <cell r="AB342">
            <v>19.982262486254637</v>
          </cell>
          <cell r="AC342">
            <v>34.465296957431732</v>
          </cell>
          <cell r="AD342" t="e">
            <v>#DIV/0!</v>
          </cell>
          <cell r="AE342">
            <v>46.48769066035603</v>
          </cell>
          <cell r="AF342">
            <v>49.821284493886708</v>
          </cell>
          <cell r="AG342">
            <v>75.604776788915729</v>
          </cell>
          <cell r="AH342">
            <v>0</v>
          </cell>
          <cell r="AI342">
            <v>0</v>
          </cell>
          <cell r="AJ342">
            <v>88.100132337759732</v>
          </cell>
          <cell r="AK342">
            <v>0</v>
          </cell>
          <cell r="AL342">
            <v>37.06854479672689</v>
          </cell>
          <cell r="AM342">
            <v>56.152798726860979</v>
          </cell>
          <cell r="AN342">
            <v>46.245399669415441</v>
          </cell>
          <cell r="AO342" t="e">
            <v>#DIV/0!</v>
          </cell>
          <cell r="AP342">
            <v>0</v>
          </cell>
          <cell r="AQ342">
            <v>0</v>
          </cell>
          <cell r="AR342">
            <v>57.490491286528034</v>
          </cell>
          <cell r="AS342">
            <v>75.604776788915729</v>
          </cell>
          <cell r="AT342">
            <v>113.07913033368213</v>
          </cell>
          <cell r="AU342">
            <v>21.585394576367626</v>
          </cell>
          <cell r="AV342">
            <v>23.028541826063112</v>
          </cell>
          <cell r="AW342" t="e">
            <v>#DIV/0!</v>
          </cell>
          <cell r="AX342" t="e">
            <v>#DIV/0!</v>
          </cell>
          <cell r="AY342" t="e">
            <v>#DIV/0!</v>
          </cell>
          <cell r="AZ342" t="e">
            <v>#DIV/0!</v>
          </cell>
          <cell r="BA342" t="e">
            <v>#DIV/0!</v>
          </cell>
          <cell r="BB342" t="e">
            <v>#DIV/0!</v>
          </cell>
          <cell r="BC342" t="e">
            <v>#DIV/0!</v>
          </cell>
          <cell r="BD342" t="e">
            <v>#DIV/0!</v>
          </cell>
          <cell r="BE342" t="e">
            <v>#DIV/0!</v>
          </cell>
        </row>
        <row r="343">
          <cell r="H343" t="e">
            <v>#DIV/0!</v>
          </cell>
          <cell r="I343" t="e">
            <v>#DIV/0!</v>
          </cell>
          <cell r="J343" t="e">
            <v>#DIV/0!</v>
          </cell>
          <cell r="K343" t="e">
            <v>#DIV/0!</v>
          </cell>
          <cell r="L343" t="e">
            <v>#DIV/0!</v>
          </cell>
          <cell r="M343" t="e">
            <v>#DIV/0!</v>
          </cell>
          <cell r="N343" t="e">
            <v>#DIV/0!</v>
          </cell>
          <cell r="O343" t="e">
            <v>#DIV/0!</v>
          </cell>
          <cell r="P343">
            <v>0</v>
          </cell>
          <cell r="Q343" t="e">
            <v>#DIV/0!</v>
          </cell>
          <cell r="R343" t="e">
            <v>#DIV/0!</v>
          </cell>
          <cell r="S343" t="e">
            <v>#DIV/0!</v>
          </cell>
          <cell r="T343" t="e">
            <v>#DIV/0!</v>
          </cell>
          <cell r="U343">
            <v>2.4640100347356237</v>
          </cell>
          <cell r="V343" t="e">
            <v>#DIV/0!</v>
          </cell>
          <cell r="W343">
            <v>3.1927330194661949</v>
          </cell>
          <cell r="X343">
            <v>3.2764916894471545</v>
          </cell>
          <cell r="Y343">
            <v>11.303457791293573</v>
          </cell>
          <cell r="Z343">
            <v>7.1802045814174118</v>
          </cell>
          <cell r="AA343">
            <v>6.5265433661401726</v>
          </cell>
          <cell r="AB343">
            <v>6.7426007246327542</v>
          </cell>
          <cell r="AC343">
            <v>9.9703764377630222</v>
          </cell>
          <cell r="AD343" t="e">
            <v>#DIV/0!</v>
          </cell>
          <cell r="AE343">
            <v>8.030446782315428</v>
          </cell>
          <cell r="AF343">
            <v>6.4442341471385198</v>
          </cell>
          <cell r="AG343">
            <v>17.644835738734606</v>
          </cell>
          <cell r="AH343" t="e">
            <v>#DIV/0!</v>
          </cell>
          <cell r="AI343" t="e">
            <v>#DIV/0!</v>
          </cell>
          <cell r="AJ343">
            <v>12.415881197839962</v>
          </cell>
          <cell r="AK343" t="e">
            <v>#DIV/0!</v>
          </cell>
          <cell r="AL343">
            <v>5.237854073139169</v>
          </cell>
          <cell r="AM343">
            <v>1.3073320737173884</v>
          </cell>
          <cell r="AN343">
            <v>26.89027222893246</v>
          </cell>
          <cell r="AO343" t="e">
            <v>#DIV/0!</v>
          </cell>
          <cell r="AP343" t="e">
            <v>#DIV/0!</v>
          </cell>
          <cell r="AQ343" t="e">
            <v>#DIV/0!</v>
          </cell>
          <cell r="AR343">
            <v>5.8227891776362162</v>
          </cell>
          <cell r="AS343">
            <v>17.644835738734603</v>
          </cell>
          <cell r="AT343" t="e">
            <v>#DIV/0!</v>
          </cell>
          <cell r="AU343">
            <v>4.9258162490508726</v>
          </cell>
          <cell r="AV343">
            <v>4.990171164183522</v>
          </cell>
          <cell r="AW343" t="e">
            <v>#DIV/0!</v>
          </cell>
          <cell r="AX343" t="e">
            <v>#DIV/0!</v>
          </cell>
          <cell r="AY343" t="e">
            <v>#DIV/0!</v>
          </cell>
          <cell r="AZ343" t="e">
            <v>#DIV/0!</v>
          </cell>
          <cell r="BA343" t="e">
            <v>#DIV/0!</v>
          </cell>
          <cell r="BB343" t="e">
            <v>#DIV/0!</v>
          </cell>
          <cell r="BC343" t="e">
            <v>#DIV/0!</v>
          </cell>
          <cell r="BD343" t="e">
            <v>#DIV/0!</v>
          </cell>
          <cell r="BE343" t="e">
            <v>#DIV/0!</v>
          </cell>
        </row>
        <row r="344">
          <cell r="H344" t="e">
            <v>#DIV/0!</v>
          </cell>
          <cell r="I344" t="e">
            <v>#DIV/0!</v>
          </cell>
          <cell r="J344" t="e">
            <v>#DIV/0!</v>
          </cell>
          <cell r="K344" t="e">
            <v>#DIV/0!</v>
          </cell>
          <cell r="L344" t="e">
            <v>#DIV/0!</v>
          </cell>
          <cell r="M344" t="e">
            <v>#DIV/0!</v>
          </cell>
          <cell r="N344" t="e">
            <v>#DIV/0!</v>
          </cell>
          <cell r="O344" t="e">
            <v>#DIV/0!</v>
          </cell>
          <cell r="P344" t="e">
            <v>#DIV/0!</v>
          </cell>
          <cell r="Q344" t="e">
            <v>#DIV/0!</v>
          </cell>
          <cell r="R344" t="e">
            <v>#DIV/0!</v>
          </cell>
          <cell r="S344" t="e">
            <v>#DIV/0!</v>
          </cell>
          <cell r="T344" t="e">
            <v>#DIV/0!</v>
          </cell>
          <cell r="U344">
            <v>0.7386435272740759</v>
          </cell>
          <cell r="V344">
            <v>0.92904526134020449</v>
          </cell>
          <cell r="W344">
            <v>0.2775433408763463</v>
          </cell>
          <cell r="X344">
            <v>0.69034370736707718</v>
          </cell>
          <cell r="Y344">
            <v>2.206651487093291</v>
          </cell>
          <cell r="Z344">
            <v>3.7525759419016209</v>
          </cell>
          <cell r="AA344">
            <v>4.6171477009249502</v>
          </cell>
          <cell r="AB344">
            <v>3.5520666129633733</v>
          </cell>
          <cell r="AC344">
            <v>3.8670764498645527</v>
          </cell>
          <cell r="AD344" t="e">
            <v>#DIV/0!</v>
          </cell>
          <cell r="AE344">
            <v>2.6532207284501412</v>
          </cell>
          <cell r="AF344">
            <v>1.9941986332386166</v>
          </cell>
          <cell r="AG344">
            <v>1.3607427011075575</v>
          </cell>
          <cell r="AH344" t="e">
            <v>#DIV/0!</v>
          </cell>
          <cell r="AI344" t="e">
            <v>#DIV/0!</v>
          </cell>
          <cell r="AJ344">
            <v>1.6570307614330961</v>
          </cell>
          <cell r="AK344" t="e">
            <v>#DIV/0!</v>
          </cell>
          <cell r="AL344">
            <v>2.7534700401120342</v>
          </cell>
          <cell r="AM344">
            <v>0.81917305296144882</v>
          </cell>
          <cell r="AN344">
            <v>3.1049413054573636</v>
          </cell>
          <cell r="AO344" t="e">
            <v>#DIV/0!</v>
          </cell>
          <cell r="AP344" t="e">
            <v>#DIV/0!</v>
          </cell>
          <cell r="AQ344" t="e">
            <v>#DIV/0!</v>
          </cell>
          <cell r="AR344">
            <v>1.9276811751028688</v>
          </cell>
          <cell r="AS344">
            <v>1.3607427011075575</v>
          </cell>
          <cell r="AT344">
            <v>1.4008599628652396</v>
          </cell>
          <cell r="AU344">
            <v>2.6378802325223756</v>
          </cell>
          <cell r="AV344">
            <v>2.5820728041257168</v>
          </cell>
          <cell r="AW344" t="e">
            <v>#DIV/0!</v>
          </cell>
          <cell r="AX344" t="e">
            <v>#DIV/0!</v>
          </cell>
          <cell r="AY344" t="e">
            <v>#DIV/0!</v>
          </cell>
          <cell r="AZ344" t="e">
            <v>#DIV/0!</v>
          </cell>
          <cell r="BA344" t="e">
            <v>#DIV/0!</v>
          </cell>
          <cell r="BB344" t="e">
            <v>#DIV/0!</v>
          </cell>
          <cell r="BC344" t="e">
            <v>#DIV/0!</v>
          </cell>
          <cell r="BD344" t="e">
            <v>#DIV/0!</v>
          </cell>
          <cell r="BE344" t="e">
            <v>#DIV/0!</v>
          </cell>
        </row>
        <row r="345">
          <cell r="H345" t="e">
            <v>#DIV/0!</v>
          </cell>
          <cell r="I345" t="e">
            <v>#DIV/0!</v>
          </cell>
          <cell r="J345" t="e">
            <v>#DIV/0!</v>
          </cell>
          <cell r="K345" t="e">
            <v>#DIV/0!</v>
          </cell>
          <cell r="L345" t="e">
            <v>#DIV/0!</v>
          </cell>
          <cell r="M345" t="e">
            <v>#DIV/0!</v>
          </cell>
          <cell r="N345" t="e">
            <v>#DIV/0!</v>
          </cell>
          <cell r="O345" t="e">
            <v>#DIV/0!</v>
          </cell>
          <cell r="P345" t="e">
            <v>#DIV/0!</v>
          </cell>
          <cell r="Q345" t="e">
            <v>#DIV/0!</v>
          </cell>
          <cell r="R345" t="e">
            <v>#DIV/0!</v>
          </cell>
          <cell r="S345" t="e">
            <v>#DIV/0!</v>
          </cell>
          <cell r="T345" t="e">
            <v>#VALUE!</v>
          </cell>
          <cell r="U345">
            <v>27.408945083978104</v>
          </cell>
          <cell r="V345">
            <v>13.313445437991476</v>
          </cell>
          <cell r="W345">
            <v>74.208841920757138</v>
          </cell>
          <cell r="X345">
            <v>4.7245960228152333</v>
          </cell>
          <cell r="Y345" t="e">
            <v>#DIV/0!</v>
          </cell>
          <cell r="Z345" t="e">
            <v>#N/A</v>
          </cell>
          <cell r="AA345">
            <v>8.4690040552465558</v>
          </cell>
          <cell r="AB345">
            <v>6.8702200116394607</v>
          </cell>
          <cell r="AC345">
            <v>5.3781318159145979</v>
          </cell>
          <cell r="AD345" t="e">
            <v>#N/A</v>
          </cell>
          <cell r="AE345">
            <v>3.5168914285714279</v>
          </cell>
          <cell r="AF345">
            <v>8.3389177910696883</v>
          </cell>
          <cell r="AG345">
            <v>6.1387948293986812</v>
          </cell>
          <cell r="AH345" t="e">
            <v>#DIV/0!</v>
          </cell>
          <cell r="AI345" t="e">
            <v>#DIV/0!</v>
          </cell>
          <cell r="AJ345" t="e">
            <v>#VALUE!</v>
          </cell>
          <cell r="AK345">
            <v>3.6738530399104801</v>
          </cell>
          <cell r="AL345">
            <v>8.1037081700331601</v>
          </cell>
          <cell r="AM345">
            <v>7.4156834814035939</v>
          </cell>
          <cell r="AN345">
            <v>0.68241758241758177</v>
          </cell>
          <cell r="AO345" t="e">
            <v>#N/A</v>
          </cell>
          <cell r="AP345" t="e">
            <v>#DIV/0!</v>
          </cell>
          <cell r="AQ345" t="e">
            <v>#VALUE!</v>
          </cell>
          <cell r="AR345" t="e">
            <v>#DIV/0!</v>
          </cell>
          <cell r="AS345">
            <v>6.138794829398682</v>
          </cell>
          <cell r="AT345" t="e">
            <v>#N/A</v>
          </cell>
          <cell r="AU345" t="e">
            <v>#DIV/0!</v>
          </cell>
          <cell r="AV345">
            <v>9.5786474130330621</v>
          </cell>
          <cell r="AW345" t="e">
            <v>#VALUE!</v>
          </cell>
          <cell r="AX345" t="e">
            <v>#VALUE!</v>
          </cell>
          <cell r="AY345" t="e">
            <v>#VALUE!</v>
          </cell>
          <cell r="AZ345" t="e">
            <v>#VALUE!</v>
          </cell>
          <cell r="BA345" t="e">
            <v>#VALUE!</v>
          </cell>
          <cell r="BB345" t="e">
            <v>#VALUE!</v>
          </cell>
          <cell r="BC345" t="e">
            <v>#VALUE!</v>
          </cell>
          <cell r="BD345" t="e">
            <v>#VALUE!</v>
          </cell>
          <cell r="BE345" t="e">
            <v>#VALUE!</v>
          </cell>
        </row>
        <row r="346">
          <cell r="H346" t="e">
            <v>#DIV/0!</v>
          </cell>
          <cell r="I346" t="e">
            <v>#DIV/0!</v>
          </cell>
          <cell r="J346" t="e">
            <v>#DIV/0!</v>
          </cell>
          <cell r="K346" t="e">
            <v>#DIV/0!</v>
          </cell>
          <cell r="L346" t="e">
            <v>#DIV/0!</v>
          </cell>
          <cell r="M346" t="e">
            <v>#DIV/0!</v>
          </cell>
          <cell r="N346" t="e">
            <v>#DIV/0!</v>
          </cell>
          <cell r="O346" t="e">
            <v>#DIV/0!</v>
          </cell>
          <cell r="P346" t="e">
            <v>#DIV/0!</v>
          </cell>
          <cell r="Q346" t="e">
            <v>#DIV/0!</v>
          </cell>
          <cell r="R346" t="e">
            <v>#DIV/0!</v>
          </cell>
          <cell r="S346" t="e">
            <v>#DIV/0!</v>
          </cell>
          <cell r="T346" t="e">
            <v>#VALUE!</v>
          </cell>
          <cell r="U346">
            <v>3.3068320810763586E-2</v>
          </cell>
          <cell r="V346">
            <v>0.47698989924722007</v>
          </cell>
          <cell r="W346">
            <v>1.1277874807805904E-2</v>
          </cell>
          <cell r="X346">
            <v>1.0053782918395942</v>
          </cell>
          <cell r="Y346">
            <v>0</v>
          </cell>
          <cell r="Z346" t="e">
            <v>#N/A</v>
          </cell>
          <cell r="AA346">
            <v>0.48502187288828819</v>
          </cell>
          <cell r="AB346">
            <v>0.36984786218335464</v>
          </cell>
          <cell r="AC346">
            <v>0.63947481761564662</v>
          </cell>
          <cell r="AD346" t="e">
            <v>#N/A</v>
          </cell>
          <cell r="AE346">
            <v>0.3848782860908066</v>
          </cell>
          <cell r="AF346">
            <v>0.3629360002827155</v>
          </cell>
          <cell r="AG346">
            <v>0.88126700666416846</v>
          </cell>
          <cell r="AH346" t="e">
            <v>#DIV/0!</v>
          </cell>
          <cell r="AI346" t="e">
            <v>#DIV/0!</v>
          </cell>
          <cell r="AJ346" t="e">
            <v>#VALUE!</v>
          </cell>
          <cell r="AK346">
            <v>21.090308370044053</v>
          </cell>
          <cell r="AL346">
            <v>0.33343385605146769</v>
          </cell>
          <cell r="AM346">
            <v>0.55622296303024366</v>
          </cell>
          <cell r="AN346">
            <v>0.13773922256804186</v>
          </cell>
          <cell r="AO346" t="e">
            <v>#N/A</v>
          </cell>
          <cell r="AP346" t="e">
            <v>#DIV/0!</v>
          </cell>
          <cell r="AQ346" t="e">
            <v>#VALUE!</v>
          </cell>
          <cell r="AR346">
            <v>0</v>
          </cell>
          <cell r="AS346">
            <v>0.88126700666416846</v>
          </cell>
          <cell r="AT346" t="e">
            <v>#N/A</v>
          </cell>
          <cell r="AU346" t="e">
            <v>#DIV/0!</v>
          </cell>
          <cell r="AV346">
            <v>0.43445707843453052</v>
          </cell>
          <cell r="AW346" t="e">
            <v>#VALUE!</v>
          </cell>
          <cell r="AX346" t="e">
            <v>#VALUE!</v>
          </cell>
          <cell r="AY346" t="e">
            <v>#VALUE!</v>
          </cell>
          <cell r="AZ346" t="e">
            <v>#VALUE!</v>
          </cell>
          <cell r="BA346" t="e">
            <v>#VALUE!</v>
          </cell>
          <cell r="BB346" t="e">
            <v>#VALUE!</v>
          </cell>
          <cell r="BC346" t="e">
            <v>#VALUE!</v>
          </cell>
          <cell r="BD346" t="e">
            <v>#VALUE!</v>
          </cell>
          <cell r="BE346" t="e">
            <v>#VALUE!</v>
          </cell>
        </row>
        <row r="347">
          <cell r="H347" t="e">
            <v>#DIV/0!</v>
          </cell>
          <cell r="I347" t="e">
            <v>#DIV/0!</v>
          </cell>
          <cell r="J347" t="e">
            <v>#DIV/0!</v>
          </cell>
          <cell r="K347" t="e">
            <v>#DIV/0!</v>
          </cell>
          <cell r="L347" t="e">
            <v>#DIV/0!</v>
          </cell>
          <cell r="M347" t="e">
            <v>#DIV/0!</v>
          </cell>
          <cell r="N347" t="e">
            <v>#DIV/0!</v>
          </cell>
          <cell r="O347" t="e">
            <v>#DIV/0!</v>
          </cell>
          <cell r="P347" t="e">
            <v>#DIV/0!</v>
          </cell>
          <cell r="Q347" t="e">
            <v>#DIV/0!</v>
          </cell>
          <cell r="R347" t="e">
            <v>#DIV/0!</v>
          </cell>
          <cell r="S347" t="e">
            <v>#DIV/0!</v>
          </cell>
          <cell r="T347" t="e">
            <v>#VALUE!</v>
          </cell>
          <cell r="U347">
            <v>3.7433088971579043E-2</v>
          </cell>
          <cell r="V347">
            <v>0.47698989924722007</v>
          </cell>
          <cell r="W347">
            <v>3.3339900235620445E-2</v>
          </cell>
          <cell r="X347">
            <v>1.0871996220610349</v>
          </cell>
          <cell r="Y347">
            <v>0</v>
          </cell>
          <cell r="Z347" t="e">
            <v>#N/A</v>
          </cell>
          <cell r="AA347">
            <v>0.55246070855053886</v>
          </cell>
          <cell r="AB347">
            <v>1.0124909590921907</v>
          </cell>
          <cell r="AC347">
            <v>1.3435201376745218</v>
          </cell>
          <cell r="AD347" t="e">
            <v>#N/A</v>
          </cell>
          <cell r="AE347">
            <v>0.5047323707077559</v>
          </cell>
          <cell r="AF347">
            <v>0.61969159029636589</v>
          </cell>
          <cell r="AG347">
            <v>2.1141382949614984</v>
          </cell>
          <cell r="AH347" t="e">
            <v>#DIV/0!</v>
          </cell>
          <cell r="AI347" t="e">
            <v>#DIV/0!</v>
          </cell>
          <cell r="AJ347" t="e">
            <v>#VALUE!</v>
          </cell>
          <cell r="AK347">
            <v>21.090308370044053</v>
          </cell>
          <cell r="AL347">
            <v>0.44154547572298591</v>
          </cell>
          <cell r="AM347">
            <v>0.66090951676104215</v>
          </cell>
          <cell r="AN347">
            <v>0.22972256582435063</v>
          </cell>
          <cell r="AO347" t="e">
            <v>#N/A</v>
          </cell>
          <cell r="AP347" t="e">
            <v>#DIV/0!</v>
          </cell>
          <cell r="AQ347" t="e">
            <v>#VALUE!</v>
          </cell>
          <cell r="AR347">
            <v>0</v>
          </cell>
          <cell r="AS347">
            <v>2.1141382949614984</v>
          </cell>
          <cell r="AT347" t="e">
            <v>#N/A</v>
          </cell>
          <cell r="AU347" t="e">
            <v>#DIV/0!</v>
          </cell>
          <cell r="AV347">
            <v>0.55786835927749412</v>
          </cell>
          <cell r="AW347" t="e">
            <v>#VALUE!</v>
          </cell>
          <cell r="AX347" t="e">
            <v>#VALUE!</v>
          </cell>
          <cell r="AY347" t="e">
            <v>#VALUE!</v>
          </cell>
          <cell r="AZ347" t="e">
            <v>#VALUE!</v>
          </cell>
          <cell r="BA347" t="e">
            <v>#VALUE!</v>
          </cell>
          <cell r="BB347" t="e">
            <v>#VALUE!</v>
          </cell>
          <cell r="BC347" t="e">
            <v>#VALUE!</v>
          </cell>
          <cell r="BD347" t="e">
            <v>#VALUE!</v>
          </cell>
          <cell r="BE347" t="e">
            <v>#VALUE!</v>
          </cell>
        </row>
        <row r="348">
          <cell r="H348" t="e">
            <v>#DIV/0!</v>
          </cell>
          <cell r="I348" t="e">
            <v>#DIV/0!</v>
          </cell>
          <cell r="J348" t="e">
            <v>#DIV/0!</v>
          </cell>
          <cell r="K348" t="e">
            <v>#DIV/0!</v>
          </cell>
          <cell r="L348" t="e">
            <v>#DIV/0!</v>
          </cell>
          <cell r="M348" t="e">
            <v>#DIV/0!</v>
          </cell>
          <cell r="N348" t="e">
            <v>#DIV/0!</v>
          </cell>
          <cell r="O348" t="e">
            <v>#DIV/0!</v>
          </cell>
          <cell r="P348" t="e">
            <v>#DIV/0!</v>
          </cell>
          <cell r="Q348" t="e">
            <v>#DIV/0!</v>
          </cell>
          <cell r="R348" t="e">
            <v>#DIV/0!</v>
          </cell>
          <cell r="S348" t="e">
            <v>#DIV/0!</v>
          </cell>
          <cell r="T348" t="e">
            <v>#VALUE!</v>
          </cell>
          <cell r="U348">
            <v>3.2009810139963631E-2</v>
          </cell>
          <cell r="V348">
            <v>0.32294729942996109</v>
          </cell>
          <cell r="W348">
            <v>1.1152102788711038E-2</v>
          </cell>
          <cell r="X348">
            <v>0.50134096690421948</v>
          </cell>
          <cell r="Y348">
            <v>0</v>
          </cell>
          <cell r="Z348" t="e">
            <v>#N/A</v>
          </cell>
          <cell r="AA348">
            <v>0.3266092451183541</v>
          </cell>
          <cell r="AB348">
            <v>0.26999192566820268</v>
          </cell>
          <cell r="AC348">
            <v>0.39004857576626906</v>
          </cell>
          <cell r="AD348" t="e">
            <v>#N/A</v>
          </cell>
          <cell r="AE348">
            <v>0.27791488245312129</v>
          </cell>
          <cell r="AF348">
            <v>0.26628983327715405</v>
          </cell>
          <cell r="AG348">
            <v>0.4684433435245412</v>
          </cell>
          <cell r="AH348" t="e">
            <v>#DIV/0!</v>
          </cell>
          <cell r="AI348" t="e">
            <v>#DIV/0!</v>
          </cell>
          <cell r="AJ348" t="e">
            <v>#VALUE!</v>
          </cell>
          <cell r="AK348">
            <v>0.95473127929005885</v>
          </cell>
          <cell r="AL348">
            <v>0.25005653976630232</v>
          </cell>
          <cell r="AM348">
            <v>0.35741855520958149</v>
          </cell>
          <cell r="AN348">
            <v>0.12106396600896339</v>
          </cell>
          <cell r="AO348" t="e">
            <v>#N/A</v>
          </cell>
          <cell r="AP348" t="e">
            <v>#DIV/0!</v>
          </cell>
          <cell r="AQ348" t="e">
            <v>#VALUE!</v>
          </cell>
          <cell r="AR348">
            <v>0</v>
          </cell>
          <cell r="AS348">
            <v>0.4684433435245412</v>
          </cell>
          <cell r="AT348" t="e">
            <v>#N/A</v>
          </cell>
          <cell r="AU348" t="e">
            <v>#DIV/0!</v>
          </cell>
          <cell r="AV348">
            <v>0.30287213536473856</v>
          </cell>
          <cell r="AW348" t="e">
            <v>#VALUE!</v>
          </cell>
          <cell r="AX348" t="e">
            <v>#VALUE!</v>
          </cell>
          <cell r="AY348" t="e">
            <v>#VALUE!</v>
          </cell>
          <cell r="AZ348" t="e">
            <v>#VALUE!</v>
          </cell>
          <cell r="BA348" t="e">
            <v>#VALUE!</v>
          </cell>
          <cell r="BB348" t="e">
            <v>#VALUE!</v>
          </cell>
          <cell r="BC348" t="e">
            <v>#VALUE!</v>
          </cell>
          <cell r="BD348" t="e">
            <v>#VALUE!</v>
          </cell>
          <cell r="BE348" t="e">
            <v>#VALUE!</v>
          </cell>
        </row>
        <row r="349">
          <cell r="H349" t="e">
            <v>#DIV/0!</v>
          </cell>
          <cell r="I349" t="e">
            <v>#DIV/0!</v>
          </cell>
          <cell r="J349" t="e">
            <v>#DIV/0!</v>
          </cell>
          <cell r="K349" t="e">
            <v>#DIV/0!</v>
          </cell>
          <cell r="L349" t="e">
            <v>#DIV/0!</v>
          </cell>
          <cell r="M349" t="e">
            <v>#DIV/0!</v>
          </cell>
          <cell r="N349" t="e">
            <v>#DIV/0!</v>
          </cell>
          <cell r="O349" t="e">
            <v>#DIV/0!</v>
          </cell>
          <cell r="P349" t="e">
            <v>#DIV/0!</v>
          </cell>
          <cell r="Q349" t="e">
            <v>#DIV/0!</v>
          </cell>
          <cell r="R349" t="e">
            <v>#DIV/0!</v>
          </cell>
          <cell r="S349" t="e">
            <v>#DIV/0!</v>
          </cell>
          <cell r="T349" t="e">
            <v>#VALUE!</v>
          </cell>
          <cell r="U349" t="e">
            <v>#DIV/0!</v>
          </cell>
          <cell r="V349" t="e">
            <v>#DIV/0!</v>
          </cell>
          <cell r="W349" t="e">
            <v>#DIV/0!</v>
          </cell>
          <cell r="X349" t="e">
            <v>#DIV/0!</v>
          </cell>
          <cell r="Y349" t="e">
            <v>#DIV/0!</v>
          </cell>
          <cell r="Z349" t="e">
            <v>#N/A</v>
          </cell>
          <cell r="AA349" t="e">
            <v>#DIV/0!</v>
          </cell>
          <cell r="AB349" t="e">
            <v>#DIV/0!</v>
          </cell>
          <cell r="AC349" t="e">
            <v>#DIV/0!</v>
          </cell>
          <cell r="AD349" t="e">
            <v>#N/A</v>
          </cell>
          <cell r="AE349" t="e">
            <v>#DIV/0!</v>
          </cell>
          <cell r="AF349" t="e">
            <v>#DIV/0!</v>
          </cell>
          <cell r="AG349" t="e">
            <v>#DIV/0!</v>
          </cell>
          <cell r="AH349" t="e">
            <v>#DIV/0!</v>
          </cell>
          <cell r="AI349" t="e">
            <v>#DIV/0!</v>
          </cell>
          <cell r="AJ349" t="e">
            <v>#VALUE!</v>
          </cell>
          <cell r="AK349" t="e">
            <v>#DIV/0!</v>
          </cell>
          <cell r="AL349" t="e">
            <v>#DIV/0!</v>
          </cell>
          <cell r="AM349" t="e">
            <v>#DIV/0!</v>
          </cell>
          <cell r="AN349" t="e">
            <v>#DIV/0!</v>
          </cell>
          <cell r="AO349" t="e">
            <v>#N/A</v>
          </cell>
          <cell r="AP349" t="e">
            <v>#DIV/0!</v>
          </cell>
          <cell r="AQ349" t="e">
            <v>#VALUE!</v>
          </cell>
          <cell r="AR349" t="e">
            <v>#DIV/0!</v>
          </cell>
          <cell r="AS349" t="e">
            <v>#DIV/0!</v>
          </cell>
          <cell r="AT349" t="e">
            <v>#N/A</v>
          </cell>
          <cell r="AU349" t="e">
            <v>#DIV/0!</v>
          </cell>
          <cell r="AV349" t="e">
            <v>#DIV/0!</v>
          </cell>
          <cell r="AW349" t="e">
            <v>#VALUE!</v>
          </cell>
          <cell r="AX349" t="e">
            <v>#VALUE!</v>
          </cell>
          <cell r="AY349" t="e">
            <v>#VALUE!</v>
          </cell>
          <cell r="AZ349" t="e">
            <v>#VALUE!</v>
          </cell>
          <cell r="BA349" t="e">
            <v>#VALUE!</v>
          </cell>
          <cell r="BB349" t="e">
            <v>#VALUE!</v>
          </cell>
          <cell r="BC349" t="e">
            <v>#VALUE!</v>
          </cell>
          <cell r="BD349" t="e">
            <v>#VALUE!</v>
          </cell>
          <cell r="BE349" t="e">
            <v>#VALUE!</v>
          </cell>
        </row>
        <row r="350">
          <cell r="H350" t="e">
            <v>#DIV/0!</v>
          </cell>
          <cell r="I350" t="e">
            <v>#DIV/0!</v>
          </cell>
          <cell r="J350" t="e">
            <v>#DIV/0!</v>
          </cell>
          <cell r="K350" t="e">
            <v>#DIV/0!</v>
          </cell>
          <cell r="L350" t="e">
            <v>#DIV/0!</v>
          </cell>
          <cell r="M350" t="e">
            <v>#DIV/0!</v>
          </cell>
          <cell r="N350" t="e">
            <v>#DIV/0!</v>
          </cell>
          <cell r="O350" t="e">
            <v>#DIV/0!</v>
          </cell>
          <cell r="P350" t="e">
            <v>#DIV/0!</v>
          </cell>
          <cell r="Q350" t="e">
            <v>#DIV/0!</v>
          </cell>
          <cell r="R350" t="e">
            <v>#DIV/0!</v>
          </cell>
          <cell r="S350" t="e">
            <v>#DIV/0!</v>
          </cell>
          <cell r="T350" t="e">
            <v>#VALUE!</v>
          </cell>
          <cell r="U350" t="e">
            <v>#DIV/0!</v>
          </cell>
          <cell r="V350" t="e">
            <v>#DIV/0!</v>
          </cell>
          <cell r="W350" t="e">
            <v>#DIV/0!</v>
          </cell>
          <cell r="X350" t="e">
            <v>#DIV/0!</v>
          </cell>
          <cell r="Y350">
            <v>0</v>
          </cell>
          <cell r="Z350" t="e">
            <v>#N/A</v>
          </cell>
          <cell r="AA350" t="e">
            <v>#DIV/0!</v>
          </cell>
          <cell r="AB350" t="e">
            <v>#DIV/0!</v>
          </cell>
          <cell r="AC350" t="e">
            <v>#DIV/0!</v>
          </cell>
          <cell r="AD350" t="e">
            <v>#N/A</v>
          </cell>
          <cell r="AE350" t="e">
            <v>#DIV/0!</v>
          </cell>
          <cell r="AF350" t="e">
            <v>#DIV/0!</v>
          </cell>
          <cell r="AG350" t="e">
            <v>#DIV/0!</v>
          </cell>
          <cell r="AH350" t="e">
            <v>#DIV/0!</v>
          </cell>
          <cell r="AI350" t="e">
            <v>#DIV/0!</v>
          </cell>
          <cell r="AJ350" t="e">
            <v>#VALUE!</v>
          </cell>
          <cell r="AK350" t="e">
            <v>#DIV/0!</v>
          </cell>
          <cell r="AL350" t="e">
            <v>#DIV/0!</v>
          </cell>
          <cell r="AM350" t="e">
            <v>#DIV/0!</v>
          </cell>
          <cell r="AN350" t="e">
            <v>#DIV/0!</v>
          </cell>
          <cell r="AO350" t="e">
            <v>#N/A</v>
          </cell>
          <cell r="AP350" t="e">
            <v>#DIV/0!</v>
          </cell>
          <cell r="AQ350" t="e">
            <v>#VALUE!</v>
          </cell>
          <cell r="AR350" t="e">
            <v>#DIV/0!</v>
          </cell>
          <cell r="AS350" t="e">
            <v>#DIV/0!</v>
          </cell>
          <cell r="AT350" t="e">
            <v>#N/A</v>
          </cell>
          <cell r="AU350" t="e">
            <v>#DIV/0!</v>
          </cell>
          <cell r="AV350" t="e">
            <v>#DIV/0!</v>
          </cell>
          <cell r="AW350" t="e">
            <v>#VALUE!</v>
          </cell>
          <cell r="AX350" t="e">
            <v>#VALUE!</v>
          </cell>
          <cell r="AY350" t="e">
            <v>#VALUE!</v>
          </cell>
          <cell r="AZ350" t="e">
            <v>#VALUE!</v>
          </cell>
          <cell r="BA350" t="e">
            <v>#VALUE!</v>
          </cell>
          <cell r="BB350" t="e">
            <v>#VALUE!</v>
          </cell>
          <cell r="BC350" t="e">
            <v>#VALUE!</v>
          </cell>
          <cell r="BD350" t="e">
            <v>#VALUE!</v>
          </cell>
          <cell r="BE350" t="e">
            <v>#VALUE!</v>
          </cell>
        </row>
        <row r="351">
          <cell r="H351" t="e">
            <v>#DIV/0!</v>
          </cell>
          <cell r="I351" t="e">
            <v>#DIV/0!</v>
          </cell>
          <cell r="J351" t="e">
            <v>#DIV/0!</v>
          </cell>
          <cell r="K351" t="e">
            <v>#DIV/0!</v>
          </cell>
          <cell r="L351" t="e">
            <v>#DIV/0!</v>
          </cell>
          <cell r="M351" t="e">
            <v>#DIV/0!</v>
          </cell>
          <cell r="N351" t="e">
            <v>#DIV/0!</v>
          </cell>
          <cell r="O351" t="e">
            <v>#DIV/0!</v>
          </cell>
          <cell r="P351" t="e">
            <v>#DIV/0!</v>
          </cell>
          <cell r="Q351" t="e">
            <v>#DIV/0!</v>
          </cell>
          <cell r="R351" t="e">
            <v>#DIV/0!</v>
          </cell>
          <cell r="S351" t="e">
            <v>#DIV/0!</v>
          </cell>
          <cell r="T351" t="e">
            <v>#VALUE!</v>
          </cell>
          <cell r="U351">
            <v>0</v>
          </cell>
          <cell r="V351">
            <v>0</v>
          </cell>
          <cell r="W351">
            <v>0</v>
          </cell>
          <cell r="X351">
            <v>0</v>
          </cell>
          <cell r="Y351" t="e">
            <v>#DIV/0!</v>
          </cell>
          <cell r="Z351" t="e">
            <v>#N/A</v>
          </cell>
          <cell r="AA351">
            <v>0</v>
          </cell>
          <cell r="AB351">
            <v>0</v>
          </cell>
          <cell r="AC351">
            <v>0</v>
          </cell>
          <cell r="AD351" t="e">
            <v>#N/A</v>
          </cell>
          <cell r="AE351">
            <v>0</v>
          </cell>
          <cell r="AF351">
            <v>0</v>
          </cell>
          <cell r="AG351">
            <v>0</v>
          </cell>
          <cell r="AH351" t="e">
            <v>#DIV/0!</v>
          </cell>
          <cell r="AI351" t="e">
            <v>#DIV/0!</v>
          </cell>
          <cell r="AJ351" t="e">
            <v>#VALUE!</v>
          </cell>
          <cell r="AK351">
            <v>0</v>
          </cell>
          <cell r="AL351">
            <v>0</v>
          </cell>
          <cell r="AM351">
            <v>0</v>
          </cell>
          <cell r="AN351">
            <v>0</v>
          </cell>
          <cell r="AO351" t="e">
            <v>#N/A</v>
          </cell>
          <cell r="AP351" t="e">
            <v>#DIV/0!</v>
          </cell>
          <cell r="AQ351" t="e">
            <v>#VALUE!</v>
          </cell>
          <cell r="AR351" t="e">
            <v>#DIV/0!</v>
          </cell>
          <cell r="AS351">
            <v>0</v>
          </cell>
          <cell r="AT351" t="e">
            <v>#N/A</v>
          </cell>
          <cell r="AU351" t="e">
            <v>#DIV/0!</v>
          </cell>
          <cell r="AV351">
            <v>0</v>
          </cell>
          <cell r="AW351" t="e">
            <v>#VALUE!</v>
          </cell>
          <cell r="AX351" t="e">
            <v>#VALUE!</v>
          </cell>
          <cell r="AY351" t="e">
            <v>#VALUE!</v>
          </cell>
          <cell r="AZ351" t="e">
            <v>#VALUE!</v>
          </cell>
          <cell r="BA351" t="e">
            <v>#VALUE!</v>
          </cell>
          <cell r="BB351" t="e">
            <v>#VALUE!</v>
          </cell>
          <cell r="BC351" t="e">
            <v>#VALUE!</v>
          </cell>
          <cell r="BD351" t="e">
            <v>#VALUE!</v>
          </cell>
          <cell r="BE351" t="e">
            <v>#VALUE!</v>
          </cell>
        </row>
        <row r="352">
          <cell r="H352" t="e">
            <v>#DIV/0!</v>
          </cell>
          <cell r="I352" t="e">
            <v>#DIV/0!</v>
          </cell>
          <cell r="J352" t="e">
            <v>#DIV/0!</v>
          </cell>
          <cell r="K352" t="e">
            <v>#DIV/0!</v>
          </cell>
          <cell r="L352" t="e">
            <v>#DIV/0!</v>
          </cell>
          <cell r="M352" t="e">
            <v>#DIV/0!</v>
          </cell>
          <cell r="N352" t="e">
            <v>#DIV/0!</v>
          </cell>
          <cell r="O352" t="e">
            <v>#DIV/0!</v>
          </cell>
          <cell r="P352" t="e">
            <v>#DIV/0!</v>
          </cell>
          <cell r="Q352" t="e">
            <v>#DIV/0!</v>
          </cell>
          <cell r="R352" t="e">
            <v>#DIV/0!</v>
          </cell>
          <cell r="S352" t="e">
            <v>#DIV/0!</v>
          </cell>
          <cell r="T352" t="e">
            <v>#VALUE!</v>
          </cell>
          <cell r="U352" t="e">
            <v>#DIV/0!</v>
          </cell>
          <cell r="V352" t="e">
            <v>#DIV/0!</v>
          </cell>
          <cell r="W352" t="e">
            <v>#DIV/0!</v>
          </cell>
          <cell r="X352" t="e">
            <v>#DIV/0!</v>
          </cell>
          <cell r="Y352">
            <v>0</v>
          </cell>
          <cell r="Z352" t="e">
            <v>#N/A</v>
          </cell>
          <cell r="AA352" t="e">
            <v>#DIV/0!</v>
          </cell>
          <cell r="AB352" t="e">
            <v>#DIV/0!</v>
          </cell>
          <cell r="AC352" t="e">
            <v>#DIV/0!</v>
          </cell>
          <cell r="AD352" t="e">
            <v>#N/A</v>
          </cell>
          <cell r="AE352" t="e">
            <v>#DIV/0!</v>
          </cell>
          <cell r="AF352" t="e">
            <v>#DIV/0!</v>
          </cell>
          <cell r="AG352" t="e">
            <v>#DIV/0!</v>
          </cell>
          <cell r="AH352" t="e">
            <v>#DIV/0!</v>
          </cell>
          <cell r="AI352" t="e">
            <v>#DIV/0!</v>
          </cell>
          <cell r="AJ352" t="e">
            <v>#VALUE!</v>
          </cell>
          <cell r="AK352" t="e">
            <v>#DIV/0!</v>
          </cell>
          <cell r="AL352" t="e">
            <v>#DIV/0!</v>
          </cell>
          <cell r="AM352" t="e">
            <v>#DIV/0!</v>
          </cell>
          <cell r="AN352" t="e">
            <v>#DIV/0!</v>
          </cell>
          <cell r="AO352" t="e">
            <v>#N/A</v>
          </cell>
          <cell r="AP352" t="e">
            <v>#DIV/0!</v>
          </cell>
          <cell r="AQ352" t="e">
            <v>#VALUE!</v>
          </cell>
          <cell r="AR352" t="e">
            <v>#DIV/0!</v>
          </cell>
          <cell r="AS352" t="e">
            <v>#DIV/0!</v>
          </cell>
          <cell r="AT352" t="e">
            <v>#N/A</v>
          </cell>
          <cell r="AU352" t="e">
            <v>#DIV/0!</v>
          </cell>
          <cell r="AV352" t="e">
            <v>#DIV/0!</v>
          </cell>
          <cell r="AW352" t="e">
            <v>#VALUE!</v>
          </cell>
          <cell r="AX352" t="e">
            <v>#VALUE!</v>
          </cell>
          <cell r="AY352" t="e">
            <v>#VALUE!</v>
          </cell>
          <cell r="AZ352" t="e">
            <v>#VALUE!</v>
          </cell>
          <cell r="BA352" t="e">
            <v>#VALUE!</v>
          </cell>
          <cell r="BB352" t="e">
            <v>#VALUE!</v>
          </cell>
          <cell r="BC352" t="e">
            <v>#VALUE!</v>
          </cell>
          <cell r="BD352" t="e">
            <v>#VALUE!</v>
          </cell>
          <cell r="BE352" t="e">
            <v>#VALUE!</v>
          </cell>
        </row>
        <row r="355">
          <cell r="H355" t="str">
            <v>NA</v>
          </cell>
          <cell r="I355" t="str">
            <v>NA</v>
          </cell>
          <cell r="J355" t="str">
            <v>NA</v>
          </cell>
          <cell r="K355" t="str">
            <v>NA</v>
          </cell>
          <cell r="L355" t="str">
            <v>NA</v>
          </cell>
          <cell r="M355" t="str">
            <v>NA</v>
          </cell>
          <cell r="N355" t="str">
            <v>NA</v>
          </cell>
          <cell r="O355" t="str">
            <v>NA</v>
          </cell>
          <cell r="P355" t="str">
            <v>NA</v>
          </cell>
          <cell r="Q355" t="str">
            <v>NA</v>
          </cell>
          <cell r="R355" t="str">
            <v>NA</v>
          </cell>
          <cell r="S355" t="str">
            <v>NA</v>
          </cell>
          <cell r="T355" t="str">
            <v>NA</v>
          </cell>
          <cell r="U355">
            <v>0.20995586345605899</v>
          </cell>
          <cell r="V355">
            <v>0.10275023502492142</v>
          </cell>
          <cell r="W355">
            <v>0.10056437389770712</v>
          </cell>
          <cell r="X355">
            <v>6.3399138041506209E-2</v>
          </cell>
          <cell r="Y355">
            <v>0.58279376997374444</v>
          </cell>
          <cell r="Z355">
            <v>0.13959607886307257</v>
          </cell>
          <cell r="AA355">
            <v>0.20449890190537223</v>
          </cell>
          <cell r="AB355">
            <v>0.17130811424123071</v>
          </cell>
          <cell r="AC355">
            <v>4.5618858895758452E-2</v>
          </cell>
          <cell r="AD355" t="str">
            <v>NA</v>
          </cell>
          <cell r="AE355">
            <v>1.3168845155921094E-2</v>
          </cell>
          <cell r="AF355">
            <v>8.957475648052271E-2</v>
          </cell>
          <cell r="AG355">
            <v>0.18778939013096974</v>
          </cell>
          <cell r="AH355">
            <v>0.43624879304795638</v>
          </cell>
          <cell r="AI355">
            <v>-1.1964360020419562E-2</v>
          </cell>
          <cell r="AJ355">
            <v>0.17426680830826613</v>
          </cell>
          <cell r="AK355">
            <v>0.14263544018058694</v>
          </cell>
          <cell r="AL355">
            <v>0.20321891361665445</v>
          </cell>
          <cell r="AM355">
            <v>0.11318642402641155</v>
          </cell>
          <cell r="AN355">
            <v>0.48666539367322259</v>
          </cell>
          <cell r="AO355" t="str">
            <v>NA</v>
          </cell>
          <cell r="AP355">
            <v>0.12990297733669087</v>
          </cell>
          <cell r="AQ355">
            <v>0.12461481215605752</v>
          </cell>
          <cell r="AR355">
            <v>9.600139839123667E-2</v>
          </cell>
          <cell r="AS355">
            <v>0.18778939013096974</v>
          </cell>
          <cell r="AT355">
            <v>8.9152755768771463E-2</v>
          </cell>
          <cell r="AU355">
            <v>0.11680633237212357</v>
          </cell>
          <cell r="AV355">
            <v>0.11790497783355192</v>
          </cell>
          <cell r="AW355" t="str">
            <v>NA</v>
          </cell>
          <cell r="AX355" t="str">
            <v>NA</v>
          </cell>
          <cell r="AY355" t="str">
            <v>NA</v>
          </cell>
          <cell r="AZ355" t="str">
            <v>NA</v>
          </cell>
          <cell r="BA355" t="str">
            <v>NA</v>
          </cell>
          <cell r="BB355" t="str">
            <v>NA</v>
          </cell>
          <cell r="BC355" t="str">
            <v>NA</v>
          </cell>
          <cell r="BD355" t="str">
            <v>NA</v>
          </cell>
          <cell r="BE355" t="str">
            <v>NA</v>
          </cell>
        </row>
        <row r="356">
          <cell r="H356" t="str">
            <v>NA</v>
          </cell>
          <cell r="I356" t="str">
            <v>NA</v>
          </cell>
          <cell r="J356" t="str">
            <v>NA</v>
          </cell>
          <cell r="K356" t="str">
            <v>NA</v>
          </cell>
          <cell r="L356" t="str">
            <v>NA</v>
          </cell>
          <cell r="M356" t="str">
            <v>NA</v>
          </cell>
          <cell r="N356" t="str">
            <v>NA</v>
          </cell>
          <cell r="O356" t="str">
            <v>NA</v>
          </cell>
          <cell r="P356" t="str">
            <v>NA</v>
          </cell>
          <cell r="Q356" t="str">
            <v>NA</v>
          </cell>
          <cell r="R356" t="str">
            <v>NA</v>
          </cell>
          <cell r="S356" t="str">
            <v>NA</v>
          </cell>
          <cell r="T356" t="str">
            <v>NA</v>
          </cell>
          <cell r="U356" t="str">
            <v>NM</v>
          </cell>
          <cell r="V356">
            <v>0.15825544253408919</v>
          </cell>
          <cell r="W356">
            <v>0.10056437389770712</v>
          </cell>
          <cell r="X356">
            <v>9.0451419029002889E-3</v>
          </cell>
          <cell r="Y356">
            <v>8.5606160047799751E-2</v>
          </cell>
          <cell r="Z356">
            <v>0.64688017921677488</v>
          </cell>
          <cell r="AA356">
            <v>0.2096406524266361</v>
          </cell>
          <cell r="AB356">
            <v>-2.7622055860919703E-2</v>
          </cell>
          <cell r="AC356">
            <v>0.1512625224898354</v>
          </cell>
          <cell r="AD356" t="str">
            <v>NA</v>
          </cell>
          <cell r="AE356" t="str">
            <v>NM</v>
          </cell>
          <cell r="AF356">
            <v>0.21062712675200901</v>
          </cell>
          <cell r="AG356">
            <v>-5.9426053346557373E-3</v>
          </cell>
          <cell r="AH356" t="str">
            <v>NA</v>
          </cell>
          <cell r="AI356" t="str">
            <v>NA</v>
          </cell>
          <cell r="AJ356">
            <v>0.65257109552308123</v>
          </cell>
          <cell r="AK356">
            <v>0.5193474392623767</v>
          </cell>
          <cell r="AL356">
            <v>0.58974533339506641</v>
          </cell>
          <cell r="AM356">
            <v>9.7560975609756184E-2</v>
          </cell>
          <cell r="AN356" t="str">
            <v>NM</v>
          </cell>
          <cell r="AO356" t="str">
            <v>NA</v>
          </cell>
          <cell r="AP356">
            <v>0.16269030049301803</v>
          </cell>
          <cell r="AQ356">
            <v>0.21516485718497758</v>
          </cell>
          <cell r="AR356">
            <v>0.17410371280984438</v>
          </cell>
          <cell r="AS356">
            <v>-1.9477426139478782E-2</v>
          </cell>
          <cell r="AT356">
            <v>0.35565154787616993</v>
          </cell>
          <cell r="AU356" t="str">
            <v>NA</v>
          </cell>
          <cell r="AV356">
            <v>0.20532727299434717</v>
          </cell>
          <cell r="AW356" t="str">
            <v>NA</v>
          </cell>
          <cell r="AX356" t="str">
            <v>NA</v>
          </cell>
          <cell r="AY356" t="str">
            <v>NA</v>
          </cell>
          <cell r="AZ356" t="str">
            <v>NA</v>
          </cell>
          <cell r="BA356" t="str">
            <v>NA</v>
          </cell>
          <cell r="BB356" t="str">
            <v>NA</v>
          </cell>
          <cell r="BC356" t="str">
            <v>NA</v>
          </cell>
          <cell r="BD356" t="str">
            <v>NA</v>
          </cell>
          <cell r="BE356" t="str">
            <v>NA</v>
          </cell>
        </row>
        <row r="360">
          <cell r="H360">
            <v>0.10465116279069764</v>
          </cell>
          <cell r="I360">
            <v>-7.999999999999996E-2</v>
          </cell>
          <cell r="J360">
            <v>9.375E-2</v>
          </cell>
          <cell r="K360">
            <v>0.27064220183486221</v>
          </cell>
          <cell r="L360">
            <v>-1.5</v>
          </cell>
          <cell r="M360">
            <v>-8.7912087912087933E-2</v>
          </cell>
          <cell r="N360">
            <v>6.9306930693069368E-2</v>
          </cell>
          <cell r="O360">
            <v>0.1333333333333333</v>
          </cell>
          <cell r="P360">
            <v>-0.69724770642201839</v>
          </cell>
          <cell r="Q360">
            <v>4.39560439560438E-2</v>
          </cell>
          <cell r="R360">
            <v>5.6994818652849721E-2</v>
          </cell>
          <cell r="S360">
            <v>5.5118110236220597E-2</v>
          </cell>
          <cell r="T360" t="e">
            <v>#VALUE!</v>
          </cell>
          <cell r="U360">
            <v>2.5555555555555558</v>
          </cell>
          <cell r="V360">
            <v>0.75</v>
          </cell>
          <cell r="W360">
            <v>9.3023255813953432E-2</v>
          </cell>
          <cell r="X360">
            <v>0.14102564102564097</v>
          </cell>
          <cell r="Y360">
            <v>0.4027777777777779</v>
          </cell>
          <cell r="Z360" t="e">
            <v>#N/A</v>
          </cell>
          <cell r="AA360">
            <v>0.35586481113320079</v>
          </cell>
          <cell r="AB360">
            <v>0.35586481113320079</v>
          </cell>
          <cell r="AC360">
            <v>0.24271844660194164</v>
          </cell>
          <cell r="AD360" t="e">
            <v>#N/A</v>
          </cell>
          <cell r="AE360">
            <v>-0.35582822085889565</v>
          </cell>
          <cell r="AF360">
            <v>0.2736318407960201</v>
          </cell>
          <cell r="AG360">
            <v>0.30000000000000004</v>
          </cell>
          <cell r="AH360">
            <v>0.43577981651376141</v>
          </cell>
          <cell r="AI360">
            <v>-0.7303370786516854</v>
          </cell>
          <cell r="AJ360" t="e">
            <v>#VALUE!</v>
          </cell>
          <cell r="AK360">
            <v>0.34351145038167941</v>
          </cell>
          <cell r="AL360">
            <v>0.30347349177330907</v>
          </cell>
          <cell r="AM360">
            <v>0.21276595744680837</v>
          </cell>
          <cell r="AN360">
            <v>-0.48062015503875966</v>
          </cell>
          <cell r="AO360" t="e">
            <v>#N/A</v>
          </cell>
          <cell r="AP360">
            <v>0.25789473684210518</v>
          </cell>
          <cell r="AQ360" t="e">
            <v>#VALUE!</v>
          </cell>
          <cell r="AR360">
            <v>0.25789473684210518</v>
          </cell>
          <cell r="AS360">
            <v>0.30000000000000004</v>
          </cell>
          <cell r="AT360" t="e">
            <v>#N/A</v>
          </cell>
          <cell r="AU360">
            <v>0.59890109890109899</v>
          </cell>
          <cell r="AV360">
            <v>0.59890109890109899</v>
          </cell>
          <cell r="AW360" t="e">
            <v>#VALUE!</v>
          </cell>
          <cell r="AX360" t="e">
            <v>#VALUE!</v>
          </cell>
          <cell r="AY360" t="e">
            <v>#VALUE!</v>
          </cell>
          <cell r="AZ360" t="e">
            <v>#VALUE!</v>
          </cell>
          <cell r="BA360" t="e">
            <v>#VALUE!</v>
          </cell>
          <cell r="BB360" t="e">
            <v>#VALUE!</v>
          </cell>
          <cell r="BC360" t="e">
            <v>#VALUE!</v>
          </cell>
          <cell r="BD360" t="e">
            <v>#VALUE!</v>
          </cell>
          <cell r="BE360" t="e">
            <v>#VALUE!</v>
          </cell>
        </row>
        <row r="361">
          <cell r="H361">
            <v>0.12631578947368438</v>
          </cell>
          <cell r="I361">
            <v>0.47826086956521752</v>
          </cell>
          <cell r="J361">
            <v>0.1333333333333333</v>
          </cell>
          <cell r="K361">
            <v>0.12635379061371843</v>
          </cell>
          <cell r="L361">
            <v>3.5</v>
          </cell>
          <cell r="M361">
            <v>0.22891566265060259</v>
          </cell>
          <cell r="N361">
            <v>0.1064814814814814</v>
          </cell>
          <cell r="O361">
            <v>0.43137254901960786</v>
          </cell>
          <cell r="P361">
            <v>1.1212121212121211</v>
          </cell>
          <cell r="Q361">
            <v>0.16842105263157903</v>
          </cell>
          <cell r="R361">
            <v>0.16394558823529404</v>
          </cell>
          <cell r="S361">
            <v>0.15671641791044766</v>
          </cell>
          <cell r="T361">
            <v>0.15340909090909083</v>
          </cell>
          <cell r="U361">
            <v>1.03125</v>
          </cell>
          <cell r="V361">
            <v>0.48051948051948035</v>
          </cell>
          <cell r="W361">
            <v>0.13829787234042556</v>
          </cell>
          <cell r="X361">
            <v>0.15730337078651679</v>
          </cell>
          <cell r="Y361">
            <v>0.25742574257425743</v>
          </cell>
          <cell r="Z361" t="e">
            <v>#N/A</v>
          </cell>
          <cell r="AA361">
            <v>0.19648093841642233</v>
          </cell>
          <cell r="AB361">
            <v>0.19648093841642233</v>
          </cell>
          <cell r="AC361">
            <v>0.109375</v>
          </cell>
          <cell r="AD361" t="e">
            <v>#N/A</v>
          </cell>
          <cell r="AE361">
            <v>0.4095238095238094</v>
          </cell>
          <cell r="AF361">
            <v>0.15625</v>
          </cell>
          <cell r="AG361">
            <v>0.19780219780219777</v>
          </cell>
          <cell r="AH361">
            <v>0.41533546325878601</v>
          </cell>
          <cell r="AI361">
            <v>1</v>
          </cell>
          <cell r="AJ361" t="e">
            <v>#VALUE!</v>
          </cell>
          <cell r="AK361">
            <v>0.15340909090909083</v>
          </cell>
          <cell r="AL361">
            <v>0.21879382889200549</v>
          </cell>
          <cell r="AM361">
            <v>0.11403508771929838</v>
          </cell>
          <cell r="AN361">
            <v>0.49731343283582086</v>
          </cell>
          <cell r="AO361" t="e">
            <v>#N/A</v>
          </cell>
          <cell r="AP361">
            <v>0.19874476987447709</v>
          </cell>
          <cell r="AQ361" t="e">
            <v>#VALUE!</v>
          </cell>
          <cell r="AR361">
            <v>0.19874476987447709</v>
          </cell>
          <cell r="AS361">
            <v>0.19780219780219777</v>
          </cell>
          <cell r="AT361" t="e">
            <v>#N/A</v>
          </cell>
          <cell r="AU361">
            <v>0.20274914089347074</v>
          </cell>
          <cell r="AV361">
            <v>0.20274914089347074</v>
          </cell>
          <cell r="AW361" t="e">
            <v>#VALUE!</v>
          </cell>
          <cell r="AX361" t="e">
            <v>#VALUE!</v>
          </cell>
          <cell r="AY361" t="e">
            <v>#VALUE!</v>
          </cell>
          <cell r="AZ361" t="e">
            <v>#VALUE!</v>
          </cell>
          <cell r="BA361" t="e">
            <v>#VALUE!</v>
          </cell>
          <cell r="BB361" t="e">
            <v>#VALUE!</v>
          </cell>
          <cell r="BC361" t="e">
            <v>#VALUE!</v>
          </cell>
          <cell r="BD361" t="e">
            <v>#VALUE!</v>
          </cell>
          <cell r="BE361" t="e">
            <v>#VALUE!</v>
          </cell>
        </row>
        <row r="362">
          <cell r="H362">
            <v>-0.50345323741007197</v>
          </cell>
          <cell r="I362">
            <v>-0.68642659279778395</v>
          </cell>
          <cell r="J362">
            <v>-2.8714524207011705E-2</v>
          </cell>
          <cell r="K362">
            <v>0.63133640552995396</v>
          </cell>
          <cell r="L362">
            <v>-9.5238095238095122E-2</v>
          </cell>
          <cell r="M362">
            <v>-0.21292460646230327</v>
          </cell>
          <cell r="N362">
            <v>-0.34760869565217389</v>
          </cell>
          <cell r="O362">
            <v>-0.48140321217244297</v>
          </cell>
          <cell r="P362">
            <v>-0.81860006572461386</v>
          </cell>
          <cell r="Q362">
            <v>-0.18022705771050151</v>
          </cell>
          <cell r="R362">
            <v>0.18976545842217463</v>
          </cell>
          <cell r="S362">
            <v>-0.3235708251196846</v>
          </cell>
          <cell r="T362" t="e">
            <v>#VALUE!</v>
          </cell>
          <cell r="U362">
            <v>-0.20848845867460897</v>
          </cell>
          <cell r="V362">
            <v>0.51308139534883712</v>
          </cell>
          <cell r="W362">
            <v>-0.50345323741007197</v>
          </cell>
          <cell r="X362">
            <v>-0.41168478260869568</v>
          </cell>
          <cell r="Y362">
            <v>-8.5178236397748575E-2</v>
          </cell>
          <cell r="Z362" t="str">
            <v>NA</v>
          </cell>
          <cell r="AA362">
            <v>8.9791635436966111E-2</v>
          </cell>
          <cell r="AB362">
            <v>8.9791635436966111E-2</v>
          </cell>
          <cell r="AC362">
            <v>-0.27339901477832518</v>
          </cell>
          <cell r="AD362" t="str">
            <v>NA</v>
          </cell>
          <cell r="AE362">
            <v>-4.5066991473812545E-2</v>
          </cell>
          <cell r="AF362">
            <v>0.50169204737732653</v>
          </cell>
          <cell r="AG362">
            <v>-1.9562043795620543E-2</v>
          </cell>
          <cell r="AH362">
            <v>0.51308139534883712</v>
          </cell>
          <cell r="AI362">
            <v>-0.57641025641025645</v>
          </cell>
          <cell r="AJ362" t="e">
            <v>#VALUE!</v>
          </cell>
          <cell r="AK362">
            <v>0.14455445544554446</v>
          </cell>
          <cell r="AL362">
            <v>-0.20732618988288076</v>
          </cell>
          <cell r="AM362">
            <v>9.5517841601392428E-2</v>
          </cell>
          <cell r="AN362">
            <v>7.0815450643776812E-2</v>
          </cell>
          <cell r="AO362" t="str">
            <v>NA</v>
          </cell>
          <cell r="AP362">
            <v>0.35375886524822686</v>
          </cell>
          <cell r="AQ362" t="e">
            <v>#VALUE!</v>
          </cell>
          <cell r="AR362">
            <v>0.35375886524822686</v>
          </cell>
          <cell r="AS362">
            <v>-1.9562043795620543E-2</v>
          </cell>
          <cell r="AT362" t="str">
            <v>NA</v>
          </cell>
          <cell r="AU362">
            <v>-0.11770321876704848</v>
          </cell>
          <cell r="AV362">
            <v>-0.11770321876704848</v>
          </cell>
          <cell r="AW362" t="e">
            <v>#VALUE!</v>
          </cell>
          <cell r="AX362" t="e">
            <v>#VALUE!</v>
          </cell>
          <cell r="AY362" t="e">
            <v>#VALUE!</v>
          </cell>
          <cell r="AZ362" t="e">
            <v>#VALUE!</v>
          </cell>
          <cell r="BA362" t="e">
            <v>#VALUE!</v>
          </cell>
          <cell r="BB362" t="e">
            <v>#VALUE!</v>
          </cell>
          <cell r="BC362" t="e">
            <v>#VALUE!</v>
          </cell>
          <cell r="BD362" t="e">
            <v>#VALUE!</v>
          </cell>
          <cell r="BE362" t="e">
            <v>#VALUE!</v>
          </cell>
        </row>
        <row r="363">
          <cell r="H363">
            <v>2.8985507246370723E-4</v>
          </cell>
          <cell r="I363">
            <v>-0.17971014492753623</v>
          </cell>
          <cell r="J363">
            <v>8.788332086761419E-2</v>
          </cell>
          <cell r="K363">
            <v>9.2322883238706632E-2</v>
          </cell>
          <cell r="L363">
            <v>8.8004822182037534E-2</v>
          </cell>
          <cell r="M363">
            <v>0.1124121779859486</v>
          </cell>
          <cell r="N363">
            <v>9.6055514974433986E-2</v>
          </cell>
          <cell r="O363">
            <v>-0.11343930635838151</v>
          </cell>
          <cell r="P363">
            <v>-0.24487004103967169</v>
          </cell>
          <cell r="Q363">
            <v>4.5235223160434268E-2</v>
          </cell>
          <cell r="R363">
            <v>3.4930448222565635E-2</v>
          </cell>
          <cell r="S363">
            <v>0.11203703703703694</v>
          </cell>
          <cell r="T363" t="e">
            <v>#VALUE!</v>
          </cell>
          <cell r="U363">
            <v>-3.3636363636363575E-2</v>
          </cell>
          <cell r="V363">
            <v>0.15950100245043441</v>
          </cell>
          <cell r="W363">
            <v>2.8985507246370723E-4</v>
          </cell>
          <cell r="X363">
            <v>6.7488443759630146E-2</v>
          </cell>
          <cell r="Y363">
            <v>0.16372315035799523</v>
          </cell>
          <cell r="Z363" t="str">
            <v>NA</v>
          </cell>
          <cell r="AA363">
            <v>0.14236329352608434</v>
          </cell>
          <cell r="AB363">
            <v>0.14236329352608434</v>
          </cell>
          <cell r="AC363">
            <v>1.7241379310344751E-2</v>
          </cell>
          <cell r="AD363" t="str">
            <v>NA</v>
          </cell>
          <cell r="AE363">
            <v>9.3444909344490901E-2</v>
          </cell>
          <cell r="AF363">
            <v>0.24068033550792167</v>
          </cell>
          <cell r="AG363">
            <v>0.16395147313691494</v>
          </cell>
          <cell r="AH363">
            <v>0.15950100245043441</v>
          </cell>
          <cell r="AI363">
            <v>0</v>
          </cell>
          <cell r="AJ363" t="e">
            <v>#VALUE!</v>
          </cell>
          <cell r="AK363">
            <v>8.0373831775700788E-2</v>
          </cell>
          <cell r="AL363">
            <v>2.1515735388567769E-2</v>
          </cell>
          <cell r="AM363">
            <v>4.2011589403973426E-2</v>
          </cell>
          <cell r="AN363">
            <v>7.3118279569892364E-2</v>
          </cell>
          <cell r="AO363" t="str">
            <v>NA</v>
          </cell>
          <cell r="AP363">
            <v>5.5985837574684671E-2</v>
          </cell>
          <cell r="AQ363" t="e">
            <v>#VALUE!</v>
          </cell>
          <cell r="AR363">
            <v>5.5985837574684671E-2</v>
          </cell>
          <cell r="AS363">
            <v>0.16395147313691494</v>
          </cell>
          <cell r="AT363" t="str">
            <v>NA</v>
          </cell>
          <cell r="AU363">
            <v>0.16119188655537608</v>
          </cell>
          <cell r="AV363">
            <v>0.16119188655537608</v>
          </cell>
          <cell r="AW363" t="e">
            <v>#VALUE!</v>
          </cell>
          <cell r="AX363" t="e">
            <v>#VALUE!</v>
          </cell>
          <cell r="AY363" t="e">
            <v>#VALUE!</v>
          </cell>
          <cell r="AZ363" t="e">
            <v>#VALUE!</v>
          </cell>
          <cell r="BA363" t="e">
            <v>#VALUE!</v>
          </cell>
          <cell r="BB363" t="e">
            <v>#VALUE!</v>
          </cell>
          <cell r="BC363" t="e">
            <v>#VALUE!</v>
          </cell>
          <cell r="BD363" t="e">
            <v>#VALUE!</v>
          </cell>
          <cell r="BE363" t="e">
            <v>#VALUE!</v>
          </cell>
        </row>
        <row r="364">
          <cell r="H364">
            <v>7.4408468244084647E-2</v>
          </cell>
          <cell r="I364">
            <v>-0.59015206372194062</v>
          </cell>
          <cell r="J364">
            <v>3.1034482758620641E-3</v>
          </cell>
          <cell r="K364">
            <v>0.10184262948207179</v>
          </cell>
          <cell r="L364">
            <v>-0.21041119860017488</v>
          </cell>
          <cell r="M364">
            <v>3.4858387799564294E-2</v>
          </cell>
          <cell r="N364">
            <v>-0.22932717000513603</v>
          </cell>
          <cell r="O364">
            <v>-0.34664536741214069</v>
          </cell>
          <cell r="P364">
            <v>-0.58651685393258424</v>
          </cell>
          <cell r="Q364">
            <v>-2.0903954802259928E-2</v>
          </cell>
          <cell r="R364">
            <v>5.1507537688442184E-2</v>
          </cell>
          <cell r="S364">
            <v>-1.1115685467270486E-2</v>
          </cell>
          <cell r="T364" t="e">
            <v>#VALUE!</v>
          </cell>
          <cell r="U364">
            <v>4.4717444717444765E-2</v>
          </cell>
          <cell r="V364">
            <v>5.2152819890842972E-2</v>
          </cell>
          <cell r="W364">
            <v>7.4408468244084647E-2</v>
          </cell>
          <cell r="X364">
            <v>-8.5533262935586163E-2</v>
          </cell>
          <cell r="Y364">
            <v>8.6884567645841848E-3</v>
          </cell>
          <cell r="Z364" t="str">
            <v>NA</v>
          </cell>
          <cell r="AA364">
            <v>-4.6557377049180282E-2</v>
          </cell>
          <cell r="AB364">
            <v>-4.6557377049180282E-2</v>
          </cell>
          <cell r="AC364">
            <v>-0.19089413055403182</v>
          </cell>
          <cell r="AD364" t="str">
            <v>NA</v>
          </cell>
          <cell r="AE364">
            <v>-1.0101010101010055E-2</v>
          </cell>
          <cell r="AF364">
            <v>0.11262014208106974</v>
          </cell>
          <cell r="AG364">
            <v>0.11896034655114951</v>
          </cell>
          <cell r="AH364">
            <v>5.2152819890842972E-2</v>
          </cell>
          <cell r="AI364">
            <v>-0.66368078175895762</v>
          </cell>
          <cell r="AJ364" t="e">
            <v>#VALUE!</v>
          </cell>
          <cell r="AK364">
            <v>-1.7006802721088454E-2</v>
          </cell>
          <cell r="AL364">
            <v>-0.12344998622209979</v>
          </cell>
          <cell r="AM364">
            <v>4.939558149228862E-2</v>
          </cell>
          <cell r="AN364">
            <v>3.9583333333333526E-2</v>
          </cell>
          <cell r="AO364" t="str">
            <v>NA</v>
          </cell>
          <cell r="AP364">
            <v>-3.1065989847715803E-2</v>
          </cell>
          <cell r="AQ364" t="e">
            <v>#VALUE!</v>
          </cell>
          <cell r="AR364">
            <v>-3.1065989847715803E-2</v>
          </cell>
          <cell r="AS364">
            <v>0.11896034655114951</v>
          </cell>
          <cell r="AT364" t="str">
            <v>NA</v>
          </cell>
          <cell r="AU364">
            <v>2.6336665080120447E-2</v>
          </cell>
          <cell r="AV364">
            <v>2.6336665080120447E-2</v>
          </cell>
          <cell r="AW364" t="e">
            <v>#VALUE!</v>
          </cell>
          <cell r="AX364" t="e">
            <v>#VALUE!</v>
          </cell>
          <cell r="AY364" t="e">
            <v>#VALUE!</v>
          </cell>
          <cell r="AZ364" t="e">
            <v>#VALUE!</v>
          </cell>
          <cell r="BA364" t="e">
            <v>#VALUE!</v>
          </cell>
          <cell r="BB364" t="e">
            <v>#VALUE!</v>
          </cell>
          <cell r="BC364" t="e">
            <v>#VALUE!</v>
          </cell>
          <cell r="BD364" t="e">
            <v>#VALUE!</v>
          </cell>
          <cell r="BE364" t="e">
            <v>#VALUE!</v>
          </cell>
        </row>
        <row r="365">
          <cell r="H365">
            <v>-6.7297297297297387E-2</v>
          </cell>
          <cell r="I365">
            <v>-0.63717948717948714</v>
          </cell>
          <cell r="J365">
            <v>6.0904449307074948E-2</v>
          </cell>
          <cell r="K365">
            <v>0.32089552238805963</v>
          </cell>
          <cell r="L365">
            <v>-0.33123379029270095</v>
          </cell>
          <cell r="M365">
            <v>-0.20634920634920639</v>
          </cell>
          <cell r="N365">
            <v>-0.33664898320070735</v>
          </cell>
          <cell r="O365">
            <v>-0.39076464746772599</v>
          </cell>
          <cell r="P365">
            <v>-0.67529411764705882</v>
          </cell>
          <cell r="Q365">
            <v>-0.17001915708812265</v>
          </cell>
          <cell r="R365">
            <v>4.4617784711388442E-2</v>
          </cell>
          <cell r="S365">
            <v>-0.20986842105263159</v>
          </cell>
          <cell r="T365" t="e">
            <v>#VALUE!</v>
          </cell>
          <cell r="U365">
            <v>0.16174863387978156</v>
          </cell>
          <cell r="V365">
            <v>-3.0545725460979667E-2</v>
          </cell>
          <cell r="W365">
            <v>-6.7297297297297387E-2</v>
          </cell>
          <cell r="X365">
            <v>-0.26297872340425532</v>
          </cell>
          <cell r="Y365">
            <v>-8.9430894308943909E-3</v>
          </cell>
          <cell r="Z365" t="str">
            <v>NA</v>
          </cell>
          <cell r="AA365">
            <v>9.7192876546936313E-2</v>
          </cell>
          <cell r="AB365">
            <v>9.7192876546936313E-2</v>
          </cell>
          <cell r="AC365">
            <v>-0.22895974908520644</v>
          </cell>
          <cell r="AD365" t="str">
            <v>NA</v>
          </cell>
          <cell r="AE365">
            <v>-0.15969989281886388</v>
          </cell>
          <cell r="AF365">
            <v>0.24068033550792167</v>
          </cell>
          <cell r="AG365">
            <v>0.23365172667156497</v>
          </cell>
          <cell r="AH365">
            <v>-3.0545725460979667E-2</v>
          </cell>
          <cell r="AI365">
            <v>-0.65938144329896908</v>
          </cell>
          <cell r="AJ365" t="e">
            <v>#VALUE!</v>
          </cell>
          <cell r="AK365">
            <v>6.25E-2</v>
          </cell>
          <cell r="AL365">
            <v>-8.1072653570315456E-3</v>
          </cell>
          <cell r="AM365">
            <v>8.0008580008580132E-2</v>
          </cell>
          <cell r="AN365">
            <v>-0.25522388059701495</v>
          </cell>
          <cell r="AO365" t="str">
            <v>NA</v>
          </cell>
          <cell r="AP365">
            <v>0.19569030318215996</v>
          </cell>
          <cell r="AQ365" t="e">
            <v>#VALUE!</v>
          </cell>
          <cell r="AR365">
            <v>0.19569030318215996</v>
          </cell>
          <cell r="AS365">
            <v>0.23365172667156497</v>
          </cell>
          <cell r="AT365" t="str">
            <v>NA</v>
          </cell>
          <cell r="AU365">
            <v>-1.4623000761614713E-2</v>
          </cell>
          <cell r="AV365">
            <v>-1.4623000761614713E-2</v>
          </cell>
          <cell r="AW365" t="e">
            <v>#VALUE!</v>
          </cell>
          <cell r="AX365" t="e">
            <v>#VALUE!</v>
          </cell>
          <cell r="AY365" t="e">
            <v>#VALUE!</v>
          </cell>
          <cell r="AZ365" t="e">
            <v>#VALUE!</v>
          </cell>
          <cell r="BA365" t="e">
            <v>#VALUE!</v>
          </cell>
          <cell r="BB365" t="e">
            <v>#VALUE!</v>
          </cell>
          <cell r="BC365" t="e">
            <v>#VALUE!</v>
          </cell>
          <cell r="BD365" t="e">
            <v>#VALUE!</v>
          </cell>
          <cell r="BE365" t="e">
            <v>#VALUE!</v>
          </cell>
        </row>
        <row r="368">
          <cell r="H368" t="str">
            <v>NA</v>
          </cell>
          <cell r="I368" t="str">
            <v>NA</v>
          </cell>
          <cell r="J368" t="str">
            <v>NA</v>
          </cell>
          <cell r="K368" t="str">
            <v>NA</v>
          </cell>
          <cell r="L368" t="str">
            <v>NA</v>
          </cell>
          <cell r="M368" t="str">
            <v>NA</v>
          </cell>
          <cell r="N368" t="str">
            <v>NA</v>
          </cell>
          <cell r="O368" t="str">
            <v>NA</v>
          </cell>
          <cell r="P368" t="str">
            <v>NA</v>
          </cell>
          <cell r="Q368" t="str">
            <v>NA</v>
          </cell>
          <cell r="R368" t="str">
            <v>NA</v>
          </cell>
          <cell r="S368" t="str">
            <v>NA</v>
          </cell>
          <cell r="T368" t="str">
            <v>NA</v>
          </cell>
          <cell r="U368">
            <v>1.0693307896982774E-2</v>
          </cell>
          <cell r="V368">
            <v>0.26962970549622445</v>
          </cell>
          <cell r="W368">
            <v>0.18696819790456437</v>
          </cell>
          <cell r="X368">
            <v>0.19380520277577651</v>
          </cell>
          <cell r="Y368">
            <v>5.2594519010087125E-2</v>
          </cell>
          <cell r="Z368">
            <v>1.6443183851760568E-2</v>
          </cell>
          <cell r="AA368">
            <v>1.7640908278226348E-2</v>
          </cell>
          <cell r="AB368">
            <v>1.8085483627143288E-2</v>
          </cell>
          <cell r="AC368">
            <v>2.3776764772298026E-2</v>
          </cell>
          <cell r="AD368" t="str">
            <v>NA</v>
          </cell>
          <cell r="AE368">
            <v>9.4951978503645881E-3</v>
          </cell>
          <cell r="AF368">
            <v>6.1589367709245585E-2</v>
          </cell>
          <cell r="AG368">
            <v>9.1801786875638308E-2</v>
          </cell>
          <cell r="AH368">
            <v>0.12840506567192247</v>
          </cell>
          <cell r="AI368">
            <v>-0.3762399904386326</v>
          </cell>
          <cell r="AJ368">
            <v>5.7014234155848866E-2</v>
          </cell>
          <cell r="AK368">
            <v>7.4016158457127973E-2</v>
          </cell>
          <cell r="AL368">
            <v>2.0259684636452783E-2</v>
          </cell>
          <cell r="AM368">
            <v>0.18599818389465572</v>
          </cell>
          <cell r="AN368">
            <v>-1.0550700285228106E-2</v>
          </cell>
          <cell r="AO368" t="str">
            <v>NA</v>
          </cell>
          <cell r="AP368">
            <v>0.10256708201011942</v>
          </cell>
          <cell r="AQ368">
            <v>7.0224324920313538E-2</v>
          </cell>
          <cell r="AR368">
            <v>9.8081181987959801E-2</v>
          </cell>
          <cell r="AS368">
            <v>9.1801786875638308E-2</v>
          </cell>
          <cell r="AT368">
            <v>5.6732938030461574E-2</v>
          </cell>
          <cell r="AU368">
            <v>4.2896086300536124E-2</v>
          </cell>
          <cell r="AV368">
            <v>4.3864724300229654E-2</v>
          </cell>
          <cell r="AW368" t="str">
            <v>NA</v>
          </cell>
          <cell r="AX368" t="str">
            <v>NA</v>
          </cell>
          <cell r="AY368" t="str">
            <v>NA</v>
          </cell>
          <cell r="AZ368" t="str">
            <v>NA</v>
          </cell>
          <cell r="BA368" t="str">
            <v>NA</v>
          </cell>
          <cell r="BB368" t="str">
            <v>NA</v>
          </cell>
          <cell r="BC368" t="str">
            <v>NA</v>
          </cell>
          <cell r="BD368" t="str">
            <v>NA</v>
          </cell>
          <cell r="BE368" t="str">
            <v>NA</v>
          </cell>
        </row>
        <row r="369">
          <cell r="H369" t="str">
            <v>NA</v>
          </cell>
          <cell r="I369" t="str">
            <v>NA</v>
          </cell>
          <cell r="J369" t="str">
            <v>NA</v>
          </cell>
          <cell r="K369" t="str">
            <v>NA</v>
          </cell>
          <cell r="L369" t="str">
            <v>NA</v>
          </cell>
          <cell r="M369" t="str">
            <v>NA</v>
          </cell>
          <cell r="N369" t="str">
            <v>NA</v>
          </cell>
          <cell r="O369" t="str">
            <v>NA</v>
          </cell>
          <cell r="P369" t="str">
            <v>NA</v>
          </cell>
          <cell r="Q369" t="str">
            <v>NA</v>
          </cell>
          <cell r="R369" t="str">
            <v>NA</v>
          </cell>
          <cell r="S369" t="str">
            <v>NA</v>
          </cell>
          <cell r="T369" t="str">
            <v>NA</v>
          </cell>
          <cell r="U369">
            <v>9.1144133741653657E-2</v>
          </cell>
          <cell r="V369">
            <v>0.30463519892738433</v>
          </cell>
          <cell r="W369">
            <v>0.22234099810657673</v>
          </cell>
          <cell r="X369">
            <v>0.24490529491447746</v>
          </cell>
          <cell r="Y369">
            <v>5.6626710110702583E-2</v>
          </cell>
          <cell r="Z369">
            <v>2.0562085830529934E-2</v>
          </cell>
          <cell r="AA369">
            <v>1.8947336685949608E-2</v>
          </cell>
          <cell r="AB369">
            <v>1.9779493010378759E-2</v>
          </cell>
          <cell r="AC369">
            <v>2.9526577653195909E-2</v>
          </cell>
          <cell r="AD369" t="str">
            <v>NA</v>
          </cell>
          <cell r="AE369">
            <v>2.1632449686811436E-2</v>
          </cell>
          <cell r="AF369">
            <v>7.1737787681207435E-2</v>
          </cell>
          <cell r="AG369">
            <v>0.14368201229991615</v>
          </cell>
          <cell r="AH369">
            <v>0.13140653897996923</v>
          </cell>
          <cell r="AI369">
            <v>-0.10923867574997122</v>
          </cell>
          <cell r="AJ369">
            <v>6.8400569678198769E-2</v>
          </cell>
          <cell r="AK369">
            <v>0.10027365129007038</v>
          </cell>
          <cell r="AL369">
            <v>2.6509473304554627E-2</v>
          </cell>
          <cell r="AM369">
            <v>0.24651213661995836</v>
          </cell>
          <cell r="AN369">
            <v>1.8903591682419645E-3</v>
          </cell>
          <cell r="AO369" t="str">
            <v>NA</v>
          </cell>
          <cell r="AP369">
            <v>0.1109593136397737</v>
          </cell>
          <cell r="AQ369">
            <v>7.4231050658540979E-2</v>
          </cell>
          <cell r="AR369">
            <v>0.10599003507698727</v>
          </cell>
          <cell r="AS369">
            <v>0.1436820122999162</v>
          </cell>
          <cell r="AT369">
            <v>8.5055226136495757E-2</v>
          </cell>
          <cell r="AU369">
            <v>4.9586429958934496E-2</v>
          </cell>
          <cell r="AV369">
            <v>5.1493433399889148E-2</v>
          </cell>
          <cell r="AW369" t="str">
            <v>NA</v>
          </cell>
          <cell r="AX369" t="str">
            <v>NA</v>
          </cell>
          <cell r="AY369" t="str">
            <v>NA</v>
          </cell>
          <cell r="AZ369" t="str">
            <v>NA</v>
          </cell>
          <cell r="BA369" t="str">
            <v>NA</v>
          </cell>
          <cell r="BB369" t="str">
            <v>NA</v>
          </cell>
          <cell r="BC369" t="str">
            <v>NA</v>
          </cell>
          <cell r="BD369" t="str">
            <v>NA</v>
          </cell>
          <cell r="BE369" t="str">
            <v>NA</v>
          </cell>
        </row>
        <row r="370">
          <cell r="H370" t="str">
            <v>NA</v>
          </cell>
          <cell r="I370" t="str">
            <v>NA</v>
          </cell>
          <cell r="J370" t="str">
            <v>NA</v>
          </cell>
          <cell r="K370" t="str">
            <v>NA</v>
          </cell>
          <cell r="L370" t="str">
            <v>NA</v>
          </cell>
          <cell r="M370" t="str">
            <v>NA</v>
          </cell>
          <cell r="N370" t="str">
            <v>NA</v>
          </cell>
          <cell r="O370" t="str">
            <v>NA</v>
          </cell>
          <cell r="P370" t="str">
            <v>NA</v>
          </cell>
          <cell r="Q370" t="str">
            <v>NA</v>
          </cell>
          <cell r="R370" t="str">
            <v>NA</v>
          </cell>
          <cell r="S370" t="str">
            <v>NA</v>
          </cell>
          <cell r="T370" t="str">
            <v>NA</v>
          </cell>
          <cell r="U370" t="str">
            <v>NA</v>
          </cell>
          <cell r="V370" t="str">
            <v>NA</v>
          </cell>
          <cell r="W370" t="str">
            <v>NA</v>
          </cell>
          <cell r="X370" t="str">
            <v>NA</v>
          </cell>
          <cell r="Y370" t="str">
            <v>NA</v>
          </cell>
          <cell r="Z370" t="str">
            <v>NA</v>
          </cell>
          <cell r="AA370" t="str">
            <v>NA</v>
          </cell>
          <cell r="AB370" t="str">
            <v>NA</v>
          </cell>
          <cell r="AC370" t="str">
            <v>NA</v>
          </cell>
          <cell r="AD370" t="str">
            <v>NA</v>
          </cell>
          <cell r="AE370" t="str">
            <v>NA</v>
          </cell>
          <cell r="AF370" t="str">
            <v>NA</v>
          </cell>
          <cell r="AG370" t="str">
            <v>NA</v>
          </cell>
          <cell r="AH370" t="str">
            <v>NA</v>
          </cell>
          <cell r="AI370" t="str">
            <v>NA</v>
          </cell>
          <cell r="AJ370" t="str">
            <v>NA</v>
          </cell>
          <cell r="AK370" t="str">
            <v>NA</v>
          </cell>
          <cell r="AL370" t="str">
            <v>NA</v>
          </cell>
          <cell r="AM370" t="str">
            <v>NA</v>
          </cell>
          <cell r="AN370" t="str">
            <v>NA</v>
          </cell>
          <cell r="AO370" t="str">
            <v>NA</v>
          </cell>
          <cell r="AP370" t="str">
            <v>NA</v>
          </cell>
          <cell r="AQ370" t="str">
            <v>NA</v>
          </cell>
          <cell r="AR370" t="str">
            <v>NA</v>
          </cell>
          <cell r="AS370" t="str">
            <v>NA</v>
          </cell>
          <cell r="AT370" t="str">
            <v>NA</v>
          </cell>
          <cell r="AU370" t="str">
            <v>NA</v>
          </cell>
          <cell r="AV370" t="str">
            <v>NA</v>
          </cell>
          <cell r="AW370" t="str">
            <v>NA</v>
          </cell>
          <cell r="AX370" t="str">
            <v>NA</v>
          </cell>
          <cell r="AY370" t="str">
            <v>NA</v>
          </cell>
          <cell r="AZ370" t="str">
            <v>NA</v>
          </cell>
          <cell r="BA370" t="str">
            <v>NA</v>
          </cell>
          <cell r="BB370" t="str">
            <v>NA</v>
          </cell>
          <cell r="BC370" t="str">
            <v>NA</v>
          </cell>
          <cell r="BD370" t="str">
            <v>NA</v>
          </cell>
          <cell r="BE370" t="str">
            <v>NA</v>
          </cell>
        </row>
        <row r="371">
          <cell r="H371" t="str">
            <v>NA</v>
          </cell>
          <cell r="I371" t="str">
            <v>NA</v>
          </cell>
          <cell r="J371" t="str">
            <v>NA</v>
          </cell>
          <cell r="K371" t="str">
            <v>NA</v>
          </cell>
          <cell r="L371" t="str">
            <v>NA</v>
          </cell>
          <cell r="M371" t="str">
            <v>NA</v>
          </cell>
          <cell r="N371" t="str">
            <v>NA</v>
          </cell>
          <cell r="O371" t="str">
            <v>NA</v>
          </cell>
          <cell r="P371" t="str">
            <v>NA</v>
          </cell>
          <cell r="Q371" t="str">
            <v>NA</v>
          </cell>
          <cell r="R371" t="str">
            <v>NA</v>
          </cell>
          <cell r="S371" t="str">
            <v>NA</v>
          </cell>
          <cell r="T371" t="str">
            <v>NA</v>
          </cell>
          <cell r="U371">
            <v>2.5678999949796662E-2</v>
          </cell>
          <cell r="V371">
            <v>0.27540828297688108</v>
          </cell>
          <cell r="W371">
            <v>0.20063708001654312</v>
          </cell>
          <cell r="X371">
            <v>0.15859158068885848</v>
          </cell>
          <cell r="Y371">
            <v>5.809255882492962E-2</v>
          </cell>
          <cell r="Z371">
            <v>7.4723437100795318E-3</v>
          </cell>
          <cell r="AA371">
            <v>1.5289612129255312E-2</v>
          </cell>
          <cell r="AB371">
            <v>1.317572296661065E-2</v>
          </cell>
          <cell r="AC371">
            <v>1.9621385529127709E-2</v>
          </cell>
          <cell r="AD371" t="str">
            <v>NA</v>
          </cell>
          <cell r="AE371">
            <v>1.7287513736093773E-3</v>
          </cell>
          <cell r="AF371">
            <v>5.9480187375475835E-2</v>
          </cell>
          <cell r="AG371">
            <v>7.8066385916670172E-2</v>
          </cell>
          <cell r="AH371">
            <v>0.11831133820256415</v>
          </cell>
          <cell r="AI371">
            <v>-1.1728616389785422</v>
          </cell>
          <cell r="AJ371">
            <v>4.9451750360423978E-2</v>
          </cell>
          <cell r="AK371">
            <v>4.2839457909825393E-2</v>
          </cell>
          <cell r="AL371">
            <v>1.7205234268453502E-2</v>
          </cell>
          <cell r="AM371">
            <v>0.17197296699215819</v>
          </cell>
          <cell r="AN371">
            <v>-8.7516628159350282E-3</v>
          </cell>
          <cell r="AO371" t="str">
            <v>NA</v>
          </cell>
          <cell r="AP371">
            <v>9.4578724412380202E-2</v>
          </cell>
          <cell r="AQ371">
            <v>6.934894319374002E-2</v>
          </cell>
          <cell r="AR371">
            <v>9.4715979021457106E-2</v>
          </cell>
          <cell r="AS371">
            <v>7.8066385916670186E-2</v>
          </cell>
          <cell r="AT371">
            <v>5.864899430298802E-2</v>
          </cell>
          <cell r="AU371">
            <v>3.9514769359205469E-2</v>
          </cell>
          <cell r="AV371">
            <v>4.0318621536564375E-2</v>
          </cell>
          <cell r="AW371" t="str">
            <v>NA</v>
          </cell>
          <cell r="AX371" t="str">
            <v>NA</v>
          </cell>
          <cell r="AY371" t="str">
            <v>NA</v>
          </cell>
          <cell r="AZ371" t="str">
            <v>NA</v>
          </cell>
          <cell r="BA371" t="str">
            <v>NA</v>
          </cell>
          <cell r="BB371" t="str">
            <v>NA</v>
          </cell>
          <cell r="BC371" t="str">
            <v>NA</v>
          </cell>
          <cell r="BD371" t="str">
            <v>NA</v>
          </cell>
          <cell r="BE371" t="str">
            <v>NA</v>
          </cell>
        </row>
        <row r="372">
          <cell r="H372" t="str">
            <v>NA</v>
          </cell>
          <cell r="I372" t="str">
            <v>NA</v>
          </cell>
          <cell r="J372" t="str">
            <v>NA</v>
          </cell>
          <cell r="K372" t="str">
            <v>NA</v>
          </cell>
          <cell r="L372" t="str">
            <v>NA</v>
          </cell>
          <cell r="M372" t="str">
            <v>NA</v>
          </cell>
          <cell r="N372" t="str">
            <v>NA</v>
          </cell>
          <cell r="O372" t="str">
            <v>NA</v>
          </cell>
          <cell r="P372" t="str">
            <v>NA</v>
          </cell>
          <cell r="Q372" t="str">
            <v>NA</v>
          </cell>
          <cell r="R372" t="str">
            <v>NA</v>
          </cell>
          <cell r="S372" t="str">
            <v>NA</v>
          </cell>
          <cell r="T372" t="str">
            <v>NA</v>
          </cell>
          <cell r="U372">
            <v>-4.3927908027512038E-3</v>
          </cell>
          <cell r="V372">
            <v>0.20653206128125329</v>
          </cell>
          <cell r="W372">
            <v>0.12526303691905261</v>
          </cell>
          <cell r="X372">
            <v>0.1468841579511618</v>
          </cell>
          <cell r="Y372">
            <v>3.6255398674314765E-2</v>
          </cell>
          <cell r="Z372">
            <v>3.9994658745698764E-3</v>
          </cell>
          <cell r="AA372">
            <v>7.3751108439257503E-3</v>
          </cell>
          <cell r="AB372">
            <v>8.028278223140747E-3</v>
          </cell>
          <cell r="AC372">
            <v>9.3050110067772526E-3</v>
          </cell>
          <cell r="AD372" t="str">
            <v>NA</v>
          </cell>
          <cell r="AE372">
            <v>6.0696381994441457E-3</v>
          </cell>
          <cell r="AF372">
            <v>3.7696811836836451E-2</v>
          </cell>
          <cell r="AG372">
            <v>4.6554960150150961E-2</v>
          </cell>
          <cell r="AH372">
            <v>6.8077803203661316E-2</v>
          </cell>
          <cell r="AI372">
            <v>-0.83697860643003408</v>
          </cell>
          <cell r="AJ372">
            <v>3.2146262804111009E-2</v>
          </cell>
          <cell r="AK372">
            <v>2.8448788115715409E-2</v>
          </cell>
          <cell r="AL372">
            <v>1.1051249394181891E-2</v>
          </cell>
          <cell r="AM372">
            <v>0.11997147815883208</v>
          </cell>
          <cell r="AN372">
            <v>-9.3482979157344243E-3</v>
          </cell>
          <cell r="AO372" t="str">
            <v>NA</v>
          </cell>
          <cell r="AP372">
            <v>7.5426295809524882E-2</v>
          </cell>
          <cell r="AQ372">
            <v>5.1325100735721586E-2</v>
          </cell>
          <cell r="AR372">
            <v>5.7305606632530051E-2</v>
          </cell>
          <cell r="AS372">
            <v>4.6554960150150967E-2</v>
          </cell>
          <cell r="AT372">
            <v>3.3876991047552617E-2</v>
          </cell>
          <cell r="AU372">
            <v>3.0233637340932366E-2</v>
          </cell>
          <cell r="AV372">
            <v>3.0552129273036521E-2</v>
          </cell>
          <cell r="AW372" t="str">
            <v>NA</v>
          </cell>
          <cell r="AX372" t="str">
            <v>NA</v>
          </cell>
          <cell r="AY372" t="str">
            <v>NA</v>
          </cell>
          <cell r="AZ372" t="str">
            <v>NA</v>
          </cell>
          <cell r="BA372" t="str">
            <v>NA</v>
          </cell>
          <cell r="BB372" t="str">
            <v>NA</v>
          </cell>
          <cell r="BC372" t="str">
            <v>NA</v>
          </cell>
          <cell r="BD372" t="str">
            <v>NA</v>
          </cell>
          <cell r="BE372" t="str">
            <v>NA</v>
          </cell>
        </row>
        <row r="373">
          <cell r="H373" t="str">
            <v>NA</v>
          </cell>
          <cell r="I373" t="str">
            <v>NA</v>
          </cell>
          <cell r="J373" t="str">
            <v>NA</v>
          </cell>
          <cell r="K373" t="str">
            <v>NA</v>
          </cell>
          <cell r="L373" t="str">
            <v>NA</v>
          </cell>
          <cell r="M373" t="str">
            <v>NA</v>
          </cell>
          <cell r="N373" t="str">
            <v>NA</v>
          </cell>
          <cell r="O373" t="str">
            <v>NA</v>
          </cell>
          <cell r="P373" t="str">
            <v>NA</v>
          </cell>
          <cell r="Q373" t="str">
            <v>NA</v>
          </cell>
          <cell r="R373" t="str">
            <v>NA</v>
          </cell>
          <cell r="S373" t="str">
            <v>NA</v>
          </cell>
          <cell r="T373" t="str">
            <v>NA</v>
          </cell>
          <cell r="U373">
            <v>0.67948943220041169</v>
          </cell>
          <cell r="V373">
            <v>0.63776873585907012</v>
          </cell>
          <cell r="W373">
            <v>0.55173963082656829</v>
          </cell>
          <cell r="X373">
            <v>0.5541208916263658</v>
          </cell>
          <cell r="Y373">
            <v>0.11112218247602222</v>
          </cell>
          <cell r="Z373">
            <v>6.3213027440768607E-2</v>
          </cell>
          <cell r="AA373">
            <v>4.2909573555369403E-2</v>
          </cell>
          <cell r="AB373">
            <v>5.1639957459606381E-2</v>
          </cell>
          <cell r="AC373">
            <v>0.10691364573343819</v>
          </cell>
          <cell r="AD373" t="str">
            <v>NA</v>
          </cell>
          <cell r="AE373">
            <v>0.2260176519349755</v>
          </cell>
          <cell r="AF373">
            <v>0.27508069299670168</v>
          </cell>
          <cell r="AG373">
            <v>0.38174374927360266</v>
          </cell>
          <cell r="AH373">
            <v>0.19715682893953174</v>
          </cell>
          <cell r="AI373">
            <v>9.2147723198266154E-2</v>
          </cell>
          <cell r="AJ373">
            <v>0.23024886993596916</v>
          </cell>
          <cell r="AK373">
            <v>0.26081574146468567</v>
          </cell>
          <cell r="AL373">
            <v>7.61893759228158E-2</v>
          </cell>
          <cell r="AM373">
            <v>0.48022929389790292</v>
          </cell>
          <cell r="AN373">
            <v>0.11898912967376826</v>
          </cell>
          <cell r="AO373" t="str">
            <v>NA</v>
          </cell>
          <cell r="AP373">
            <v>0.35655872249454262</v>
          </cell>
          <cell r="AQ373">
            <v>0.25830443237174988</v>
          </cell>
          <cell r="AR373">
            <v>0.3461197772604111</v>
          </cell>
          <cell r="AS373">
            <v>0.38174374927360272</v>
          </cell>
          <cell r="AT373">
            <v>0.30281595163353076</v>
          </cell>
          <cell r="AU373">
            <v>9.2319280269199513E-2</v>
          </cell>
          <cell r="AV373">
            <v>9.8681537232598676E-2</v>
          </cell>
          <cell r="AW373" t="str">
            <v>NA</v>
          </cell>
          <cell r="AX373" t="str">
            <v>NA</v>
          </cell>
          <cell r="AY373" t="str">
            <v>NA</v>
          </cell>
          <cell r="AZ373" t="str">
            <v>NA</v>
          </cell>
          <cell r="BA373" t="str">
            <v>NA</v>
          </cell>
          <cell r="BB373" t="str">
            <v>NA</v>
          </cell>
          <cell r="BC373" t="str">
            <v>NA</v>
          </cell>
          <cell r="BD373" t="str">
            <v>NA</v>
          </cell>
          <cell r="BE373" t="str">
            <v>NA</v>
          </cell>
        </row>
        <row r="374">
          <cell r="H374" t="e">
            <v>#DIV/0!</v>
          </cell>
          <cell r="I374" t="e">
            <v>#DIV/0!</v>
          </cell>
          <cell r="J374" t="e">
            <v>#DIV/0!</v>
          </cell>
          <cell r="K374" t="e">
            <v>#DIV/0!</v>
          </cell>
          <cell r="L374" t="e">
            <v>#DIV/0!</v>
          </cell>
          <cell r="M374" t="e">
            <v>#DIV/0!</v>
          </cell>
          <cell r="N374" t="e">
            <v>#DIV/0!</v>
          </cell>
          <cell r="O374" t="e">
            <v>#DIV/0!</v>
          </cell>
          <cell r="P374" t="e">
            <v>#DIV/0!</v>
          </cell>
          <cell r="Q374" t="e">
            <v>#DIV/0!</v>
          </cell>
          <cell r="R374" t="e">
            <v>#DIV/0!</v>
          </cell>
          <cell r="S374" t="e">
            <v>#DIV/0!</v>
          </cell>
          <cell r="T374" t="e">
            <v>#VALUE!</v>
          </cell>
          <cell r="U374">
            <v>-3.822295998602186E-3</v>
          </cell>
          <cell r="V374">
            <v>0.37671689298751965</v>
          </cell>
          <cell r="W374">
            <v>4.1256688141224546E-2</v>
          </cell>
          <cell r="X374">
            <v>0.24927516928699672</v>
          </cell>
          <cell r="Y374">
            <v>0.12074273725816977</v>
          </cell>
          <cell r="Z374" t="e">
            <v>#N/A</v>
          </cell>
          <cell r="AA374">
            <v>0.13990141195717892</v>
          </cell>
          <cell r="AB374">
            <v>9.0242074426385918E-2</v>
          </cell>
          <cell r="AC374">
            <v>9.4834579175022929E-2</v>
          </cell>
          <cell r="AD374" t="e">
            <v>#N/A</v>
          </cell>
          <cell r="AE374">
            <v>3.3231314928966874E-2</v>
          </cell>
          <cell r="AF374">
            <v>0.13915680107431885</v>
          </cell>
          <cell r="AG374">
            <v>0.1533777068091832</v>
          </cell>
          <cell r="AH374" t="e">
            <v>#DIV/0!</v>
          </cell>
          <cell r="AI374" t="e">
            <v>#DIV/0!</v>
          </cell>
          <cell r="AJ374" t="e">
            <v>#VALUE!</v>
          </cell>
          <cell r="AK374">
            <v>1.9234889867841412</v>
          </cell>
          <cell r="AL374">
            <v>9.8562525130679521E-2</v>
          </cell>
          <cell r="AM374">
            <v>0.17564987941666813</v>
          </cell>
          <cell r="AN374">
            <v>-4.0672803125620827E-2</v>
          </cell>
          <cell r="AO374" t="e">
            <v>#N/A</v>
          </cell>
          <cell r="AP374" t="e">
            <v>#DIV/0!</v>
          </cell>
          <cell r="AQ374" t="e">
            <v>#VALUE!</v>
          </cell>
          <cell r="AR374">
            <v>0.14656633835404384</v>
          </cell>
          <cell r="AS374">
            <v>0.1533777068091832</v>
          </cell>
          <cell r="AT374" t="e">
            <v>#N/A</v>
          </cell>
          <cell r="AU374" t="e">
            <v>#DIV/0!</v>
          </cell>
          <cell r="AV374">
            <v>0.2160472539861491</v>
          </cell>
          <cell r="AW374" t="e">
            <v>#VALUE!</v>
          </cell>
          <cell r="AX374" t="e">
            <v>#VALUE!</v>
          </cell>
          <cell r="AY374" t="e">
            <v>#VALUE!</v>
          </cell>
          <cell r="AZ374" t="e">
            <v>#VALUE!</v>
          </cell>
          <cell r="BA374" t="e">
            <v>#VALUE!</v>
          </cell>
          <cell r="BB374" t="e">
            <v>#VALUE!</v>
          </cell>
          <cell r="BC374" t="e">
            <v>#VALUE!</v>
          </cell>
          <cell r="BD374" t="e">
            <v>#VALUE!</v>
          </cell>
          <cell r="BE374" t="e">
            <v>#VALUE!</v>
          </cell>
        </row>
        <row r="375">
          <cell r="H375" t="e">
            <v>#DIV/0!</v>
          </cell>
          <cell r="I375" t="e">
            <v>#DIV/0!</v>
          </cell>
          <cell r="J375" t="e">
            <v>#DIV/0!</v>
          </cell>
          <cell r="K375" t="e">
            <v>#DIV/0!</v>
          </cell>
          <cell r="L375" t="e">
            <v>#DIV/0!</v>
          </cell>
          <cell r="M375" t="e">
            <v>#DIV/0!</v>
          </cell>
          <cell r="N375" t="e">
            <v>#DIV/0!</v>
          </cell>
          <cell r="O375" t="e">
            <v>#DIV/0!</v>
          </cell>
          <cell r="P375" t="e">
            <v>#DIV/0!</v>
          </cell>
          <cell r="Q375" t="e">
            <v>#DIV/0!</v>
          </cell>
          <cell r="R375" t="e">
            <v>#DIV/0!</v>
          </cell>
          <cell r="S375" t="e">
            <v>#DIV/0!</v>
          </cell>
          <cell r="T375" t="e">
            <v>#DIV/0!</v>
          </cell>
          <cell r="U375">
            <v>-3.2447064931212686E-3</v>
          </cell>
          <cell r="V375">
            <v>0.19187763284817308</v>
          </cell>
          <cell r="W375">
            <v>3.4765921754830974E-2</v>
          </cell>
          <cell r="X375">
            <v>0.10140055415349639</v>
          </cell>
          <cell r="Y375">
            <v>8.0003029399836806E-2</v>
          </cell>
          <cell r="Z375">
            <v>1.5008299421367445E-2</v>
          </cell>
          <cell r="AA375">
            <v>3.405197607709845E-2</v>
          </cell>
          <cell r="AB375">
            <v>2.8516979035999163E-2</v>
          </cell>
          <cell r="AC375">
            <v>3.5983188930038768E-2</v>
          </cell>
          <cell r="AD375" t="e">
            <v>#DIV/0!</v>
          </cell>
          <cell r="AE375">
            <v>1.6104089884958001E-2</v>
          </cell>
          <cell r="AF375">
            <v>7.5174930642472548E-2</v>
          </cell>
          <cell r="AG375">
            <v>6.3349322224671129E-2</v>
          </cell>
          <cell r="AH375" t="e">
            <v>#DIV/0!</v>
          </cell>
          <cell r="AI375" t="e">
            <v>#DIV/0!</v>
          </cell>
          <cell r="AJ375">
            <v>5.3267346331524482E-2</v>
          </cell>
          <cell r="AK375" t="e">
            <v>#DIV/0!</v>
          </cell>
          <cell r="AL375">
            <v>3.0429284112686104E-2</v>
          </cell>
          <cell r="AM375">
            <v>9.8277402031668251E-2</v>
          </cell>
          <cell r="AN375">
            <v>-2.9025916334284797E-2</v>
          </cell>
          <cell r="AO375" t="e">
            <v>#DIV/0!</v>
          </cell>
          <cell r="AP375" t="e">
            <v>#DIV/0!</v>
          </cell>
          <cell r="AQ375" t="e">
            <v>#DIV/0!</v>
          </cell>
          <cell r="AR375">
            <v>0.11046693913337828</v>
          </cell>
          <cell r="AS375">
            <v>6.3349322224671129E-2</v>
          </cell>
          <cell r="AT375">
            <v>4.7456920420860617E-2</v>
          </cell>
          <cell r="AU375">
            <v>7.9752714298895841E-2</v>
          </cell>
          <cell r="AV375">
            <v>7.88878221040408E-2</v>
          </cell>
          <cell r="AW375" t="e">
            <v>#DIV/0!</v>
          </cell>
          <cell r="AX375" t="e">
            <v>#DIV/0!</v>
          </cell>
          <cell r="AY375" t="e">
            <v>#DIV/0!</v>
          </cell>
          <cell r="AZ375" t="e">
            <v>#DIV/0!</v>
          </cell>
          <cell r="BA375" t="e">
            <v>#DIV/0!</v>
          </cell>
          <cell r="BB375" t="e">
            <v>#DIV/0!</v>
          </cell>
          <cell r="BC375" t="e">
            <v>#DIV/0!</v>
          </cell>
          <cell r="BD375" t="e">
            <v>#DIV/0!</v>
          </cell>
          <cell r="BE375" t="e">
            <v>#DIV/0!</v>
          </cell>
        </row>
        <row r="376">
          <cell r="H376">
            <v>0.46767854722862168</v>
          </cell>
          <cell r="I376">
            <v>0.26498127340823974</v>
          </cell>
          <cell r="J376">
            <v>0.76431949553336831</v>
          </cell>
          <cell r="K376">
            <v>0.86764705882352944</v>
          </cell>
          <cell r="L376">
            <v>0.43027413587604291</v>
          </cell>
          <cell r="M376">
            <v>0.47006432459178621</v>
          </cell>
          <cell r="N376">
            <v>0.57733743747595234</v>
          </cell>
          <cell r="O376">
            <v>0.51018711018711016</v>
          </cell>
          <cell r="P376">
            <v>0.15206611570247933</v>
          </cell>
          <cell r="Q376">
            <v>0.70447154471544704</v>
          </cell>
          <cell r="R376">
            <v>0.84545454545454535</v>
          </cell>
          <cell r="S376">
            <v>0.58656898656898648</v>
          </cell>
          <cell r="T376" t="e">
            <v>#VALUE!</v>
          </cell>
          <cell r="U376">
            <v>0.79151154132539103</v>
          </cell>
          <cell r="V376">
            <v>0.80299290342486895</v>
          </cell>
          <cell r="W376">
            <v>0.46767854722862168</v>
          </cell>
          <cell r="X376">
            <v>0.61584225762367029</v>
          </cell>
          <cell r="Y376">
            <v>0.67797552836484976</v>
          </cell>
          <cell r="Z376" t="e">
            <v>#N/A</v>
          </cell>
          <cell r="AA376">
            <v>0.87748943874471952</v>
          </cell>
          <cell r="AB376">
            <v>0.87748943874471952</v>
          </cell>
          <cell r="AC376">
            <v>0.70574162679425845</v>
          </cell>
          <cell r="AD376" t="e">
            <v>#N/A</v>
          </cell>
          <cell r="AE376">
            <v>0.74809160305343503</v>
          </cell>
          <cell r="AF376">
            <v>0.99812558575445176</v>
          </cell>
          <cell r="AG376">
            <v>0.93798882681564244</v>
          </cell>
          <cell r="AH376">
            <v>0.80299290342486895</v>
          </cell>
          <cell r="AI376">
            <v>0.86938217029786347</v>
          </cell>
          <cell r="AJ376" t="e">
            <v>#VALUE!</v>
          </cell>
          <cell r="AK376">
            <v>0.86449297038588091</v>
          </cell>
          <cell r="AL376">
            <v>0.75576146353052975</v>
          </cell>
          <cell r="AM376">
            <v>0.95359848484848497</v>
          </cell>
          <cell r="AN376">
            <v>0.61226993865030677</v>
          </cell>
          <cell r="AO376" t="e">
            <v>#N/A</v>
          </cell>
          <cell r="AP376">
            <v>0.89246306340003745</v>
          </cell>
          <cell r="AQ376" t="e">
            <v>#VALUE!</v>
          </cell>
          <cell r="AR376">
            <v>0.89246306340003745</v>
          </cell>
          <cell r="AS376">
            <v>0.93798882681564244</v>
          </cell>
          <cell r="AT376" t="e">
            <v>#N/A</v>
          </cell>
          <cell r="AU376">
            <v>0.84451697127937342</v>
          </cell>
          <cell r="AV376">
            <v>0.84451697127937342</v>
          </cell>
          <cell r="AW376" t="e">
            <v>#VALUE!</v>
          </cell>
          <cell r="AX376" t="e">
            <v>#VALUE!</v>
          </cell>
          <cell r="AY376" t="e">
            <v>#VALUE!</v>
          </cell>
          <cell r="AZ376" t="e">
            <v>#VALUE!</v>
          </cell>
          <cell r="BA376" t="e">
            <v>#VALUE!</v>
          </cell>
          <cell r="BB376" t="e">
            <v>#VALUE!</v>
          </cell>
          <cell r="BC376" t="e">
            <v>#VALUE!</v>
          </cell>
          <cell r="BD376" t="e">
            <v>#VALUE!</v>
          </cell>
          <cell r="BE376" t="e">
            <v>#VALUE!</v>
          </cell>
        </row>
        <row r="377">
          <cell r="H377">
            <v>1.298344620015049</v>
          </cell>
          <cell r="I377">
            <v>1.0884615384615384</v>
          </cell>
          <cell r="J377">
            <v>1.3344036697247705</v>
          </cell>
          <cell r="K377">
            <v>2.1071428571428572</v>
          </cell>
          <cell r="L377">
            <v>1.3079710144927537</v>
          </cell>
          <cell r="M377">
            <v>1.4615384615384615</v>
          </cell>
          <cell r="N377">
            <v>1.2076458752515091</v>
          </cell>
          <cell r="O377">
            <v>1.2331658291457286</v>
          </cell>
          <cell r="P377">
            <v>1.2897196261682242</v>
          </cell>
          <cell r="Q377">
            <v>1.2093510118632238</v>
          </cell>
          <cell r="R377">
            <v>1.4993282579489475</v>
          </cell>
          <cell r="S377">
            <v>1.3449048152295633</v>
          </cell>
          <cell r="T377" t="e">
            <v>#VALUE!</v>
          </cell>
          <cell r="U377">
            <v>1.1811111111111112</v>
          </cell>
          <cell r="V377">
            <v>1.7794871794871794</v>
          </cell>
          <cell r="W377">
            <v>1.298344620015049</v>
          </cell>
          <cell r="X377">
            <v>1.2711926605504587</v>
          </cell>
          <cell r="Y377">
            <v>1.3425110132158589</v>
          </cell>
          <cell r="Z377" t="e">
            <v>#N/A</v>
          </cell>
          <cell r="AA377">
            <v>1.3500213552208873</v>
          </cell>
          <cell r="AB377">
            <v>1.3500213552208873</v>
          </cell>
          <cell r="AC377">
            <v>1.1115297663903543</v>
          </cell>
          <cell r="AD377" t="e">
            <v>#N/A</v>
          </cell>
          <cell r="AE377">
            <v>1.7230769230769232</v>
          </cell>
          <cell r="AF377">
            <v>1.6692789968652038</v>
          </cell>
          <cell r="AG377">
            <v>1.6380487804878048</v>
          </cell>
          <cell r="AH377">
            <v>1.7794871794871794</v>
          </cell>
          <cell r="AI377">
            <v>1.6920612419647574</v>
          </cell>
          <cell r="AJ377" t="e">
            <v>#VALUE!</v>
          </cell>
          <cell r="AK377">
            <v>1.3761904761904762</v>
          </cell>
          <cell r="AL377">
            <v>1.2003773584905659</v>
          </cell>
          <cell r="AM377">
            <v>1.3889655172413793</v>
          </cell>
          <cell r="AN377">
            <v>2.8514285714285714</v>
          </cell>
          <cell r="AO377" t="e">
            <v>#N/A</v>
          </cell>
          <cell r="AP377">
            <v>1.454878048780488</v>
          </cell>
          <cell r="AQ377" t="e">
            <v>#VALUE!</v>
          </cell>
          <cell r="AR377">
            <v>1.454878048780488</v>
          </cell>
          <cell r="AS377">
            <v>1.6380487804878048</v>
          </cell>
          <cell r="AT377" t="e">
            <v>#N/A</v>
          </cell>
          <cell r="AU377">
            <v>1.3881974248927038</v>
          </cell>
          <cell r="AV377">
            <v>1.3881974248927038</v>
          </cell>
          <cell r="AW377" t="e">
            <v>#VALUE!</v>
          </cell>
          <cell r="AX377" t="e">
            <v>#VALUE!</v>
          </cell>
          <cell r="AY377" t="e">
            <v>#VALUE!</v>
          </cell>
          <cell r="AZ377" t="e">
            <v>#VALUE!</v>
          </cell>
          <cell r="BA377" t="e">
            <v>#VALUE!</v>
          </cell>
          <cell r="BB377" t="e">
            <v>#VALUE!</v>
          </cell>
          <cell r="BC377" t="e">
            <v>#VALUE!</v>
          </cell>
          <cell r="BD377" t="e">
            <v>#VALUE!</v>
          </cell>
          <cell r="BE377" t="e">
            <v>#VALUE!</v>
          </cell>
        </row>
        <row r="378">
          <cell r="H378">
            <v>0.29834462001504902</v>
          </cell>
          <cell r="I378">
            <v>8.8461538461538369E-2</v>
          </cell>
          <cell r="J378">
            <v>0.33440366972477054</v>
          </cell>
          <cell r="K378">
            <v>1.1071428571428572</v>
          </cell>
          <cell r="L378">
            <v>0.30797101449275366</v>
          </cell>
          <cell r="M378">
            <v>0.46153846153846145</v>
          </cell>
          <cell r="N378">
            <v>0.20764587525150913</v>
          </cell>
          <cell r="O378">
            <v>0.23316582914572859</v>
          </cell>
          <cell r="P378">
            <v>0.28971962616822422</v>
          </cell>
          <cell r="Q378">
            <v>0.2093510118632238</v>
          </cell>
          <cell r="R378">
            <v>0.49932825794894753</v>
          </cell>
          <cell r="S378">
            <v>0.34490481522956329</v>
          </cell>
          <cell r="T378" t="e">
            <v>#VALUE!</v>
          </cell>
          <cell r="U378">
            <v>0.18111111111111122</v>
          </cell>
          <cell r="V378">
            <v>0.77948717948717938</v>
          </cell>
          <cell r="W378">
            <v>0.29834462001504902</v>
          </cell>
          <cell r="X378">
            <v>0.27119266055045865</v>
          </cell>
          <cell r="Y378">
            <v>0.34251101321585886</v>
          </cell>
          <cell r="Z378" t="e">
            <v>#N/A</v>
          </cell>
          <cell r="AA378">
            <v>0.35002135522088729</v>
          </cell>
          <cell r="AB378">
            <v>0.35002135522088729</v>
          </cell>
          <cell r="AC378">
            <v>0.11152976639035428</v>
          </cell>
          <cell r="AD378" t="e">
            <v>#N/A</v>
          </cell>
          <cell r="AE378">
            <v>0.72307692307692317</v>
          </cell>
          <cell r="AF378">
            <v>0.66927899686520376</v>
          </cell>
          <cell r="AG378">
            <v>0.63804878048780478</v>
          </cell>
          <cell r="AH378">
            <v>0.77948717948717938</v>
          </cell>
          <cell r="AI378">
            <v>0.69206124196475738</v>
          </cell>
          <cell r="AJ378" t="e">
            <v>#VALUE!</v>
          </cell>
          <cell r="AK378">
            <v>0.37619047619047619</v>
          </cell>
          <cell r="AL378">
            <v>0.20037735849056593</v>
          </cell>
          <cell r="AM378">
            <v>0.38896551724137929</v>
          </cell>
          <cell r="AN378">
            <v>1.8514285714285714</v>
          </cell>
          <cell r="AO378" t="e">
            <v>#N/A</v>
          </cell>
          <cell r="AP378">
            <v>0.45487804878048799</v>
          </cell>
          <cell r="AQ378" t="e">
            <v>#VALUE!</v>
          </cell>
          <cell r="AR378">
            <v>0.45487804878048799</v>
          </cell>
          <cell r="AS378">
            <v>0.63804878048780478</v>
          </cell>
          <cell r="AT378" t="e">
            <v>#N/A</v>
          </cell>
          <cell r="AU378">
            <v>0.38819742489270381</v>
          </cell>
          <cell r="AV378">
            <v>0.38819742489270381</v>
          </cell>
          <cell r="AW378" t="e">
            <v>#VALUE!</v>
          </cell>
          <cell r="AX378" t="e">
            <v>#VALUE!</v>
          </cell>
          <cell r="AY378" t="e">
            <v>#VALUE!</v>
          </cell>
          <cell r="AZ378" t="e">
            <v>#VALUE!</v>
          </cell>
          <cell r="BA378" t="e">
            <v>#VALUE!</v>
          </cell>
          <cell r="BB378" t="e">
            <v>#VALUE!</v>
          </cell>
          <cell r="BC378" t="e">
            <v>#VALUE!</v>
          </cell>
          <cell r="BD378" t="e">
            <v>#VALUE!</v>
          </cell>
          <cell r="BE378" t="e">
            <v>#VALUE!</v>
          </cell>
        </row>
        <row r="379">
          <cell r="H379" t="e">
            <v>#DIV/0!</v>
          </cell>
          <cell r="I379" t="e">
            <v>#DIV/0!</v>
          </cell>
          <cell r="J379" t="e">
            <v>#DIV/0!</v>
          </cell>
          <cell r="K379" t="e">
            <v>#DIV/0!</v>
          </cell>
          <cell r="L379" t="e">
            <v>#DIV/0!</v>
          </cell>
          <cell r="M379" t="e">
            <v>#DIV/0!</v>
          </cell>
          <cell r="N379" t="e">
            <v>#DIV/0!</v>
          </cell>
          <cell r="O379" t="e">
            <v>#DIV/0!</v>
          </cell>
          <cell r="P379" t="e">
            <v>#DIV/0!</v>
          </cell>
          <cell r="Q379" t="e">
            <v>#DIV/0!</v>
          </cell>
          <cell r="R379" t="e">
            <v>#DIV/0!</v>
          </cell>
          <cell r="S379" t="e">
            <v>#DIV/0!</v>
          </cell>
          <cell r="T379" t="e">
            <v>#DIV/0!</v>
          </cell>
          <cell r="U379" t="e">
            <v>#DIV/0!</v>
          </cell>
          <cell r="V379" t="e">
            <v>#DIV/0!</v>
          </cell>
          <cell r="W379" t="e">
            <v>#DIV/0!</v>
          </cell>
          <cell r="X379" t="e">
            <v>#DIV/0!</v>
          </cell>
          <cell r="Y379">
            <v>9.6752147494687746E-2</v>
          </cell>
          <cell r="Z379" t="e">
            <v>#DIV/0!</v>
          </cell>
          <cell r="AA379" t="e">
            <v>#DIV/0!</v>
          </cell>
          <cell r="AB379" t="e">
            <v>#DIV/0!</v>
          </cell>
          <cell r="AC379" t="e">
            <v>#DIV/0!</v>
          </cell>
          <cell r="AD379" t="e">
            <v>#DIV/0!</v>
          </cell>
          <cell r="AE379" t="e">
            <v>#DIV/0!</v>
          </cell>
          <cell r="AF379" t="e">
            <v>#DIV/0!</v>
          </cell>
          <cell r="AG379" t="e">
            <v>#DIV/0!</v>
          </cell>
          <cell r="AH379" t="e">
            <v>#DIV/0!</v>
          </cell>
          <cell r="AI379" t="e">
            <v>#DIV/0!</v>
          </cell>
          <cell r="AJ379" t="e">
            <v>#DIV/0!</v>
          </cell>
          <cell r="AK379" t="e">
            <v>#DIV/0!</v>
          </cell>
          <cell r="AL379" t="e">
            <v>#DIV/0!</v>
          </cell>
          <cell r="AM379" t="e">
            <v>#DIV/0!</v>
          </cell>
          <cell r="AN379" t="e">
            <v>#DIV/0!</v>
          </cell>
          <cell r="AO379" t="e">
            <v>#DIV/0!</v>
          </cell>
          <cell r="AP379" t="e">
            <v>#DIV/0!</v>
          </cell>
          <cell r="AQ379" t="e">
            <v>#DIV/0!</v>
          </cell>
          <cell r="AR379" t="e">
            <v>#DIV/0!</v>
          </cell>
          <cell r="AS379" t="e">
            <v>#DIV/0!</v>
          </cell>
          <cell r="AT379" t="e">
            <v>#DIV/0!</v>
          </cell>
          <cell r="AU379" t="e">
            <v>#DIV/0!</v>
          </cell>
          <cell r="AV379" t="e">
            <v>#DIV/0!</v>
          </cell>
          <cell r="AW379" t="e">
            <v>#DIV/0!</v>
          </cell>
          <cell r="AX379" t="e">
            <v>#DIV/0!</v>
          </cell>
          <cell r="AY379" t="e">
            <v>#DIV/0!</v>
          </cell>
          <cell r="AZ379" t="e">
            <v>#DIV/0!</v>
          </cell>
          <cell r="BA379" t="e">
            <v>#DIV/0!</v>
          </cell>
          <cell r="BB379" t="e">
            <v>#DIV/0!</v>
          </cell>
          <cell r="BC379" t="e">
            <v>#DIV/0!</v>
          </cell>
          <cell r="BD379" t="e">
            <v>#DIV/0!</v>
          </cell>
          <cell r="BE379" t="e">
            <v>#DIV/0!</v>
          </cell>
        </row>
        <row r="380">
          <cell r="H380" t="e">
            <v>#DIV/0!</v>
          </cell>
          <cell r="I380" t="e">
            <v>#DIV/0!</v>
          </cell>
          <cell r="J380" t="e">
            <v>#DIV/0!</v>
          </cell>
          <cell r="K380" t="e">
            <v>#DIV/0!</v>
          </cell>
          <cell r="L380" t="e">
            <v>#DIV/0!</v>
          </cell>
          <cell r="M380" t="e">
            <v>#DIV/0!</v>
          </cell>
          <cell r="N380" t="e">
            <v>#DIV/0!</v>
          </cell>
          <cell r="O380" t="e">
            <v>#DIV/0!</v>
          </cell>
          <cell r="P380" t="e">
            <v>#DIV/0!</v>
          </cell>
          <cell r="Q380" t="e">
            <v>#DIV/0!</v>
          </cell>
          <cell r="R380" t="e">
            <v>#DIV/0!</v>
          </cell>
          <cell r="S380" t="e">
            <v>#DIV/0!</v>
          </cell>
          <cell r="T380" t="e">
            <v>#DIV/0!</v>
          </cell>
          <cell r="U380" t="e">
            <v>#DIV/0!</v>
          </cell>
          <cell r="V380" t="e">
            <v>#DIV/0!</v>
          </cell>
          <cell r="W380" t="e">
            <v>#DIV/0!</v>
          </cell>
          <cell r="X380" t="e">
            <v>#DIV/0!</v>
          </cell>
          <cell r="Y380">
            <v>9.6752147494687746E-2</v>
          </cell>
          <cell r="Z380" t="e">
            <v>#DIV/0!</v>
          </cell>
          <cell r="AA380" t="e">
            <v>#DIV/0!</v>
          </cell>
          <cell r="AB380" t="e">
            <v>#DIV/0!</v>
          </cell>
          <cell r="AC380" t="e">
            <v>#DIV/0!</v>
          </cell>
          <cell r="AD380" t="e">
            <v>#DIV/0!</v>
          </cell>
          <cell r="AE380" t="e">
            <v>#DIV/0!</v>
          </cell>
          <cell r="AF380" t="e">
            <v>#DIV/0!</v>
          </cell>
          <cell r="AG380" t="e">
            <v>#DIV/0!</v>
          </cell>
          <cell r="AH380" t="e">
            <v>#DIV/0!</v>
          </cell>
          <cell r="AI380" t="e">
            <v>#DIV/0!</v>
          </cell>
          <cell r="AJ380" t="e">
            <v>#DIV/0!</v>
          </cell>
          <cell r="AK380" t="e">
            <v>#DIV/0!</v>
          </cell>
          <cell r="AL380" t="e">
            <v>#DIV/0!</v>
          </cell>
          <cell r="AM380" t="e">
            <v>#DIV/0!</v>
          </cell>
          <cell r="AN380" t="e">
            <v>#DIV/0!</v>
          </cell>
          <cell r="AO380" t="e">
            <v>#DIV/0!</v>
          </cell>
          <cell r="AP380" t="e">
            <v>#DIV/0!</v>
          </cell>
          <cell r="AQ380" t="e">
            <v>#DIV/0!</v>
          </cell>
          <cell r="AR380" t="e">
            <v>#DIV/0!</v>
          </cell>
          <cell r="AS380" t="e">
            <v>#DIV/0!</v>
          </cell>
          <cell r="AT380" t="e">
            <v>#DIV/0!</v>
          </cell>
          <cell r="AU380" t="e">
            <v>#DIV/0!</v>
          </cell>
          <cell r="AV380" t="e">
            <v>#DIV/0!</v>
          </cell>
          <cell r="AW380" t="e">
            <v>#DIV/0!</v>
          </cell>
          <cell r="AX380" t="e">
            <v>#DIV/0!</v>
          </cell>
          <cell r="AY380" t="e">
            <v>#DIV/0!</v>
          </cell>
          <cell r="AZ380" t="e">
            <v>#DIV/0!</v>
          </cell>
          <cell r="BA380" t="e">
            <v>#DIV/0!</v>
          </cell>
          <cell r="BB380" t="e">
            <v>#DIV/0!</v>
          </cell>
          <cell r="BC380" t="e">
            <v>#DIV/0!</v>
          </cell>
          <cell r="BD380" t="e">
            <v>#DIV/0!</v>
          </cell>
          <cell r="BE380" t="e">
            <v>#DIV/0!</v>
          </cell>
        </row>
        <row r="381">
          <cell r="H381" t="e">
            <v>#DIV/0!</v>
          </cell>
          <cell r="I381" t="e">
            <v>#DIV/0!</v>
          </cell>
          <cell r="J381" t="e">
            <v>#DIV/0!</v>
          </cell>
          <cell r="K381" t="e">
            <v>#DIV/0!</v>
          </cell>
          <cell r="L381" t="e">
            <v>#DIV/0!</v>
          </cell>
          <cell r="M381" t="e">
            <v>#DIV/0!</v>
          </cell>
          <cell r="N381" t="e">
            <v>#DIV/0!</v>
          </cell>
          <cell r="O381" t="e">
            <v>#DIV/0!</v>
          </cell>
          <cell r="P381" t="e">
            <v>#DIV/0!</v>
          </cell>
          <cell r="Q381" t="e">
            <v>#DIV/0!</v>
          </cell>
          <cell r="R381" t="e">
            <v>#DIV/0!</v>
          </cell>
          <cell r="S381" t="e">
            <v>#DIV/0!</v>
          </cell>
          <cell r="T381" t="e">
            <v>#DIV/0!</v>
          </cell>
          <cell r="U381" t="e">
            <v>#DIV/0!</v>
          </cell>
          <cell r="V381" t="e">
            <v>#DIV/0!</v>
          </cell>
          <cell r="W381" t="e">
            <v>#DIV/0!</v>
          </cell>
          <cell r="X381" t="e">
            <v>#DIV/0!</v>
          </cell>
          <cell r="Y381">
            <v>9.6752147494687746E-2</v>
          </cell>
          <cell r="Z381" t="e">
            <v>#DIV/0!</v>
          </cell>
          <cell r="AA381" t="e">
            <v>#DIV/0!</v>
          </cell>
          <cell r="AB381" t="e">
            <v>#DIV/0!</v>
          </cell>
          <cell r="AC381" t="e">
            <v>#DIV/0!</v>
          </cell>
          <cell r="AD381" t="e">
            <v>#DIV/0!</v>
          </cell>
          <cell r="AE381" t="e">
            <v>#DIV/0!</v>
          </cell>
          <cell r="AF381" t="e">
            <v>#DIV/0!</v>
          </cell>
          <cell r="AG381" t="e">
            <v>#DIV/0!</v>
          </cell>
          <cell r="AH381" t="e">
            <v>#DIV/0!</v>
          </cell>
          <cell r="AI381" t="e">
            <v>#DIV/0!</v>
          </cell>
          <cell r="AJ381" t="e">
            <v>#DIV/0!</v>
          </cell>
          <cell r="AK381" t="e">
            <v>#DIV/0!</v>
          </cell>
          <cell r="AL381" t="e">
            <v>#DIV/0!</v>
          </cell>
          <cell r="AM381" t="e">
            <v>#DIV/0!</v>
          </cell>
          <cell r="AN381" t="e">
            <v>#DIV/0!</v>
          </cell>
          <cell r="AO381" t="e">
            <v>#DIV/0!</v>
          </cell>
          <cell r="AP381" t="e">
            <v>#DIV/0!</v>
          </cell>
          <cell r="AQ381" t="e">
            <v>#DIV/0!</v>
          </cell>
          <cell r="AR381" t="e">
            <v>#DIV/0!</v>
          </cell>
          <cell r="AS381" t="e">
            <v>#DIV/0!</v>
          </cell>
          <cell r="AT381" t="e">
            <v>#DIV/0!</v>
          </cell>
          <cell r="AU381" t="e">
            <v>#DIV/0!</v>
          </cell>
          <cell r="AV381" t="e">
            <v>#DIV/0!</v>
          </cell>
          <cell r="AW381" t="e">
            <v>#DIV/0!</v>
          </cell>
          <cell r="AX381" t="e">
            <v>#DIV/0!</v>
          </cell>
          <cell r="AY381" t="e">
            <v>#DIV/0!</v>
          </cell>
          <cell r="AZ381" t="e">
            <v>#DIV/0!</v>
          </cell>
          <cell r="BA381" t="e">
            <v>#DIV/0!</v>
          </cell>
          <cell r="BB381" t="e">
            <v>#DIV/0!</v>
          </cell>
          <cell r="BC381" t="e">
            <v>#DIV/0!</v>
          </cell>
          <cell r="BD381" t="e">
            <v>#DIV/0!</v>
          </cell>
          <cell r="BE381" t="e">
            <v>#DIV/0!</v>
          </cell>
        </row>
        <row r="382">
          <cell r="H382" t="e">
            <v>#DIV/0!</v>
          </cell>
          <cell r="I382" t="e">
            <v>#DIV/0!</v>
          </cell>
          <cell r="J382" t="e">
            <v>#DIV/0!</v>
          </cell>
          <cell r="K382" t="e">
            <v>#DIV/0!</v>
          </cell>
          <cell r="L382" t="e">
            <v>#DIV/0!</v>
          </cell>
          <cell r="M382" t="e">
            <v>#DIV/0!</v>
          </cell>
          <cell r="N382" t="e">
            <v>#DIV/0!</v>
          </cell>
          <cell r="O382" t="e">
            <v>#DIV/0!</v>
          </cell>
          <cell r="P382" t="e">
            <v>#DIV/0!</v>
          </cell>
          <cell r="Q382" t="e">
            <v>#DIV/0!</v>
          </cell>
          <cell r="R382" t="e">
            <v>#DIV/0!</v>
          </cell>
          <cell r="S382" t="e">
            <v>#DIV/0!</v>
          </cell>
          <cell r="T382" t="e">
            <v>#DIV/0!</v>
          </cell>
          <cell r="U382" t="e">
            <v>#DIV/0!</v>
          </cell>
          <cell r="V382" t="e">
            <v>#DIV/0!</v>
          </cell>
          <cell r="W382" t="e">
            <v>#DIV/0!</v>
          </cell>
          <cell r="X382" t="e">
            <v>#DIV/0!</v>
          </cell>
          <cell r="Y382">
            <v>8.6972061948397295E-2</v>
          </cell>
          <cell r="Z382" t="e">
            <v>#DIV/0!</v>
          </cell>
          <cell r="AA382" t="e">
            <v>#DIV/0!</v>
          </cell>
          <cell r="AB382" t="e">
            <v>#DIV/0!</v>
          </cell>
          <cell r="AC382" t="e">
            <v>#DIV/0!</v>
          </cell>
          <cell r="AD382" t="e">
            <v>#DIV/0!</v>
          </cell>
          <cell r="AE382" t="e">
            <v>#DIV/0!</v>
          </cell>
          <cell r="AF382" t="e">
            <v>#DIV/0!</v>
          </cell>
          <cell r="AG382" t="e">
            <v>#DIV/0!</v>
          </cell>
          <cell r="AH382" t="e">
            <v>#DIV/0!</v>
          </cell>
          <cell r="AI382" t="e">
            <v>#DIV/0!</v>
          </cell>
          <cell r="AJ382" t="e">
            <v>#DIV/0!</v>
          </cell>
          <cell r="AK382" t="e">
            <v>#DIV/0!</v>
          </cell>
          <cell r="AL382" t="e">
            <v>#DIV/0!</v>
          </cell>
          <cell r="AM382" t="e">
            <v>#DIV/0!</v>
          </cell>
          <cell r="AN382" t="e">
            <v>#DIV/0!</v>
          </cell>
          <cell r="AO382" t="e">
            <v>#DIV/0!</v>
          </cell>
          <cell r="AP382" t="e">
            <v>#DIV/0!</v>
          </cell>
          <cell r="AQ382" t="e">
            <v>#DIV/0!</v>
          </cell>
          <cell r="AR382" t="e">
            <v>#DIV/0!</v>
          </cell>
          <cell r="AS382" t="e">
            <v>#DIV/0!</v>
          </cell>
          <cell r="AT382" t="e">
            <v>#DIV/0!</v>
          </cell>
          <cell r="AU382" t="e">
            <v>#DIV/0!</v>
          </cell>
          <cell r="AV382" t="e">
            <v>#DIV/0!</v>
          </cell>
          <cell r="AW382" t="e">
            <v>#DIV/0!</v>
          </cell>
          <cell r="AX382" t="e">
            <v>#DIV/0!</v>
          </cell>
          <cell r="AY382" t="e">
            <v>#DIV/0!</v>
          </cell>
          <cell r="AZ382" t="e">
            <v>#DIV/0!</v>
          </cell>
          <cell r="BA382" t="e">
            <v>#DIV/0!</v>
          </cell>
          <cell r="BB382" t="e">
            <v>#DIV/0!</v>
          </cell>
          <cell r="BC382" t="e">
            <v>#DIV/0!</v>
          </cell>
          <cell r="BD382" t="e">
            <v>#DIV/0!</v>
          </cell>
          <cell r="BE382" t="e">
            <v>#DIV/0!</v>
          </cell>
        </row>
        <row r="383">
          <cell r="H383" t="e">
            <v>#DIV/0!</v>
          </cell>
          <cell r="I383" t="e">
            <v>#DIV/0!</v>
          </cell>
          <cell r="J383" t="e">
            <v>#DIV/0!</v>
          </cell>
          <cell r="K383" t="e">
            <v>#DIV/0!</v>
          </cell>
          <cell r="L383" t="e">
            <v>#DIV/0!</v>
          </cell>
          <cell r="M383" t="e">
            <v>#DIV/0!</v>
          </cell>
          <cell r="N383" t="e">
            <v>#DIV/0!</v>
          </cell>
          <cell r="O383" t="e">
            <v>#DIV/0!</v>
          </cell>
          <cell r="P383" t="e">
            <v>#DIV/0!</v>
          </cell>
          <cell r="Q383" t="e">
            <v>#DIV/0!</v>
          </cell>
          <cell r="R383" t="e">
            <v>#DIV/0!</v>
          </cell>
          <cell r="S383" t="e">
            <v>#DIV/0!</v>
          </cell>
          <cell r="T383" t="e">
            <v>#DIV/0!</v>
          </cell>
          <cell r="U383" t="e">
            <v>#DIV/0!</v>
          </cell>
          <cell r="V383" t="e">
            <v>#DIV/0!</v>
          </cell>
          <cell r="W383" t="e">
            <v>#DIV/0!</v>
          </cell>
          <cell r="X383" t="e">
            <v>#DIV/0!</v>
          </cell>
          <cell r="Y383">
            <v>5.6909100192852294E-2</v>
          </cell>
          <cell r="Z383" t="e">
            <v>#DIV/0!</v>
          </cell>
          <cell r="AA383" t="e">
            <v>#DIV/0!</v>
          </cell>
          <cell r="AB383" t="e">
            <v>#DIV/0!</v>
          </cell>
          <cell r="AC383" t="e">
            <v>#DIV/0!</v>
          </cell>
          <cell r="AD383" t="e">
            <v>#DIV/0!</v>
          </cell>
          <cell r="AE383" t="e">
            <v>#DIV/0!</v>
          </cell>
          <cell r="AF383" t="e">
            <v>#DIV/0!</v>
          </cell>
          <cell r="AG383" t="e">
            <v>#DIV/0!</v>
          </cell>
          <cell r="AH383" t="e">
            <v>#DIV/0!</v>
          </cell>
          <cell r="AI383" t="e">
            <v>#DIV/0!</v>
          </cell>
          <cell r="AJ383" t="e">
            <v>#DIV/0!</v>
          </cell>
          <cell r="AK383" t="e">
            <v>#DIV/0!</v>
          </cell>
          <cell r="AL383" t="e">
            <v>#DIV/0!</v>
          </cell>
          <cell r="AM383" t="e">
            <v>#DIV/0!</v>
          </cell>
          <cell r="AN383" t="e">
            <v>#DIV/0!</v>
          </cell>
          <cell r="AO383" t="e">
            <v>#DIV/0!</v>
          </cell>
          <cell r="AP383" t="e">
            <v>#DIV/0!</v>
          </cell>
          <cell r="AQ383" t="e">
            <v>#DIV/0!</v>
          </cell>
          <cell r="AR383" t="e">
            <v>#DIV/0!</v>
          </cell>
          <cell r="AS383" t="e">
            <v>#DIV/0!</v>
          </cell>
          <cell r="AT383" t="e">
            <v>#DIV/0!</v>
          </cell>
          <cell r="AU383" t="e">
            <v>#DIV/0!</v>
          </cell>
          <cell r="AV383" t="e">
            <v>#DIV/0!</v>
          </cell>
          <cell r="AW383" t="e">
            <v>#DIV/0!</v>
          </cell>
          <cell r="AX383" t="e">
            <v>#DIV/0!</v>
          </cell>
          <cell r="AY383" t="e">
            <v>#DIV/0!</v>
          </cell>
          <cell r="AZ383" t="e">
            <v>#DIV/0!</v>
          </cell>
          <cell r="BA383" t="e">
            <v>#DIV/0!</v>
          </cell>
          <cell r="BB383" t="e">
            <v>#DIV/0!</v>
          </cell>
          <cell r="BC383" t="e">
            <v>#DIV/0!</v>
          </cell>
          <cell r="BD383" t="e">
            <v>#DIV/0!</v>
          </cell>
          <cell r="BE383" t="e">
            <v>#DIV/0!</v>
          </cell>
        </row>
        <row r="389">
          <cell r="H389">
            <v>34.51</v>
          </cell>
          <cell r="I389">
            <v>5.66</v>
          </cell>
          <cell r="J389">
            <v>29.09</v>
          </cell>
          <cell r="K389">
            <v>44.25</v>
          </cell>
          <cell r="L389">
            <v>18.05</v>
          </cell>
          <cell r="M389">
            <v>19</v>
          </cell>
          <cell r="N389">
            <v>30.01</v>
          </cell>
          <cell r="O389">
            <v>12.27</v>
          </cell>
          <cell r="P389">
            <v>5.52</v>
          </cell>
          <cell r="Q389">
            <v>17.329999999999998</v>
          </cell>
          <cell r="R389">
            <v>33.479999999999997</v>
          </cell>
          <cell r="S389">
            <v>24.02</v>
          </cell>
          <cell r="T389" t="e">
            <v>#VALUE!</v>
          </cell>
          <cell r="U389">
            <v>21.26</v>
          </cell>
          <cell r="V389">
            <v>52.05</v>
          </cell>
          <cell r="W389">
            <v>34.51</v>
          </cell>
          <cell r="X389">
            <v>34.64</v>
          </cell>
          <cell r="Y389">
            <v>24.38</v>
          </cell>
          <cell r="Z389" t="e">
            <v>#N/A</v>
          </cell>
          <cell r="AA389">
            <v>72.7</v>
          </cell>
          <cell r="AB389">
            <v>72.7</v>
          </cell>
          <cell r="AC389">
            <v>14.75</v>
          </cell>
          <cell r="AD389" t="e">
            <v>#N/A</v>
          </cell>
          <cell r="AE389">
            <v>7.84</v>
          </cell>
          <cell r="AF389">
            <v>53.25</v>
          </cell>
          <cell r="AG389">
            <v>33.58</v>
          </cell>
          <cell r="AH389">
            <v>52.05</v>
          </cell>
          <cell r="AI389">
            <v>8.26</v>
          </cell>
          <cell r="AJ389" t="e">
            <v>#VALUE!</v>
          </cell>
          <cell r="AK389">
            <v>28.9</v>
          </cell>
          <cell r="AL389">
            <v>31.81</v>
          </cell>
          <cell r="AM389">
            <v>50.35</v>
          </cell>
          <cell r="AN389">
            <v>4.99</v>
          </cell>
          <cell r="AO389" t="e">
            <v>#N/A</v>
          </cell>
          <cell r="AP389">
            <v>47.72</v>
          </cell>
          <cell r="AQ389" t="e">
            <v>#VALUE!</v>
          </cell>
          <cell r="AR389">
            <v>47.72</v>
          </cell>
          <cell r="AS389">
            <v>33.58</v>
          </cell>
          <cell r="AT389" t="e">
            <v>#N/A</v>
          </cell>
          <cell r="AU389">
            <v>64.69</v>
          </cell>
          <cell r="AV389">
            <v>64.69</v>
          </cell>
          <cell r="AW389" t="e">
            <v>#VALUE!</v>
          </cell>
          <cell r="AX389" t="e">
            <v>#VALUE!</v>
          </cell>
          <cell r="AY389" t="e">
            <v>#VALUE!</v>
          </cell>
          <cell r="AZ389" t="e">
            <v>#VALUE!</v>
          </cell>
          <cell r="BA389" t="e">
            <v>#VALUE!</v>
          </cell>
          <cell r="BB389" t="e">
            <v>#VALUE!</v>
          </cell>
          <cell r="BC389" t="e">
            <v>#VALUE!</v>
          </cell>
          <cell r="BD389" t="e">
            <v>#VALUE!</v>
          </cell>
          <cell r="BE389" t="e">
            <v>#VALUE!</v>
          </cell>
        </row>
        <row r="390">
          <cell r="H390">
            <v>59.207999999999998</v>
          </cell>
          <cell r="I390">
            <v>145.916</v>
          </cell>
          <cell r="J390">
            <v>42.494525000000003</v>
          </cell>
          <cell r="K390">
            <v>26.085000000000001</v>
          </cell>
          <cell r="L390">
            <v>60.100999999999999</v>
          </cell>
          <cell r="M390">
            <v>213.28299999999999</v>
          </cell>
          <cell r="N390">
            <v>45.409689999999998</v>
          </cell>
          <cell r="O390">
            <v>15.414</v>
          </cell>
          <cell r="P390">
            <v>125.556</v>
          </cell>
          <cell r="Q390">
            <v>186.74</v>
          </cell>
          <cell r="R390">
            <v>35.048999999999999</v>
          </cell>
          <cell r="S390">
            <v>136.77799999999999</v>
          </cell>
          <cell r="T390">
            <v>57.9</v>
          </cell>
          <cell r="U390">
            <v>16.077313</v>
          </cell>
          <cell r="V390">
            <v>28.199946000000001</v>
          </cell>
          <cell r="W390">
            <v>52.961227999999998</v>
          </cell>
          <cell r="X390">
            <v>47.744526999999998</v>
          </cell>
          <cell r="Y390">
            <v>44.61</v>
          </cell>
          <cell r="Z390">
            <v>135.58958899999999</v>
          </cell>
          <cell r="AA390">
            <v>53.001061999999997</v>
          </cell>
          <cell r="AB390">
            <v>112.89100000000001</v>
          </cell>
          <cell r="AC390">
            <v>40.850999999999999</v>
          </cell>
          <cell r="AD390">
            <v>0</v>
          </cell>
          <cell r="AE390">
            <v>71.217195000000004</v>
          </cell>
          <cell r="AF390">
            <v>44.747</v>
          </cell>
          <cell r="AG390">
            <v>24.778272999999999</v>
          </cell>
          <cell r="AH390">
            <v>26.098680000000002</v>
          </cell>
          <cell r="AI390">
            <v>0</v>
          </cell>
          <cell r="AJ390">
            <v>31.284690000000001</v>
          </cell>
          <cell r="AK390">
            <v>57.9</v>
          </cell>
          <cell r="AL390">
            <v>301</v>
          </cell>
          <cell r="AM390">
            <v>73.771000000000001</v>
          </cell>
          <cell r="AN390">
            <v>12.315314000000001</v>
          </cell>
          <cell r="AO390">
            <v>0</v>
          </cell>
          <cell r="AP390">
            <v>0</v>
          </cell>
          <cell r="AQ390">
            <v>0</v>
          </cell>
          <cell r="AR390">
            <v>68.506</v>
          </cell>
          <cell r="AS390">
            <v>12.884701959999999</v>
          </cell>
          <cell r="AT390">
            <v>0</v>
          </cell>
          <cell r="AU390">
            <v>0</v>
          </cell>
          <cell r="AV390">
            <v>460</v>
          </cell>
          <cell r="AW390">
            <v>0</v>
          </cell>
          <cell r="AX390">
            <v>0</v>
          </cell>
          <cell r="AY390">
            <v>0</v>
          </cell>
          <cell r="AZ390">
            <v>0</v>
          </cell>
          <cell r="BA390">
            <v>0</v>
          </cell>
          <cell r="BB390">
            <v>0</v>
          </cell>
          <cell r="BC390">
            <v>0</v>
          </cell>
          <cell r="BD390">
            <v>0</v>
          </cell>
          <cell r="BE390">
            <v>0</v>
          </cell>
        </row>
        <row r="393">
          <cell r="H393">
            <v>0</v>
          </cell>
          <cell r="I393">
            <v>0</v>
          </cell>
          <cell r="J393">
            <v>0</v>
          </cell>
          <cell r="K393">
            <v>0</v>
          </cell>
          <cell r="L393">
            <v>0</v>
          </cell>
          <cell r="M393">
            <v>0</v>
          </cell>
          <cell r="N393">
            <v>0</v>
          </cell>
          <cell r="O393">
            <v>0</v>
          </cell>
          <cell r="P393">
            <v>0</v>
          </cell>
          <cell r="Q393">
            <v>0</v>
          </cell>
          <cell r="R393">
            <v>0</v>
          </cell>
          <cell r="S393">
            <v>0</v>
          </cell>
          <cell r="T393">
            <v>0</v>
          </cell>
          <cell r="U393">
            <v>2.5030000000000001</v>
          </cell>
          <cell r="V393">
            <v>0</v>
          </cell>
          <cell r="W393">
            <v>5.6609999999999996</v>
          </cell>
          <cell r="X393">
            <v>5.0519999999999996</v>
          </cell>
          <cell r="Y393">
            <v>5.1552319999999998</v>
          </cell>
          <cell r="Z393">
            <v>8.721584</v>
          </cell>
          <cell r="AA393">
            <v>3.6339999999999999</v>
          </cell>
          <cell r="AB393">
            <v>0</v>
          </cell>
          <cell r="AC393">
            <v>2.2189999999999999</v>
          </cell>
          <cell r="AD393">
            <v>0</v>
          </cell>
          <cell r="AE393">
            <v>6.3520000000000012</v>
          </cell>
          <cell r="AF393">
            <v>0</v>
          </cell>
          <cell r="AG393">
            <v>7.7510000000000003</v>
          </cell>
          <cell r="AH393">
            <v>1.796775</v>
          </cell>
          <cell r="AI393">
            <v>0</v>
          </cell>
          <cell r="AJ393">
            <v>1.796775</v>
          </cell>
          <cell r="AK393">
            <v>0</v>
          </cell>
          <cell r="AL393">
            <v>60.732304999999997</v>
          </cell>
          <cell r="AM393">
            <v>3.5651830000000002</v>
          </cell>
          <cell r="AN393">
            <v>2.4042520000000001</v>
          </cell>
          <cell r="AO393">
            <v>0</v>
          </cell>
          <cell r="AP393">
            <v>0</v>
          </cell>
          <cell r="AQ393">
            <v>0</v>
          </cell>
          <cell r="AR393">
            <v>0.95021299999999997</v>
          </cell>
          <cell r="AS393">
            <v>4.0305200000000001</v>
          </cell>
          <cell r="AT393">
            <v>0</v>
          </cell>
          <cell r="AU393">
            <v>0</v>
          </cell>
          <cell r="AV393">
            <v>0</v>
          </cell>
          <cell r="AW393">
            <v>0</v>
          </cell>
          <cell r="AX393">
            <v>0</v>
          </cell>
          <cell r="AY393">
            <v>0</v>
          </cell>
          <cell r="AZ393">
            <v>0</v>
          </cell>
          <cell r="BA393">
            <v>0</v>
          </cell>
          <cell r="BB393">
            <v>0</v>
          </cell>
          <cell r="BC393">
            <v>0</v>
          </cell>
          <cell r="BD393">
            <v>0</v>
          </cell>
          <cell r="BE393">
            <v>0</v>
          </cell>
        </row>
        <row r="394">
          <cell r="H394">
            <v>0</v>
          </cell>
          <cell r="I394">
            <v>0</v>
          </cell>
          <cell r="J394">
            <v>0</v>
          </cell>
          <cell r="K394">
            <v>0</v>
          </cell>
          <cell r="L394">
            <v>0</v>
          </cell>
          <cell r="M394">
            <v>0</v>
          </cell>
          <cell r="N394">
            <v>0</v>
          </cell>
          <cell r="O394">
            <v>0</v>
          </cell>
          <cell r="P394">
            <v>0</v>
          </cell>
          <cell r="Q394">
            <v>0</v>
          </cell>
          <cell r="R394">
            <v>0</v>
          </cell>
          <cell r="S394">
            <v>0</v>
          </cell>
          <cell r="T394">
            <v>0</v>
          </cell>
          <cell r="U394">
            <v>18.14</v>
          </cell>
          <cell r="V394">
            <v>0</v>
          </cell>
          <cell r="W394">
            <v>46.72</v>
          </cell>
          <cell r="X394">
            <v>36.450000000000003</v>
          </cell>
          <cell r="Y394">
            <v>22.4</v>
          </cell>
          <cell r="Z394">
            <v>13.83</v>
          </cell>
          <cell r="AA394">
            <v>24</v>
          </cell>
          <cell r="AB394">
            <v>42</v>
          </cell>
          <cell r="AC394">
            <v>13.46</v>
          </cell>
          <cell r="AD394">
            <v>0</v>
          </cell>
          <cell r="AE394">
            <v>10.304480478589419</v>
          </cell>
          <cell r="AF394">
            <v>26.04</v>
          </cell>
          <cell r="AG394">
            <v>18.55</v>
          </cell>
          <cell r="AH394">
            <v>13.52</v>
          </cell>
          <cell r="AI394">
            <v>0</v>
          </cell>
          <cell r="AJ394">
            <v>13.52</v>
          </cell>
          <cell r="AK394">
            <v>0</v>
          </cell>
          <cell r="AL394">
            <v>39.36</v>
          </cell>
          <cell r="AM394">
            <v>32.39</v>
          </cell>
          <cell r="AN394">
            <v>9.9</v>
          </cell>
          <cell r="AO394">
            <v>0</v>
          </cell>
          <cell r="AP394">
            <v>0</v>
          </cell>
          <cell r="AQ394">
            <v>0</v>
          </cell>
          <cell r="AR394">
            <v>20.514070571545538</v>
          </cell>
          <cell r="AS394">
            <v>9.6460000000000008</v>
          </cell>
          <cell r="AT394">
            <v>0</v>
          </cell>
          <cell r="AU394">
            <v>0</v>
          </cell>
          <cell r="AV394">
            <v>34.83</v>
          </cell>
          <cell r="AW394">
            <v>0</v>
          </cell>
          <cell r="AX394">
            <v>0</v>
          </cell>
          <cell r="AY394">
            <v>0</v>
          </cell>
          <cell r="AZ394">
            <v>0</v>
          </cell>
          <cell r="BA394">
            <v>0</v>
          </cell>
          <cell r="BB394">
            <v>0</v>
          </cell>
          <cell r="BC394">
            <v>0</v>
          </cell>
          <cell r="BD394">
            <v>0</v>
          </cell>
          <cell r="BE394">
            <v>0</v>
          </cell>
        </row>
        <row r="395">
          <cell r="H395">
            <v>0</v>
          </cell>
          <cell r="I395">
            <v>0</v>
          </cell>
          <cell r="J395">
            <v>0</v>
          </cell>
          <cell r="K395">
            <v>0</v>
          </cell>
          <cell r="L395">
            <v>0</v>
          </cell>
          <cell r="M395">
            <v>0</v>
          </cell>
          <cell r="N395">
            <v>0</v>
          </cell>
          <cell r="O395">
            <v>0</v>
          </cell>
          <cell r="P395">
            <v>0</v>
          </cell>
          <cell r="Q395">
            <v>0</v>
          </cell>
          <cell r="R395">
            <v>0</v>
          </cell>
          <cell r="S395">
            <v>0</v>
          </cell>
          <cell r="T395" t="e">
            <v>#VALUE!</v>
          </cell>
          <cell r="U395">
            <v>0.36732643461900283</v>
          </cell>
          <cell r="V395">
            <v>0</v>
          </cell>
          <cell r="W395">
            <v>0</v>
          </cell>
          <cell r="X395">
            <v>0</v>
          </cell>
          <cell r="Y395">
            <v>0.41867757834290398</v>
          </cell>
          <cell r="Z395" t="e">
            <v>#N/A</v>
          </cell>
          <cell r="AA395">
            <v>2.4343301237964239</v>
          </cell>
          <cell r="AB395">
            <v>0</v>
          </cell>
          <cell r="AC395">
            <v>0.19406847457627086</v>
          </cell>
          <cell r="AD395" t="e">
            <v>#N/A</v>
          </cell>
          <cell r="AE395">
            <v>0</v>
          </cell>
          <cell r="AF395">
            <v>0</v>
          </cell>
          <cell r="AG395">
            <v>3.4692534246575333</v>
          </cell>
          <cell r="AH395">
            <v>1.3300622622478386</v>
          </cell>
          <cell r="AI395">
            <v>0</v>
          </cell>
          <cell r="AJ395" t="e">
            <v>#VALUE!</v>
          </cell>
          <cell r="AK395">
            <v>0</v>
          </cell>
          <cell r="AL395">
            <v>0</v>
          </cell>
          <cell r="AM395">
            <v>1.2717117513406158</v>
          </cell>
          <cell r="AN395">
            <v>0</v>
          </cell>
          <cell r="AO395" t="e">
            <v>#N/A</v>
          </cell>
          <cell r="AP395">
            <v>0</v>
          </cell>
          <cell r="AQ395" t="e">
            <v>#VALUE!</v>
          </cell>
          <cell r="AR395">
            <v>0.54173151341156744</v>
          </cell>
          <cell r="AS395">
            <v>2.8727357260273969</v>
          </cell>
          <cell r="AT395" t="e">
            <v>#N/A</v>
          </cell>
          <cell r="AU395">
            <v>0</v>
          </cell>
          <cell r="AV395">
            <v>0</v>
          </cell>
          <cell r="AW395" t="e">
            <v>#VALUE!</v>
          </cell>
          <cell r="AX395" t="e">
            <v>#VALUE!</v>
          </cell>
          <cell r="AY395" t="e">
            <v>#VALUE!</v>
          </cell>
          <cell r="AZ395" t="e">
            <v>#VALUE!</v>
          </cell>
          <cell r="BA395" t="e">
            <v>#VALUE!</v>
          </cell>
          <cell r="BB395" t="e">
            <v>#VALUE!</v>
          </cell>
          <cell r="BC395" t="e">
            <v>#VALUE!</v>
          </cell>
          <cell r="BD395" t="e">
            <v>#VALUE!</v>
          </cell>
          <cell r="BE395" t="e">
            <v>#VALUE!</v>
          </cell>
        </row>
        <row r="398">
          <cell r="H398">
            <v>0</v>
          </cell>
          <cell r="I398">
            <v>0</v>
          </cell>
          <cell r="J398">
            <v>0</v>
          </cell>
          <cell r="K398">
            <v>0</v>
          </cell>
          <cell r="L398">
            <v>0</v>
          </cell>
          <cell r="M398">
            <v>0</v>
          </cell>
          <cell r="N398">
            <v>0</v>
          </cell>
          <cell r="O398">
            <v>0</v>
          </cell>
          <cell r="P398">
            <v>0</v>
          </cell>
          <cell r="Q398">
            <v>0</v>
          </cell>
          <cell r="R398">
            <v>0</v>
          </cell>
          <cell r="S398">
            <v>0</v>
          </cell>
          <cell r="T398">
            <v>0</v>
          </cell>
          <cell r="U398">
            <v>0.44</v>
          </cell>
          <cell r="V398">
            <v>0</v>
          </cell>
          <cell r="W398">
            <v>0</v>
          </cell>
          <cell r="X398">
            <v>0</v>
          </cell>
          <cell r="Y398">
            <v>0</v>
          </cell>
          <cell r="Z398">
            <v>0</v>
          </cell>
          <cell r="AA398">
            <v>0</v>
          </cell>
          <cell r="AB398">
            <v>0</v>
          </cell>
          <cell r="AC398">
            <v>0</v>
          </cell>
          <cell r="AD398">
            <v>0</v>
          </cell>
          <cell r="AE398">
            <v>0.78749999999999998</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row>
        <row r="399">
          <cell r="H399">
            <v>0</v>
          </cell>
          <cell r="I399">
            <v>0</v>
          </cell>
          <cell r="J399">
            <v>0</v>
          </cell>
          <cell r="K399">
            <v>0</v>
          </cell>
          <cell r="L399">
            <v>0</v>
          </cell>
          <cell r="M399">
            <v>0</v>
          </cell>
          <cell r="N399">
            <v>0</v>
          </cell>
          <cell r="O399">
            <v>0</v>
          </cell>
          <cell r="P399">
            <v>0</v>
          </cell>
          <cell r="Q399">
            <v>0</v>
          </cell>
          <cell r="R399">
            <v>0</v>
          </cell>
          <cell r="S399">
            <v>0</v>
          </cell>
          <cell r="T399">
            <v>0</v>
          </cell>
          <cell r="U399">
            <v>5.82</v>
          </cell>
          <cell r="V399">
            <v>0</v>
          </cell>
          <cell r="W399">
            <v>0</v>
          </cell>
          <cell r="X399">
            <v>0</v>
          </cell>
          <cell r="Y399">
            <v>0</v>
          </cell>
          <cell r="Z399">
            <v>0</v>
          </cell>
          <cell r="AA399">
            <v>0</v>
          </cell>
          <cell r="AB399">
            <v>0</v>
          </cell>
          <cell r="AC399">
            <v>0</v>
          </cell>
          <cell r="AD399">
            <v>0</v>
          </cell>
          <cell r="AE399">
            <v>14.8</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row>
        <row r="400">
          <cell r="H400">
            <v>0</v>
          </cell>
          <cell r="I400">
            <v>0</v>
          </cell>
          <cell r="J400">
            <v>0</v>
          </cell>
          <cell r="K400">
            <v>0</v>
          </cell>
          <cell r="L400">
            <v>0</v>
          </cell>
          <cell r="M400">
            <v>0</v>
          </cell>
          <cell r="N400">
            <v>0</v>
          </cell>
          <cell r="O400">
            <v>0</v>
          </cell>
          <cell r="P400">
            <v>0</v>
          </cell>
          <cell r="Q400">
            <v>0</v>
          </cell>
          <cell r="R400">
            <v>0</v>
          </cell>
          <cell r="S400">
            <v>0</v>
          </cell>
          <cell r="T400" t="e">
            <v>#VALUE!</v>
          </cell>
          <cell r="U400">
            <v>0.31954844778927566</v>
          </cell>
          <cell r="V400">
            <v>0</v>
          </cell>
          <cell r="W400">
            <v>0</v>
          </cell>
          <cell r="X400">
            <v>0</v>
          </cell>
          <cell r="Y400">
            <v>0</v>
          </cell>
          <cell r="Z400" t="e">
            <v>#N/A</v>
          </cell>
          <cell r="AA400">
            <v>0</v>
          </cell>
          <cell r="AB400">
            <v>0</v>
          </cell>
          <cell r="AC400">
            <v>0</v>
          </cell>
          <cell r="AD400" t="e">
            <v>#N/A</v>
          </cell>
          <cell r="AE400">
            <v>0</v>
          </cell>
          <cell r="AF400">
            <v>0</v>
          </cell>
          <cell r="AG400">
            <v>0</v>
          </cell>
          <cell r="AH400">
            <v>0</v>
          </cell>
          <cell r="AI400">
            <v>0</v>
          </cell>
          <cell r="AJ400" t="e">
            <v>#VALUE!</v>
          </cell>
          <cell r="AK400">
            <v>0</v>
          </cell>
          <cell r="AL400">
            <v>0</v>
          </cell>
          <cell r="AM400">
            <v>0</v>
          </cell>
          <cell r="AN400">
            <v>0</v>
          </cell>
          <cell r="AO400" t="e">
            <v>#N/A</v>
          </cell>
          <cell r="AP400">
            <v>0</v>
          </cell>
          <cell r="AQ400" t="e">
            <v>#VALUE!</v>
          </cell>
          <cell r="AR400">
            <v>0</v>
          </cell>
          <cell r="AS400">
            <v>0</v>
          </cell>
          <cell r="AT400" t="e">
            <v>#N/A</v>
          </cell>
          <cell r="AU400">
            <v>0</v>
          </cell>
          <cell r="AV400">
            <v>0</v>
          </cell>
          <cell r="AW400" t="e">
            <v>#VALUE!</v>
          </cell>
          <cell r="AX400" t="e">
            <v>#VALUE!</v>
          </cell>
          <cell r="AY400" t="e">
            <v>#VALUE!</v>
          </cell>
          <cell r="AZ400" t="e">
            <v>#VALUE!</v>
          </cell>
          <cell r="BA400" t="e">
            <v>#VALUE!</v>
          </cell>
          <cell r="BB400" t="e">
            <v>#VALUE!</v>
          </cell>
          <cell r="BC400" t="e">
            <v>#VALUE!</v>
          </cell>
          <cell r="BD400" t="e">
            <v>#VALUE!</v>
          </cell>
          <cell r="BE400" t="e">
            <v>#VALUE!</v>
          </cell>
        </row>
        <row r="403">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172.5</v>
          </cell>
          <cell r="X403">
            <v>0</v>
          </cell>
          <cell r="Y403">
            <v>0</v>
          </cell>
          <cell r="Z403">
            <v>0</v>
          </cell>
          <cell r="AA403">
            <v>300</v>
          </cell>
          <cell r="AB403">
            <v>300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row>
        <row r="404">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5.5E-2</v>
          </cell>
          <cell r="X404">
            <v>0</v>
          </cell>
          <cell r="Y404">
            <v>0</v>
          </cell>
          <cell r="Z404">
            <v>0</v>
          </cell>
          <cell r="AA404">
            <v>0.05</v>
          </cell>
          <cell r="AB404">
            <v>0.05</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row>
        <row r="405">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85.2</v>
          </cell>
          <cell r="X405">
            <v>0</v>
          </cell>
          <cell r="Y405">
            <v>0</v>
          </cell>
          <cell r="Z405">
            <v>0</v>
          </cell>
          <cell r="AA405">
            <v>52.968800000000002</v>
          </cell>
          <cell r="AB405">
            <v>52.97</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row>
        <row r="406">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2.0246478873239435</v>
          </cell>
          <cell r="X406">
            <v>0</v>
          </cell>
          <cell r="Y406">
            <v>0</v>
          </cell>
          <cell r="Z406">
            <v>0</v>
          </cell>
          <cell r="AA406">
            <v>5.6637114678829796</v>
          </cell>
          <cell r="AB406">
            <v>5.6635831602794031</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row>
        <row r="407">
          <cell r="H407">
            <v>0</v>
          </cell>
          <cell r="I407">
            <v>0</v>
          </cell>
          <cell r="J407">
            <v>0</v>
          </cell>
          <cell r="K407">
            <v>0</v>
          </cell>
          <cell r="L407">
            <v>0</v>
          </cell>
          <cell r="M407">
            <v>0</v>
          </cell>
          <cell r="N407">
            <v>0</v>
          </cell>
          <cell r="O407">
            <v>0</v>
          </cell>
          <cell r="P407">
            <v>0</v>
          </cell>
          <cell r="Q407">
            <v>0</v>
          </cell>
          <cell r="R407">
            <v>0</v>
          </cell>
          <cell r="S407">
            <v>0</v>
          </cell>
          <cell r="T407" t="e">
            <v>#VALUE!</v>
          </cell>
          <cell r="U407">
            <v>-2.0877838070956129E-2</v>
          </cell>
          <cell r="V407">
            <v>6.2927070608341964</v>
          </cell>
          <cell r="W407">
            <v>1.4611726903311231</v>
          </cell>
          <cell r="X407">
            <v>1.959960772048281</v>
          </cell>
          <cell r="Y407">
            <v>0.7272476510780338</v>
          </cell>
          <cell r="Z407" t="e">
            <v>#N/A</v>
          </cell>
          <cell r="AA407">
            <v>1.7739605734255479</v>
          </cell>
          <cell r="AB407">
            <v>2.6776822155884878</v>
          </cell>
          <cell r="AC407">
            <v>0.87442904431335655</v>
          </cell>
          <cell r="AD407" t="e">
            <v>#N/A</v>
          </cell>
          <cell r="AE407">
            <v>0.15154767047480602</v>
          </cell>
          <cell r="AF407">
            <v>2.1999910608532418</v>
          </cell>
          <cell r="AG407">
            <v>1.3329662723010089</v>
          </cell>
          <cell r="AH407">
            <v>0.31671156908847936</v>
          </cell>
          <cell r="AI407" t="e">
            <v>#DIV/0!</v>
          </cell>
          <cell r="AJ407" t="e">
            <v>#VALUE!</v>
          </cell>
          <cell r="AK407">
            <v>1.5082279792746116</v>
          </cell>
          <cell r="AL407">
            <v>1.3029900332225912</v>
          </cell>
          <cell r="AM407">
            <v>1.8855928403663016</v>
          </cell>
          <cell r="AN407">
            <v>-0.24936432802281777</v>
          </cell>
          <cell r="AO407" t="e">
            <v>#N/A</v>
          </cell>
          <cell r="AP407" t="e">
            <v>#DIV/0!</v>
          </cell>
          <cell r="AQ407" t="e">
            <v>#VALUE!</v>
          </cell>
          <cell r="AR407">
            <v>1.1532167423130122</v>
          </cell>
          <cell r="AS407">
            <v>2.3895382453828815</v>
          </cell>
          <cell r="AT407" t="e">
            <v>#N/A</v>
          </cell>
          <cell r="AU407" t="e">
            <v>#DIV/0!</v>
          </cell>
          <cell r="AV407">
            <v>2.9161682608695649</v>
          </cell>
          <cell r="AW407" t="e">
            <v>#VALUE!</v>
          </cell>
          <cell r="AX407" t="e">
            <v>#VALUE!</v>
          </cell>
          <cell r="AY407" t="e">
            <v>#VALUE!</v>
          </cell>
          <cell r="AZ407" t="e">
            <v>#VALUE!</v>
          </cell>
          <cell r="BA407" t="e">
            <v>#VALUE!</v>
          </cell>
          <cell r="BB407" t="e">
            <v>#VALUE!</v>
          </cell>
          <cell r="BC407" t="e">
            <v>#VALUE!</v>
          </cell>
          <cell r="BD407" t="e">
            <v>#VALUE!</v>
          </cell>
          <cell r="BE407" t="e">
            <v>#VALUE!</v>
          </cell>
        </row>
        <row r="408">
          <cell r="H408">
            <v>0</v>
          </cell>
          <cell r="I408">
            <v>0</v>
          </cell>
          <cell r="J408">
            <v>0</v>
          </cell>
          <cell r="K408">
            <v>0</v>
          </cell>
          <cell r="L408">
            <v>0</v>
          </cell>
          <cell r="M408">
            <v>0</v>
          </cell>
          <cell r="N408">
            <v>0</v>
          </cell>
          <cell r="O408">
            <v>0</v>
          </cell>
          <cell r="P408">
            <v>0</v>
          </cell>
          <cell r="Q408">
            <v>0</v>
          </cell>
          <cell r="R408">
            <v>0</v>
          </cell>
          <cell r="S408">
            <v>0</v>
          </cell>
          <cell r="T408" t="e">
            <v>#VALUE!</v>
          </cell>
          <cell r="U408">
            <v>-2.0877838070956129E-2</v>
          </cell>
          <cell r="V408">
            <v>6.2927070608341964</v>
          </cell>
          <cell r="W408">
            <v>1.4073705065383875</v>
          </cell>
          <cell r="X408">
            <v>1.959960772048281</v>
          </cell>
          <cell r="Y408">
            <v>0.7272476510780338</v>
          </cell>
          <cell r="Z408" t="e">
            <v>#N/A</v>
          </cell>
          <cell r="AA408">
            <v>1.6095195218771126</v>
          </cell>
          <cell r="AB408">
            <v>2.5878253171566397</v>
          </cell>
          <cell r="AC408">
            <v>0.87442904431335655</v>
          </cell>
          <cell r="AD408" t="e">
            <v>#N/A</v>
          </cell>
          <cell r="AE408">
            <v>0.15154767047480602</v>
          </cell>
          <cell r="AF408">
            <v>2.1999910608532418</v>
          </cell>
          <cell r="AG408">
            <v>1.3329662723010089</v>
          </cell>
          <cell r="AH408">
            <v>0.31671156908847936</v>
          </cell>
          <cell r="AI408" t="e">
            <v>#DIV/0!</v>
          </cell>
          <cell r="AJ408" t="e">
            <v>#VALUE!</v>
          </cell>
          <cell r="AK408">
            <v>1.5082279792746116</v>
          </cell>
          <cell r="AL408">
            <v>1.3029900332225912</v>
          </cell>
          <cell r="AM408">
            <v>1.8855928403663016</v>
          </cell>
          <cell r="AN408">
            <v>-0.24936432802281777</v>
          </cell>
          <cell r="AO408" t="e">
            <v>#N/A</v>
          </cell>
          <cell r="AP408" t="e">
            <v>#DIV/0!</v>
          </cell>
          <cell r="AQ408" t="e">
            <v>#VALUE!</v>
          </cell>
          <cell r="AR408">
            <v>1.1532167423130122</v>
          </cell>
          <cell r="AS408">
            <v>2.3895382453828815</v>
          </cell>
          <cell r="AT408" t="e">
            <v>#N/A</v>
          </cell>
          <cell r="AU408" t="e">
            <v>#DIV/0!</v>
          </cell>
          <cell r="AV408">
            <v>2.9161682608695649</v>
          </cell>
          <cell r="AW408" t="e">
            <v>#VALUE!</v>
          </cell>
          <cell r="AX408" t="e">
            <v>#VALUE!</v>
          </cell>
          <cell r="AY408" t="e">
            <v>#VALUE!</v>
          </cell>
          <cell r="AZ408" t="e">
            <v>#VALUE!</v>
          </cell>
          <cell r="BA408" t="e">
            <v>#VALUE!</v>
          </cell>
          <cell r="BB408" t="e">
            <v>#VALUE!</v>
          </cell>
          <cell r="BC408" t="e">
            <v>#VALUE!</v>
          </cell>
          <cell r="BD408" t="e">
            <v>#VALUE!</v>
          </cell>
          <cell r="BE408" t="e">
            <v>#VALUE!</v>
          </cell>
        </row>
        <row r="409">
          <cell r="H409" t="str">
            <v>No</v>
          </cell>
          <cell r="I409" t="str">
            <v>No</v>
          </cell>
          <cell r="J409" t="str">
            <v>No</v>
          </cell>
          <cell r="K409" t="str">
            <v>No</v>
          </cell>
          <cell r="L409" t="str">
            <v>No</v>
          </cell>
          <cell r="M409" t="str">
            <v>No</v>
          </cell>
          <cell r="N409" t="str">
            <v>No</v>
          </cell>
          <cell r="O409" t="str">
            <v>No</v>
          </cell>
          <cell r="P409" t="str">
            <v>No</v>
          </cell>
          <cell r="Q409" t="str">
            <v>No</v>
          </cell>
          <cell r="R409" t="str">
            <v>No</v>
          </cell>
          <cell r="S409" t="str">
            <v>No</v>
          </cell>
          <cell r="T409" t="e">
            <v>#VALUE!</v>
          </cell>
          <cell r="U409" t="str">
            <v>No</v>
          </cell>
          <cell r="V409" t="str">
            <v>No</v>
          </cell>
          <cell r="W409" t="str">
            <v>Yes</v>
          </cell>
          <cell r="X409" t="str">
            <v>No</v>
          </cell>
          <cell r="Y409" t="str">
            <v>No</v>
          </cell>
          <cell r="Z409" t="e">
            <v>#N/A</v>
          </cell>
          <cell r="AA409" t="str">
            <v>Yes</v>
          </cell>
          <cell r="AB409" t="str">
            <v>Yes</v>
          </cell>
          <cell r="AC409" t="str">
            <v>No</v>
          </cell>
          <cell r="AD409" t="e">
            <v>#N/A</v>
          </cell>
          <cell r="AE409" t="str">
            <v>No</v>
          </cell>
          <cell r="AF409" t="str">
            <v>No</v>
          </cell>
          <cell r="AG409" t="str">
            <v>No</v>
          </cell>
          <cell r="AH409" t="str">
            <v>No</v>
          </cell>
          <cell r="AI409" t="e">
            <v>#DIV/0!</v>
          </cell>
          <cell r="AJ409" t="e">
            <v>#VALUE!</v>
          </cell>
          <cell r="AK409" t="str">
            <v>No</v>
          </cell>
          <cell r="AL409" t="str">
            <v>No</v>
          </cell>
          <cell r="AM409" t="str">
            <v>No</v>
          </cell>
          <cell r="AN409" t="str">
            <v>No</v>
          </cell>
          <cell r="AO409" t="e">
            <v>#N/A</v>
          </cell>
          <cell r="AP409" t="e">
            <v>#DIV/0!</v>
          </cell>
          <cell r="AQ409" t="e">
            <v>#VALUE!</v>
          </cell>
          <cell r="AR409" t="str">
            <v>No</v>
          </cell>
          <cell r="AS409" t="str">
            <v>No</v>
          </cell>
          <cell r="AT409" t="e">
            <v>#N/A</v>
          </cell>
          <cell r="AU409" t="e">
            <v>#DIV/0!</v>
          </cell>
          <cell r="AV409" t="str">
            <v>No</v>
          </cell>
          <cell r="AW409" t="e">
            <v>#VALUE!</v>
          </cell>
          <cell r="AX409" t="e">
            <v>#VALUE!</v>
          </cell>
          <cell r="AY409" t="e">
            <v>#VALUE!</v>
          </cell>
          <cell r="AZ409" t="e">
            <v>#VALUE!</v>
          </cell>
          <cell r="BA409" t="e">
            <v>#VALUE!</v>
          </cell>
          <cell r="BB409" t="e">
            <v>#VALUE!</v>
          </cell>
          <cell r="BC409" t="e">
            <v>#VALUE!</v>
          </cell>
          <cell r="BD409" t="e">
            <v>#VALUE!</v>
          </cell>
          <cell r="BE409" t="e">
            <v>#VALUE!</v>
          </cell>
        </row>
        <row r="410">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4.5123287671232877</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row>
        <row r="411">
          <cell r="H411">
            <v>0</v>
          </cell>
          <cell r="I411">
            <v>0</v>
          </cell>
          <cell r="J411">
            <v>0</v>
          </cell>
          <cell r="K411">
            <v>0</v>
          </cell>
          <cell r="L411">
            <v>0</v>
          </cell>
          <cell r="M411">
            <v>0</v>
          </cell>
          <cell r="N411">
            <v>0</v>
          </cell>
          <cell r="O411">
            <v>0</v>
          </cell>
          <cell r="P411">
            <v>0</v>
          </cell>
          <cell r="Q411">
            <v>0</v>
          </cell>
          <cell r="R411">
            <v>0</v>
          </cell>
          <cell r="S411">
            <v>0</v>
          </cell>
          <cell r="T411" t="e">
            <v>#VALUE!</v>
          </cell>
          <cell r="U411">
            <v>0</v>
          </cell>
          <cell r="V411">
            <v>0</v>
          </cell>
          <cell r="W411">
            <v>2.0246478873239435</v>
          </cell>
          <cell r="X411">
            <v>0</v>
          </cell>
          <cell r="Y411">
            <v>0</v>
          </cell>
          <cell r="Z411" t="e">
            <v>#N/A</v>
          </cell>
          <cell r="AA411">
            <v>5.6637114678829796</v>
          </cell>
          <cell r="AB411">
            <v>5.6635831602794031</v>
          </cell>
          <cell r="AC411">
            <v>0</v>
          </cell>
          <cell r="AD411" t="e">
            <v>#N/A</v>
          </cell>
          <cell r="AE411">
            <v>0</v>
          </cell>
          <cell r="AF411">
            <v>0</v>
          </cell>
          <cell r="AG411">
            <v>0</v>
          </cell>
          <cell r="AH411">
            <v>0</v>
          </cell>
          <cell r="AI411" t="e">
            <v>#DIV/0!</v>
          </cell>
          <cell r="AJ411" t="e">
            <v>#VALUE!</v>
          </cell>
          <cell r="AK411">
            <v>0</v>
          </cell>
          <cell r="AL411">
            <v>0</v>
          </cell>
          <cell r="AM411">
            <v>0</v>
          </cell>
          <cell r="AN411">
            <v>0</v>
          </cell>
          <cell r="AO411" t="e">
            <v>#N/A</v>
          </cell>
          <cell r="AP411" t="e">
            <v>#DIV/0!</v>
          </cell>
          <cell r="AQ411" t="e">
            <v>#VALUE!</v>
          </cell>
          <cell r="AR411">
            <v>0</v>
          </cell>
          <cell r="AS411">
            <v>0</v>
          </cell>
          <cell r="AT411" t="e">
            <v>#N/A</v>
          </cell>
          <cell r="AU411" t="e">
            <v>#DIV/0!</v>
          </cell>
          <cell r="AV411">
            <v>0</v>
          </cell>
          <cell r="AW411" t="e">
            <v>#VALUE!</v>
          </cell>
          <cell r="AX411" t="e">
            <v>#VALUE!</v>
          </cell>
          <cell r="AY411" t="e">
            <v>#VALUE!</v>
          </cell>
          <cell r="AZ411" t="e">
            <v>#VALUE!</v>
          </cell>
          <cell r="BA411" t="e">
            <v>#VALUE!</v>
          </cell>
          <cell r="BB411" t="e">
            <v>#VALUE!</v>
          </cell>
          <cell r="BC411" t="e">
            <v>#VALUE!</v>
          </cell>
          <cell r="BD411" t="e">
            <v>#VALUE!</v>
          </cell>
          <cell r="BE411" t="e">
            <v>#VALUE!</v>
          </cell>
        </row>
        <row r="412">
          <cell r="H412">
            <v>0</v>
          </cell>
          <cell r="I412">
            <v>0</v>
          </cell>
          <cell r="J412">
            <v>0</v>
          </cell>
          <cell r="K412">
            <v>0</v>
          </cell>
          <cell r="L412">
            <v>0</v>
          </cell>
          <cell r="M412">
            <v>0</v>
          </cell>
          <cell r="N412">
            <v>0</v>
          </cell>
          <cell r="O412">
            <v>0</v>
          </cell>
          <cell r="P412">
            <v>0</v>
          </cell>
          <cell r="Q412">
            <v>0</v>
          </cell>
          <cell r="R412">
            <v>0</v>
          </cell>
          <cell r="S412">
            <v>0</v>
          </cell>
          <cell r="T412" t="e">
            <v>#VALUE!</v>
          </cell>
          <cell r="U412">
            <v>0</v>
          </cell>
          <cell r="V412">
            <v>0</v>
          </cell>
          <cell r="W412">
            <v>172.5</v>
          </cell>
          <cell r="X412">
            <v>0</v>
          </cell>
          <cell r="Y412">
            <v>0</v>
          </cell>
          <cell r="Z412" t="e">
            <v>#N/A</v>
          </cell>
          <cell r="AA412">
            <v>300</v>
          </cell>
          <cell r="AB412">
            <v>300</v>
          </cell>
          <cell r="AC412">
            <v>0</v>
          </cell>
          <cell r="AD412" t="e">
            <v>#N/A</v>
          </cell>
          <cell r="AE412">
            <v>0</v>
          </cell>
          <cell r="AF412">
            <v>0</v>
          </cell>
          <cell r="AG412">
            <v>0</v>
          </cell>
          <cell r="AH412">
            <v>0</v>
          </cell>
          <cell r="AI412" t="e">
            <v>#DIV/0!</v>
          </cell>
          <cell r="AJ412" t="e">
            <v>#VALUE!</v>
          </cell>
          <cell r="AK412">
            <v>0</v>
          </cell>
          <cell r="AL412">
            <v>0</v>
          </cell>
          <cell r="AM412">
            <v>0</v>
          </cell>
          <cell r="AN412">
            <v>0</v>
          </cell>
          <cell r="AO412" t="e">
            <v>#N/A</v>
          </cell>
          <cell r="AP412" t="e">
            <v>#DIV/0!</v>
          </cell>
          <cell r="AQ412" t="e">
            <v>#VALUE!</v>
          </cell>
          <cell r="AR412">
            <v>0</v>
          </cell>
          <cell r="AS412">
            <v>0</v>
          </cell>
          <cell r="AT412" t="e">
            <v>#N/A</v>
          </cell>
          <cell r="AU412" t="e">
            <v>#DIV/0!</v>
          </cell>
          <cell r="AV412">
            <v>0</v>
          </cell>
          <cell r="AW412" t="e">
            <v>#VALUE!</v>
          </cell>
          <cell r="AX412" t="e">
            <v>#VALUE!</v>
          </cell>
          <cell r="AY412" t="e">
            <v>#VALUE!</v>
          </cell>
          <cell r="AZ412" t="e">
            <v>#VALUE!</v>
          </cell>
          <cell r="BA412" t="e">
            <v>#VALUE!</v>
          </cell>
          <cell r="BB412" t="e">
            <v>#VALUE!</v>
          </cell>
          <cell r="BC412" t="e">
            <v>#VALUE!</v>
          </cell>
          <cell r="BD412" t="e">
            <v>#VALUE!</v>
          </cell>
          <cell r="BE412" t="e">
            <v>#VALUE!</v>
          </cell>
        </row>
        <row r="413">
          <cell r="H413">
            <v>0</v>
          </cell>
          <cell r="I413">
            <v>0</v>
          </cell>
          <cell r="J413">
            <v>1</v>
          </cell>
          <cell r="K413">
            <v>0</v>
          </cell>
          <cell r="L413">
            <v>0</v>
          </cell>
          <cell r="M413">
            <v>0</v>
          </cell>
          <cell r="N413">
            <v>0</v>
          </cell>
          <cell r="O413">
            <v>0</v>
          </cell>
          <cell r="P413">
            <v>0</v>
          </cell>
          <cell r="Q413">
            <v>0</v>
          </cell>
          <cell r="R413">
            <v>0</v>
          </cell>
          <cell r="S413">
            <v>0</v>
          </cell>
          <cell r="T413">
            <v>0</v>
          </cell>
          <cell r="U413">
            <v>0</v>
          </cell>
          <cell r="V413">
            <v>1</v>
          </cell>
          <cell r="W413">
            <v>0</v>
          </cell>
          <cell r="X413">
            <v>1</v>
          </cell>
          <cell r="Y413">
            <v>0.75068493150684934</v>
          </cell>
          <cell r="Z413">
            <v>0</v>
          </cell>
          <cell r="AA413">
            <v>0</v>
          </cell>
          <cell r="AB413">
            <v>0.50136986301369868</v>
          </cell>
          <cell r="AC413">
            <v>0.75342465753424659</v>
          </cell>
          <cell r="AD413">
            <v>0</v>
          </cell>
          <cell r="AE413">
            <v>0.25205479452054791</v>
          </cell>
          <cell r="AF413">
            <v>0.75068493150684934</v>
          </cell>
          <cell r="AG413">
            <v>0.75342465753424659</v>
          </cell>
          <cell r="AH413">
            <v>0</v>
          </cell>
          <cell r="AI413">
            <v>0</v>
          </cell>
          <cell r="AJ413">
            <v>0.49589041095890407</v>
          </cell>
          <cell r="AK413">
            <v>0.50410958904109582</v>
          </cell>
          <cell r="AL413">
            <v>0.24657534246575341</v>
          </cell>
          <cell r="AM413">
            <v>0</v>
          </cell>
          <cell r="AN413">
            <v>0.75068493150684934</v>
          </cell>
          <cell r="AO413">
            <v>0</v>
          </cell>
          <cell r="AP413">
            <v>0</v>
          </cell>
          <cell r="AQ413">
            <v>0</v>
          </cell>
          <cell r="AR413">
            <v>1</v>
          </cell>
          <cell r="AS413">
            <v>0</v>
          </cell>
          <cell r="AT413">
            <v>0</v>
          </cell>
          <cell r="AU413">
            <v>0</v>
          </cell>
          <cell r="AV413">
            <v>0.24931506849315066</v>
          </cell>
          <cell r="AW413">
            <v>0</v>
          </cell>
          <cell r="AX413">
            <v>0</v>
          </cell>
          <cell r="AY413">
            <v>0</v>
          </cell>
          <cell r="AZ413">
            <v>0</v>
          </cell>
          <cell r="BA413">
            <v>0</v>
          </cell>
          <cell r="BB413">
            <v>0</v>
          </cell>
          <cell r="BC413">
            <v>0</v>
          </cell>
          <cell r="BD413">
            <v>0</v>
          </cell>
          <cell r="BE413">
            <v>0</v>
          </cell>
        </row>
        <row r="416">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300</v>
          </cell>
          <cell r="AA416">
            <v>0</v>
          </cell>
          <cell r="AB416">
            <v>0</v>
          </cell>
          <cell r="AC416">
            <v>132</v>
          </cell>
          <cell r="AD416">
            <v>0</v>
          </cell>
          <cell r="AE416">
            <v>0</v>
          </cell>
          <cell r="AF416">
            <v>0</v>
          </cell>
          <cell r="AG416">
            <v>0</v>
          </cell>
          <cell r="AH416">
            <v>0</v>
          </cell>
          <cell r="AI416">
            <v>0</v>
          </cell>
          <cell r="AJ416">
            <v>0</v>
          </cell>
          <cell r="AK416">
            <v>0</v>
          </cell>
          <cell r="AL416">
            <v>196.1</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row>
        <row r="417">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7.8E-2</v>
          </cell>
          <cell r="AA417">
            <v>0</v>
          </cell>
          <cell r="AB417">
            <v>0</v>
          </cell>
          <cell r="AC417">
            <v>5.3749999999999999E-2</v>
          </cell>
          <cell r="AD417">
            <v>0</v>
          </cell>
          <cell r="AE417">
            <v>0</v>
          </cell>
          <cell r="AF417">
            <v>0</v>
          </cell>
          <cell r="AG417">
            <v>0</v>
          </cell>
          <cell r="AH417">
            <v>0</v>
          </cell>
          <cell r="AI417">
            <v>0</v>
          </cell>
          <cell r="AJ417">
            <v>0</v>
          </cell>
          <cell r="AK417">
            <v>0</v>
          </cell>
          <cell r="AL417">
            <v>0.05</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row>
        <row r="418">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25</v>
          </cell>
          <cell r="AA418">
            <v>0</v>
          </cell>
          <cell r="AB418">
            <v>0</v>
          </cell>
          <cell r="AC418">
            <v>20.625360943816517</v>
          </cell>
          <cell r="AD418">
            <v>0</v>
          </cell>
          <cell r="AE418">
            <v>0</v>
          </cell>
          <cell r="AF418">
            <v>0</v>
          </cell>
          <cell r="AG418">
            <v>0</v>
          </cell>
          <cell r="AH418">
            <v>0</v>
          </cell>
          <cell r="AI418">
            <v>0</v>
          </cell>
          <cell r="AJ418">
            <v>0</v>
          </cell>
          <cell r="AK418">
            <v>0</v>
          </cell>
          <cell r="AL418">
            <v>36.536741690266801</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row>
        <row r="419">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12</v>
          </cell>
          <cell r="AA419">
            <v>0</v>
          </cell>
          <cell r="AB419">
            <v>0</v>
          </cell>
          <cell r="AC419">
            <v>6.3998879999999998</v>
          </cell>
          <cell r="AD419">
            <v>0</v>
          </cell>
          <cell r="AE419">
            <v>0</v>
          </cell>
          <cell r="AF419">
            <v>0</v>
          </cell>
          <cell r="AG419">
            <v>0</v>
          </cell>
          <cell r="AH419">
            <v>0</v>
          </cell>
          <cell r="AI419">
            <v>0</v>
          </cell>
          <cell r="AJ419">
            <v>0</v>
          </cell>
          <cell r="AK419">
            <v>0</v>
          </cell>
          <cell r="AL419">
            <v>5.3672000000000004</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row>
        <row r="420">
          <cell r="H420">
            <v>0</v>
          </cell>
          <cell r="I420">
            <v>0</v>
          </cell>
          <cell r="J420">
            <v>0</v>
          </cell>
          <cell r="K420">
            <v>0</v>
          </cell>
          <cell r="L420">
            <v>0</v>
          </cell>
          <cell r="M420">
            <v>0</v>
          </cell>
          <cell r="N420">
            <v>0</v>
          </cell>
          <cell r="O420">
            <v>0</v>
          </cell>
          <cell r="P420">
            <v>0</v>
          </cell>
          <cell r="Q420">
            <v>0</v>
          </cell>
          <cell r="R420">
            <v>0</v>
          </cell>
          <cell r="S420">
            <v>0</v>
          </cell>
          <cell r="T420" t="e">
            <v>#VALUE!</v>
          </cell>
          <cell r="U420">
            <v>-2.0877838070956129E-2</v>
          </cell>
          <cell r="V420">
            <v>6.2927070608341964</v>
          </cell>
          <cell r="W420">
            <v>1.4611726903311231</v>
          </cell>
          <cell r="X420">
            <v>1.959960772048281</v>
          </cell>
          <cell r="Y420">
            <v>0.7272476510780338</v>
          </cell>
          <cell r="Z420" t="e">
            <v>#N/A</v>
          </cell>
          <cell r="AA420">
            <v>1.7739605734255479</v>
          </cell>
          <cell r="AB420">
            <v>2.6776822155884878</v>
          </cell>
          <cell r="AC420">
            <v>0.87442904431335655</v>
          </cell>
          <cell r="AD420" t="e">
            <v>#N/A</v>
          </cell>
          <cell r="AE420">
            <v>0.15154767047480602</v>
          </cell>
          <cell r="AF420">
            <v>2.1999910608532418</v>
          </cell>
          <cell r="AG420">
            <v>1.3329662723010089</v>
          </cell>
          <cell r="AH420">
            <v>0.31671156908847936</v>
          </cell>
          <cell r="AI420" t="e">
            <v>#DIV/0!</v>
          </cell>
          <cell r="AJ420" t="e">
            <v>#VALUE!</v>
          </cell>
          <cell r="AK420">
            <v>1.5082279792746116</v>
          </cell>
          <cell r="AL420">
            <v>1.3029900332225912</v>
          </cell>
          <cell r="AM420">
            <v>1.8855928403663016</v>
          </cell>
          <cell r="AN420">
            <v>-0.24936432802281777</v>
          </cell>
          <cell r="AO420" t="e">
            <v>#N/A</v>
          </cell>
          <cell r="AP420" t="e">
            <v>#DIV/0!</v>
          </cell>
          <cell r="AQ420" t="e">
            <v>#VALUE!</v>
          </cell>
          <cell r="AR420">
            <v>1.1532167423130122</v>
          </cell>
          <cell r="AS420">
            <v>2.3895382453828815</v>
          </cell>
          <cell r="AT420" t="e">
            <v>#N/A</v>
          </cell>
          <cell r="AU420" t="e">
            <v>#DIV/0!</v>
          </cell>
          <cell r="AV420">
            <v>2.9161682608695649</v>
          </cell>
          <cell r="AW420" t="e">
            <v>#VALUE!</v>
          </cell>
          <cell r="AX420" t="e">
            <v>#VALUE!</v>
          </cell>
          <cell r="AY420" t="e">
            <v>#VALUE!</v>
          </cell>
          <cell r="AZ420" t="e">
            <v>#VALUE!</v>
          </cell>
          <cell r="BA420" t="e">
            <v>#VALUE!</v>
          </cell>
          <cell r="BB420" t="e">
            <v>#VALUE!</v>
          </cell>
          <cell r="BC420" t="e">
            <v>#VALUE!</v>
          </cell>
          <cell r="BD420" t="e">
            <v>#VALUE!</v>
          </cell>
          <cell r="BE420" t="e">
            <v>#VALUE!</v>
          </cell>
        </row>
        <row r="421">
          <cell r="H421">
            <v>0</v>
          </cell>
          <cell r="I421">
            <v>0</v>
          </cell>
          <cell r="J421">
            <v>0</v>
          </cell>
          <cell r="K421">
            <v>0</v>
          </cell>
          <cell r="L421">
            <v>0</v>
          </cell>
          <cell r="M421">
            <v>0</v>
          </cell>
          <cell r="N421">
            <v>0</v>
          </cell>
          <cell r="O421">
            <v>0</v>
          </cell>
          <cell r="P421">
            <v>0</v>
          </cell>
          <cell r="Q421">
            <v>0</v>
          </cell>
          <cell r="R421">
            <v>0</v>
          </cell>
          <cell r="S421">
            <v>0</v>
          </cell>
          <cell r="T421" t="e">
            <v>#VALUE!</v>
          </cell>
          <cell r="U421">
            <v>-2.0877838070956129E-2</v>
          </cell>
          <cell r="V421">
            <v>6.2927070608341964</v>
          </cell>
          <cell r="W421">
            <v>1.4611726903311231</v>
          </cell>
          <cell r="X421">
            <v>1.959960772048281</v>
          </cell>
          <cell r="Y421">
            <v>0.7272476510780338</v>
          </cell>
          <cell r="Z421" t="e">
            <v>#N/A</v>
          </cell>
          <cell r="AA421">
            <v>1.7739605734255479</v>
          </cell>
          <cell r="AB421">
            <v>2.6776822155884878</v>
          </cell>
          <cell r="AC421">
            <v>0.82407766119617842</v>
          </cell>
          <cell r="AD421" t="e">
            <v>#N/A</v>
          </cell>
          <cell r="AE421">
            <v>0.15154767047480602</v>
          </cell>
          <cell r="AF421">
            <v>2.1999910608532418</v>
          </cell>
          <cell r="AG421">
            <v>1.3329662723010089</v>
          </cell>
          <cell r="AH421">
            <v>0.31671156908847936</v>
          </cell>
          <cell r="AI421" t="e">
            <v>#DIV/0!</v>
          </cell>
          <cell r="AJ421" t="e">
            <v>#VALUE!</v>
          </cell>
          <cell r="AK421">
            <v>1.5082279792746116</v>
          </cell>
          <cell r="AL421">
            <v>1.2848980006336381</v>
          </cell>
          <cell r="AM421">
            <v>1.8855928403663016</v>
          </cell>
          <cell r="AN421">
            <v>-0.24936432802281777</v>
          </cell>
          <cell r="AO421" t="e">
            <v>#N/A</v>
          </cell>
          <cell r="AP421" t="e">
            <v>#DIV/0!</v>
          </cell>
          <cell r="AQ421" t="e">
            <v>#VALUE!</v>
          </cell>
          <cell r="AR421">
            <v>1.1532167423130122</v>
          </cell>
          <cell r="AS421">
            <v>2.3895382453828815</v>
          </cell>
          <cell r="AT421" t="e">
            <v>#N/A</v>
          </cell>
          <cell r="AU421" t="e">
            <v>#DIV/0!</v>
          </cell>
          <cell r="AV421">
            <v>2.9161682608695649</v>
          </cell>
          <cell r="AW421" t="e">
            <v>#VALUE!</v>
          </cell>
          <cell r="AX421" t="e">
            <v>#VALUE!</v>
          </cell>
          <cell r="AY421" t="e">
            <v>#VALUE!</v>
          </cell>
          <cell r="AZ421" t="e">
            <v>#VALUE!</v>
          </cell>
          <cell r="BA421" t="e">
            <v>#VALUE!</v>
          </cell>
          <cell r="BB421" t="e">
            <v>#VALUE!</v>
          </cell>
          <cell r="BC421" t="e">
            <v>#VALUE!</v>
          </cell>
          <cell r="BD421" t="e">
            <v>#VALUE!</v>
          </cell>
          <cell r="BE421" t="e">
            <v>#VALUE!</v>
          </cell>
        </row>
        <row r="422">
          <cell r="H422" t="str">
            <v>No</v>
          </cell>
          <cell r="I422" t="str">
            <v>No</v>
          </cell>
          <cell r="J422" t="str">
            <v>No</v>
          </cell>
          <cell r="K422" t="str">
            <v>No</v>
          </cell>
          <cell r="L422" t="str">
            <v>No</v>
          </cell>
          <cell r="M422" t="str">
            <v>No</v>
          </cell>
          <cell r="N422" t="str">
            <v>No</v>
          </cell>
          <cell r="O422" t="str">
            <v>No</v>
          </cell>
          <cell r="P422" t="str">
            <v>No</v>
          </cell>
          <cell r="Q422" t="str">
            <v>No</v>
          </cell>
          <cell r="R422" t="str">
            <v>No</v>
          </cell>
          <cell r="S422" t="str">
            <v>No</v>
          </cell>
          <cell r="T422" t="e">
            <v>#VALUE!</v>
          </cell>
          <cell r="U422" t="str">
            <v>No</v>
          </cell>
          <cell r="V422" t="str">
            <v>No</v>
          </cell>
          <cell r="W422" t="str">
            <v>No</v>
          </cell>
          <cell r="X422" t="str">
            <v>No</v>
          </cell>
          <cell r="Y422" t="str">
            <v>No</v>
          </cell>
          <cell r="Z422" t="e">
            <v>#N/A</v>
          </cell>
          <cell r="AA422" t="str">
            <v>No</v>
          </cell>
          <cell r="AB422" t="str">
            <v>No</v>
          </cell>
          <cell r="AC422" t="str">
            <v>Yes</v>
          </cell>
          <cell r="AD422" t="e">
            <v>#N/A</v>
          </cell>
          <cell r="AE422" t="str">
            <v>No</v>
          </cell>
          <cell r="AF422" t="str">
            <v>No</v>
          </cell>
          <cell r="AG422" t="str">
            <v>No</v>
          </cell>
          <cell r="AH422" t="str">
            <v>No</v>
          </cell>
          <cell r="AI422" t="e">
            <v>#DIV/0!</v>
          </cell>
          <cell r="AJ422" t="e">
            <v>#VALUE!</v>
          </cell>
          <cell r="AK422" t="str">
            <v>No</v>
          </cell>
          <cell r="AL422" t="str">
            <v>Yes</v>
          </cell>
          <cell r="AM422" t="str">
            <v>No</v>
          </cell>
          <cell r="AN422" t="str">
            <v>No</v>
          </cell>
          <cell r="AO422" t="e">
            <v>#N/A</v>
          </cell>
          <cell r="AP422" t="e">
            <v>#DIV/0!</v>
          </cell>
          <cell r="AQ422" t="e">
            <v>#VALUE!</v>
          </cell>
          <cell r="AR422" t="str">
            <v>No</v>
          </cell>
          <cell r="AS422" t="str">
            <v>No</v>
          </cell>
          <cell r="AT422" t="e">
            <v>#N/A</v>
          </cell>
          <cell r="AU422" t="e">
            <v>#DIV/0!</v>
          </cell>
          <cell r="AV422" t="str">
            <v>No</v>
          </cell>
          <cell r="AW422" t="e">
            <v>#VALUE!</v>
          </cell>
          <cell r="AX422" t="e">
            <v>#VALUE!</v>
          </cell>
          <cell r="AY422" t="e">
            <v>#VALUE!</v>
          </cell>
          <cell r="AZ422" t="e">
            <v>#VALUE!</v>
          </cell>
          <cell r="BA422" t="e">
            <v>#VALUE!</v>
          </cell>
          <cell r="BB422" t="e">
            <v>#VALUE!</v>
          </cell>
          <cell r="BC422" t="e">
            <v>#VALUE!</v>
          </cell>
          <cell r="BD422" t="e">
            <v>#VALUE!</v>
          </cell>
          <cell r="BE422" t="e">
            <v>#VALUE!</v>
          </cell>
        </row>
        <row r="423">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3.2073287671232875</v>
          </cell>
          <cell r="AD423">
            <v>0</v>
          </cell>
          <cell r="AE423">
            <v>0</v>
          </cell>
          <cell r="AF423">
            <v>0</v>
          </cell>
          <cell r="AG423">
            <v>0</v>
          </cell>
          <cell r="AH423">
            <v>0</v>
          </cell>
          <cell r="AI423">
            <v>0</v>
          </cell>
          <cell r="AJ423">
            <v>0</v>
          </cell>
          <cell r="AK423">
            <v>0</v>
          </cell>
          <cell r="AL423">
            <v>1.4506027397260273</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row>
        <row r="424">
          <cell r="H424">
            <v>0</v>
          </cell>
          <cell r="I424">
            <v>0</v>
          </cell>
          <cell r="J424">
            <v>0</v>
          </cell>
          <cell r="K424">
            <v>0</v>
          </cell>
          <cell r="L424">
            <v>0</v>
          </cell>
          <cell r="M424">
            <v>0</v>
          </cell>
          <cell r="N424">
            <v>0</v>
          </cell>
          <cell r="O424">
            <v>0</v>
          </cell>
          <cell r="P424">
            <v>0</v>
          </cell>
          <cell r="Q424">
            <v>0</v>
          </cell>
          <cell r="R424">
            <v>0</v>
          </cell>
          <cell r="S424">
            <v>0</v>
          </cell>
          <cell r="T424" t="e">
            <v>#VALUE!</v>
          </cell>
          <cell r="U424">
            <v>0</v>
          </cell>
          <cell r="V424">
            <v>0</v>
          </cell>
          <cell r="W424">
            <v>0</v>
          </cell>
          <cell r="X424">
            <v>0</v>
          </cell>
          <cell r="Y424">
            <v>0</v>
          </cell>
          <cell r="Z424" t="e">
            <v>#N/A</v>
          </cell>
          <cell r="AA424">
            <v>0</v>
          </cell>
          <cell r="AB424">
            <v>0</v>
          </cell>
          <cell r="AC424">
            <v>6.3998879999999998</v>
          </cell>
          <cell r="AD424" t="e">
            <v>#N/A</v>
          </cell>
          <cell r="AE424">
            <v>0</v>
          </cell>
          <cell r="AF424">
            <v>0</v>
          </cell>
          <cell r="AG424">
            <v>0</v>
          </cell>
          <cell r="AH424">
            <v>0</v>
          </cell>
          <cell r="AI424" t="e">
            <v>#DIV/0!</v>
          </cell>
          <cell r="AJ424" t="e">
            <v>#VALUE!</v>
          </cell>
          <cell r="AK424">
            <v>0</v>
          </cell>
          <cell r="AL424">
            <v>5.3672000000000004</v>
          </cell>
          <cell r="AM424">
            <v>0</v>
          </cell>
          <cell r="AN424">
            <v>0</v>
          </cell>
          <cell r="AO424" t="e">
            <v>#N/A</v>
          </cell>
          <cell r="AP424" t="e">
            <v>#DIV/0!</v>
          </cell>
          <cell r="AQ424" t="e">
            <v>#VALUE!</v>
          </cell>
          <cell r="AR424">
            <v>0</v>
          </cell>
          <cell r="AS424">
            <v>0</v>
          </cell>
          <cell r="AT424" t="e">
            <v>#N/A</v>
          </cell>
          <cell r="AU424" t="e">
            <v>#DIV/0!</v>
          </cell>
          <cell r="AV424">
            <v>0</v>
          </cell>
          <cell r="AW424" t="e">
            <v>#VALUE!</v>
          </cell>
          <cell r="AX424" t="e">
            <v>#VALUE!</v>
          </cell>
          <cell r="AY424" t="e">
            <v>#VALUE!</v>
          </cell>
          <cell r="AZ424" t="e">
            <v>#VALUE!</v>
          </cell>
          <cell r="BA424" t="e">
            <v>#VALUE!</v>
          </cell>
          <cell r="BB424" t="e">
            <v>#VALUE!</v>
          </cell>
          <cell r="BC424" t="e">
            <v>#VALUE!</v>
          </cell>
          <cell r="BD424" t="e">
            <v>#VALUE!</v>
          </cell>
          <cell r="BE424" t="e">
            <v>#VALUE!</v>
          </cell>
        </row>
        <row r="425">
          <cell r="H425">
            <v>0</v>
          </cell>
          <cell r="I425">
            <v>0</v>
          </cell>
          <cell r="J425">
            <v>0</v>
          </cell>
          <cell r="K425">
            <v>0</v>
          </cell>
          <cell r="L425">
            <v>0</v>
          </cell>
          <cell r="M425">
            <v>0</v>
          </cell>
          <cell r="N425">
            <v>0</v>
          </cell>
          <cell r="O425">
            <v>0</v>
          </cell>
          <cell r="P425">
            <v>0</v>
          </cell>
          <cell r="Q425">
            <v>0</v>
          </cell>
          <cell r="R425">
            <v>0</v>
          </cell>
          <cell r="S425">
            <v>0</v>
          </cell>
          <cell r="T425" t="e">
            <v>#VALUE!</v>
          </cell>
          <cell r="U425">
            <v>0</v>
          </cell>
          <cell r="V425">
            <v>0</v>
          </cell>
          <cell r="W425">
            <v>0</v>
          </cell>
          <cell r="X425">
            <v>0</v>
          </cell>
          <cell r="Y425">
            <v>0</v>
          </cell>
          <cell r="Z425" t="e">
            <v>#N/A</v>
          </cell>
          <cell r="AA425">
            <v>0</v>
          </cell>
          <cell r="AB425">
            <v>0</v>
          </cell>
          <cell r="AC425">
            <v>132</v>
          </cell>
          <cell r="AD425" t="e">
            <v>#N/A</v>
          </cell>
          <cell r="AE425">
            <v>0</v>
          </cell>
          <cell r="AF425">
            <v>0</v>
          </cell>
          <cell r="AG425">
            <v>0</v>
          </cell>
          <cell r="AH425">
            <v>0</v>
          </cell>
          <cell r="AI425" t="e">
            <v>#DIV/0!</v>
          </cell>
          <cell r="AJ425" t="e">
            <v>#VALUE!</v>
          </cell>
          <cell r="AK425">
            <v>0</v>
          </cell>
          <cell r="AL425">
            <v>196.1</v>
          </cell>
          <cell r="AM425">
            <v>0</v>
          </cell>
          <cell r="AN425">
            <v>0</v>
          </cell>
          <cell r="AO425" t="e">
            <v>#N/A</v>
          </cell>
          <cell r="AP425" t="e">
            <v>#DIV/0!</v>
          </cell>
          <cell r="AQ425" t="e">
            <v>#VALUE!</v>
          </cell>
          <cell r="AR425">
            <v>0</v>
          </cell>
          <cell r="AS425">
            <v>0</v>
          </cell>
          <cell r="AT425" t="e">
            <v>#N/A</v>
          </cell>
          <cell r="AU425" t="e">
            <v>#DIV/0!</v>
          </cell>
          <cell r="AV425">
            <v>0</v>
          </cell>
          <cell r="AW425" t="e">
            <v>#VALUE!</v>
          </cell>
          <cell r="AX425" t="e">
            <v>#VALUE!</v>
          </cell>
          <cell r="AY425" t="e">
            <v>#VALUE!</v>
          </cell>
          <cell r="AZ425" t="e">
            <v>#VALUE!</v>
          </cell>
          <cell r="BA425" t="e">
            <v>#VALUE!</v>
          </cell>
          <cell r="BB425" t="e">
            <v>#VALUE!</v>
          </cell>
          <cell r="BC425" t="e">
            <v>#VALUE!</v>
          </cell>
          <cell r="BD425" t="e">
            <v>#VALUE!</v>
          </cell>
          <cell r="BE425" t="e">
            <v>#VALUE!</v>
          </cell>
        </row>
        <row r="426">
          <cell r="H426">
            <v>0</v>
          </cell>
          <cell r="I426">
            <v>0</v>
          </cell>
          <cell r="J426">
            <v>1</v>
          </cell>
          <cell r="K426">
            <v>0</v>
          </cell>
          <cell r="L426">
            <v>0</v>
          </cell>
          <cell r="M426">
            <v>0</v>
          </cell>
          <cell r="N426">
            <v>0</v>
          </cell>
          <cell r="O426">
            <v>0</v>
          </cell>
          <cell r="P426">
            <v>0</v>
          </cell>
          <cell r="Q426">
            <v>0</v>
          </cell>
          <cell r="R426">
            <v>0</v>
          </cell>
          <cell r="S426">
            <v>0</v>
          </cell>
          <cell r="T426">
            <v>0</v>
          </cell>
          <cell r="U426">
            <v>0</v>
          </cell>
          <cell r="V426">
            <v>1</v>
          </cell>
          <cell r="W426">
            <v>0</v>
          </cell>
          <cell r="X426">
            <v>1</v>
          </cell>
          <cell r="Y426">
            <v>0.75068493150684934</v>
          </cell>
          <cell r="Z426">
            <v>0</v>
          </cell>
          <cell r="AA426">
            <v>0</v>
          </cell>
          <cell r="AB426">
            <v>0.50136986301369868</v>
          </cell>
          <cell r="AC426">
            <v>0.75342465753424659</v>
          </cell>
          <cell r="AD426">
            <v>0</v>
          </cell>
          <cell r="AE426">
            <v>0.25205479452054791</v>
          </cell>
          <cell r="AF426">
            <v>0.75068493150684934</v>
          </cell>
          <cell r="AG426">
            <v>0.75342465753424659</v>
          </cell>
          <cell r="AH426">
            <v>0</v>
          </cell>
          <cell r="AI426">
            <v>0</v>
          </cell>
          <cell r="AJ426">
            <v>0.49589041095890407</v>
          </cell>
          <cell r="AK426">
            <v>0.50410958904109582</v>
          </cell>
          <cell r="AL426">
            <v>0.24657534246575341</v>
          </cell>
          <cell r="AM426">
            <v>0</v>
          </cell>
          <cell r="AN426">
            <v>0.75068493150684934</v>
          </cell>
          <cell r="AO426">
            <v>0</v>
          </cell>
          <cell r="AP426">
            <v>0</v>
          </cell>
          <cell r="AQ426">
            <v>0</v>
          </cell>
          <cell r="AR426">
            <v>1</v>
          </cell>
          <cell r="AS426">
            <v>0</v>
          </cell>
          <cell r="AT426">
            <v>0</v>
          </cell>
          <cell r="AU426">
            <v>0</v>
          </cell>
          <cell r="AV426">
            <v>0.24931506849315066</v>
          </cell>
          <cell r="AW426">
            <v>0</v>
          </cell>
          <cell r="AX426">
            <v>0</v>
          </cell>
          <cell r="AY426">
            <v>0</v>
          </cell>
          <cell r="AZ426">
            <v>0</v>
          </cell>
          <cell r="BA426">
            <v>0</v>
          </cell>
          <cell r="BB426">
            <v>0</v>
          </cell>
          <cell r="BC426">
            <v>0</v>
          </cell>
          <cell r="BD426">
            <v>0</v>
          </cell>
          <cell r="BE426">
            <v>0</v>
          </cell>
        </row>
        <row r="427">
          <cell r="H427">
            <v>59.207999999999998</v>
          </cell>
          <cell r="I427">
            <v>145.916</v>
          </cell>
          <cell r="J427">
            <v>42.494525000000003</v>
          </cell>
          <cell r="K427">
            <v>26.085000000000001</v>
          </cell>
          <cell r="L427">
            <v>60.100999999999999</v>
          </cell>
          <cell r="M427">
            <v>213.28299999999999</v>
          </cell>
          <cell r="N427">
            <v>45.409689999999998</v>
          </cell>
          <cell r="O427">
            <v>15.414</v>
          </cell>
          <cell r="P427">
            <v>125.556</v>
          </cell>
          <cell r="Q427">
            <v>186.74</v>
          </cell>
          <cell r="R427">
            <v>35.048999999999999</v>
          </cell>
          <cell r="S427">
            <v>136.77799999999999</v>
          </cell>
          <cell r="T427">
            <v>57.9</v>
          </cell>
          <cell r="U427">
            <v>16.077313</v>
          </cell>
          <cell r="V427">
            <v>28.199946000000001</v>
          </cell>
          <cell r="W427">
            <v>52.961227999999998</v>
          </cell>
          <cell r="X427">
            <v>47.744526999999998</v>
          </cell>
          <cell r="Y427">
            <v>44.61</v>
          </cell>
          <cell r="Z427">
            <v>135.58958899999999</v>
          </cell>
          <cell r="AA427">
            <v>53.001061999999997</v>
          </cell>
          <cell r="AB427">
            <v>112.89100000000001</v>
          </cell>
          <cell r="AC427">
            <v>40.850999999999999</v>
          </cell>
          <cell r="AD427">
            <v>0</v>
          </cell>
          <cell r="AE427">
            <v>71.217195000000004</v>
          </cell>
          <cell r="AF427">
            <v>44.747</v>
          </cell>
          <cell r="AG427">
            <v>24.778272999999999</v>
          </cell>
          <cell r="AH427">
            <v>26.098680000000002</v>
          </cell>
          <cell r="AI427">
            <v>0</v>
          </cell>
          <cell r="AJ427">
            <v>31.284690000000001</v>
          </cell>
          <cell r="AK427">
            <v>57.9</v>
          </cell>
          <cell r="AL427">
            <v>301</v>
          </cell>
          <cell r="AM427">
            <v>73.771000000000001</v>
          </cell>
          <cell r="AN427">
            <v>12.315314000000001</v>
          </cell>
          <cell r="AO427">
            <v>0</v>
          </cell>
          <cell r="AP427">
            <v>0</v>
          </cell>
          <cell r="AQ427">
            <v>0</v>
          </cell>
          <cell r="AR427">
            <v>68.506</v>
          </cell>
          <cell r="AS427">
            <v>12.884701959999999</v>
          </cell>
          <cell r="AT427">
            <v>0</v>
          </cell>
          <cell r="AU427">
            <v>0</v>
          </cell>
          <cell r="AV427">
            <v>460</v>
          </cell>
          <cell r="AW427">
            <v>0</v>
          </cell>
          <cell r="AX427">
            <v>0</v>
          </cell>
          <cell r="AY427">
            <v>0</v>
          </cell>
          <cell r="AZ427">
            <v>0</v>
          </cell>
          <cell r="BA427">
            <v>0</v>
          </cell>
          <cell r="BB427">
            <v>0</v>
          </cell>
          <cell r="BC427">
            <v>0</v>
          </cell>
          <cell r="BD427">
            <v>0</v>
          </cell>
          <cell r="BE427">
            <v>0</v>
          </cell>
        </row>
        <row r="428">
          <cell r="H428">
            <v>59.207999999999998</v>
          </cell>
          <cell r="I428">
            <v>145.916</v>
          </cell>
          <cell r="J428">
            <v>42.494525000000003</v>
          </cell>
          <cell r="K428">
            <v>26.085000000000001</v>
          </cell>
          <cell r="L428">
            <v>60.100999999999999</v>
          </cell>
          <cell r="M428">
            <v>213.28299999999999</v>
          </cell>
          <cell r="N428">
            <v>45.409689999999998</v>
          </cell>
          <cell r="O428">
            <v>15.414</v>
          </cell>
          <cell r="P428">
            <v>125.556</v>
          </cell>
          <cell r="Q428">
            <v>186.74</v>
          </cell>
          <cell r="R428">
            <v>35.048999999999999</v>
          </cell>
          <cell r="S428">
            <v>136.77799999999999</v>
          </cell>
          <cell r="T428" t="e">
            <v>#VALUE!</v>
          </cell>
          <cell r="U428">
            <v>16.76418788240828</v>
          </cell>
          <cell r="V428">
            <v>28.199946000000001</v>
          </cell>
          <cell r="W428">
            <v>52.961227999999998</v>
          </cell>
          <cell r="X428">
            <v>47.744526999999998</v>
          </cell>
          <cell r="Y428">
            <v>45.028677578342901</v>
          </cell>
          <cell r="Z428" t="e">
            <v>#N/A</v>
          </cell>
          <cell r="AA428">
            <v>55.435392123796419</v>
          </cell>
          <cell r="AB428">
            <v>112.89100000000001</v>
          </cell>
          <cell r="AC428">
            <v>41.045068474576269</v>
          </cell>
          <cell r="AD428" t="e">
            <v>#N/A</v>
          </cell>
          <cell r="AE428">
            <v>71.217195000000004</v>
          </cell>
          <cell r="AF428">
            <v>44.747</v>
          </cell>
          <cell r="AG428">
            <v>28.247526424657533</v>
          </cell>
          <cell r="AH428">
            <v>27.428742262247841</v>
          </cell>
          <cell r="AI428">
            <v>0</v>
          </cell>
          <cell r="AJ428" t="e">
            <v>#VALUE!</v>
          </cell>
          <cell r="AK428">
            <v>57.9</v>
          </cell>
          <cell r="AL428">
            <v>301</v>
          </cell>
          <cell r="AM428">
            <v>75.042711751340619</v>
          </cell>
          <cell r="AN428">
            <v>12.315314000000001</v>
          </cell>
          <cell r="AO428" t="e">
            <v>#N/A</v>
          </cell>
          <cell r="AP428">
            <v>0</v>
          </cell>
          <cell r="AQ428" t="e">
            <v>#VALUE!</v>
          </cell>
          <cell r="AR428">
            <v>69.047731513411563</v>
          </cell>
          <cell r="AS428">
            <v>15.757437686027396</v>
          </cell>
          <cell r="AT428" t="e">
            <v>#N/A</v>
          </cell>
          <cell r="AU428">
            <v>0</v>
          </cell>
          <cell r="AV428">
            <v>460</v>
          </cell>
          <cell r="AW428" t="e">
            <v>#VALUE!</v>
          </cell>
          <cell r="AX428" t="e">
            <v>#VALUE!</v>
          </cell>
          <cell r="AY428" t="e">
            <v>#VALUE!</v>
          </cell>
          <cell r="AZ428" t="e">
            <v>#VALUE!</v>
          </cell>
          <cell r="BA428" t="e">
            <v>#VALUE!</v>
          </cell>
          <cell r="BB428" t="e">
            <v>#VALUE!</v>
          </cell>
          <cell r="BC428" t="e">
            <v>#VALUE!</v>
          </cell>
          <cell r="BD428" t="e">
            <v>#VALUE!</v>
          </cell>
          <cell r="BE428" t="e">
            <v>#VALUE!</v>
          </cell>
        </row>
        <row r="429">
          <cell r="H429">
            <v>59.207999999999998</v>
          </cell>
          <cell r="I429">
            <v>145.916</v>
          </cell>
          <cell r="J429">
            <v>42.494525000000003</v>
          </cell>
          <cell r="K429">
            <v>26.085000000000001</v>
          </cell>
          <cell r="L429">
            <v>60.100999999999999</v>
          </cell>
          <cell r="M429">
            <v>213.28299999999999</v>
          </cell>
          <cell r="N429">
            <v>45.409689999999998</v>
          </cell>
          <cell r="O429">
            <v>15.414</v>
          </cell>
          <cell r="P429">
            <v>125.556</v>
          </cell>
          <cell r="Q429">
            <v>186.74</v>
          </cell>
          <cell r="R429">
            <v>35.048999999999999</v>
          </cell>
          <cell r="S429">
            <v>136.77799999999999</v>
          </cell>
          <cell r="T429">
            <v>57.9</v>
          </cell>
          <cell r="U429">
            <v>16.077313</v>
          </cell>
          <cell r="V429">
            <v>28.199946000000001</v>
          </cell>
          <cell r="W429">
            <v>52.961227999999998</v>
          </cell>
          <cell r="X429">
            <v>47.744526999999998</v>
          </cell>
          <cell r="Y429">
            <v>44.61</v>
          </cell>
          <cell r="Z429">
            <v>135.58958899999999</v>
          </cell>
          <cell r="AA429">
            <v>53.001061999999997</v>
          </cell>
          <cell r="AB429">
            <v>112.89100000000001</v>
          </cell>
          <cell r="AC429">
            <v>40.850999999999999</v>
          </cell>
          <cell r="AD429">
            <v>0</v>
          </cell>
          <cell r="AE429">
            <v>71.217195000000004</v>
          </cell>
          <cell r="AF429">
            <v>44.747</v>
          </cell>
          <cell r="AG429">
            <v>24.778272999999999</v>
          </cell>
          <cell r="AH429">
            <v>26.098680000000002</v>
          </cell>
          <cell r="AI429">
            <v>0</v>
          </cell>
          <cell r="AJ429">
            <v>31.284690000000001</v>
          </cell>
          <cell r="AK429">
            <v>57.9</v>
          </cell>
          <cell r="AL429">
            <v>301</v>
          </cell>
          <cell r="AM429">
            <v>73.771000000000001</v>
          </cell>
          <cell r="AN429">
            <v>12.315314000000001</v>
          </cell>
          <cell r="AO429">
            <v>0</v>
          </cell>
          <cell r="AP429">
            <v>0</v>
          </cell>
          <cell r="AQ429">
            <v>0</v>
          </cell>
          <cell r="AR429">
            <v>68.506</v>
          </cell>
          <cell r="AS429">
            <v>12.884701959999999</v>
          </cell>
          <cell r="AT429">
            <v>0</v>
          </cell>
          <cell r="AU429">
            <v>0</v>
          </cell>
          <cell r="AV429">
            <v>460</v>
          </cell>
          <cell r="AW429">
            <v>0</v>
          </cell>
          <cell r="AX429">
            <v>0</v>
          </cell>
          <cell r="AY429">
            <v>0</v>
          </cell>
          <cell r="AZ429">
            <v>0</v>
          </cell>
          <cell r="BA429">
            <v>0</v>
          </cell>
          <cell r="BB429">
            <v>0</v>
          </cell>
          <cell r="BC429">
            <v>0</v>
          </cell>
          <cell r="BD429">
            <v>0</v>
          </cell>
          <cell r="BE429">
            <v>0</v>
          </cell>
        </row>
        <row r="431">
          <cell r="H431">
            <v>2043.2680799999998</v>
          </cell>
          <cell r="I431">
            <v>825.88455999999996</v>
          </cell>
          <cell r="J431">
            <v>1236.16573225</v>
          </cell>
          <cell r="K431">
            <v>1154.26125</v>
          </cell>
          <cell r="L431">
            <v>1084.82305</v>
          </cell>
          <cell r="M431">
            <v>4052.377</v>
          </cell>
          <cell r="N431">
            <v>1362.7447969</v>
          </cell>
          <cell r="O431">
            <v>189.12977999999998</v>
          </cell>
          <cell r="P431">
            <v>693.06911999999988</v>
          </cell>
          <cell r="Q431">
            <v>3236.2041999999997</v>
          </cell>
          <cell r="R431">
            <v>1173.4405199999999</v>
          </cell>
          <cell r="S431">
            <v>3285.4075599999996</v>
          </cell>
          <cell r="T431" t="e">
            <v>#VALUE!</v>
          </cell>
          <cell r="U431">
            <v>341.80367438000002</v>
          </cell>
          <cell r="V431">
            <v>1467.8071892999999</v>
          </cell>
          <cell r="W431">
            <v>1827.6919782799998</v>
          </cell>
          <cell r="X431">
            <v>1653.8704152799999</v>
          </cell>
          <cell r="Y431">
            <v>1087.5917999999999</v>
          </cell>
          <cell r="Z431" t="e">
            <v>#N/A</v>
          </cell>
          <cell r="AA431">
            <v>3853.1772074</v>
          </cell>
          <cell r="AB431">
            <v>8207.1757000000016</v>
          </cell>
          <cell r="AC431">
            <v>602.55224999999996</v>
          </cell>
          <cell r="AD431" t="e">
            <v>#N/A</v>
          </cell>
          <cell r="AE431">
            <v>558.34280880000006</v>
          </cell>
          <cell r="AF431">
            <v>2382.7777500000002</v>
          </cell>
          <cell r="AG431">
            <v>832.0544073399999</v>
          </cell>
          <cell r="AH431">
            <v>1358.4362940000001</v>
          </cell>
          <cell r="AI431">
            <v>0</v>
          </cell>
          <cell r="AJ431" t="e">
            <v>#VALUE!</v>
          </cell>
          <cell r="AK431">
            <v>1673.31</v>
          </cell>
          <cell r="AL431">
            <v>9574.81</v>
          </cell>
          <cell r="AM431">
            <v>3714.36985</v>
          </cell>
          <cell r="AN431">
            <v>61.453416860000004</v>
          </cell>
          <cell r="AO431" t="e">
            <v>#N/A</v>
          </cell>
          <cell r="AP431">
            <v>0</v>
          </cell>
          <cell r="AQ431" t="e">
            <v>#VALUE!</v>
          </cell>
          <cell r="AR431">
            <v>3269.1063199999999</v>
          </cell>
          <cell r="AS431">
            <v>432.66829181679998</v>
          </cell>
          <cell r="AT431" t="e">
            <v>#N/A</v>
          </cell>
          <cell r="AU431">
            <v>0</v>
          </cell>
          <cell r="AV431">
            <v>29757.399999999998</v>
          </cell>
          <cell r="AW431" t="e">
            <v>#VALUE!</v>
          </cell>
          <cell r="AX431" t="e">
            <v>#VALUE!</v>
          </cell>
          <cell r="AY431" t="e">
            <v>#VALUE!</v>
          </cell>
          <cell r="AZ431" t="e">
            <v>#VALUE!</v>
          </cell>
          <cell r="BA431" t="e">
            <v>#VALUE!</v>
          </cell>
          <cell r="BB431" t="e">
            <v>#VALUE!</v>
          </cell>
          <cell r="BC431" t="e">
            <v>#VALUE!</v>
          </cell>
          <cell r="BD431" t="e">
            <v>#VALUE!</v>
          </cell>
          <cell r="BE431" t="e">
            <v>#VALUE!</v>
          </cell>
        </row>
        <row r="432">
          <cell r="H432">
            <v>2043.2680799999998</v>
          </cell>
          <cell r="I432">
            <v>825.88455999999996</v>
          </cell>
          <cell r="J432">
            <v>1236.16573225</v>
          </cell>
          <cell r="K432">
            <v>1154.26125</v>
          </cell>
          <cell r="L432">
            <v>1084.82305</v>
          </cell>
          <cell r="M432">
            <v>4052.377</v>
          </cell>
          <cell r="N432">
            <v>1362.7447969</v>
          </cell>
          <cell r="O432">
            <v>189.12977999999998</v>
          </cell>
          <cell r="P432">
            <v>549.72611999999992</v>
          </cell>
          <cell r="Q432">
            <v>3236.2041999999997</v>
          </cell>
          <cell r="R432">
            <v>1173.4405199999999</v>
          </cell>
          <cell r="S432">
            <v>3285.4075599999996</v>
          </cell>
          <cell r="T432" t="e">
            <v>#VALUE!</v>
          </cell>
          <cell r="U432">
            <v>324.06467438000004</v>
          </cell>
          <cell r="V432">
            <v>1649.5821892999998</v>
          </cell>
          <cell r="W432">
            <v>1275.9429782799998</v>
          </cell>
          <cell r="X432">
            <v>1961.02941528</v>
          </cell>
          <cell r="Y432">
            <v>996.24379999999996</v>
          </cell>
          <cell r="Z432" t="e">
            <v>#N/A</v>
          </cell>
          <cell r="AA432">
            <v>4099.8132074000005</v>
          </cell>
          <cell r="AB432">
            <v>8982.2497000000003</v>
          </cell>
          <cell r="AC432">
            <v>843.87924999999996</v>
          </cell>
          <cell r="AD432" t="e">
            <v>#N/A</v>
          </cell>
          <cell r="AE432">
            <v>643.13680880000004</v>
          </cell>
          <cell r="AF432">
            <v>2546.1067500000004</v>
          </cell>
          <cell r="AG432">
            <v>1024.3234073399999</v>
          </cell>
          <cell r="AH432">
            <v>1358.4362940000001</v>
          </cell>
          <cell r="AI432" t="e">
            <v>#DIV/0!</v>
          </cell>
          <cell r="AJ432" t="e">
            <v>#VALUE!</v>
          </cell>
          <cell r="AK432">
            <v>2585.61</v>
          </cell>
          <cell r="AL432">
            <v>10516.11</v>
          </cell>
          <cell r="AM432">
            <v>4128.9500200000002</v>
          </cell>
          <cell r="AN432">
            <v>68.246416860000011</v>
          </cell>
          <cell r="AO432" t="e">
            <v>#N/A</v>
          </cell>
          <cell r="AP432" t="e">
            <v>#DIV/0!</v>
          </cell>
          <cell r="AQ432" t="e">
            <v>#VALUE!</v>
          </cell>
          <cell r="AR432">
            <v>3136.66932</v>
          </cell>
          <cell r="AS432">
            <v>624.93729181679998</v>
          </cell>
          <cell r="AT432" t="e">
            <v>#N/A</v>
          </cell>
          <cell r="AU432" t="e">
            <v>#DIV/0!</v>
          </cell>
          <cell r="AV432">
            <v>31751.616999999995</v>
          </cell>
          <cell r="AW432" t="e">
            <v>#VALUE!</v>
          </cell>
          <cell r="AX432" t="e">
            <v>#VALUE!</v>
          </cell>
          <cell r="AY432" t="e">
            <v>#VALUE!</v>
          </cell>
          <cell r="AZ432" t="e">
            <v>#VALUE!</v>
          </cell>
          <cell r="BA432" t="e">
            <v>#VALUE!</v>
          </cell>
          <cell r="BB432" t="e">
            <v>#VALUE!</v>
          </cell>
          <cell r="BC432" t="e">
            <v>#VALUE!</v>
          </cell>
          <cell r="BD432" t="e">
            <v>#VALUE!</v>
          </cell>
          <cell r="BE432" t="e">
            <v>#VALUE!</v>
          </cell>
        </row>
        <row r="438">
          <cell r="H438" t="str">
            <v xml:space="preserve">NA </v>
          </cell>
          <cell r="I438" t="str">
            <v xml:space="preserve">NA </v>
          </cell>
          <cell r="J438" t="str">
            <v xml:space="preserve">NA </v>
          </cell>
          <cell r="K438" t="str">
            <v xml:space="preserve">NA </v>
          </cell>
          <cell r="L438" t="str">
            <v xml:space="preserve">NA </v>
          </cell>
          <cell r="M438" t="str">
            <v xml:space="preserve">NA </v>
          </cell>
          <cell r="N438" t="str">
            <v xml:space="preserve">NA </v>
          </cell>
          <cell r="O438" t="str">
            <v xml:space="preserve">NA </v>
          </cell>
          <cell r="P438" t="str">
            <v xml:space="preserve">NA </v>
          </cell>
          <cell r="Q438" t="str">
            <v xml:space="preserve">NA </v>
          </cell>
          <cell r="R438" t="str">
            <v xml:space="preserve">NA </v>
          </cell>
          <cell r="S438" t="str">
            <v xml:space="preserve">NA </v>
          </cell>
          <cell r="T438" t="str">
            <v xml:space="preserve">NA </v>
          </cell>
          <cell r="U438">
            <v>4.0672809174657356</v>
          </cell>
          <cell r="V438">
            <v>1.9198869066628801</v>
          </cell>
          <cell r="W438">
            <v>2.0653545224220755</v>
          </cell>
          <cell r="X438">
            <v>3.0781380373985812</v>
          </cell>
          <cell r="Y438">
            <v>1.1029778650201332</v>
          </cell>
          <cell r="Z438" t="str">
            <v xml:space="preserve">NA </v>
          </cell>
          <cell r="AA438">
            <v>0.30746914124605967</v>
          </cell>
          <cell r="AB438">
            <v>0.23855536301210298</v>
          </cell>
          <cell r="AC438">
            <v>0.21878202640330252</v>
          </cell>
          <cell r="AD438" t="str">
            <v xml:space="preserve">NA </v>
          </cell>
          <cell r="AE438">
            <v>0.36168628550154597</v>
          </cell>
          <cell r="AF438">
            <v>0.97498153318416947</v>
          </cell>
          <cell r="AG438">
            <v>1.2664949780782553</v>
          </cell>
          <cell r="AH438">
            <v>10.645718739224472</v>
          </cell>
          <cell r="AI438" t="str">
            <v xml:space="preserve">NA </v>
          </cell>
          <cell r="AJ438" t="str">
            <v xml:space="preserve">NA </v>
          </cell>
          <cell r="AK438">
            <v>0.84232799061767027</v>
          </cell>
          <cell r="AL438">
            <v>0.29631859833414115</v>
          </cell>
          <cell r="AM438">
            <v>3.500750792532433</v>
          </cell>
          <cell r="AN438">
            <v>0.20774595782763944</v>
          </cell>
          <cell r="AO438" t="str">
            <v xml:space="preserve">NA </v>
          </cell>
          <cell r="AP438" t="str">
            <v xml:space="preserve">NA </v>
          </cell>
          <cell r="AQ438" t="str">
            <v xml:space="preserve">NA </v>
          </cell>
          <cell r="AR438">
            <v>2.2573842815658698</v>
          </cell>
          <cell r="AS438">
            <v>0.77268559522148017</v>
          </cell>
          <cell r="AT438" t="str">
            <v xml:space="preserve">NA </v>
          </cell>
          <cell r="AU438" t="str">
            <v xml:space="preserve">NA </v>
          </cell>
          <cell r="AV438">
            <v>0.72316420222959643</v>
          </cell>
          <cell r="AW438" t="str">
            <v xml:space="preserve">NA </v>
          </cell>
          <cell r="AX438" t="str">
            <v xml:space="preserve">NA </v>
          </cell>
          <cell r="AY438" t="str">
            <v xml:space="preserve">NA </v>
          </cell>
          <cell r="AZ438" t="str">
            <v xml:space="preserve">NA </v>
          </cell>
          <cell r="BA438" t="str">
            <v xml:space="preserve">NA </v>
          </cell>
          <cell r="BB438" t="str">
            <v xml:space="preserve">NA </v>
          </cell>
          <cell r="BC438" t="str">
            <v xml:space="preserve">NA </v>
          </cell>
          <cell r="BD438" t="str">
            <v xml:space="preserve">NA </v>
          </cell>
          <cell r="BE438" t="str">
            <v xml:space="preserve">NA </v>
          </cell>
        </row>
        <row r="439">
          <cell r="H439" t="str">
            <v xml:space="preserve">NA </v>
          </cell>
          <cell r="I439" t="str">
            <v xml:space="preserve">NA </v>
          </cell>
          <cell r="J439" t="str">
            <v xml:space="preserve">NA </v>
          </cell>
          <cell r="K439" t="str">
            <v xml:space="preserve">NA </v>
          </cell>
          <cell r="L439" t="str">
            <v xml:space="preserve">NA </v>
          </cell>
          <cell r="M439" t="str">
            <v xml:space="preserve">NA </v>
          </cell>
          <cell r="N439" t="str">
            <v xml:space="preserve">NA </v>
          </cell>
          <cell r="O439" t="str">
            <v xml:space="preserve">NA </v>
          </cell>
          <cell r="P439" t="str">
            <v xml:space="preserve">NA </v>
          </cell>
          <cell r="Q439" t="str">
            <v xml:space="preserve">NA </v>
          </cell>
          <cell r="R439" t="str">
            <v xml:space="preserve">NA </v>
          </cell>
          <cell r="S439" t="str">
            <v xml:space="preserve">NA </v>
          </cell>
          <cell r="T439" t="str">
            <v xml:space="preserve">NA </v>
          </cell>
          <cell r="U439">
            <v>380.35759903755888</v>
          </cell>
          <cell r="V439">
            <v>7.1204576777975364</v>
          </cell>
          <cell r="W439">
            <v>11.046555219387152</v>
          </cell>
          <cell r="X439">
            <v>15.882638821414108</v>
          </cell>
          <cell r="Y439">
            <v>20.971346174086936</v>
          </cell>
          <cell r="Z439" t="str">
            <v xml:space="preserve">NA </v>
          </cell>
          <cell r="AA439">
            <v>17.429325995961314</v>
          </cell>
          <cell r="AB439">
            <v>13.19043316342789</v>
          </cell>
          <cell r="AC439">
            <v>9.2015052719957247</v>
          </cell>
          <cell r="AD439" t="str">
            <v xml:space="preserve">NA </v>
          </cell>
          <cell r="AE439">
            <v>38.091495427623791</v>
          </cell>
          <cell r="AF439">
            <v>15.830354644764579</v>
          </cell>
          <cell r="AG439">
            <v>13.795973054358365</v>
          </cell>
          <cell r="AH439">
            <v>82.907311199267625</v>
          </cell>
          <cell r="AI439" t="str">
            <v xml:space="preserve">NA </v>
          </cell>
          <cell r="AJ439" t="str">
            <v xml:space="preserve">NA </v>
          </cell>
          <cell r="AK439">
            <v>11.380325704225353</v>
          </cell>
          <cell r="AL439">
            <v>14.626022253129348</v>
          </cell>
          <cell r="AM439">
            <v>18.821424592592592</v>
          </cell>
          <cell r="AN439">
            <v>-19.690252989036356</v>
          </cell>
          <cell r="AO439" t="str">
            <v xml:space="preserve">NA </v>
          </cell>
          <cell r="AP439" t="str">
            <v xml:space="preserve">NA </v>
          </cell>
          <cell r="AQ439" t="str">
            <v xml:space="preserve">NA </v>
          </cell>
          <cell r="AR439">
            <v>23.015467756526228</v>
          </cell>
          <cell r="AS439">
            <v>8.4168905804439174</v>
          </cell>
          <cell r="AT439" t="str">
            <v xml:space="preserve">NA </v>
          </cell>
          <cell r="AU439" t="str">
            <v xml:space="preserve">NA </v>
          </cell>
          <cell r="AV439">
            <v>16.486236121762435</v>
          </cell>
          <cell r="AW439" t="str">
            <v xml:space="preserve">NA </v>
          </cell>
          <cell r="AX439" t="str">
            <v xml:space="preserve">NA </v>
          </cell>
          <cell r="AY439" t="str">
            <v xml:space="preserve">NA </v>
          </cell>
          <cell r="AZ439" t="str">
            <v xml:space="preserve">NA </v>
          </cell>
          <cell r="BA439" t="str">
            <v xml:space="preserve">NA </v>
          </cell>
          <cell r="BB439" t="str">
            <v xml:space="preserve">NA </v>
          </cell>
          <cell r="BC439" t="str">
            <v xml:space="preserve">NA </v>
          </cell>
          <cell r="BD439" t="str">
            <v xml:space="preserve">NA </v>
          </cell>
          <cell r="BE439" t="str">
            <v xml:space="preserve">NA </v>
          </cell>
        </row>
        <row r="440">
          <cell r="H440" t="str">
            <v xml:space="preserve">NA </v>
          </cell>
          <cell r="I440" t="str">
            <v xml:space="preserve">NA </v>
          </cell>
          <cell r="J440" t="str">
            <v xml:space="preserve">NA </v>
          </cell>
          <cell r="K440" t="str">
            <v xml:space="preserve">NA </v>
          </cell>
          <cell r="L440" t="str">
            <v xml:space="preserve">NA </v>
          </cell>
          <cell r="M440" t="str">
            <v xml:space="preserve">NA </v>
          </cell>
          <cell r="N440" t="str">
            <v xml:space="preserve">NA </v>
          </cell>
          <cell r="O440" t="str">
            <v xml:space="preserve">NA </v>
          </cell>
          <cell r="P440" t="str">
            <v xml:space="preserve">NA </v>
          </cell>
          <cell r="Q440" t="str">
            <v xml:space="preserve">NA </v>
          </cell>
          <cell r="R440" t="str">
            <v xml:space="preserve">NA </v>
          </cell>
          <cell r="S440" t="str">
            <v xml:space="preserve">NA </v>
          </cell>
          <cell r="T440" t="str">
            <v xml:space="preserve">NA </v>
          </cell>
          <cell r="U440">
            <v>44.624714180666494</v>
          </cell>
          <cell r="V440">
            <v>6.3022490947296026</v>
          </cell>
          <cell r="W440">
            <v>9.2891303898531135</v>
          </cell>
          <cell r="X440">
            <v>12.56868716731293</v>
          </cell>
          <cell r="Y440">
            <v>19.478049543472732</v>
          </cell>
          <cell r="Z440" t="str">
            <v xml:space="preserve">NA </v>
          </cell>
          <cell r="AA440">
            <v>16.227565189890953</v>
          </cell>
          <cell r="AB440">
            <v>12.060742046670633</v>
          </cell>
          <cell r="AC440">
            <v>7.409664234473917</v>
          </cell>
          <cell r="AD440" t="str">
            <v xml:space="preserve">NA </v>
          </cell>
          <cell r="AE440">
            <v>16.719617553163832</v>
          </cell>
          <cell r="AF440">
            <v>13.590906058001806</v>
          </cell>
          <cell r="AG440">
            <v>8.8145687675547286</v>
          </cell>
          <cell r="AH440">
            <v>81.01361486164123</v>
          </cell>
          <cell r="AI440" t="str">
            <v xml:space="preserve">NA </v>
          </cell>
          <cell r="AJ440" t="str">
            <v xml:space="preserve">NA </v>
          </cell>
          <cell r="AK440">
            <v>8.4002923976608201</v>
          </cell>
          <cell r="AL440">
            <v>11.177838010204082</v>
          </cell>
          <cell r="AM440">
            <v>14.201129569248973</v>
          </cell>
          <cell r="AN440">
            <v>109.89761169082135</v>
          </cell>
          <cell r="AO440" t="str">
            <v xml:space="preserve">NA </v>
          </cell>
          <cell r="AP440" t="str">
            <v xml:space="preserve">NA </v>
          </cell>
          <cell r="AQ440" t="str">
            <v xml:space="preserve">NA </v>
          </cell>
          <cell r="AR440">
            <v>21.298080332987801</v>
          </cell>
          <cell r="AS440">
            <v>5.3777475889508457</v>
          </cell>
          <cell r="AT440" t="str">
            <v xml:space="preserve">NA </v>
          </cell>
          <cell r="AU440" t="str">
            <v xml:space="preserve">NA </v>
          </cell>
          <cell r="AV440">
            <v>14.043814026025952</v>
          </cell>
          <cell r="AW440" t="str">
            <v xml:space="preserve">NA </v>
          </cell>
          <cell r="AX440" t="str">
            <v xml:space="preserve">NA </v>
          </cell>
          <cell r="AY440" t="str">
            <v xml:space="preserve">NA </v>
          </cell>
          <cell r="AZ440" t="str">
            <v xml:space="preserve">NA </v>
          </cell>
          <cell r="BA440" t="str">
            <v xml:space="preserve">NA </v>
          </cell>
          <cell r="BB440" t="str">
            <v xml:space="preserve">NA </v>
          </cell>
          <cell r="BC440" t="str">
            <v xml:space="preserve">NA </v>
          </cell>
          <cell r="BD440" t="str">
            <v xml:space="preserve">NA </v>
          </cell>
          <cell r="BE440" t="str">
            <v xml:space="preserve">NA </v>
          </cell>
        </row>
        <row r="441">
          <cell r="H441" t="str">
            <v xml:space="preserve">NA </v>
          </cell>
          <cell r="I441" t="str">
            <v xml:space="preserve">NA </v>
          </cell>
          <cell r="J441">
            <v>2472.3314645</v>
          </cell>
          <cell r="K441" t="str">
            <v xml:space="preserve">NA </v>
          </cell>
          <cell r="L441" t="str">
            <v xml:space="preserve">NA </v>
          </cell>
          <cell r="M441">
            <v>8104.7539999999999</v>
          </cell>
          <cell r="N441" t="str">
            <v xml:space="preserve">NA </v>
          </cell>
          <cell r="O441" t="str">
            <v xml:space="preserve">NA </v>
          </cell>
          <cell r="P441" t="str">
            <v xml:space="preserve">NA </v>
          </cell>
          <cell r="Q441" t="str">
            <v xml:space="preserve">NA </v>
          </cell>
          <cell r="R441">
            <v>6.0576396463831701</v>
          </cell>
          <cell r="S441" t="str">
            <v xml:space="preserve">NA </v>
          </cell>
          <cell r="T441" t="str">
            <v xml:space="preserve">NA </v>
          </cell>
          <cell r="U441">
            <v>4.5547326649706958</v>
          </cell>
          <cell r="V441">
            <v>3.835310039664825</v>
          </cell>
          <cell r="W441" t="str">
            <v xml:space="preserve">NA </v>
          </cell>
          <cell r="X441">
            <v>3.2780471344346918</v>
          </cell>
          <cell r="Y441">
            <v>1.23738548290938</v>
          </cell>
          <cell r="Z441" t="str">
            <v xml:space="preserve">NA </v>
          </cell>
          <cell r="AA441" t="str">
            <v xml:space="preserve">NA </v>
          </cell>
          <cell r="AB441">
            <v>0.24924085419086975</v>
          </cell>
          <cell r="AC441">
            <v>0.22120067554496808</v>
          </cell>
          <cell r="AD441" t="str">
            <v xml:space="preserve">NA </v>
          </cell>
          <cell r="AE441">
            <v>0.47765404319064442</v>
          </cell>
          <cell r="AF441">
            <v>0.99525602141782488</v>
          </cell>
          <cell r="AG441">
            <v>1.322188728466358</v>
          </cell>
          <cell r="AH441">
            <v>3.1583902823503154</v>
          </cell>
          <cell r="AI441" t="str">
            <v xml:space="preserve">NA </v>
          </cell>
          <cell r="AJ441" t="str">
            <v xml:space="preserve">NA </v>
          </cell>
          <cell r="AK441">
            <v>0.89778125000000009</v>
          </cell>
          <cell r="AL441">
            <v>0.44824939046222573</v>
          </cell>
          <cell r="AM441">
            <v>3.500750792532433</v>
          </cell>
          <cell r="AN441">
            <v>0.4566123064982856</v>
          </cell>
          <cell r="AO441" t="str">
            <v xml:space="preserve">NA </v>
          </cell>
          <cell r="AP441" t="str">
            <v xml:space="preserve">NA </v>
          </cell>
          <cell r="AQ441" t="str">
            <v xml:space="preserve">NA </v>
          </cell>
          <cell r="AR441">
            <v>3.600941050234042</v>
          </cell>
          <cell r="AS441">
            <v>0.80666422080912026</v>
          </cell>
          <cell r="AT441" t="str">
            <v xml:space="preserve">NA </v>
          </cell>
          <cell r="AU441" t="str">
            <v xml:space="preserve">NA </v>
          </cell>
          <cell r="AV441">
            <v>1.605833557127085</v>
          </cell>
          <cell r="AW441" t="str">
            <v xml:space="preserve">NA </v>
          </cell>
          <cell r="AX441" t="str">
            <v xml:space="preserve">NA </v>
          </cell>
          <cell r="AY441" t="str">
            <v xml:space="preserve">NA </v>
          </cell>
          <cell r="AZ441" t="str">
            <v xml:space="preserve">NA </v>
          </cell>
          <cell r="BA441" t="str">
            <v xml:space="preserve">NA </v>
          </cell>
          <cell r="BB441" t="str">
            <v xml:space="preserve">NA </v>
          </cell>
          <cell r="BC441" t="str">
            <v xml:space="preserve">NA </v>
          </cell>
          <cell r="BD441" t="str">
            <v xml:space="preserve">NA </v>
          </cell>
          <cell r="BE441" t="str">
            <v xml:space="preserve">NA </v>
          </cell>
        </row>
        <row r="442">
          <cell r="H442">
            <v>3.1343947868185542</v>
          </cell>
          <cell r="I442">
            <v>2.7735281119238078</v>
          </cell>
          <cell r="J442">
            <v>16.659017468734838</v>
          </cell>
          <cell r="K442">
            <v>1.333173076923077</v>
          </cell>
          <cell r="L442">
            <v>3.7851070993674174</v>
          </cell>
          <cell r="M442">
            <v>4.6941085846007713</v>
          </cell>
          <cell r="N442">
            <v>1.1558283972282064</v>
          </cell>
          <cell r="O442">
            <v>1.813324832214765</v>
          </cell>
          <cell r="P442">
            <v>0.42344604150298093</v>
          </cell>
          <cell r="Q442">
            <v>1.5742589872063044</v>
          </cell>
          <cell r="R442">
            <v>1.4800517382187395</v>
          </cell>
          <cell r="S442">
            <v>3.6413050769123343</v>
          </cell>
          <cell r="T442" t="str">
            <v xml:space="preserve">NA </v>
          </cell>
          <cell r="U442">
            <v>3.0833936667935307</v>
          </cell>
          <cell r="V442">
            <v>1.4088516994200893</v>
          </cell>
          <cell r="W442">
            <v>1.9573099871449915</v>
          </cell>
          <cell r="X442">
            <v>2.7744199982739715</v>
          </cell>
          <cell r="Y442">
            <v>0.84301631209694683</v>
          </cell>
          <cell r="Z442" t="str">
            <v xml:space="preserve">NA </v>
          </cell>
          <cell r="AA442">
            <v>9.8123827798239124E-2</v>
          </cell>
          <cell r="AB442">
            <v>0.21497875103498429</v>
          </cell>
          <cell r="AC442">
            <v>0.21055486150668568</v>
          </cell>
          <cell r="AD442" t="str">
            <v xml:space="preserve">NA </v>
          </cell>
          <cell r="AE442">
            <v>0.34332756106981177</v>
          </cell>
          <cell r="AF442">
            <v>0.90750882164242963</v>
          </cell>
          <cell r="AG442">
            <v>1.0995313518033489</v>
          </cell>
          <cell r="AH442">
            <v>1.1601939532142767</v>
          </cell>
          <cell r="AI442" t="str">
            <v xml:space="preserve">NA </v>
          </cell>
          <cell r="AJ442" t="str">
            <v xml:space="preserve">NA </v>
          </cell>
          <cell r="AK442">
            <v>0.80721104915801378</v>
          </cell>
          <cell r="AL442">
            <v>0.26756786257597787</v>
          </cell>
          <cell r="AM442">
            <v>3.3825830663990497</v>
          </cell>
          <cell r="AN442">
            <v>0.18620920060899745</v>
          </cell>
          <cell r="AO442" t="str">
            <v xml:space="preserve">NA </v>
          </cell>
          <cell r="AP442" t="str">
            <v xml:space="preserve">NA </v>
          </cell>
          <cell r="AQ442" t="str">
            <v xml:space="preserve">NA </v>
          </cell>
          <cell r="AR442">
            <v>2.05007761530642</v>
          </cell>
          <cell r="AS442">
            <v>0.67082148112580509</v>
          </cell>
          <cell r="AT442" t="str">
            <v xml:space="preserve">NA </v>
          </cell>
          <cell r="AU442" t="str">
            <v xml:space="preserve">NA </v>
          </cell>
          <cell r="AV442">
            <v>0.70029338041417755</v>
          </cell>
          <cell r="AW442" t="str">
            <v xml:space="preserve">NA </v>
          </cell>
          <cell r="AX442" t="str">
            <v xml:space="preserve">NA </v>
          </cell>
          <cell r="AY442" t="str">
            <v xml:space="preserve">NA </v>
          </cell>
          <cell r="AZ442" t="str">
            <v xml:space="preserve">NA </v>
          </cell>
          <cell r="BA442" t="str">
            <v xml:space="preserve">NA </v>
          </cell>
          <cell r="BB442" t="str">
            <v xml:space="preserve">NA </v>
          </cell>
          <cell r="BC442" t="str">
            <v xml:space="preserve">NA </v>
          </cell>
          <cell r="BD442" t="str">
            <v xml:space="preserve">NA </v>
          </cell>
          <cell r="BE442" t="str">
            <v xml:space="preserve">NA </v>
          </cell>
        </row>
        <row r="443">
          <cell r="H443">
            <v>2.7616097139682894</v>
          </cell>
          <cell r="I443">
            <v>2.3841933025404156</v>
          </cell>
          <cell r="J443">
            <v>7.7646650351121824</v>
          </cell>
          <cell r="K443">
            <v>1.2318689967982925</v>
          </cell>
          <cell r="L443">
            <v>3.1328458099655183</v>
          </cell>
          <cell r="M443">
            <v>2.2405348696414205</v>
          </cell>
          <cell r="N443">
            <v>1.0977041337951587</v>
          </cell>
          <cell r="O443">
            <v>1.5420283734203015</v>
          </cell>
          <cell r="P443">
            <v>0.39355826490360174</v>
          </cell>
          <cell r="Q443">
            <v>1.4761146334120907</v>
          </cell>
          <cell r="R443">
            <v>1.3306144408592069</v>
          </cell>
          <cell r="S443">
            <v>3.2977179410740289</v>
          </cell>
          <cell r="T443" t="str">
            <v xml:space="preserve">NA </v>
          </cell>
          <cell r="U443">
            <v>2.4568966973464748</v>
          </cell>
          <cell r="V443">
            <v>0.99069572520628946</v>
          </cell>
          <cell r="W443">
            <v>1.7245199285292401</v>
          </cell>
          <cell r="X443">
            <v>2.4873723230770399</v>
          </cell>
          <cell r="Y443">
            <v>0.68130600934446495</v>
          </cell>
          <cell r="Z443" t="str">
            <v xml:space="preserve">NA </v>
          </cell>
          <cell r="AA443">
            <v>8.6263735454101167E-2</v>
          </cell>
          <cell r="AB443">
            <v>0.18899456455843397</v>
          </cell>
          <cell r="AC443">
            <v>0.20248323395678622</v>
          </cell>
          <cell r="AD443" t="str">
            <v xml:space="preserve">NA </v>
          </cell>
          <cell r="AE443">
            <v>0.26062876935731583</v>
          </cell>
          <cell r="AF443">
            <v>0.8487022500000001</v>
          </cell>
          <cell r="AG443">
            <v>0.95494654112711497</v>
          </cell>
          <cell r="AH443">
            <v>0.81584114945006969</v>
          </cell>
          <cell r="AI443" t="str">
            <v xml:space="preserve">NA </v>
          </cell>
          <cell r="AJ443" t="str">
            <v xml:space="preserve">NA </v>
          </cell>
          <cell r="AK443">
            <v>0.76108575574763826</v>
          </cell>
          <cell r="AL443">
            <v>0.22773570309387392</v>
          </cell>
          <cell r="AM443">
            <v>3.1526884993051629</v>
          </cell>
          <cell r="AN443">
            <v>0.11883211009059297</v>
          </cell>
          <cell r="AO443" t="str">
            <v xml:space="preserve">NA </v>
          </cell>
          <cell r="AP443" t="str">
            <v xml:space="preserve">NA </v>
          </cell>
          <cell r="AQ443" t="str">
            <v xml:space="preserve">NA </v>
          </cell>
          <cell r="AR443">
            <v>1.7781891322690033</v>
          </cell>
          <cell r="AS443">
            <v>0.58261062957796106</v>
          </cell>
          <cell r="AT443" t="str">
            <v xml:space="preserve">NA </v>
          </cell>
          <cell r="AU443" t="str">
            <v xml:space="preserve">NA </v>
          </cell>
          <cell r="AV443">
            <v>0.58066204903829877</v>
          </cell>
          <cell r="AW443" t="str">
            <v xml:space="preserve">NA </v>
          </cell>
          <cell r="AX443" t="str">
            <v xml:space="preserve">NA </v>
          </cell>
          <cell r="AY443" t="str">
            <v xml:space="preserve">NA </v>
          </cell>
          <cell r="AZ443" t="str">
            <v xml:space="preserve">NA </v>
          </cell>
          <cell r="BA443" t="str">
            <v xml:space="preserve">NA </v>
          </cell>
          <cell r="BB443" t="str">
            <v xml:space="preserve">NA </v>
          </cell>
          <cell r="BC443" t="str">
            <v xml:space="preserve">NA </v>
          </cell>
          <cell r="BD443" t="str">
            <v xml:space="preserve">NA </v>
          </cell>
          <cell r="BE443" t="str">
            <v xml:space="preserve">NA </v>
          </cell>
        </row>
        <row r="444">
          <cell r="H444">
            <v>2.325370254267674</v>
          </cell>
          <cell r="I444">
            <v>1.9758003827751196</v>
          </cell>
          <cell r="J444">
            <v>6.6204426010673769</v>
          </cell>
          <cell r="K444">
            <v>1.0439567769477054</v>
          </cell>
          <cell r="L444">
            <v>2.6590950983780552</v>
          </cell>
          <cell r="M444">
            <v>1.9804697034774217</v>
          </cell>
          <cell r="N444">
            <v>1.0301971552010887</v>
          </cell>
          <cell r="O444">
            <v>1.2598271024675665</v>
          </cell>
          <cell r="P444">
            <v>0.34000714030548751</v>
          </cell>
          <cell r="Q444">
            <v>1.2670511874781893</v>
          </cell>
          <cell r="R444">
            <v>1.3306144408592069</v>
          </cell>
          <cell r="S444">
            <v>2.7894755042074344</v>
          </cell>
          <cell r="T444" t="str">
            <v xml:space="preserve">NA </v>
          </cell>
          <cell r="U444">
            <v>1.9853710685628081</v>
          </cell>
          <cell r="V444">
            <v>0.78676074367053062</v>
          </cell>
          <cell r="W444">
            <v>1.452105025706669</v>
          </cell>
          <cell r="X444">
            <v>2.1504040140719631</v>
          </cell>
          <cell r="Y444">
            <v>0.5417078868923153</v>
          </cell>
          <cell r="Z444" t="str">
            <v xml:space="preserve">NA </v>
          </cell>
          <cell r="AA444" t="str">
            <v xml:space="preserve">NA </v>
          </cell>
          <cell r="AB444" t="str">
            <v xml:space="preserve">NA </v>
          </cell>
          <cell r="AC444">
            <v>0.17918870261662501</v>
          </cell>
          <cell r="AD444" t="str">
            <v xml:space="preserve">NA </v>
          </cell>
          <cell r="AE444">
            <v>0.26062876935731583</v>
          </cell>
          <cell r="AF444">
            <v>0.73800195652173928</v>
          </cell>
          <cell r="AG444">
            <v>0.78512418081650492</v>
          </cell>
          <cell r="AH444">
            <v>0.64790002937047342</v>
          </cell>
          <cell r="AI444" t="str">
            <v xml:space="preserve">NA </v>
          </cell>
          <cell r="AJ444" t="str">
            <v xml:space="preserve">NA </v>
          </cell>
          <cell r="AK444">
            <v>0.65707135953348716</v>
          </cell>
          <cell r="AL444">
            <v>0.2020964209503727</v>
          </cell>
          <cell r="AM444">
            <v>2.8290456741790768</v>
          </cell>
          <cell r="AN444">
            <v>0.11883211009059297</v>
          </cell>
          <cell r="AO444" t="str">
            <v xml:space="preserve">NA </v>
          </cell>
          <cell r="AP444" t="str">
            <v xml:space="preserve">NA </v>
          </cell>
          <cell r="AQ444" t="str">
            <v xml:space="preserve">NA </v>
          </cell>
          <cell r="AR444">
            <v>1.5285118158535038</v>
          </cell>
          <cell r="AS444">
            <v>0.47900240859817567</v>
          </cell>
          <cell r="AT444" t="str">
            <v xml:space="preserve">NA </v>
          </cell>
          <cell r="AU444" t="str">
            <v xml:space="preserve">NA </v>
          </cell>
          <cell r="AV444">
            <v>0.50993572406863974</v>
          </cell>
          <cell r="AW444" t="str">
            <v xml:space="preserve">NA </v>
          </cell>
          <cell r="AX444" t="str">
            <v xml:space="preserve">NA </v>
          </cell>
          <cell r="AY444" t="str">
            <v xml:space="preserve">NA </v>
          </cell>
          <cell r="AZ444" t="str">
            <v xml:space="preserve">NA </v>
          </cell>
          <cell r="BA444" t="str">
            <v xml:space="preserve">NA </v>
          </cell>
          <cell r="BB444" t="str">
            <v xml:space="preserve">NA </v>
          </cell>
          <cell r="BC444" t="str">
            <v xml:space="preserve">NA </v>
          </cell>
          <cell r="BD444" t="str">
            <v xml:space="preserve">NA </v>
          </cell>
          <cell r="BE444" t="str">
            <v xml:space="preserve">NA </v>
          </cell>
        </row>
        <row r="453">
          <cell r="H453" t="str">
            <v>NA</v>
          </cell>
          <cell r="I453" t="str">
            <v>NA</v>
          </cell>
          <cell r="J453" t="str">
            <v>NA</v>
          </cell>
          <cell r="K453" t="str">
            <v>NA</v>
          </cell>
          <cell r="L453" t="str">
            <v>NA</v>
          </cell>
          <cell r="M453" t="str">
            <v>NA</v>
          </cell>
          <cell r="N453" t="str">
            <v>NA</v>
          </cell>
          <cell r="O453" t="str">
            <v>NA</v>
          </cell>
          <cell r="P453" t="str">
            <v>NA</v>
          </cell>
          <cell r="Q453" t="str">
            <v>NA</v>
          </cell>
          <cell r="R453" t="str">
            <v>NA</v>
          </cell>
          <cell r="S453" t="str">
            <v>NA</v>
          </cell>
          <cell r="T453" t="str">
            <v>NA</v>
          </cell>
          <cell r="U453">
            <v>-1979.8164170195391</v>
          </cell>
          <cell r="V453">
            <v>40.291767243951924</v>
          </cell>
          <cell r="W453">
            <v>23.993849493768213</v>
          </cell>
          <cell r="X453">
            <v>17.585320079918652</v>
          </cell>
          <cell r="Y453">
            <v>33.174915801349037</v>
          </cell>
          <cell r="Z453" t="str">
            <v>NA</v>
          </cell>
          <cell r="AA453">
            <v>75.247732829504116</v>
          </cell>
          <cell r="AB453">
            <v>26.349617831207272</v>
          </cell>
          <cell r="AC453">
            <v>16.703121415305308</v>
          </cell>
          <cell r="AD453" t="str">
            <v>NA</v>
          </cell>
          <cell r="AE453">
            <v>52.216996413843695</v>
          </cell>
          <cell r="AF453">
            <v>23.646249770215494</v>
          </cell>
          <cell r="AG453">
            <v>24.009089690505899</v>
          </cell>
          <cell r="AH453" t="str">
            <v>NA</v>
          </cell>
          <cell r="AI453" t="str">
            <v>NA</v>
          </cell>
          <cell r="AJ453" t="str">
            <v>NA</v>
          </cell>
          <cell r="AK453">
            <v>18.933171398463799</v>
          </cell>
          <cell r="AL453">
            <v>24.160690875182929</v>
          </cell>
          <cell r="AM453">
            <v>24.801378091872788</v>
          </cell>
          <cell r="AN453">
            <v>-19.550976779420537</v>
          </cell>
          <cell r="AO453" t="str">
            <v>NA</v>
          </cell>
          <cell r="AP453" t="str">
            <v>NA</v>
          </cell>
          <cell r="AQ453" t="str">
            <v>NA</v>
          </cell>
          <cell r="AR453">
            <v>40.819726474688231</v>
          </cell>
          <cell r="AS453" t="str">
            <v>NA</v>
          </cell>
          <cell r="AT453" t="str">
            <v>NA</v>
          </cell>
          <cell r="AU453" t="str">
            <v>NA</v>
          </cell>
          <cell r="AV453">
            <v>22.897173451607394</v>
          </cell>
          <cell r="AW453" t="str">
            <v>NA</v>
          </cell>
          <cell r="AX453" t="str">
            <v>NA</v>
          </cell>
          <cell r="AY453" t="str">
            <v>NA</v>
          </cell>
          <cell r="AZ453" t="str">
            <v>NA</v>
          </cell>
          <cell r="BA453" t="str">
            <v>NA</v>
          </cell>
          <cell r="BB453" t="str">
            <v>NA</v>
          </cell>
          <cell r="BC453" t="str">
            <v>NA</v>
          </cell>
          <cell r="BD453" t="str">
            <v>NA</v>
          </cell>
          <cell r="BE453" t="str">
            <v>NA</v>
          </cell>
        </row>
        <row r="454">
          <cell r="H454" t="e">
            <v>#DIV/0!</v>
          </cell>
          <cell r="I454" t="e">
            <v>#DIV/0!</v>
          </cell>
          <cell r="J454" t="e">
            <v>#DIV/0!</v>
          </cell>
          <cell r="K454" t="e">
            <v>#DIV/0!</v>
          </cell>
          <cell r="L454" t="e">
            <v>#DIV/0!</v>
          </cell>
          <cell r="M454" t="e">
            <v>#DIV/0!</v>
          </cell>
          <cell r="N454" t="e">
            <v>#DIV/0!</v>
          </cell>
          <cell r="O454" t="e">
            <v>#DIV/0!</v>
          </cell>
          <cell r="P454" t="e">
            <v>#DIV/0!</v>
          </cell>
          <cell r="Q454" t="e">
            <v>#DIV/0!</v>
          </cell>
          <cell r="R454" t="e">
            <v>#DIV/0!</v>
          </cell>
          <cell r="S454" t="e">
            <v>#DIV/0!</v>
          </cell>
          <cell r="T454" t="e">
            <v>#VALUE!</v>
          </cell>
          <cell r="U454">
            <v>3.7327851911148002</v>
          </cell>
          <cell r="V454">
            <v>3.1160062101160375</v>
          </cell>
          <cell r="W454">
            <v>1.0730879483187019</v>
          </cell>
          <cell r="X454">
            <v>4.4056452492554561</v>
          </cell>
          <cell r="Y454">
            <v>4.0101020231331086</v>
          </cell>
          <cell r="Z454" t="e">
            <v>#N/A</v>
          </cell>
          <cell r="AA454">
            <v>9.5630134824098771</v>
          </cell>
          <cell r="AB454">
            <v>2.6911190382349108</v>
          </cell>
          <cell r="AC454">
            <v>2.4448376809124435</v>
          </cell>
          <cell r="AD454" t="e">
            <v>#N/A</v>
          </cell>
          <cell r="AE454">
            <v>1.7191521864165678</v>
          </cell>
          <cell r="AF454">
            <v>3.3682408029119699</v>
          </cell>
          <cell r="AG454">
            <v>3.3893341018851935</v>
          </cell>
          <cell r="AH454" t="e">
            <v>#DIV/0!</v>
          </cell>
          <cell r="AI454" t="e">
            <v>#DIV/0!</v>
          </cell>
          <cell r="AJ454" t="e">
            <v>#VALUE!</v>
          </cell>
          <cell r="AK454">
            <v>36.857048458149777</v>
          </cell>
          <cell r="AL454">
            <v>2.5309428775342973</v>
          </cell>
          <cell r="AM454">
            <v>4.6108029417767327</v>
          </cell>
          <cell r="AN454">
            <v>0.81389864061982664</v>
          </cell>
          <cell r="AO454" t="e">
            <v>#N/A</v>
          </cell>
          <cell r="AP454" t="e">
            <v>#DIV/0!</v>
          </cell>
          <cell r="AQ454" t="e">
            <v>#VALUE!</v>
          </cell>
          <cell r="AR454">
            <v>6.0173175306424085</v>
          </cell>
          <cell r="AS454">
            <v>1.7624537329803007</v>
          </cell>
          <cell r="AT454" t="e">
            <v>#N/A</v>
          </cell>
          <cell r="AU454">
            <v>0</v>
          </cell>
          <cell r="AV454">
            <v>4.7926236108874214</v>
          </cell>
          <cell r="AW454" t="e">
            <v>#VALUE!</v>
          </cell>
          <cell r="AX454" t="e">
            <v>#VALUE!</v>
          </cell>
          <cell r="AY454" t="e">
            <v>#VALUE!</v>
          </cell>
          <cell r="AZ454" t="e">
            <v>#VALUE!</v>
          </cell>
          <cell r="BA454" t="e">
            <v>#VALUE!</v>
          </cell>
          <cell r="BB454" t="e">
            <v>#VALUE!</v>
          </cell>
          <cell r="BC454" t="e">
            <v>#VALUE!</v>
          </cell>
          <cell r="BD454" t="e">
            <v>#VALUE!</v>
          </cell>
          <cell r="BE454" t="e">
            <v>#VALUE!</v>
          </cell>
        </row>
        <row r="455">
          <cell r="H455" t="e">
            <v>#DIV/0!</v>
          </cell>
          <cell r="I455" t="e">
            <v>#DIV/0!</v>
          </cell>
          <cell r="J455" t="e">
            <v>#DIV/0!</v>
          </cell>
          <cell r="K455" t="e">
            <v>#DIV/0!</v>
          </cell>
          <cell r="L455" t="e">
            <v>#DIV/0!</v>
          </cell>
          <cell r="M455" t="e">
            <v>#DIV/0!</v>
          </cell>
          <cell r="N455" t="e">
            <v>#DIV/0!</v>
          </cell>
          <cell r="O455" t="e">
            <v>#DIV/0!</v>
          </cell>
          <cell r="P455" t="e">
            <v>#DIV/0!</v>
          </cell>
          <cell r="Q455" t="e">
            <v>#DIV/0!</v>
          </cell>
          <cell r="R455" t="e">
            <v>#DIV/0!</v>
          </cell>
          <cell r="S455" t="e">
            <v>#DIV/0!</v>
          </cell>
          <cell r="T455" t="e">
            <v>#VALUE!</v>
          </cell>
          <cell r="U455">
            <v>4.2254845950723823</v>
          </cell>
          <cell r="V455">
            <v>3.1160062101160375</v>
          </cell>
          <cell r="W455">
            <v>2.880545911756593</v>
          </cell>
          <cell r="X455">
            <v>4.7641926315728824</v>
          </cell>
          <cell r="Y455">
            <v>5.795852917665866</v>
          </cell>
          <cell r="Z455" t="e">
            <v>#N/A</v>
          </cell>
          <cell r="AA455">
            <v>6.2438155483788389</v>
          </cell>
          <cell r="AB455">
            <v>6.7073734579378161</v>
          </cell>
          <cell r="AC455">
            <v>3.3450037471896077</v>
          </cell>
          <cell r="AD455" t="e">
            <v>#N/A</v>
          </cell>
          <cell r="AE455">
            <v>2.2545095164260105</v>
          </cell>
          <cell r="AF455">
            <v>5.7510704312377667</v>
          </cell>
          <cell r="AG455">
            <v>8.1309307678927407</v>
          </cell>
          <cell r="AH455" t="e">
            <v>#DIV/0!</v>
          </cell>
          <cell r="AI455" t="e">
            <v>#DIV/0!</v>
          </cell>
          <cell r="AJ455" t="e">
            <v>#VALUE!</v>
          </cell>
          <cell r="AK455">
            <v>36.857048458149777</v>
          </cell>
          <cell r="AL455">
            <v>3.1863988818263507</v>
          </cell>
          <cell r="AM455">
            <v>5.4786007530659226</v>
          </cell>
          <cell r="AN455">
            <v>1.3574265961300587</v>
          </cell>
          <cell r="AO455" t="e">
            <v>#N/A</v>
          </cell>
          <cell r="AP455" t="e">
            <v>#DIV/0!</v>
          </cell>
          <cell r="AQ455" t="e">
            <v>#VALUE!</v>
          </cell>
          <cell r="AR455">
            <v>7.9295083088550973</v>
          </cell>
          <cell r="AS455">
            <v>4.2280839993042258</v>
          </cell>
          <cell r="AT455" t="e">
            <v>#N/A</v>
          </cell>
          <cell r="AU455" t="e">
            <v>#DIV/0!</v>
          </cell>
          <cell r="AV455">
            <v>6.1540096896896221</v>
          </cell>
          <cell r="AW455" t="e">
            <v>#VALUE!</v>
          </cell>
          <cell r="AX455" t="e">
            <v>#VALUE!</v>
          </cell>
          <cell r="AY455" t="e">
            <v>#VALUE!</v>
          </cell>
          <cell r="AZ455" t="e">
            <v>#VALUE!</v>
          </cell>
          <cell r="BA455" t="e">
            <v>#VALUE!</v>
          </cell>
          <cell r="BB455" t="e">
            <v>#VALUE!</v>
          </cell>
          <cell r="BC455" t="e">
            <v>#VALUE!</v>
          </cell>
          <cell r="BD455" t="e">
            <v>#VALUE!</v>
          </cell>
          <cell r="BE455" t="e">
            <v>#VALUE!</v>
          </cell>
        </row>
        <row r="456">
          <cell r="H456">
            <v>18.163157894736841</v>
          </cell>
          <cell r="I456">
            <v>24.608695652173914</v>
          </cell>
          <cell r="J456">
            <v>27.704761904761902</v>
          </cell>
          <cell r="K456">
            <v>15.974729241877258</v>
          </cell>
          <cell r="L456">
            <v>180.49999999999997</v>
          </cell>
          <cell r="M456">
            <v>22.891566265060245</v>
          </cell>
          <cell r="N456">
            <v>13.893518518518517</v>
          </cell>
          <cell r="O456">
            <v>24.058823529411764</v>
          </cell>
          <cell r="P456">
            <v>16.727272727272723</v>
          </cell>
          <cell r="Q456">
            <v>18.242105263157892</v>
          </cell>
          <cell r="R456">
            <v>21.882352941176471</v>
          </cell>
          <cell r="S456">
            <v>17.925373134328357</v>
          </cell>
          <cell r="T456" t="e">
            <v>#VALUE!</v>
          </cell>
          <cell r="U456">
            <v>66.4375</v>
          </cell>
          <cell r="V456">
            <v>33.798701298701296</v>
          </cell>
          <cell r="W456">
            <v>18.356382978723406</v>
          </cell>
          <cell r="X456">
            <v>19.460674157303369</v>
          </cell>
          <cell r="Y456">
            <v>24.138613861386137</v>
          </cell>
          <cell r="Z456" t="str">
            <v>NA</v>
          </cell>
          <cell r="AA456">
            <v>21.319648093841643</v>
          </cell>
          <cell r="AB456">
            <v>21.319648093841643</v>
          </cell>
          <cell r="AC456">
            <v>11.5234375</v>
          </cell>
          <cell r="AD456" t="str">
            <v>NA</v>
          </cell>
          <cell r="AE456">
            <v>29.866666666666667</v>
          </cell>
          <cell r="AF456">
            <v>20.80078125</v>
          </cell>
          <cell r="AG456">
            <v>18.450549450549449</v>
          </cell>
          <cell r="AH456">
            <v>33.258785942492011</v>
          </cell>
          <cell r="AI456" t="e">
            <v>#DIV/0!</v>
          </cell>
          <cell r="AJ456" t="e">
            <v>#VALUE!</v>
          </cell>
          <cell r="AK456">
            <v>16.420454545454547</v>
          </cell>
          <cell r="AL456">
            <v>17.845722300140249</v>
          </cell>
          <cell r="AM456">
            <v>22.083333333333332</v>
          </cell>
          <cell r="AN456">
            <v>14.8955223880597</v>
          </cell>
          <cell r="AO456" t="str">
            <v>NA</v>
          </cell>
          <cell r="AP456" t="e">
            <v>#DIV/0!</v>
          </cell>
          <cell r="AQ456" t="e">
            <v>#VALUE!</v>
          </cell>
          <cell r="AR456">
            <v>29.94979079497908</v>
          </cell>
          <cell r="AS456">
            <v>18.450549450549453</v>
          </cell>
          <cell r="AT456" t="str">
            <v>NA</v>
          </cell>
          <cell r="AU456" t="e">
            <v>#DIV/0!</v>
          </cell>
          <cell r="AV456">
            <v>22.230240549828174</v>
          </cell>
          <cell r="AW456" t="e">
            <v>#VALUE!</v>
          </cell>
          <cell r="AX456" t="e">
            <v>#VALUE!</v>
          </cell>
          <cell r="AY456" t="e">
            <v>#VALUE!</v>
          </cell>
          <cell r="AZ456" t="e">
            <v>#VALUE!</v>
          </cell>
          <cell r="BA456" t="e">
            <v>#VALUE!</v>
          </cell>
          <cell r="BB456" t="e">
            <v>#VALUE!</v>
          </cell>
          <cell r="BC456" t="e">
            <v>#VALUE!</v>
          </cell>
          <cell r="BD456" t="e">
            <v>#VALUE!</v>
          </cell>
          <cell r="BE456" t="e">
            <v>#VALUE!</v>
          </cell>
        </row>
        <row r="457">
          <cell r="H457">
            <v>16.126168224299064</v>
          </cell>
          <cell r="I457">
            <v>16.647058823529409</v>
          </cell>
          <cell r="J457">
            <v>24.445378151260503</v>
          </cell>
          <cell r="K457">
            <v>14.182692307692307</v>
          </cell>
          <cell r="L457">
            <v>40.111111111111114</v>
          </cell>
          <cell r="M457">
            <v>18.627450980392158</v>
          </cell>
          <cell r="N457">
            <v>12.556485355648535</v>
          </cell>
          <cell r="O457">
            <v>16.80821917808219</v>
          </cell>
          <cell r="P457">
            <v>7.8857142857142852</v>
          </cell>
          <cell r="Q457">
            <v>15.61261261261261</v>
          </cell>
          <cell r="R457">
            <v>18.800151108741435</v>
          </cell>
          <cell r="S457">
            <v>15.496774193548386</v>
          </cell>
          <cell r="T457" t="e">
            <v>#VALUE!</v>
          </cell>
          <cell r="U457">
            <v>32.707692307692312</v>
          </cell>
          <cell r="V457">
            <v>22.828947368421051</v>
          </cell>
          <cell r="W457">
            <v>16.126168224299064</v>
          </cell>
          <cell r="X457">
            <v>16.815533980582526</v>
          </cell>
          <cell r="Y457">
            <v>19.196850393700785</v>
          </cell>
          <cell r="Z457" t="str">
            <v>NA</v>
          </cell>
          <cell r="AA457">
            <v>17.818627450980394</v>
          </cell>
          <cell r="AB457">
            <v>17.818627450980397</v>
          </cell>
          <cell r="AC457">
            <v>10.387323943661972</v>
          </cell>
          <cell r="AD457" t="str">
            <v>NA</v>
          </cell>
          <cell r="AE457">
            <v>21.189189189189189</v>
          </cell>
          <cell r="AF457">
            <v>17.989864864864867</v>
          </cell>
          <cell r="AG457">
            <v>15.403669724770641</v>
          </cell>
          <cell r="AH457">
            <v>23.498871331828447</v>
          </cell>
          <cell r="AI457" t="e">
            <v>#DIV/0!</v>
          </cell>
          <cell r="AJ457" t="e">
            <v>#VALUE!</v>
          </cell>
          <cell r="AK457">
            <v>14.236453201970443</v>
          </cell>
          <cell r="AL457">
            <v>14.642117376294591</v>
          </cell>
          <cell r="AM457">
            <v>19.822834645669289</v>
          </cell>
          <cell r="AN457">
            <v>9.9481658692184993</v>
          </cell>
          <cell r="AO457" t="str">
            <v>NA</v>
          </cell>
          <cell r="AP457" t="e">
            <v>#DIV/0!</v>
          </cell>
          <cell r="AQ457" t="e">
            <v>#VALUE!</v>
          </cell>
          <cell r="AR457">
            <v>24.984293193717274</v>
          </cell>
          <cell r="AS457">
            <v>15.403669724770642</v>
          </cell>
          <cell r="AT457" t="str">
            <v>NA</v>
          </cell>
          <cell r="AU457" t="e">
            <v>#DIV/0!</v>
          </cell>
          <cell r="AV457">
            <v>18.482857142857142</v>
          </cell>
          <cell r="AW457" t="e">
            <v>#VALUE!</v>
          </cell>
          <cell r="AX457" t="e">
            <v>#VALUE!</v>
          </cell>
          <cell r="AY457" t="e">
            <v>#VALUE!</v>
          </cell>
          <cell r="AZ457" t="e">
            <v>#VALUE!</v>
          </cell>
          <cell r="BA457" t="e">
            <v>#VALUE!</v>
          </cell>
          <cell r="BB457" t="e">
            <v>#VALUE!</v>
          </cell>
          <cell r="BC457" t="e">
            <v>#VALUE!</v>
          </cell>
          <cell r="BD457" t="e">
            <v>#VALUE!</v>
          </cell>
          <cell r="BE457" t="e">
            <v>#VALUE!</v>
          </cell>
        </row>
        <row r="458">
          <cell r="H458">
            <v>13.273076923076923</v>
          </cell>
          <cell r="I458">
            <v>12.304347826086957</v>
          </cell>
          <cell r="J458">
            <v>21.188145855146356</v>
          </cell>
          <cell r="K458">
            <v>12.019230769230768</v>
          </cell>
          <cell r="L458">
            <v>25.785714285714288</v>
          </cell>
          <cell r="M458">
            <v>15.200000000000001</v>
          </cell>
          <cell r="N458">
            <v>11.324528301886794</v>
          </cell>
          <cell r="O458">
            <v>14.11902789284728</v>
          </cell>
          <cell r="P458">
            <v>6.81271212588707</v>
          </cell>
          <cell r="Q458">
            <v>13.401384216834856</v>
          </cell>
          <cell r="R458">
            <v>18.800151108741435</v>
          </cell>
          <cell r="S458">
            <v>13.725714285714286</v>
          </cell>
          <cell r="T458" t="e">
            <v>#VALUE!</v>
          </cell>
          <cell r="U458">
            <v>26.430458430458433</v>
          </cell>
          <cell r="V458">
            <v>18.494803688585165</v>
          </cell>
          <cell r="W458">
            <v>13.273076923076923</v>
          </cell>
          <cell r="X458">
            <v>14.554621848739496</v>
          </cell>
          <cell r="Y458">
            <v>15.263457417270242</v>
          </cell>
          <cell r="Z458" t="str">
            <v>NA</v>
          </cell>
          <cell r="AA458" t="str">
            <v>NA</v>
          </cell>
          <cell r="AB458" t="str">
            <v>NA</v>
          </cell>
          <cell r="AC458">
            <v>9.1923220740371434</v>
          </cell>
          <cell r="AD458" t="str">
            <v>NA</v>
          </cell>
          <cell r="AE458">
            <v>17.5</v>
          </cell>
          <cell r="AF458">
            <v>15.643360752056408</v>
          </cell>
          <cell r="AG458">
            <v>12.664367117298891</v>
          </cell>
          <cell r="AH458">
            <v>18.494803688585169</v>
          </cell>
          <cell r="AI458" t="e">
            <v>#DIV/0!</v>
          </cell>
          <cell r="AJ458" t="e">
            <v>#VALUE!</v>
          </cell>
          <cell r="AK458">
            <v>12.844444444444443</v>
          </cell>
          <cell r="AL458">
            <v>12.523622047244094</v>
          </cell>
          <cell r="AM458">
            <v>17.787899000062176</v>
          </cell>
          <cell r="AN458">
            <v>9.9481658692184993</v>
          </cell>
          <cell r="AO458" t="str">
            <v>NA</v>
          </cell>
          <cell r="AP458" t="e">
            <v>#DIV/0!</v>
          </cell>
          <cell r="AQ458" t="e">
            <v>#VALUE!</v>
          </cell>
          <cell r="AR458">
            <v>21.008859645672867</v>
          </cell>
          <cell r="AS458">
            <v>12.664367117298893</v>
          </cell>
          <cell r="AT458" t="str">
            <v>NA</v>
          </cell>
          <cell r="AU458" t="e">
            <v>#DIV/0!</v>
          </cell>
          <cell r="AV458">
            <v>15.409058210939023</v>
          </cell>
          <cell r="AW458" t="e">
            <v>#VALUE!</v>
          </cell>
          <cell r="AX458" t="e">
            <v>#VALUE!</v>
          </cell>
          <cell r="AY458" t="e">
            <v>#VALUE!</v>
          </cell>
          <cell r="AZ458" t="e">
            <v>#VALUE!</v>
          </cell>
          <cell r="BA458" t="e">
            <v>#VALUE!</v>
          </cell>
          <cell r="BB458" t="e">
            <v>#VALUE!</v>
          </cell>
          <cell r="BC458" t="e">
            <v>#VALUE!</v>
          </cell>
          <cell r="BD458" t="e">
            <v>#VALUE!</v>
          </cell>
          <cell r="BE458" t="e">
            <v>#VALUE!</v>
          </cell>
        </row>
        <row r="460">
          <cell r="H460">
            <v>0.94859813084112132</v>
          </cell>
          <cell r="I460">
            <v>0.83235294117647041</v>
          </cell>
          <cell r="J460">
            <v>1.2865988500663426</v>
          </cell>
          <cell r="K460">
            <v>0.78792735042735051</v>
          </cell>
          <cell r="L460">
            <v>1.035125448028674</v>
          </cell>
          <cell r="M460">
            <v>1.0957324106113033</v>
          </cell>
          <cell r="N460">
            <v>0.96588348889604103</v>
          </cell>
          <cell r="O460">
            <v>0.84041095890410944</v>
          </cell>
          <cell r="P460">
            <v>0.50068027210884347</v>
          </cell>
          <cell r="Q460">
            <v>0.94621894621894598</v>
          </cell>
          <cell r="R460">
            <v>1.134589686707389</v>
          </cell>
          <cell r="S460">
            <v>0.91157495256166965</v>
          </cell>
          <cell r="T460" t="e">
            <v>#VALUE!</v>
          </cell>
          <cell r="U460">
            <v>1.3771659919028343</v>
          </cell>
          <cell r="V460">
            <v>0.76096491228070196</v>
          </cell>
          <cell r="W460">
            <v>0.85960384990933181</v>
          </cell>
          <cell r="X460">
            <v>1.0731036362847814</v>
          </cell>
          <cell r="Y460">
            <v>0.74493016661625089</v>
          </cell>
          <cell r="Z460" t="e">
            <v>#N/A</v>
          </cell>
          <cell r="AA460">
            <v>0.92228920553728744</v>
          </cell>
          <cell r="AB460">
            <v>0.92228920553728744</v>
          </cell>
          <cell r="AC460">
            <v>0.79902491874322867</v>
          </cell>
          <cell r="AD460" t="e">
            <v>#N/A</v>
          </cell>
          <cell r="AE460">
            <v>1.3243243243243241</v>
          </cell>
          <cell r="AF460">
            <v>1.1993243243243246</v>
          </cell>
          <cell r="AG460">
            <v>0.71214376906013133</v>
          </cell>
          <cell r="AH460">
            <v>0.8716198565218265</v>
          </cell>
          <cell r="AI460">
            <v>1.7208333333333332</v>
          </cell>
          <cell r="AJ460" t="e">
            <v>#VALUE!</v>
          </cell>
          <cell r="AK460">
            <v>0.88977832512315269</v>
          </cell>
          <cell r="AL460">
            <v>0.7804966618493917</v>
          </cell>
          <cell r="AM460">
            <v>1.7327652662298332</v>
          </cell>
          <cell r="AN460">
            <v>0.49740829346092502</v>
          </cell>
          <cell r="AO460" t="e">
            <v>#N/A</v>
          </cell>
          <cell r="AP460">
            <v>1.3382053130003897</v>
          </cell>
          <cell r="AQ460" t="e">
            <v>#VALUE!</v>
          </cell>
          <cell r="AR460">
            <v>1.3382053130003897</v>
          </cell>
          <cell r="AS460">
            <v>0.71214376906013133</v>
          </cell>
          <cell r="AT460" t="e">
            <v>#N/A</v>
          </cell>
          <cell r="AU460">
            <v>0.93347763347763335</v>
          </cell>
          <cell r="AV460">
            <v>0.93347763347763335</v>
          </cell>
          <cell r="AW460" t="e">
            <v>#VALUE!</v>
          </cell>
          <cell r="AX460" t="e">
            <v>#VALUE!</v>
          </cell>
          <cell r="AY460" t="e">
            <v>#VALUE!</v>
          </cell>
          <cell r="AZ460" t="e">
            <v>#VALUE!</v>
          </cell>
          <cell r="BA460" t="e">
            <v>#VALUE!</v>
          </cell>
          <cell r="BB460" t="e">
            <v>#VALUE!</v>
          </cell>
          <cell r="BC460" t="e">
            <v>#VALUE!</v>
          </cell>
          <cell r="BD460" t="e">
            <v>#VALUE!</v>
          </cell>
          <cell r="BE460" t="e">
            <v>#VALUE!</v>
          </cell>
        </row>
        <row r="461">
          <cell r="H461">
            <v>1.0684210526315787</v>
          </cell>
          <cell r="I461">
            <v>1.2304347826086957</v>
          </cell>
          <cell r="J461">
            <v>1.4581453634085213</v>
          </cell>
          <cell r="K461">
            <v>0.88748495788206982</v>
          </cell>
          <cell r="L461">
            <v>4.6580645161290324</v>
          </cell>
          <cell r="M461">
            <v>1.3465627214741318</v>
          </cell>
          <cell r="N461">
            <v>1.0687321937321936</v>
          </cell>
          <cell r="O461">
            <v>1.2029411764705882</v>
          </cell>
          <cell r="P461">
            <v>1.0620490620490619</v>
          </cell>
          <cell r="Q461">
            <v>1.1055821371610843</v>
          </cell>
          <cell r="R461">
            <v>1.32060066030033</v>
          </cell>
          <cell r="S461">
            <v>1.054433713784021</v>
          </cell>
          <cell r="T461" t="e">
            <v>#VALUE!</v>
          </cell>
          <cell r="U461">
            <v>2.7973684210526319</v>
          </cell>
          <cell r="V461">
            <v>1.1266233766233766</v>
          </cell>
          <cell r="W461">
            <v>0.97848523340743077</v>
          </cell>
          <cell r="X461">
            <v>1.2419064554756458</v>
          </cell>
          <cell r="Y461">
            <v>0.93669436792340466</v>
          </cell>
          <cell r="Z461" t="e">
            <v>#N/A</v>
          </cell>
          <cell r="AA461">
            <v>1.10350145413259</v>
          </cell>
          <cell r="AB461">
            <v>1.10350145413259</v>
          </cell>
          <cell r="AC461">
            <v>0.88641826923076916</v>
          </cell>
          <cell r="AD461" t="e">
            <v>#N/A</v>
          </cell>
          <cell r="AE461">
            <v>1.8666666666666665</v>
          </cell>
          <cell r="AF461">
            <v>1.38671875</v>
          </cell>
          <cell r="AG461">
            <v>0.85300737173136609</v>
          </cell>
          <cell r="AH461">
            <v>1.2336344934158758</v>
          </cell>
          <cell r="AI461">
            <v>3.4416666666666664</v>
          </cell>
          <cell r="AJ461" t="e">
            <v>#VALUE!</v>
          </cell>
          <cell r="AK461">
            <v>1.0262784090909089</v>
          </cell>
          <cell r="AL461">
            <v>0.95126451493284914</v>
          </cell>
          <cell r="AM461">
            <v>1.9303613053613053</v>
          </cell>
          <cell r="AN461">
            <v>0.74477611940298505</v>
          </cell>
          <cell r="AO461" t="e">
            <v>#N/A</v>
          </cell>
          <cell r="AP461">
            <v>1.6041666199774547</v>
          </cell>
          <cell r="AQ461" t="e">
            <v>#VALUE!</v>
          </cell>
          <cell r="AR461">
            <v>1.6041666199774547</v>
          </cell>
          <cell r="AS461">
            <v>0.85300737173136609</v>
          </cell>
          <cell r="AT461" t="e">
            <v>#N/A</v>
          </cell>
          <cell r="AU461">
            <v>1.1227394217084938</v>
          </cell>
          <cell r="AV461">
            <v>1.1227394217084938</v>
          </cell>
          <cell r="AW461" t="e">
            <v>#VALUE!</v>
          </cell>
          <cell r="AX461" t="e">
            <v>#VALUE!</v>
          </cell>
          <cell r="AY461" t="e">
            <v>#VALUE!</v>
          </cell>
          <cell r="AZ461" t="e">
            <v>#VALUE!</v>
          </cell>
          <cell r="BA461" t="e">
            <v>#VALUE!</v>
          </cell>
          <cell r="BB461" t="e">
            <v>#VALUE!</v>
          </cell>
          <cell r="BC461" t="e">
            <v>#VALUE!</v>
          </cell>
          <cell r="BD461" t="e">
            <v>#VALUE!</v>
          </cell>
          <cell r="BE461" t="e">
            <v>#VALUE!</v>
          </cell>
        </row>
        <row r="464">
          <cell r="H464" t="e">
            <v>#NAME?</v>
          </cell>
          <cell r="I464" t="e">
            <v>#NAME?</v>
          </cell>
          <cell r="J464" t="e">
            <v>#NAME?</v>
          </cell>
          <cell r="K464" t="e">
            <v>#NAME?</v>
          </cell>
          <cell r="L464" t="e">
            <v>#NAME?</v>
          </cell>
          <cell r="M464" t="e">
            <v>#NAME?</v>
          </cell>
          <cell r="N464" t="e">
            <v>#NAME?</v>
          </cell>
          <cell r="O464" t="e">
            <v>#NAME?</v>
          </cell>
          <cell r="P464" t="e">
            <v>#NAME?</v>
          </cell>
          <cell r="Q464" t="e">
            <v>#NAME?</v>
          </cell>
          <cell r="R464" t="e">
            <v>#NAME?</v>
          </cell>
          <cell r="S464" t="e">
            <v>#NAME?</v>
          </cell>
          <cell r="T464" t="e">
            <v>#NAME?</v>
          </cell>
          <cell r="U464" t="e">
            <v>#NAME?</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t="e">
            <v>#NAME?</v>
          </cell>
          <cell r="AG464" t="e">
            <v>#NAME?</v>
          </cell>
          <cell r="AH464" t="e">
            <v>#NAME?</v>
          </cell>
          <cell r="AI464" t="e">
            <v>#NAME?</v>
          </cell>
          <cell r="AJ464" t="e">
            <v>#NAME?</v>
          </cell>
          <cell r="AK464" t="e">
            <v>#NAME?</v>
          </cell>
          <cell r="AL464" t="e">
            <v>#NAME?</v>
          </cell>
          <cell r="AM464" t="e">
            <v>#NAME?</v>
          </cell>
          <cell r="AN464" t="e">
            <v>#NAME?</v>
          </cell>
          <cell r="AO464" t="e">
            <v>#NAME?</v>
          </cell>
          <cell r="AP464" t="e">
            <v>#NAME?</v>
          </cell>
          <cell r="AQ464" t="e">
            <v>#NAME?</v>
          </cell>
          <cell r="AR464" t="e">
            <v>#NAME?</v>
          </cell>
          <cell r="AS464" t="e">
            <v>#NAME?</v>
          </cell>
          <cell r="AT464" t="e">
            <v>#NAME?</v>
          </cell>
          <cell r="AU464" t="e">
            <v>#NAME?</v>
          </cell>
          <cell r="AV464" t="e">
            <v>#NAME?</v>
          </cell>
          <cell r="AW464" t="e">
            <v>#NAME?</v>
          </cell>
          <cell r="AX464" t="e">
            <v>#NAME?</v>
          </cell>
          <cell r="AY464" t="e">
            <v>#NAME?</v>
          </cell>
          <cell r="AZ464" t="e">
            <v>#NAME?</v>
          </cell>
          <cell r="BA464" t="e">
            <v>#NAME?</v>
          </cell>
          <cell r="BB464" t="e">
            <v>#NAME?</v>
          </cell>
          <cell r="BC464" t="e">
            <v>#NAME?</v>
          </cell>
          <cell r="BD464" t="e">
            <v>#NAME?</v>
          </cell>
          <cell r="BE464" t="e">
            <v>#NAME?</v>
          </cell>
        </row>
        <row r="465">
          <cell r="H465" t="e">
            <v>#NAME?</v>
          </cell>
          <cell r="I465" t="e">
            <v>#NAME?</v>
          </cell>
          <cell r="J465" t="e">
            <v>#NAME?</v>
          </cell>
          <cell r="K465" t="e">
            <v>#NAME?</v>
          </cell>
          <cell r="L465" t="e">
            <v>#NAME?</v>
          </cell>
          <cell r="M465" t="e">
            <v>#NAME?</v>
          </cell>
          <cell r="N465" t="e">
            <v>#NAME?</v>
          </cell>
          <cell r="O465" t="e">
            <v>#NAME?</v>
          </cell>
          <cell r="P465" t="e">
            <v>#NAME?</v>
          </cell>
          <cell r="Q465" t="e">
            <v>#NAME?</v>
          </cell>
          <cell r="R465" t="e">
            <v>#NAME?</v>
          </cell>
          <cell r="S465" t="e">
            <v>#NAME?</v>
          </cell>
          <cell r="T465" t="e">
            <v>#NAME?</v>
          </cell>
          <cell r="U465" t="e">
            <v>#NAME?</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t="e">
            <v>#NAME?</v>
          </cell>
          <cell r="AG465" t="e">
            <v>#NAME?</v>
          </cell>
          <cell r="AH465" t="e">
            <v>#NAME?</v>
          </cell>
          <cell r="AI465" t="e">
            <v>#NAME?</v>
          </cell>
          <cell r="AJ465" t="e">
            <v>#NAME?</v>
          </cell>
          <cell r="AK465" t="e">
            <v>#NAME?</v>
          </cell>
          <cell r="AL465" t="e">
            <v>#NAME?</v>
          </cell>
          <cell r="AM465" t="e">
            <v>#NAME?</v>
          </cell>
          <cell r="AN465" t="e">
            <v>#NAME?</v>
          </cell>
          <cell r="AO465" t="e">
            <v>#NAME?</v>
          </cell>
          <cell r="AP465" t="e">
            <v>#NAME?</v>
          </cell>
          <cell r="AQ465" t="e">
            <v>#NAME?</v>
          </cell>
          <cell r="AR465" t="e">
            <v>#NAME?</v>
          </cell>
          <cell r="AS465" t="e">
            <v>#NAME?</v>
          </cell>
          <cell r="AT465" t="e">
            <v>#NAME?</v>
          </cell>
          <cell r="AU465" t="e">
            <v>#NAME?</v>
          </cell>
          <cell r="AV465" t="e">
            <v>#NAME?</v>
          </cell>
          <cell r="AW465" t="e">
            <v>#NAME?</v>
          </cell>
          <cell r="AX465" t="e">
            <v>#NAME?</v>
          </cell>
          <cell r="AY465" t="e">
            <v>#NAME?</v>
          </cell>
          <cell r="AZ465" t="e">
            <v>#NAME?</v>
          </cell>
          <cell r="BA465" t="e">
            <v>#NAME?</v>
          </cell>
          <cell r="BB465" t="e">
            <v>#NAME?</v>
          </cell>
          <cell r="BC465" t="e">
            <v>#NAME?</v>
          </cell>
          <cell r="BD465" t="e">
            <v>#NAME?</v>
          </cell>
          <cell r="BE465" t="e">
            <v>#NAME?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1"/>
      <sheetName val="Sheet1"/>
      <sheetName val="Scenario"/>
      <sheetName val="ImportantDisclosures"/>
      <sheetName val="IndexInformation"/>
      <sheetName val="Income"/>
      <sheetName val="GWP"/>
      <sheetName val="Income Statement"/>
      <sheetName val="Margins"/>
      <sheetName val="Euro vs. PM"/>
      <sheetName val="Ruble"/>
      <sheetName val="MS_IRI_Methodology"/>
      <sheetName val="MARKET_SHARE ($)_RAW_DATA"/>
      <sheetName val="NEXXUS_RAW_DATA"/>
      <sheetName val="HAIR_CARE_MARKET SHARE ROLL-UP"/>
      <sheetName val="TOTAL_ACV_DOLLAR_SALES"/>
      <sheetName val="TimeSeries"/>
      <sheetName val="Valuation Analyzer"/>
      <sheetName val="SSB Nielsen Sales"/>
      <sheetName val="Comps"/>
      <sheetName val="Switches"/>
      <sheetName val="summary"/>
      <sheetName val="EBITDA"/>
      <sheetName val="GWP-WLine"/>
      <sheetName val="TS_Stnd_Dev_Band"/>
      <sheetName val="Print "/>
      <sheetName val="Lookup"/>
      <sheetName val="Input"/>
      <sheetName val="99 cons YTD"/>
      <sheetName val="KPN"/>
      <sheetName val="Realizations vs Average"/>
      <sheetName val="B"/>
      <sheetName val="Ratios"/>
      <sheetName val="C"/>
      <sheetName val="Oil Consumption – barrels"/>
      <sheetName val="rev change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Print Menu"/>
      <sheetName val="Input"/>
      <sheetName val="Coverage Univers (NEW RATINGS)"/>
      <sheetName val="Life Science Tools Valuation"/>
      <sheetName val="Spec. Distr Valuation"/>
      <sheetName val="Disclosure (w. ACDO)"/>
      <sheetName val="ROC"/>
      <sheetName val="Coverage Univers (w acdo)"/>
      <sheetName val="Reagents &amp; Tools"/>
      <sheetName val="Reagents"/>
      <sheetName val="Reagents (2)"/>
      <sheetName val="Tools"/>
      <sheetName val="STREET vs. Our estimates"/>
      <sheetName val="Distr "/>
      <sheetName val="Summary (3)"/>
      <sheetName val="Showcase"/>
      <sheetName val="Summary"/>
      <sheetName val="Summary2"/>
      <sheetName val="Summary (2)"/>
      <sheetName val="Coverage Univers"/>
      <sheetName val="Summary2 (2)"/>
      <sheetName val="NonProfitable_Sum"/>
      <sheetName val="NonProfitable_Sum2"/>
      <sheetName val="Profile - Profitable"/>
      <sheetName val="Profile - Profitable 2"/>
      <sheetName val="Profile - NonProfitable"/>
      <sheetName val="Profile - NonProfitable 2"/>
      <sheetName val="Val Input"/>
      <sheetName val="Price Matx"/>
      <sheetName val="Public Val1"/>
      <sheetName val="Public Val Calc"/>
      <sheetName val="Public Val2"/>
      <sheetName val="Public Grph1"/>
      <sheetName val="Public Grph2"/>
      <sheetName val="MA Val1"/>
      <sheetName val="MA Val Calc"/>
      <sheetName val="MA Val2"/>
      <sheetName val="MA Grph1"/>
      <sheetName val="MA Grph2"/>
      <sheetName val="Estm"/>
      <sheetName val="__FDSCACHE__"/>
      <sheetName val="Rev_Estm"/>
      <sheetName val="Rank Menu"/>
      <sheetName val="Macros"/>
      <sheetName val="Macro-Print"/>
      <sheetName val="Macro-Rank"/>
      <sheetName val="Rank1"/>
      <sheetName val="Rank2"/>
      <sheetName val="Rank3"/>
      <sheetName val="Rank4"/>
      <sheetName val="Rank Work"/>
      <sheetName val="Graph_Ranker_Main"/>
      <sheetName val="Graphs_1,2"/>
      <sheetName val="CheckWork"/>
    </sheetNames>
    <sheetDataSet>
      <sheetData sheetId="0" refreshError="1"/>
      <sheetData sheetId="1" refreshError="1"/>
      <sheetData sheetId="2" refreshError="1">
        <row r="6">
          <cell r="H6" t="str">
            <v>IVGN</v>
          </cell>
          <cell r="I6" t="str">
            <v>QGENF</v>
          </cell>
          <cell r="J6" t="str">
            <v>TECH</v>
          </cell>
          <cell r="K6" t="str">
            <v>BIO</v>
          </cell>
          <cell r="L6" t="str">
            <v>AFFX</v>
          </cell>
          <cell r="M6" t="str">
            <v>ABI</v>
          </cell>
          <cell r="N6" t="str">
            <v>MTD</v>
          </cell>
          <cell r="O6" t="str">
            <v>MDCC</v>
          </cell>
          <cell r="P6" t="str">
            <v>PKI</v>
          </cell>
          <cell r="Q6" t="str">
            <v>TMO</v>
          </cell>
          <cell r="R6" t="str">
            <v>VARI</v>
          </cell>
          <cell r="S6" t="str">
            <v>WAT</v>
          </cell>
          <cell r="U6" t="str">
            <v>VMSI</v>
          </cell>
          <cell r="V6" t="str">
            <v>ACDO</v>
          </cell>
          <cell r="W6" t="str">
            <v>IVGN</v>
          </cell>
          <cell r="X6" t="str">
            <v>MIL</v>
          </cell>
          <cell r="Y6" t="str">
            <v>PHCC</v>
          </cell>
          <cell r="AB6" t="str">
            <v>ABC</v>
          </cell>
          <cell r="AC6" t="str">
            <v>OMI</v>
          </cell>
          <cell r="AD6" t="str">
            <v>LOOKUP</v>
          </cell>
          <cell r="AE6" t="str">
            <v>PSSI</v>
          </cell>
          <cell r="AF6" t="str">
            <v>HSIC</v>
          </cell>
          <cell r="AG6" t="str">
            <v>SCOR</v>
          </cell>
          <cell r="AK6" t="str">
            <v>FSH</v>
          </cell>
          <cell r="AL6" t="str">
            <v>MCK</v>
          </cell>
          <cell r="AM6" t="str">
            <v>SIAL</v>
          </cell>
          <cell r="AN6" t="str">
            <v>CHMD</v>
          </cell>
          <cell r="AO6" t="str">
            <v>LOOKUP</v>
          </cell>
          <cell r="AR6" t="str">
            <v>PDCO</v>
          </cell>
          <cell r="AV6" t="str">
            <v>CAH</v>
          </cell>
        </row>
        <row r="7">
          <cell r="H7" t="str">
            <v>IVGN</v>
          </cell>
          <cell r="I7" t="str">
            <v>QGENF</v>
          </cell>
          <cell r="J7" t="str">
            <v>TECH</v>
          </cell>
          <cell r="K7" t="str">
            <v>BIO</v>
          </cell>
          <cell r="L7" t="str">
            <v>AFFX</v>
          </cell>
          <cell r="M7" t="str">
            <v>ABI</v>
          </cell>
          <cell r="N7" t="str">
            <v>MTD</v>
          </cell>
          <cell r="O7" t="str">
            <v>MDCC</v>
          </cell>
          <cell r="P7" t="str">
            <v>PKI</v>
          </cell>
          <cell r="Q7" t="str">
            <v>TMO</v>
          </cell>
          <cell r="R7" t="str">
            <v>VARI</v>
          </cell>
          <cell r="S7" t="str">
            <v>WAT</v>
          </cell>
          <cell r="U7" t="str">
            <v>VMSI</v>
          </cell>
          <cell r="V7" t="str">
            <v>ACDO</v>
          </cell>
          <cell r="W7" t="str">
            <v>IVGN</v>
          </cell>
          <cell r="X7" t="str">
            <v>MIL</v>
          </cell>
          <cell r="Y7" t="str">
            <v>PHCC</v>
          </cell>
          <cell r="Z7" t="str">
            <v>BBC</v>
          </cell>
          <cell r="AA7" t="str">
            <v>AAS</v>
          </cell>
          <cell r="AB7" t="str">
            <v>ABC</v>
          </cell>
          <cell r="AC7" t="str">
            <v>OMI</v>
          </cell>
          <cell r="AD7" t="str">
            <v>TICKER</v>
          </cell>
          <cell r="AE7" t="str">
            <v>PSSI</v>
          </cell>
          <cell r="AF7" t="str">
            <v>HSIC</v>
          </cell>
          <cell r="AG7" t="str">
            <v>SCOR</v>
          </cell>
          <cell r="AH7" t="str">
            <v>ACDO</v>
          </cell>
          <cell r="AI7" t="str">
            <v>GTIV</v>
          </cell>
          <cell r="AK7" t="str">
            <v>FSH</v>
          </cell>
          <cell r="AL7" t="str">
            <v>MCK</v>
          </cell>
          <cell r="AM7" t="str">
            <v>SIAL</v>
          </cell>
          <cell r="AN7" t="str">
            <v>CHMD</v>
          </cell>
          <cell r="AO7" t="str">
            <v>TICKER</v>
          </cell>
          <cell r="AP7" t="str">
            <v>PDCO</v>
          </cell>
          <cell r="AR7" t="str">
            <v>PDCO</v>
          </cell>
          <cell r="AS7" t="str">
            <v>SCOR</v>
          </cell>
          <cell r="AT7" t="str">
            <v>BLPG</v>
          </cell>
          <cell r="AU7" t="str">
            <v>CAH</v>
          </cell>
          <cell r="AV7" t="str">
            <v>CAH</v>
          </cell>
        </row>
        <row r="8">
          <cell r="H8" t="str">
            <v>Invitrogen</v>
          </cell>
          <cell r="I8" t="str">
            <v>QIAGEN NV</v>
          </cell>
          <cell r="J8" t="str">
            <v>TECHNE</v>
          </cell>
          <cell r="K8" t="str">
            <v>Bio-Rad Laboratories</v>
          </cell>
          <cell r="L8" t="str">
            <v>Affymetrix</v>
          </cell>
          <cell r="M8" t="str">
            <v>Applied Biosystems*</v>
          </cell>
          <cell r="N8" t="str">
            <v>Mettler Toledo*</v>
          </cell>
          <cell r="O8" t="str">
            <v>Molecular Devices*</v>
          </cell>
          <cell r="P8" t="str">
            <v>PerkinElmer</v>
          </cell>
          <cell r="Q8" t="str">
            <v>Thermo Electron</v>
          </cell>
          <cell r="R8" t="str">
            <v>Varian</v>
          </cell>
          <cell r="S8" t="str">
            <v>Waters*</v>
          </cell>
          <cell r="U8" t="str">
            <v>Ventana Medical Systems, Inc.</v>
          </cell>
          <cell r="V8" t="str">
            <v>Accredo Health, Inc.*</v>
          </cell>
          <cell r="W8" t="str">
            <v>Invitrogen Corporation</v>
          </cell>
          <cell r="X8" t="str">
            <v>Millipore Corporation</v>
          </cell>
          <cell r="Y8" t="str">
            <v>Priority Healthcare Corporation</v>
          </cell>
          <cell r="Z8" t="str">
            <v>Bergen Brunswig Corporation</v>
          </cell>
          <cell r="AA8" t="str">
            <v>AmeriSource Health Corporation</v>
          </cell>
          <cell r="AB8" t="str">
            <v>AmerisourceBergen Corporation</v>
          </cell>
          <cell r="AC8" t="str">
            <v>Owens &amp; Minor, Inc.</v>
          </cell>
          <cell r="AD8" t="str">
            <v>Full Name, Inc.</v>
          </cell>
          <cell r="AE8" t="str">
            <v>PSS World Medical, Inc.</v>
          </cell>
          <cell r="AF8" t="str">
            <v>Henry Schein, Inc.</v>
          </cell>
          <cell r="AG8" t="str">
            <v>Syncor International Corporation</v>
          </cell>
          <cell r="AH8" t="str">
            <v>Accredo Health, Incorporated</v>
          </cell>
          <cell r="AI8" t="str">
            <v>Gentiva Health Services, Inc.</v>
          </cell>
          <cell r="AK8" t="str">
            <v>Fisher Scientific International Inc.*</v>
          </cell>
          <cell r="AL8" t="str">
            <v>McKesson Corporation</v>
          </cell>
          <cell r="AM8" t="str">
            <v>Sigma-Aldrich Corp.</v>
          </cell>
          <cell r="AN8" t="str">
            <v>Chronimed Inc.</v>
          </cell>
          <cell r="AO8" t="str">
            <v>Full Name, Inc.</v>
          </cell>
          <cell r="AP8" t="str">
            <v>Patterson Dental Company</v>
          </cell>
          <cell r="AQ8" t="str">
            <v>Webster</v>
          </cell>
          <cell r="AR8" t="str">
            <v>Patterson Dental Company</v>
          </cell>
          <cell r="AS8" t="str">
            <v>Syncor International Corporation</v>
          </cell>
          <cell r="AT8" t="str">
            <v>Boron, LePore &amp; Associates, Inc.</v>
          </cell>
          <cell r="AU8" t="str">
            <v>Cardinal Health, Inc.</v>
          </cell>
          <cell r="AV8" t="str">
            <v>Cardinal Health, Inc.</v>
          </cell>
        </row>
        <row r="9">
          <cell r="H9" t="str">
            <v>Invitrogen</v>
          </cell>
          <cell r="I9" t="str">
            <v>QIAGEN NV</v>
          </cell>
          <cell r="J9" t="str">
            <v>TECHNE</v>
          </cell>
          <cell r="K9" t="str">
            <v>Bio-Rad Laboratories</v>
          </cell>
          <cell r="L9" t="str">
            <v>Affymetrix</v>
          </cell>
          <cell r="M9" t="str">
            <v>Applied Biosystems*</v>
          </cell>
          <cell r="N9" t="str">
            <v>Mettler Toledo*</v>
          </cell>
          <cell r="O9" t="str">
            <v>Molecular Devices*</v>
          </cell>
          <cell r="P9" t="str">
            <v>PerkinElmer</v>
          </cell>
          <cell r="Q9" t="str">
            <v>Thermo Electron</v>
          </cell>
          <cell r="R9" t="str">
            <v>Varian</v>
          </cell>
          <cell r="S9" t="str">
            <v>Waters*</v>
          </cell>
          <cell r="T9" t="str">
            <v>Fisher Scientific*</v>
          </cell>
          <cell r="U9" t="str">
            <v>Ventana Medical Systems, Inc.</v>
          </cell>
          <cell r="V9" t="str">
            <v>Accredo Health*</v>
          </cell>
          <cell r="W9" t="str">
            <v>Invitrogen</v>
          </cell>
          <cell r="X9" t="str">
            <v>Millipore</v>
          </cell>
          <cell r="Y9" t="str">
            <v>Priority Healthcare</v>
          </cell>
          <cell r="Z9" t="str">
            <v>Bergen Brunswig</v>
          </cell>
          <cell r="AA9" t="str">
            <v>AmeriSource</v>
          </cell>
          <cell r="AB9" t="str">
            <v>AmerisourceBergen</v>
          </cell>
          <cell r="AC9" t="str">
            <v>Owens &amp; Minor</v>
          </cell>
          <cell r="AD9" t="str">
            <v>Short Name</v>
          </cell>
          <cell r="AE9" t="str">
            <v>PSS World Medical, Inc.</v>
          </cell>
          <cell r="AF9" t="str">
            <v>Henry Schein</v>
          </cell>
          <cell r="AG9" t="str">
            <v>Syncor</v>
          </cell>
          <cell r="AH9" t="str">
            <v>Accredo</v>
          </cell>
          <cell r="AI9" t="str">
            <v>Gentiva</v>
          </cell>
          <cell r="AJ9" t="str">
            <v>Accredo*</v>
          </cell>
          <cell r="AK9" t="str">
            <v>Fisher Scientific*</v>
          </cell>
          <cell r="AL9" t="str">
            <v>McKesson Corporation</v>
          </cell>
          <cell r="AM9" t="str">
            <v>Sigma-Aldrich</v>
          </cell>
          <cell r="AN9" t="str">
            <v>Chronimed</v>
          </cell>
          <cell r="AO9" t="str">
            <v>Short Name</v>
          </cell>
          <cell r="AP9" t="str">
            <v>Patterson Dental</v>
          </cell>
          <cell r="AQ9" t="str">
            <v>Short Name</v>
          </cell>
          <cell r="AR9" t="str">
            <v>Patterson Dental</v>
          </cell>
          <cell r="AS9" t="str">
            <v>Syncor</v>
          </cell>
          <cell r="AT9" t="str">
            <v>Boron, LePore</v>
          </cell>
          <cell r="AU9" t="str">
            <v>Cardinal Health</v>
          </cell>
          <cell r="AV9" t="str">
            <v>Cardinal Health</v>
          </cell>
          <cell r="AW9" t="str">
            <v>Short Name</v>
          </cell>
          <cell r="AX9" t="str">
            <v>Short Name</v>
          </cell>
          <cell r="AY9" t="str">
            <v>Short Name</v>
          </cell>
          <cell r="AZ9" t="str">
            <v>Short Name</v>
          </cell>
          <cell r="BA9" t="str">
            <v>Short Name</v>
          </cell>
          <cell r="BB9" t="str">
            <v>Short Name</v>
          </cell>
          <cell r="BC9" t="str">
            <v>Short Name</v>
          </cell>
          <cell r="BD9" t="str">
            <v>Short Name</v>
          </cell>
          <cell r="BE9" t="str">
            <v>Short Name</v>
          </cell>
        </row>
        <row r="10">
          <cell r="H10">
            <v>37256</v>
          </cell>
          <cell r="I10">
            <v>37256</v>
          </cell>
          <cell r="J10">
            <v>37072</v>
          </cell>
          <cell r="K10">
            <v>37256</v>
          </cell>
          <cell r="L10">
            <v>37256</v>
          </cell>
          <cell r="M10">
            <v>37256</v>
          </cell>
          <cell r="N10">
            <v>37256</v>
          </cell>
          <cell r="O10">
            <v>37256</v>
          </cell>
          <cell r="P10">
            <v>37256</v>
          </cell>
          <cell r="Q10">
            <v>37256</v>
          </cell>
          <cell r="R10">
            <v>37256</v>
          </cell>
          <cell r="S10">
            <v>37256</v>
          </cell>
          <cell r="T10">
            <v>37256</v>
          </cell>
          <cell r="U10">
            <v>37256</v>
          </cell>
          <cell r="V10" t="str">
            <v>6/31/01</v>
          </cell>
          <cell r="W10">
            <v>37256</v>
          </cell>
          <cell r="X10">
            <v>36891</v>
          </cell>
          <cell r="Y10">
            <v>37254</v>
          </cell>
          <cell r="Z10">
            <v>36799</v>
          </cell>
          <cell r="AA10">
            <v>36799</v>
          </cell>
          <cell r="AB10">
            <v>37164</v>
          </cell>
          <cell r="AC10">
            <v>37256</v>
          </cell>
          <cell r="AD10">
            <v>36891</v>
          </cell>
          <cell r="AE10">
            <v>36980</v>
          </cell>
          <cell r="AF10">
            <v>37254</v>
          </cell>
          <cell r="AG10">
            <v>37256</v>
          </cell>
          <cell r="AH10">
            <v>36678</v>
          </cell>
          <cell r="AI10">
            <v>37256</v>
          </cell>
          <cell r="AJ10">
            <v>37072</v>
          </cell>
          <cell r="AK10">
            <v>37256</v>
          </cell>
          <cell r="AL10">
            <v>36981</v>
          </cell>
          <cell r="AM10">
            <v>37256</v>
          </cell>
          <cell r="AN10">
            <v>37071</v>
          </cell>
          <cell r="AO10">
            <v>36891</v>
          </cell>
          <cell r="AP10">
            <v>37009</v>
          </cell>
          <cell r="AQ10">
            <v>37009</v>
          </cell>
          <cell r="AR10">
            <v>37009</v>
          </cell>
          <cell r="AS10">
            <v>37256</v>
          </cell>
          <cell r="AT10">
            <v>37256</v>
          </cell>
          <cell r="AU10">
            <v>37072</v>
          </cell>
          <cell r="AV10">
            <v>37072</v>
          </cell>
          <cell r="AW10">
            <v>36891</v>
          </cell>
          <cell r="AX10">
            <v>36891</v>
          </cell>
          <cell r="AY10">
            <v>36891</v>
          </cell>
          <cell r="AZ10">
            <v>36891</v>
          </cell>
          <cell r="BA10">
            <v>36891</v>
          </cell>
          <cell r="BB10">
            <v>36891</v>
          </cell>
          <cell r="BC10">
            <v>36891</v>
          </cell>
          <cell r="BD10">
            <v>36891</v>
          </cell>
          <cell r="BE10">
            <v>36891</v>
          </cell>
        </row>
        <row r="11">
          <cell r="H11" t="str">
            <v>PAYTON</v>
          </cell>
          <cell r="I11" t="str">
            <v>PAYTON</v>
          </cell>
          <cell r="J11" t="str">
            <v>PAYTON</v>
          </cell>
          <cell r="K11" t="str">
            <v>PAYTON</v>
          </cell>
          <cell r="L11" t="str">
            <v>PAYTON</v>
          </cell>
          <cell r="M11" t="str">
            <v>PAYTON</v>
          </cell>
          <cell r="N11" t="str">
            <v>PAYTON</v>
          </cell>
          <cell r="O11" t="str">
            <v>PAYTON</v>
          </cell>
          <cell r="P11" t="str">
            <v>PAYTON</v>
          </cell>
          <cell r="Q11" t="str">
            <v>PAYTON</v>
          </cell>
          <cell r="R11" t="str">
            <v>PAYTON</v>
          </cell>
          <cell r="S11" t="str">
            <v>PAYTON</v>
          </cell>
          <cell r="T11" t="str">
            <v>PAYTON</v>
          </cell>
          <cell r="U11" t="str">
            <v>Trap</v>
          </cell>
          <cell r="V11" t="str">
            <v>PAYTON</v>
          </cell>
          <cell r="W11" t="str">
            <v>Kaitlin</v>
          </cell>
          <cell r="X11" t="str">
            <v>Stanwick</v>
          </cell>
          <cell r="Y11" t="str">
            <v>Michael Min</v>
          </cell>
          <cell r="AB11" t="str">
            <v>Francesca</v>
          </cell>
          <cell r="AC11" t="str">
            <v>Francesca</v>
          </cell>
          <cell r="AD11" t="str">
            <v>Name</v>
          </cell>
          <cell r="AE11" t="str">
            <v>Michael Min</v>
          </cell>
          <cell r="AF11" t="str">
            <v>Dun</v>
          </cell>
          <cell r="AG11" t="str">
            <v>Michael Min</v>
          </cell>
          <cell r="AH11" t="str">
            <v>Francesca</v>
          </cell>
          <cell r="AJ11" t="str">
            <v>Francesca</v>
          </cell>
          <cell r="AK11" t="str">
            <v>Payton</v>
          </cell>
          <cell r="AL11" t="str">
            <v>Dun</v>
          </cell>
          <cell r="AM11" t="str">
            <v>Wilson</v>
          </cell>
          <cell r="AN11" t="str">
            <v>Payton</v>
          </cell>
          <cell r="AO11" t="str">
            <v>Name</v>
          </cell>
          <cell r="AP11" t="str">
            <v>PAYTON</v>
          </cell>
          <cell r="AQ11" t="str">
            <v>PAYTON</v>
          </cell>
          <cell r="AR11" t="str">
            <v>Michael Min</v>
          </cell>
          <cell r="AS11" t="str">
            <v>Francesca</v>
          </cell>
          <cell r="AT11" t="str">
            <v>Francesca</v>
          </cell>
          <cell r="AU11" t="str">
            <v>Francesca</v>
          </cell>
          <cell r="AV11" t="str">
            <v>Francesca</v>
          </cell>
          <cell r="AW11" t="str">
            <v>Name</v>
          </cell>
          <cell r="AX11" t="str">
            <v>Name</v>
          </cell>
          <cell r="AY11" t="str">
            <v>Name</v>
          </cell>
          <cell r="AZ11" t="str">
            <v>Name</v>
          </cell>
          <cell r="BA11" t="str">
            <v>Name</v>
          </cell>
          <cell r="BB11" t="str">
            <v>Name</v>
          </cell>
          <cell r="BC11" t="str">
            <v>Name</v>
          </cell>
          <cell r="BD11" t="str">
            <v>Name</v>
          </cell>
          <cell r="BE11" t="str">
            <v>Name</v>
          </cell>
        </row>
        <row r="12">
          <cell r="H12" t="str">
            <v>Y</v>
          </cell>
          <cell r="I12" t="str">
            <v>Y</v>
          </cell>
          <cell r="J12" t="str">
            <v>Y</v>
          </cell>
          <cell r="K12" t="str">
            <v>Y</v>
          </cell>
          <cell r="L12" t="str">
            <v>Y</v>
          </cell>
          <cell r="M12" t="str">
            <v>Y</v>
          </cell>
          <cell r="N12" t="str">
            <v>Y</v>
          </cell>
          <cell r="O12" t="str">
            <v>Y</v>
          </cell>
          <cell r="P12" t="str">
            <v>Y</v>
          </cell>
          <cell r="Q12" t="str">
            <v>Y</v>
          </cell>
          <cell r="R12" t="str">
            <v>Y</v>
          </cell>
          <cell r="S12" t="str">
            <v>Y</v>
          </cell>
          <cell r="T12" t="str">
            <v>Y</v>
          </cell>
          <cell r="U12" t="str">
            <v>Y</v>
          </cell>
          <cell r="V12" t="str">
            <v>Y</v>
          </cell>
          <cell r="W12" t="str">
            <v>Y</v>
          </cell>
          <cell r="X12" t="str">
            <v>Y</v>
          </cell>
          <cell r="Y12" t="str">
            <v>Y</v>
          </cell>
          <cell r="Z12" t="str">
            <v>Y</v>
          </cell>
          <cell r="AA12" t="str">
            <v>Y</v>
          </cell>
          <cell r="AB12" t="str">
            <v>Y</v>
          </cell>
          <cell r="AC12" t="str">
            <v>Y</v>
          </cell>
          <cell r="AD12" t="str">
            <v>Y</v>
          </cell>
          <cell r="AE12" t="str">
            <v>Y</v>
          </cell>
          <cell r="AF12" t="str">
            <v>Y</v>
          </cell>
          <cell r="AG12" t="str">
            <v>Y</v>
          </cell>
          <cell r="AH12" t="str">
            <v>Y</v>
          </cell>
          <cell r="AI12" t="str">
            <v>Y</v>
          </cell>
          <cell r="AJ12" t="str">
            <v>Y</v>
          </cell>
          <cell r="AK12" t="str">
            <v>Y</v>
          </cell>
          <cell r="AL12" t="str">
            <v>Y</v>
          </cell>
          <cell r="AM12" t="str">
            <v>Y</v>
          </cell>
          <cell r="AN12" t="str">
            <v>Y</v>
          </cell>
          <cell r="AO12" t="str">
            <v>Y</v>
          </cell>
          <cell r="AP12" t="str">
            <v>Y</v>
          </cell>
          <cell r="AQ12" t="str">
            <v>Y</v>
          </cell>
          <cell r="AR12" t="str">
            <v>Y</v>
          </cell>
          <cell r="AS12" t="str">
            <v>Y</v>
          </cell>
          <cell r="AT12" t="str">
            <v>Y</v>
          </cell>
          <cell r="AU12" t="str">
            <v>Y</v>
          </cell>
          <cell r="AV12" t="str">
            <v>Y</v>
          </cell>
          <cell r="AW12" t="str">
            <v>Y</v>
          </cell>
          <cell r="AX12" t="str">
            <v>Y</v>
          </cell>
          <cell r="AY12" t="str">
            <v>Y</v>
          </cell>
          <cell r="AZ12" t="str">
            <v>Y</v>
          </cell>
          <cell r="BA12" t="str">
            <v>Y</v>
          </cell>
          <cell r="BB12" t="str">
            <v>Y</v>
          </cell>
          <cell r="BC12" t="str">
            <v>Y</v>
          </cell>
          <cell r="BD12" t="str">
            <v>Y</v>
          </cell>
          <cell r="BE12" t="str">
            <v>Y</v>
          </cell>
        </row>
        <row r="13">
          <cell r="W13">
            <v>37207</v>
          </cell>
          <cell r="X13">
            <v>36891</v>
          </cell>
          <cell r="Y13">
            <v>37399</v>
          </cell>
          <cell r="AB13">
            <v>37393</v>
          </cell>
          <cell r="AC13">
            <v>37393</v>
          </cell>
          <cell r="AD13">
            <v>36891</v>
          </cell>
          <cell r="AE13">
            <v>37346</v>
          </cell>
          <cell r="AF13">
            <v>37393</v>
          </cell>
          <cell r="AG13">
            <v>37399</v>
          </cell>
          <cell r="AH13">
            <v>37347</v>
          </cell>
          <cell r="AJ13">
            <v>37393</v>
          </cell>
          <cell r="AK13">
            <v>37215</v>
          </cell>
          <cell r="AL13">
            <v>37341</v>
          </cell>
          <cell r="AM13">
            <v>37349</v>
          </cell>
          <cell r="AN13">
            <v>37207</v>
          </cell>
          <cell r="AO13">
            <v>36891</v>
          </cell>
          <cell r="AP13">
            <v>37089</v>
          </cell>
          <cell r="AQ13">
            <v>37089</v>
          </cell>
          <cell r="AR13">
            <v>37346</v>
          </cell>
          <cell r="AS13">
            <v>37427</v>
          </cell>
          <cell r="AT13">
            <v>37413</v>
          </cell>
          <cell r="AU13">
            <v>37393</v>
          </cell>
          <cell r="AV13">
            <v>37413</v>
          </cell>
          <cell r="AW13">
            <v>36891</v>
          </cell>
          <cell r="AX13">
            <v>36891</v>
          </cell>
          <cell r="AY13">
            <v>36891</v>
          </cell>
          <cell r="AZ13">
            <v>36891</v>
          </cell>
          <cell r="BA13">
            <v>36891</v>
          </cell>
          <cell r="BB13">
            <v>36891</v>
          </cell>
          <cell r="BC13">
            <v>36891</v>
          </cell>
          <cell r="BD13">
            <v>36891</v>
          </cell>
          <cell r="BE13">
            <v>36891</v>
          </cell>
        </row>
        <row r="14">
          <cell r="Y14" t="str">
            <v>JWT</v>
          </cell>
          <cell r="AB14" t="str">
            <v>JWT</v>
          </cell>
          <cell r="AC14" t="str">
            <v>JWT</v>
          </cell>
          <cell r="AE14" t="str">
            <v>JWT</v>
          </cell>
          <cell r="AF14" t="str">
            <v>JWT</v>
          </cell>
          <cell r="AG14" t="str">
            <v>JWT</v>
          </cell>
          <cell r="AJ14" t="str">
            <v>JWT</v>
          </cell>
          <cell r="AK14" t="str">
            <v>JWT</v>
          </cell>
          <cell r="AL14" t="str">
            <v>JWT</v>
          </cell>
          <cell r="AM14" t="str">
            <v>OZ</v>
          </cell>
          <cell r="AN14" t="str">
            <v>NO</v>
          </cell>
          <cell r="AP14" t="str">
            <v>JWT</v>
          </cell>
          <cell r="AQ14" t="str">
            <v>JWT</v>
          </cell>
          <cell r="AR14" t="str">
            <v>JWT</v>
          </cell>
          <cell r="AV14" t="str">
            <v>JWT</v>
          </cell>
        </row>
        <row r="15">
          <cell r="H15" t="str">
            <v>Lab products</v>
          </cell>
          <cell r="I15" t="str">
            <v>Lab products</v>
          </cell>
          <cell r="J15" t="str">
            <v>Lab products</v>
          </cell>
          <cell r="K15" t="str">
            <v>Lab products</v>
          </cell>
          <cell r="L15" t="str">
            <v>Lab products</v>
          </cell>
          <cell r="M15" t="str">
            <v>Lab products</v>
          </cell>
          <cell r="N15" t="str">
            <v>Company Description</v>
          </cell>
          <cell r="O15" t="str">
            <v>Lab products</v>
          </cell>
          <cell r="P15" t="str">
            <v>Lab products</v>
          </cell>
          <cell r="Q15" t="str">
            <v>Lab products</v>
          </cell>
          <cell r="R15" t="str">
            <v>Lab products</v>
          </cell>
          <cell r="S15" t="str">
            <v>Lab products</v>
          </cell>
          <cell r="T15" t="str">
            <v>Lab products</v>
          </cell>
          <cell r="U15" t="str">
            <v>Lab products</v>
          </cell>
          <cell r="V15" t="str">
            <v>Lab products</v>
          </cell>
          <cell r="W15" t="str">
            <v>Lab products</v>
          </cell>
          <cell r="X15" t="str">
            <v>Lab products</v>
          </cell>
          <cell r="Z15" t="str">
            <v>Warehouse adjusted</v>
          </cell>
          <cell r="AA15" t="str">
            <v xml:space="preserve"> </v>
          </cell>
          <cell r="AD15" t="str">
            <v>Company Description</v>
          </cell>
          <cell r="AE15" t="str">
            <v xml:space="preserve"> </v>
          </cell>
          <cell r="AK15" t="str">
            <v xml:space="preserve"> </v>
          </cell>
          <cell r="AM15" t="str">
            <v>Lab products</v>
          </cell>
          <cell r="AN15" t="str">
            <v>No warehouse disclosure</v>
          </cell>
          <cell r="AO15" t="str">
            <v>Company Description</v>
          </cell>
          <cell r="AP15" t="str">
            <v>Dental supply distributors</v>
          </cell>
          <cell r="AQ15" t="str">
            <v>Veterinary supplies distributors</v>
          </cell>
          <cell r="AR15" t="str">
            <v>Dental supply distributors</v>
          </cell>
          <cell r="AW15" t="str">
            <v>Company Description</v>
          </cell>
          <cell r="AX15" t="str">
            <v>Company Description</v>
          </cell>
          <cell r="AY15" t="str">
            <v>Company Description</v>
          </cell>
          <cell r="AZ15" t="str">
            <v>Company Description</v>
          </cell>
          <cell r="BA15" t="str">
            <v>Company Description</v>
          </cell>
          <cell r="BB15" t="str">
            <v>Company Description</v>
          </cell>
          <cell r="BC15" t="str">
            <v>Company Description</v>
          </cell>
          <cell r="BD15" t="str">
            <v>Company Description</v>
          </cell>
          <cell r="BE15" t="str">
            <v>Company Description</v>
          </cell>
        </row>
        <row r="16">
          <cell r="H16" t="str">
            <v>notes</v>
          </cell>
          <cell r="I16" t="str">
            <v>notes</v>
          </cell>
          <cell r="J16" t="str">
            <v>notes</v>
          </cell>
          <cell r="K16" t="str">
            <v>notes</v>
          </cell>
          <cell r="L16" t="str">
            <v>notes</v>
          </cell>
          <cell r="M16" t="str">
            <v>notes</v>
          </cell>
          <cell r="N16" t="str">
            <v>notes</v>
          </cell>
          <cell r="O16" t="str">
            <v>LTM EPS and proj. EPS are trending correctly per IBES.</v>
          </cell>
          <cell r="P16" t="str">
            <v>Not PF for acquisition of the Filtration and Separtions business, NS</v>
          </cell>
          <cell r="Q16" t="str">
            <v>Not proforma for acquisitions in 2001 b/c it's not material</v>
          </cell>
          <cell r="R16" t="str">
            <v>Engaged in share repurchase program by issuing additional debt; check news for adjustments</v>
          </cell>
          <cell r="S16" t="str">
            <v>notes</v>
          </cell>
          <cell r="T16" t="str">
            <v>notes</v>
          </cell>
          <cell r="U16" t="str">
            <v>notes</v>
          </cell>
          <cell r="W16" t="str">
            <v>pro forma for Dexter purchase on 9/00 - PLEASE NOTE ASSUMPTIONS</v>
          </cell>
          <cell r="X16" t="str">
            <v>Pro forma for IPO spinoff of sub-division</v>
          </cell>
          <cell r="Y16" t="str">
            <v>notes</v>
          </cell>
          <cell r="Z16" t="str">
            <v>notes</v>
          </cell>
          <cell r="AA16" t="str">
            <v>notes</v>
          </cell>
          <cell r="AB16" t="str">
            <v>PRO FORMA FOR BBC ACQUISITION 3/19/01</v>
          </cell>
          <cell r="AC16" t="str">
            <v>notes</v>
          </cell>
          <cell r="AD16" t="str">
            <v>notes</v>
          </cell>
          <cell r="AE16" t="str">
            <v>notes</v>
          </cell>
          <cell r="AF16" t="str">
            <v>notes</v>
          </cell>
          <cell r="AH16" t="str">
            <v>notes</v>
          </cell>
          <cell r="AI16" t="str">
            <v>notes</v>
          </cell>
          <cell r="AJ16" t="str">
            <v>notes</v>
          </cell>
          <cell r="AK16" t="str">
            <v>Note</v>
          </cell>
          <cell r="AL16" t="str">
            <v>Pro forma for the $400 million debt offering on Jan. 29 2002</v>
          </cell>
          <cell r="AM16" t="str">
            <v>Engaged in share repurchase program by issuing additional debt; check news for adjustments</v>
          </cell>
          <cell r="AN16" t="str">
            <v>PF for diagnostic product spinoff effective 6/30/00 and Home Services Medical subsidiary</v>
          </cell>
          <cell r="AO16" t="str">
            <v>notes</v>
          </cell>
          <cell r="AP16" t="str">
            <v>Pro forma for acquisition of Webster</v>
          </cell>
          <cell r="AS16" t="str">
            <v>notes</v>
          </cell>
          <cell r="AT16" t="str">
            <v>notes</v>
          </cell>
          <cell r="AU16" t="str">
            <v>notes</v>
          </cell>
          <cell r="AW16" t="str">
            <v>notes</v>
          </cell>
          <cell r="AX16" t="str">
            <v>notes</v>
          </cell>
          <cell r="AY16" t="str">
            <v>notes</v>
          </cell>
          <cell r="AZ16" t="str">
            <v>notes</v>
          </cell>
          <cell r="BA16" t="str">
            <v>notes</v>
          </cell>
          <cell r="BB16" t="str">
            <v>notes</v>
          </cell>
          <cell r="BC16" t="str">
            <v>notes</v>
          </cell>
          <cell r="BD16" t="str">
            <v>notes</v>
          </cell>
          <cell r="BE16" t="str">
            <v>notes</v>
          </cell>
        </row>
        <row r="17">
          <cell r="S17" t="str">
            <v xml:space="preserve"> </v>
          </cell>
          <cell r="W17" t="str">
            <v>EXCLUDES AMORTIZATION to match Wall Street research</v>
          </cell>
          <cell r="X17" t="str">
            <v>Decreasing EPS is consistent with IBES estimates for 2000/LTM to 2001</v>
          </cell>
        </row>
        <row r="19">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7.4999999999999997E-2</v>
          </cell>
          <cell r="Z19">
            <v>8.5000000000000006E-2</v>
          </cell>
          <cell r="AA19">
            <v>0</v>
          </cell>
          <cell r="AB19">
            <v>7.0000000000000007E-2</v>
          </cell>
          <cell r="AC19">
            <v>0.08</v>
          </cell>
          <cell r="AD19">
            <v>8.5000000000000006E-2</v>
          </cell>
          <cell r="AE19">
            <v>8.5000000000000006E-2</v>
          </cell>
          <cell r="AF19">
            <v>6.5000000000000002E-2</v>
          </cell>
          <cell r="AG19">
            <v>0</v>
          </cell>
          <cell r="AH19">
            <v>0.08</v>
          </cell>
          <cell r="AI19">
            <v>8.5000000000000006E-2</v>
          </cell>
          <cell r="AJ19">
            <v>0.08</v>
          </cell>
          <cell r="AK19">
            <v>0.08</v>
          </cell>
          <cell r="AL19">
            <v>6.5000000000000002E-2</v>
          </cell>
          <cell r="AM19">
            <v>0</v>
          </cell>
          <cell r="AN19">
            <v>8.5000000000000006E-2</v>
          </cell>
          <cell r="AO19">
            <v>8.5000000000000006E-2</v>
          </cell>
          <cell r="AP19">
            <v>0.09</v>
          </cell>
          <cell r="AQ19">
            <v>8.5000000000000006E-2</v>
          </cell>
          <cell r="AR19">
            <v>7.4999999999999997E-2</v>
          </cell>
          <cell r="AS19">
            <v>8.5000000000000006E-2</v>
          </cell>
          <cell r="AT19">
            <v>8.5000000000000006E-2</v>
          </cell>
          <cell r="AU19">
            <v>6.5000000000000002E-2</v>
          </cell>
          <cell r="AV19">
            <v>6.5000000000000002E-2</v>
          </cell>
          <cell r="AW19">
            <v>0</v>
          </cell>
          <cell r="AX19">
            <v>0</v>
          </cell>
          <cell r="AY19">
            <v>0</v>
          </cell>
          <cell r="AZ19">
            <v>0</v>
          </cell>
          <cell r="BA19">
            <v>0</v>
          </cell>
          <cell r="BB19">
            <v>0</v>
          </cell>
          <cell r="BC19">
            <v>0</v>
          </cell>
          <cell r="BD19">
            <v>0</v>
          </cell>
          <cell r="BE19">
            <v>0</v>
          </cell>
        </row>
        <row r="20">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2.5000000000000001E-2</v>
          </cell>
          <cell r="Z20">
            <v>2.5000000000000001E-2</v>
          </cell>
          <cell r="AA20">
            <v>2.5000000000000001E-2</v>
          </cell>
          <cell r="AB20">
            <v>2.5000000000000001E-2</v>
          </cell>
          <cell r="AC20">
            <v>2.5000000000000001E-2</v>
          </cell>
          <cell r="AD20">
            <v>2.5000000000000001E-2</v>
          </cell>
          <cell r="AE20">
            <v>2.5000000000000001E-2</v>
          </cell>
          <cell r="AF20">
            <v>2.5000000000000001E-2</v>
          </cell>
          <cell r="AG20">
            <v>0</v>
          </cell>
          <cell r="AH20">
            <v>2.5000000000000001E-2</v>
          </cell>
          <cell r="AI20">
            <v>2.5000000000000001E-2</v>
          </cell>
          <cell r="AJ20">
            <v>2.5000000000000001E-2</v>
          </cell>
          <cell r="AK20">
            <v>2.5000000000000001E-2</v>
          </cell>
          <cell r="AL20">
            <v>2.5000000000000001E-2</v>
          </cell>
          <cell r="AM20">
            <v>0</v>
          </cell>
          <cell r="AN20">
            <v>2.5000000000000001E-2</v>
          </cell>
          <cell r="AO20">
            <v>2.5000000000000001E-2</v>
          </cell>
          <cell r="AP20">
            <v>2.5000000000000001E-2</v>
          </cell>
          <cell r="AQ20">
            <v>2.5000000000000001E-2</v>
          </cell>
          <cell r="AR20">
            <v>2.5000000000000001E-2</v>
          </cell>
          <cell r="AS20">
            <v>2.5000000000000001E-2</v>
          </cell>
          <cell r="AT20">
            <v>2.5000000000000001E-2</v>
          </cell>
          <cell r="AU20">
            <v>2.5000000000000001E-2</v>
          </cell>
          <cell r="AV20">
            <v>2.5000000000000001E-2</v>
          </cell>
          <cell r="AW20">
            <v>0</v>
          </cell>
          <cell r="AX20">
            <v>0</v>
          </cell>
          <cell r="AY20">
            <v>0</v>
          </cell>
          <cell r="AZ20">
            <v>0</v>
          </cell>
          <cell r="BA20">
            <v>0</v>
          </cell>
          <cell r="BB20">
            <v>0</v>
          </cell>
          <cell r="BC20">
            <v>0</v>
          </cell>
          <cell r="BD20">
            <v>0</v>
          </cell>
          <cell r="BE20">
            <v>0</v>
          </cell>
        </row>
        <row r="21">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1</v>
          </cell>
          <cell r="Z21">
            <v>1</v>
          </cell>
          <cell r="AA21">
            <v>0</v>
          </cell>
          <cell r="AB21">
            <v>1</v>
          </cell>
          <cell r="AC21">
            <v>1</v>
          </cell>
          <cell r="AD21">
            <v>1</v>
          </cell>
          <cell r="AE21">
            <v>1</v>
          </cell>
          <cell r="AF21">
            <v>1</v>
          </cell>
          <cell r="AG21">
            <v>0</v>
          </cell>
          <cell r="AH21">
            <v>1</v>
          </cell>
          <cell r="AI21">
            <v>1</v>
          </cell>
          <cell r="AJ21">
            <v>1</v>
          </cell>
          <cell r="AK21">
            <v>1</v>
          </cell>
          <cell r="AL21">
            <v>1</v>
          </cell>
          <cell r="AM21">
            <v>0</v>
          </cell>
          <cell r="AN21">
            <v>1</v>
          </cell>
          <cell r="AO21">
            <v>1</v>
          </cell>
          <cell r="AP21">
            <v>20</v>
          </cell>
          <cell r="AQ21">
            <v>1</v>
          </cell>
          <cell r="AR21">
            <v>1</v>
          </cell>
          <cell r="AS21">
            <v>1</v>
          </cell>
          <cell r="AT21">
            <v>1</v>
          </cell>
          <cell r="AU21">
            <v>1</v>
          </cell>
          <cell r="AV21">
            <v>1</v>
          </cell>
          <cell r="AW21">
            <v>0</v>
          </cell>
          <cell r="AX21">
            <v>0</v>
          </cell>
          <cell r="AY21">
            <v>0</v>
          </cell>
          <cell r="AZ21">
            <v>0</v>
          </cell>
          <cell r="BA21">
            <v>0</v>
          </cell>
          <cell r="BB21">
            <v>0</v>
          </cell>
          <cell r="BC21">
            <v>0</v>
          </cell>
          <cell r="BD21">
            <v>0</v>
          </cell>
          <cell r="BE21">
            <v>0</v>
          </cell>
        </row>
        <row r="22">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20</v>
          </cell>
          <cell r="Z22">
            <v>20</v>
          </cell>
          <cell r="AA22">
            <v>0</v>
          </cell>
          <cell r="AB22">
            <v>20</v>
          </cell>
          <cell r="AC22">
            <v>20</v>
          </cell>
          <cell r="AD22">
            <v>20</v>
          </cell>
          <cell r="AE22">
            <v>20</v>
          </cell>
          <cell r="AF22">
            <v>20</v>
          </cell>
          <cell r="AG22">
            <v>0</v>
          </cell>
          <cell r="AH22">
            <v>20</v>
          </cell>
          <cell r="AI22">
            <v>20</v>
          </cell>
          <cell r="AJ22">
            <v>20</v>
          </cell>
          <cell r="AK22">
            <v>20</v>
          </cell>
          <cell r="AL22">
            <v>20</v>
          </cell>
          <cell r="AM22">
            <v>0</v>
          </cell>
          <cell r="AN22">
            <v>20</v>
          </cell>
          <cell r="AO22">
            <v>20</v>
          </cell>
          <cell r="AP22">
            <v>0</v>
          </cell>
          <cell r="AQ22">
            <v>20</v>
          </cell>
          <cell r="AR22">
            <v>20</v>
          </cell>
          <cell r="AS22">
            <v>20</v>
          </cell>
          <cell r="AT22">
            <v>20</v>
          </cell>
          <cell r="AU22">
            <v>20</v>
          </cell>
          <cell r="AV22">
            <v>20</v>
          </cell>
          <cell r="AW22">
            <v>0</v>
          </cell>
          <cell r="AX22">
            <v>0</v>
          </cell>
          <cell r="AY22">
            <v>0</v>
          </cell>
          <cell r="AZ22">
            <v>0</v>
          </cell>
          <cell r="BA22">
            <v>0</v>
          </cell>
          <cell r="BB22">
            <v>0</v>
          </cell>
          <cell r="BC22">
            <v>0</v>
          </cell>
          <cell r="BD22">
            <v>0</v>
          </cell>
          <cell r="BE22">
            <v>0</v>
          </cell>
        </row>
        <row r="23">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0.4</v>
          </cell>
          <cell r="Z23">
            <v>0.4</v>
          </cell>
          <cell r="AA23">
            <v>0</v>
          </cell>
          <cell r="AB23">
            <v>0.4</v>
          </cell>
          <cell r="AC23">
            <v>0.4</v>
          </cell>
          <cell r="AD23">
            <v>0.4</v>
          </cell>
          <cell r="AE23">
            <v>0.4</v>
          </cell>
          <cell r="AF23">
            <v>0.4</v>
          </cell>
          <cell r="AG23">
            <v>0</v>
          </cell>
          <cell r="AH23">
            <v>0.4</v>
          </cell>
          <cell r="AI23">
            <v>0.4</v>
          </cell>
          <cell r="AJ23">
            <v>0.4</v>
          </cell>
          <cell r="AK23">
            <v>0.4</v>
          </cell>
          <cell r="AL23">
            <v>0.4</v>
          </cell>
          <cell r="AM23">
            <v>0</v>
          </cell>
          <cell r="AN23">
            <v>0.4</v>
          </cell>
          <cell r="AO23">
            <v>0.4</v>
          </cell>
          <cell r="AP23">
            <v>0</v>
          </cell>
          <cell r="AQ23">
            <v>0.4</v>
          </cell>
          <cell r="AR23">
            <v>0.4</v>
          </cell>
          <cell r="AS23">
            <v>0.4</v>
          </cell>
          <cell r="AT23">
            <v>0.4</v>
          </cell>
          <cell r="AU23">
            <v>0.4</v>
          </cell>
          <cell r="AV23">
            <v>0.4</v>
          </cell>
          <cell r="AW23">
            <v>0</v>
          </cell>
          <cell r="AX23">
            <v>0</v>
          </cell>
          <cell r="AY23">
            <v>0</v>
          </cell>
          <cell r="AZ23">
            <v>0</v>
          </cell>
          <cell r="BA23">
            <v>0</v>
          </cell>
          <cell r="BB23">
            <v>0</v>
          </cell>
          <cell r="BC23">
            <v>0</v>
          </cell>
          <cell r="BD23">
            <v>0</v>
          </cell>
          <cell r="BE23">
            <v>0</v>
          </cell>
        </row>
        <row r="24">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row>
        <row r="25">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row>
        <row r="27">
          <cell r="V27">
            <v>1000</v>
          </cell>
        </row>
        <row r="30">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row>
        <row r="31">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row>
        <row r="32">
          <cell r="H32" t="str">
            <v>MODEL</v>
          </cell>
          <cell r="I32">
            <v>37437</v>
          </cell>
          <cell r="J32">
            <v>37437</v>
          </cell>
          <cell r="L32">
            <v>37437</v>
          </cell>
          <cell r="P32">
            <v>37437</v>
          </cell>
          <cell r="Q32">
            <v>37437</v>
          </cell>
          <cell r="R32">
            <v>37437</v>
          </cell>
        </row>
        <row r="33">
          <cell r="J33" t="str">
            <v>MODEL</v>
          </cell>
          <cell r="L33" t="str">
            <v>PRESS RELEASE</v>
          </cell>
          <cell r="P33" t="str">
            <v>PRESS RELEASE</v>
          </cell>
          <cell r="Q33" t="str">
            <v>PRESS RELEASE</v>
          </cell>
          <cell r="R33" t="str">
            <v>PRESS RELEASE</v>
          </cell>
        </row>
        <row r="34">
          <cell r="H34">
            <v>37256</v>
          </cell>
          <cell r="I34">
            <v>37256</v>
          </cell>
          <cell r="J34">
            <v>37437</v>
          </cell>
          <cell r="K34">
            <v>37256</v>
          </cell>
          <cell r="L34">
            <v>37256</v>
          </cell>
          <cell r="M34">
            <v>37256</v>
          </cell>
          <cell r="N34">
            <v>37256</v>
          </cell>
          <cell r="O34">
            <v>37256</v>
          </cell>
          <cell r="P34">
            <v>37256</v>
          </cell>
          <cell r="Q34">
            <v>37256</v>
          </cell>
          <cell r="R34">
            <v>37256</v>
          </cell>
          <cell r="S34">
            <v>37256</v>
          </cell>
          <cell r="T34">
            <v>37256</v>
          </cell>
          <cell r="U34">
            <v>37256</v>
          </cell>
          <cell r="V34">
            <v>37437</v>
          </cell>
          <cell r="W34">
            <v>37256</v>
          </cell>
          <cell r="X34">
            <v>37256</v>
          </cell>
          <cell r="Y34">
            <v>37345</v>
          </cell>
          <cell r="AB34">
            <v>37346</v>
          </cell>
          <cell r="AC34">
            <v>37346</v>
          </cell>
          <cell r="AD34">
            <v>36891</v>
          </cell>
          <cell r="AE34">
            <v>37253</v>
          </cell>
          <cell r="AF34">
            <v>37345</v>
          </cell>
          <cell r="AG34">
            <v>37346</v>
          </cell>
          <cell r="AJ34">
            <v>37256</v>
          </cell>
          <cell r="AK34">
            <v>37437</v>
          </cell>
          <cell r="AL34">
            <v>37256</v>
          </cell>
          <cell r="AM34">
            <v>37256</v>
          </cell>
          <cell r="AN34">
            <v>37162</v>
          </cell>
          <cell r="AO34">
            <v>36891</v>
          </cell>
          <cell r="AP34">
            <v>37009</v>
          </cell>
          <cell r="AQ34">
            <v>37009</v>
          </cell>
          <cell r="AR34">
            <v>37434</v>
          </cell>
          <cell r="AV34">
            <v>37346</v>
          </cell>
          <cell r="AW34">
            <v>36891</v>
          </cell>
          <cell r="AX34">
            <v>36891</v>
          </cell>
          <cell r="AY34">
            <v>36891</v>
          </cell>
          <cell r="AZ34">
            <v>36891</v>
          </cell>
          <cell r="BA34">
            <v>36891</v>
          </cell>
          <cell r="BB34">
            <v>36891</v>
          </cell>
          <cell r="BC34">
            <v>36891</v>
          </cell>
          <cell r="BD34">
            <v>36891</v>
          </cell>
          <cell r="BE34">
            <v>36891</v>
          </cell>
        </row>
        <row r="36">
          <cell r="Q36" t="str">
            <v xml:space="preserve">GAAP </v>
          </cell>
          <cell r="AJ36">
            <v>27145.618999999999</v>
          </cell>
        </row>
        <row r="37">
          <cell r="Q37" t="str">
            <v>REPORTED</v>
          </cell>
          <cell r="AB37" t="str">
            <v>x</v>
          </cell>
          <cell r="AV37" t="str">
            <v>x</v>
          </cell>
          <cell r="AX37">
            <v>112891000</v>
          </cell>
        </row>
        <row r="38">
          <cell r="H38">
            <v>59.207999999999998</v>
          </cell>
          <cell r="I38">
            <v>145.916</v>
          </cell>
          <cell r="J38">
            <v>42.494525000000003</v>
          </cell>
          <cell r="K38">
            <v>26.085000000000001</v>
          </cell>
          <cell r="L38">
            <v>60.100999999999999</v>
          </cell>
          <cell r="M38">
            <v>213.28299999999999</v>
          </cell>
          <cell r="N38">
            <v>45.409689999999998</v>
          </cell>
          <cell r="O38">
            <v>15.414</v>
          </cell>
          <cell r="P38">
            <v>125.556</v>
          </cell>
          <cell r="Q38">
            <v>186.74</v>
          </cell>
          <cell r="R38">
            <v>35.048999999999999</v>
          </cell>
          <cell r="S38">
            <v>136.77799999999999</v>
          </cell>
          <cell r="T38">
            <v>57.9</v>
          </cell>
          <cell r="U38">
            <v>16.077313</v>
          </cell>
          <cell r="V38">
            <v>28.199946000000001</v>
          </cell>
          <cell r="W38">
            <v>52.961227999999998</v>
          </cell>
          <cell r="X38">
            <v>47.744526999999998</v>
          </cell>
          <cell r="Y38">
            <v>44.61</v>
          </cell>
          <cell r="Z38">
            <v>135.58958899999999</v>
          </cell>
          <cell r="AA38">
            <v>53.001061999999997</v>
          </cell>
          <cell r="AB38">
            <v>112.89100000000001</v>
          </cell>
          <cell r="AC38">
            <v>40.850999999999999</v>
          </cell>
          <cell r="AD38">
            <v>0</v>
          </cell>
          <cell r="AE38">
            <v>71.217195000000004</v>
          </cell>
          <cell r="AF38">
            <v>44.747</v>
          </cell>
          <cell r="AG38">
            <v>24.778272999999999</v>
          </cell>
          <cell r="AH38">
            <v>26.098680000000002</v>
          </cell>
          <cell r="AI38">
            <v>0</v>
          </cell>
          <cell r="AJ38">
            <v>31.284690000000001</v>
          </cell>
          <cell r="AK38">
            <v>57.9</v>
          </cell>
          <cell r="AL38">
            <v>301</v>
          </cell>
          <cell r="AM38">
            <v>73.771000000000001</v>
          </cell>
          <cell r="AN38">
            <v>12.315314000000001</v>
          </cell>
          <cell r="AR38">
            <v>68.506</v>
          </cell>
          <cell r="AS38">
            <v>12.884701959999999</v>
          </cell>
          <cell r="AT38">
            <v>0</v>
          </cell>
          <cell r="AU38">
            <v>0</v>
          </cell>
          <cell r="AV38">
            <v>460</v>
          </cell>
          <cell r="AW38">
            <v>0</v>
          </cell>
          <cell r="AY38">
            <v>0</v>
          </cell>
          <cell r="AZ38">
            <v>0</v>
          </cell>
          <cell r="BA38">
            <v>0</v>
          </cell>
          <cell r="BB38">
            <v>0</v>
          </cell>
          <cell r="BC38">
            <v>0</v>
          </cell>
          <cell r="BD38">
            <v>0</v>
          </cell>
          <cell r="BE38">
            <v>0</v>
          </cell>
        </row>
        <row r="39">
          <cell r="H39">
            <v>0</v>
          </cell>
          <cell r="I39">
            <v>0</v>
          </cell>
          <cell r="J39">
            <v>0</v>
          </cell>
          <cell r="K39">
            <v>0</v>
          </cell>
          <cell r="L39">
            <v>0</v>
          </cell>
          <cell r="M39">
            <v>0</v>
          </cell>
          <cell r="N39">
            <v>0</v>
          </cell>
          <cell r="O39">
            <v>0</v>
          </cell>
          <cell r="P39">
            <v>0</v>
          </cell>
          <cell r="Q39">
            <v>0</v>
          </cell>
          <cell r="R39">
            <v>0</v>
          </cell>
          <cell r="S39">
            <v>0</v>
          </cell>
          <cell r="T39">
            <v>0</v>
          </cell>
          <cell r="U39">
            <v>2.5030000000000001</v>
          </cell>
          <cell r="V39">
            <v>0</v>
          </cell>
          <cell r="W39">
            <v>5.6609999999999996</v>
          </cell>
          <cell r="X39">
            <v>5.0519999999999996</v>
          </cell>
          <cell r="Y39">
            <v>5.1552319999999998</v>
          </cell>
          <cell r="Z39">
            <v>8.721584</v>
          </cell>
          <cell r="AA39">
            <v>3.6339999999999999</v>
          </cell>
          <cell r="AC39">
            <v>2.2189999999999999</v>
          </cell>
          <cell r="AD39">
            <v>0</v>
          </cell>
          <cell r="AE39">
            <v>6.3520000000000012</v>
          </cell>
          <cell r="AG39">
            <v>7.7510000000000003</v>
          </cell>
          <cell r="AH39">
            <v>1.796775</v>
          </cell>
          <cell r="AI39">
            <v>0</v>
          </cell>
          <cell r="AJ39">
            <v>1.796775</v>
          </cell>
          <cell r="AL39">
            <v>60.732304999999997</v>
          </cell>
          <cell r="AM39">
            <v>3.5651830000000002</v>
          </cell>
          <cell r="AN39">
            <v>2.4042520000000001</v>
          </cell>
          <cell r="AO39">
            <v>0</v>
          </cell>
          <cell r="AR39">
            <v>0.95021299999999997</v>
          </cell>
          <cell r="AS39">
            <v>4.0305200000000001</v>
          </cell>
          <cell r="AT39">
            <v>0</v>
          </cell>
          <cell r="AU39">
            <v>0</v>
          </cell>
          <cell r="AW39">
            <v>0</v>
          </cell>
          <cell r="AX39">
            <v>0</v>
          </cell>
          <cell r="AY39">
            <v>0</v>
          </cell>
          <cell r="AZ39">
            <v>0</v>
          </cell>
          <cell r="BA39">
            <v>0</v>
          </cell>
          <cell r="BB39">
            <v>0</v>
          </cell>
          <cell r="BC39">
            <v>0</v>
          </cell>
          <cell r="BD39">
            <v>0</v>
          </cell>
          <cell r="BE39">
            <v>0</v>
          </cell>
        </row>
        <row r="40">
          <cell r="H40">
            <v>0</v>
          </cell>
          <cell r="I40">
            <v>0</v>
          </cell>
          <cell r="J40">
            <v>0</v>
          </cell>
          <cell r="K40">
            <v>0</v>
          </cell>
          <cell r="L40">
            <v>0</v>
          </cell>
          <cell r="M40">
            <v>0</v>
          </cell>
          <cell r="N40">
            <v>0</v>
          </cell>
          <cell r="O40">
            <v>0</v>
          </cell>
          <cell r="P40">
            <v>0</v>
          </cell>
          <cell r="Q40">
            <v>0</v>
          </cell>
          <cell r="R40">
            <v>0</v>
          </cell>
          <cell r="S40">
            <v>0</v>
          </cell>
          <cell r="T40">
            <v>0</v>
          </cell>
          <cell r="U40">
            <v>18.14</v>
          </cell>
          <cell r="V40">
            <v>0</v>
          </cell>
          <cell r="W40">
            <v>46.72</v>
          </cell>
          <cell r="X40">
            <v>36.450000000000003</v>
          </cell>
          <cell r="Y40">
            <v>22.4</v>
          </cell>
          <cell r="Z40">
            <v>13.83</v>
          </cell>
          <cell r="AA40">
            <v>24</v>
          </cell>
          <cell r="AB40">
            <v>42</v>
          </cell>
          <cell r="AC40">
            <v>13.46</v>
          </cell>
          <cell r="AD40">
            <v>0</v>
          </cell>
          <cell r="AE40">
            <v>10.304480478589419</v>
          </cell>
          <cell r="AF40">
            <v>26.04</v>
          </cell>
          <cell r="AG40">
            <v>18.55</v>
          </cell>
          <cell r="AH40">
            <v>13.52</v>
          </cell>
          <cell r="AI40">
            <v>0</v>
          </cell>
          <cell r="AJ40">
            <v>13.52</v>
          </cell>
          <cell r="AL40">
            <v>39.36</v>
          </cell>
          <cell r="AM40">
            <v>32.39</v>
          </cell>
          <cell r="AN40">
            <v>9.9</v>
          </cell>
          <cell r="AO40">
            <v>0</v>
          </cell>
          <cell r="AR40">
            <v>20.514070571545538</v>
          </cell>
          <cell r="AS40">
            <v>9.6460000000000008</v>
          </cell>
          <cell r="AT40">
            <v>0</v>
          </cell>
          <cell r="AU40">
            <v>0</v>
          </cell>
          <cell r="AV40">
            <v>34.83</v>
          </cell>
          <cell r="AW40">
            <v>0</v>
          </cell>
          <cell r="AX40">
            <v>0</v>
          </cell>
          <cell r="AY40">
            <v>0</v>
          </cell>
          <cell r="AZ40">
            <v>0</v>
          </cell>
          <cell r="BA40">
            <v>0</v>
          </cell>
          <cell r="BB40">
            <v>0</v>
          </cell>
          <cell r="BC40">
            <v>0</v>
          </cell>
          <cell r="BD40">
            <v>0</v>
          </cell>
          <cell r="BE40">
            <v>0</v>
          </cell>
        </row>
        <row r="41">
          <cell r="H41">
            <v>0</v>
          </cell>
          <cell r="I41">
            <v>0</v>
          </cell>
          <cell r="J41">
            <v>0</v>
          </cell>
          <cell r="K41">
            <v>0</v>
          </cell>
          <cell r="L41">
            <v>0</v>
          </cell>
          <cell r="M41">
            <v>0</v>
          </cell>
          <cell r="N41">
            <v>0</v>
          </cell>
          <cell r="O41">
            <v>0</v>
          </cell>
          <cell r="P41">
            <v>0</v>
          </cell>
          <cell r="Q41">
            <v>0</v>
          </cell>
          <cell r="R41">
            <v>0</v>
          </cell>
          <cell r="S41">
            <v>0</v>
          </cell>
          <cell r="T41">
            <v>0</v>
          </cell>
          <cell r="U41">
            <v>0.44</v>
          </cell>
          <cell r="V41">
            <v>0</v>
          </cell>
          <cell r="W41">
            <v>0</v>
          </cell>
          <cell r="X41">
            <v>0</v>
          </cell>
          <cell r="Y41">
            <v>0</v>
          </cell>
          <cell r="Z41">
            <v>0</v>
          </cell>
          <cell r="AA41">
            <v>0</v>
          </cell>
          <cell r="AB41">
            <v>0</v>
          </cell>
          <cell r="AC41">
            <v>0</v>
          </cell>
          <cell r="AD41">
            <v>0</v>
          </cell>
          <cell r="AE41">
            <v>0.78749999999999998</v>
          </cell>
          <cell r="AF41">
            <v>0</v>
          </cell>
          <cell r="AG41">
            <v>0</v>
          </cell>
          <cell r="AH41">
            <v>0</v>
          </cell>
          <cell r="AI41">
            <v>0</v>
          </cell>
          <cell r="AJ41">
            <v>0</v>
          </cell>
          <cell r="AL41">
            <v>0</v>
          </cell>
          <cell r="AM41">
            <v>0</v>
          </cell>
          <cell r="AN41">
            <v>0</v>
          </cell>
          <cell r="AO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row>
        <row r="42">
          <cell r="H42">
            <v>0</v>
          </cell>
          <cell r="I42">
            <v>0</v>
          </cell>
          <cell r="J42">
            <v>0</v>
          </cell>
          <cell r="K42">
            <v>0</v>
          </cell>
          <cell r="L42">
            <v>0</v>
          </cell>
          <cell r="M42">
            <v>0</v>
          </cell>
          <cell r="N42">
            <v>0</v>
          </cell>
          <cell r="O42">
            <v>0</v>
          </cell>
          <cell r="P42">
            <v>0</v>
          </cell>
          <cell r="Q42">
            <v>0</v>
          </cell>
          <cell r="R42">
            <v>0</v>
          </cell>
          <cell r="S42">
            <v>0</v>
          </cell>
          <cell r="T42">
            <v>0</v>
          </cell>
          <cell r="U42">
            <v>5.82</v>
          </cell>
          <cell r="V42">
            <v>0</v>
          </cell>
          <cell r="W42">
            <v>0</v>
          </cell>
          <cell r="X42">
            <v>0</v>
          </cell>
          <cell r="Y42">
            <v>0</v>
          </cell>
          <cell r="Z42">
            <v>0</v>
          </cell>
          <cell r="AA42">
            <v>0</v>
          </cell>
          <cell r="AB42">
            <v>0</v>
          </cell>
          <cell r="AC42">
            <v>0</v>
          </cell>
          <cell r="AD42">
            <v>0</v>
          </cell>
          <cell r="AE42">
            <v>14.8</v>
          </cell>
          <cell r="AF42">
            <v>0</v>
          </cell>
          <cell r="AG42">
            <v>0</v>
          </cell>
          <cell r="AH42">
            <v>0</v>
          </cell>
          <cell r="AI42">
            <v>0</v>
          </cell>
          <cell r="AJ42">
            <v>0</v>
          </cell>
          <cell r="AL42">
            <v>0</v>
          </cell>
          <cell r="AM42">
            <v>0</v>
          </cell>
          <cell r="AN42">
            <v>0</v>
          </cell>
          <cell r="AO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row>
        <row r="43">
          <cell r="Z43">
            <v>3.3</v>
          </cell>
          <cell r="AA43">
            <v>3.6339999999999999</v>
          </cell>
        </row>
        <row r="44">
          <cell r="Z44">
            <v>23.29</v>
          </cell>
          <cell r="AA44">
            <v>24</v>
          </cell>
        </row>
        <row r="45">
          <cell r="AB45" t="b">
            <v>0</v>
          </cell>
        </row>
        <row r="46">
          <cell r="H46" t="str">
            <v>N</v>
          </cell>
          <cell r="I46" t="str">
            <v>N</v>
          </cell>
          <cell r="J46" t="str">
            <v>N</v>
          </cell>
          <cell r="K46" t="str">
            <v>N</v>
          </cell>
          <cell r="L46" t="str">
            <v>N</v>
          </cell>
          <cell r="M46" t="str">
            <v>N</v>
          </cell>
          <cell r="N46" t="str">
            <v>N</v>
          </cell>
          <cell r="O46" t="str">
            <v>N</v>
          </cell>
          <cell r="P46" t="str">
            <v>N</v>
          </cell>
          <cell r="Q46" t="str">
            <v>N</v>
          </cell>
          <cell r="R46" t="str">
            <v>N</v>
          </cell>
          <cell r="S46" t="str">
            <v>N</v>
          </cell>
          <cell r="T46" t="str">
            <v>N</v>
          </cell>
          <cell r="U46" t="str">
            <v>N</v>
          </cell>
          <cell r="V46" t="str">
            <v>N</v>
          </cell>
          <cell r="W46" t="str">
            <v>Y</v>
          </cell>
          <cell r="X46" t="str">
            <v>N</v>
          </cell>
          <cell r="Y46" t="str">
            <v>N</v>
          </cell>
          <cell r="Z46" t="str">
            <v>N</v>
          </cell>
          <cell r="AA46" t="str">
            <v>Y</v>
          </cell>
          <cell r="AB46" t="str">
            <v>Y</v>
          </cell>
          <cell r="AC46" t="str">
            <v>N</v>
          </cell>
          <cell r="AD46" t="str">
            <v>N</v>
          </cell>
          <cell r="AE46" t="str">
            <v>N</v>
          </cell>
          <cell r="AF46" t="str">
            <v>N</v>
          </cell>
          <cell r="AG46" t="str">
            <v>N</v>
          </cell>
          <cell r="AH46" t="str">
            <v>N</v>
          </cell>
          <cell r="AI46" t="str">
            <v>N</v>
          </cell>
          <cell r="AJ46" t="str">
            <v>N</v>
          </cell>
          <cell r="AK46" t="str">
            <v>N</v>
          </cell>
          <cell r="AL46" t="str">
            <v>N</v>
          </cell>
          <cell r="AM46" t="str">
            <v>N</v>
          </cell>
          <cell r="AN46" t="str">
            <v>N</v>
          </cell>
          <cell r="AO46" t="str">
            <v>N</v>
          </cell>
          <cell r="AP46" t="str">
            <v>N</v>
          </cell>
          <cell r="AQ46" t="str">
            <v>N</v>
          </cell>
          <cell r="AR46" t="str">
            <v>N</v>
          </cell>
          <cell r="AS46" t="str">
            <v>N</v>
          </cell>
          <cell r="AT46" t="str">
            <v>N</v>
          </cell>
          <cell r="AU46" t="str">
            <v>N</v>
          </cell>
          <cell r="AV46" t="str">
            <v>N</v>
          </cell>
          <cell r="AW46" t="str">
            <v>N</v>
          </cell>
          <cell r="AX46" t="str">
            <v>N</v>
          </cell>
          <cell r="AY46" t="str">
            <v>N</v>
          </cell>
          <cell r="AZ46" t="str">
            <v>N</v>
          </cell>
          <cell r="BA46" t="str">
            <v>N</v>
          </cell>
          <cell r="BB46" t="str">
            <v>N</v>
          </cell>
          <cell r="BC46" t="str">
            <v>N</v>
          </cell>
          <cell r="BD46" t="str">
            <v>N</v>
          </cell>
          <cell r="BE46" t="str">
            <v>N</v>
          </cell>
        </row>
        <row r="47">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172.5</v>
          </cell>
          <cell r="X47">
            <v>0</v>
          </cell>
          <cell r="Y47">
            <v>0</v>
          </cell>
          <cell r="Z47">
            <v>0</v>
          </cell>
          <cell r="AA47">
            <v>300</v>
          </cell>
          <cell r="AB47">
            <v>300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row>
        <row r="48">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5.5E-2</v>
          </cell>
          <cell r="X48">
            <v>0</v>
          </cell>
          <cell r="Y48">
            <v>0</v>
          </cell>
          <cell r="Z48">
            <v>0</v>
          </cell>
          <cell r="AA48">
            <v>0.05</v>
          </cell>
          <cell r="AB48">
            <v>0.05</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row>
        <row r="49">
          <cell r="H49">
            <v>36526</v>
          </cell>
          <cell r="I49">
            <v>36526</v>
          </cell>
          <cell r="J49">
            <v>36526</v>
          </cell>
          <cell r="K49">
            <v>36526</v>
          </cell>
          <cell r="L49">
            <v>36526</v>
          </cell>
          <cell r="M49">
            <v>36526</v>
          </cell>
          <cell r="N49">
            <v>36526</v>
          </cell>
          <cell r="O49">
            <v>36526</v>
          </cell>
          <cell r="P49">
            <v>36526</v>
          </cell>
          <cell r="Q49">
            <v>36526</v>
          </cell>
          <cell r="R49">
            <v>36526</v>
          </cell>
          <cell r="S49">
            <v>36526</v>
          </cell>
          <cell r="T49">
            <v>36526</v>
          </cell>
          <cell r="U49">
            <v>0</v>
          </cell>
          <cell r="V49">
            <v>0</v>
          </cell>
          <cell r="W49">
            <v>36892</v>
          </cell>
          <cell r="X49">
            <v>36526</v>
          </cell>
          <cell r="Y49">
            <v>0</v>
          </cell>
          <cell r="Z49">
            <v>0</v>
          </cell>
          <cell r="AA49">
            <v>36861</v>
          </cell>
          <cell r="AB49">
            <v>36861</v>
          </cell>
          <cell r="AC49">
            <v>0</v>
          </cell>
          <cell r="AD49">
            <v>36526</v>
          </cell>
          <cell r="AE49">
            <v>0</v>
          </cell>
          <cell r="AF49">
            <v>0</v>
          </cell>
          <cell r="AG49">
            <v>0</v>
          </cell>
          <cell r="AH49">
            <v>0</v>
          </cell>
          <cell r="AI49">
            <v>36526</v>
          </cell>
          <cell r="AJ49">
            <v>0</v>
          </cell>
          <cell r="AK49">
            <v>0</v>
          </cell>
          <cell r="AL49">
            <v>0</v>
          </cell>
          <cell r="AM49">
            <v>0</v>
          </cell>
          <cell r="AN49">
            <v>0</v>
          </cell>
          <cell r="AO49">
            <v>36526</v>
          </cell>
          <cell r="AP49">
            <v>0</v>
          </cell>
          <cell r="AQ49">
            <v>36526</v>
          </cell>
          <cell r="AR49">
            <v>36526</v>
          </cell>
          <cell r="AS49">
            <v>36526</v>
          </cell>
          <cell r="AT49">
            <v>36526</v>
          </cell>
          <cell r="AU49">
            <v>0</v>
          </cell>
          <cell r="AV49">
            <v>0</v>
          </cell>
          <cell r="AW49">
            <v>36526</v>
          </cell>
          <cell r="AX49">
            <v>36526</v>
          </cell>
          <cell r="AY49">
            <v>36526</v>
          </cell>
          <cell r="AZ49">
            <v>36526</v>
          </cell>
          <cell r="BA49">
            <v>36526</v>
          </cell>
          <cell r="BB49">
            <v>36526</v>
          </cell>
          <cell r="BC49">
            <v>36526</v>
          </cell>
          <cell r="BD49">
            <v>36526</v>
          </cell>
          <cell r="BE49">
            <v>36526</v>
          </cell>
        </row>
        <row r="50">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85.2</v>
          </cell>
          <cell r="X50">
            <v>0</v>
          </cell>
          <cell r="Y50">
            <v>0</v>
          </cell>
          <cell r="Z50">
            <v>0</v>
          </cell>
          <cell r="AA50">
            <v>52.968800000000002</v>
          </cell>
          <cell r="AB50">
            <v>52.97</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row>
        <row r="54">
          <cell r="H54" t="str">
            <v>N</v>
          </cell>
          <cell r="I54" t="str">
            <v>N</v>
          </cell>
          <cell r="J54" t="str">
            <v>N</v>
          </cell>
          <cell r="K54" t="str">
            <v>N</v>
          </cell>
          <cell r="L54" t="str">
            <v>N</v>
          </cell>
          <cell r="M54" t="str">
            <v>N</v>
          </cell>
          <cell r="N54" t="str">
            <v>N</v>
          </cell>
          <cell r="O54" t="str">
            <v>N</v>
          </cell>
          <cell r="P54" t="str">
            <v>N</v>
          </cell>
          <cell r="Q54" t="str">
            <v>N</v>
          </cell>
          <cell r="R54" t="str">
            <v>N</v>
          </cell>
          <cell r="S54" t="str">
            <v>N</v>
          </cell>
          <cell r="T54" t="str">
            <v>N</v>
          </cell>
          <cell r="U54" t="str">
            <v>N</v>
          </cell>
          <cell r="V54" t="str">
            <v>N</v>
          </cell>
          <cell r="W54" t="str">
            <v>N</v>
          </cell>
          <cell r="X54" t="str">
            <v>N</v>
          </cell>
          <cell r="Y54" t="str">
            <v>N</v>
          </cell>
          <cell r="Z54" t="str">
            <v>Y</v>
          </cell>
          <cell r="AA54" t="str">
            <v>N</v>
          </cell>
          <cell r="AB54" t="str">
            <v>N</v>
          </cell>
          <cell r="AC54" t="str">
            <v>Y</v>
          </cell>
          <cell r="AD54" t="str">
            <v>N</v>
          </cell>
          <cell r="AE54" t="str">
            <v>N</v>
          </cell>
          <cell r="AF54" t="str">
            <v>N</v>
          </cell>
          <cell r="AG54" t="str">
            <v>N</v>
          </cell>
          <cell r="AH54" t="str">
            <v>N</v>
          </cell>
          <cell r="AI54" t="str">
            <v>N</v>
          </cell>
          <cell r="AJ54" t="str">
            <v>N</v>
          </cell>
          <cell r="AK54" t="str">
            <v>N</v>
          </cell>
          <cell r="AL54" t="str">
            <v>Y</v>
          </cell>
          <cell r="AM54" t="str">
            <v>N</v>
          </cell>
          <cell r="AN54" t="str">
            <v>N</v>
          </cell>
          <cell r="AO54" t="str">
            <v>N</v>
          </cell>
          <cell r="AP54" t="str">
            <v>N</v>
          </cell>
          <cell r="AQ54" t="str">
            <v>N</v>
          </cell>
          <cell r="AR54" t="str">
            <v>N</v>
          </cell>
          <cell r="AS54" t="str">
            <v>N</v>
          </cell>
          <cell r="AT54" t="str">
            <v>N</v>
          </cell>
          <cell r="AU54" t="str">
            <v>N</v>
          </cell>
          <cell r="AV54" t="str">
            <v>N</v>
          </cell>
          <cell r="AW54" t="str">
            <v>N</v>
          </cell>
          <cell r="AX54" t="str">
            <v>N</v>
          </cell>
          <cell r="AY54" t="str">
            <v>N</v>
          </cell>
          <cell r="AZ54" t="str">
            <v>N</v>
          </cell>
          <cell r="BA54" t="str">
            <v>N</v>
          </cell>
          <cell r="BB54" t="str">
            <v>N</v>
          </cell>
          <cell r="BC54" t="str">
            <v>N</v>
          </cell>
          <cell r="BD54" t="str">
            <v>N</v>
          </cell>
          <cell r="BE54" t="str">
            <v>N</v>
          </cell>
        </row>
        <row r="55">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300</v>
          </cell>
          <cell r="AA55">
            <v>0</v>
          </cell>
          <cell r="AB55">
            <v>0</v>
          </cell>
          <cell r="AC55">
            <v>132</v>
          </cell>
          <cell r="AD55">
            <v>0</v>
          </cell>
          <cell r="AE55">
            <v>0</v>
          </cell>
          <cell r="AF55">
            <v>0</v>
          </cell>
          <cell r="AG55">
            <v>0</v>
          </cell>
          <cell r="AH55">
            <v>0</v>
          </cell>
          <cell r="AI55">
            <v>0</v>
          </cell>
          <cell r="AJ55">
            <v>0</v>
          </cell>
          <cell r="AK55">
            <v>0</v>
          </cell>
          <cell r="AL55">
            <v>196.1</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row>
        <row r="56">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7.8E-2</v>
          </cell>
          <cell r="AA56">
            <v>0</v>
          </cell>
          <cell r="AB56">
            <v>0</v>
          </cell>
          <cell r="AC56">
            <v>5.3749999999999999E-2</v>
          </cell>
          <cell r="AD56">
            <v>0</v>
          </cell>
          <cell r="AE56">
            <v>0</v>
          </cell>
          <cell r="AF56">
            <v>0</v>
          </cell>
          <cell r="AG56">
            <v>0</v>
          </cell>
          <cell r="AH56">
            <v>0</v>
          </cell>
          <cell r="AI56">
            <v>0</v>
          </cell>
          <cell r="AJ56">
            <v>0</v>
          </cell>
          <cell r="AK56">
            <v>0</v>
          </cell>
          <cell r="AL56">
            <v>0.05</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row>
        <row r="57">
          <cell r="H57">
            <v>36526</v>
          </cell>
          <cell r="I57">
            <v>36526</v>
          </cell>
          <cell r="J57">
            <v>36526</v>
          </cell>
          <cell r="K57">
            <v>36526</v>
          </cell>
          <cell r="L57">
            <v>36526</v>
          </cell>
          <cell r="M57">
            <v>36526</v>
          </cell>
          <cell r="N57">
            <v>36526</v>
          </cell>
          <cell r="O57">
            <v>36526</v>
          </cell>
          <cell r="P57">
            <v>36526</v>
          </cell>
          <cell r="Q57">
            <v>36526</v>
          </cell>
          <cell r="R57">
            <v>36526</v>
          </cell>
          <cell r="S57">
            <v>36526</v>
          </cell>
          <cell r="T57">
            <v>36526</v>
          </cell>
          <cell r="U57">
            <v>0</v>
          </cell>
          <cell r="V57">
            <v>0</v>
          </cell>
          <cell r="W57">
            <v>0</v>
          </cell>
          <cell r="X57">
            <v>36526</v>
          </cell>
          <cell r="Y57">
            <v>0</v>
          </cell>
          <cell r="Z57">
            <v>0</v>
          </cell>
          <cell r="AA57">
            <v>0</v>
          </cell>
          <cell r="AB57">
            <v>0</v>
          </cell>
          <cell r="AC57">
            <v>0</v>
          </cell>
          <cell r="AD57">
            <v>36526</v>
          </cell>
          <cell r="AE57">
            <v>0</v>
          </cell>
          <cell r="AF57">
            <v>0</v>
          </cell>
          <cell r="AG57">
            <v>0</v>
          </cell>
          <cell r="AH57">
            <v>0</v>
          </cell>
          <cell r="AI57">
            <v>36526</v>
          </cell>
          <cell r="AJ57">
            <v>0</v>
          </cell>
          <cell r="AK57">
            <v>0</v>
          </cell>
          <cell r="AL57">
            <v>0</v>
          </cell>
          <cell r="AM57">
            <v>0</v>
          </cell>
          <cell r="AN57">
            <v>0</v>
          </cell>
          <cell r="AO57">
            <v>36526</v>
          </cell>
          <cell r="AP57">
            <v>0</v>
          </cell>
          <cell r="AQ57">
            <v>36526</v>
          </cell>
          <cell r="AR57">
            <v>36526</v>
          </cell>
          <cell r="AS57">
            <v>36526</v>
          </cell>
          <cell r="AT57">
            <v>36526</v>
          </cell>
          <cell r="AU57">
            <v>0</v>
          </cell>
          <cell r="AV57">
            <v>0</v>
          </cell>
          <cell r="AW57">
            <v>36526</v>
          </cell>
          <cell r="AX57">
            <v>36526</v>
          </cell>
          <cell r="AY57">
            <v>36526</v>
          </cell>
          <cell r="AZ57">
            <v>36526</v>
          </cell>
          <cell r="BA57">
            <v>36526</v>
          </cell>
          <cell r="BB57">
            <v>36526</v>
          </cell>
          <cell r="BC57">
            <v>36526</v>
          </cell>
          <cell r="BD57">
            <v>36526</v>
          </cell>
          <cell r="BE57">
            <v>36526</v>
          </cell>
        </row>
        <row r="58">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25</v>
          </cell>
          <cell r="AA58">
            <v>0</v>
          </cell>
          <cell r="AB58">
            <v>0</v>
          </cell>
          <cell r="AC58">
            <v>20.625360943816517</v>
          </cell>
          <cell r="AD58">
            <v>0</v>
          </cell>
          <cell r="AE58">
            <v>0</v>
          </cell>
          <cell r="AF58">
            <v>0</v>
          </cell>
          <cell r="AG58">
            <v>0</v>
          </cell>
          <cell r="AH58">
            <v>0</v>
          </cell>
          <cell r="AI58">
            <v>0</v>
          </cell>
          <cell r="AJ58">
            <v>0</v>
          </cell>
          <cell r="AK58">
            <v>0</v>
          </cell>
          <cell r="AL58">
            <v>36.536741690266801</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row>
        <row r="60">
          <cell r="AJ60" t="str">
            <v>See p.79</v>
          </cell>
          <cell r="AS60">
            <v>201.66200000000001</v>
          </cell>
        </row>
        <row r="61">
          <cell r="V61">
            <v>37346</v>
          </cell>
          <cell r="AJ61" t="str">
            <v>PF BS as of 9/30/01</v>
          </cell>
        </row>
        <row r="62">
          <cell r="H62">
            <v>0</v>
          </cell>
          <cell r="I62">
            <v>0</v>
          </cell>
          <cell r="J62">
            <v>0</v>
          </cell>
          <cell r="K62">
            <v>0</v>
          </cell>
          <cell r="L62">
            <v>0</v>
          </cell>
          <cell r="M62">
            <v>0</v>
          </cell>
          <cell r="N62">
            <v>0</v>
          </cell>
          <cell r="O62">
            <v>0</v>
          </cell>
          <cell r="P62">
            <v>143.34299999999999</v>
          </cell>
          <cell r="Q62">
            <v>0</v>
          </cell>
          <cell r="R62">
            <v>0</v>
          </cell>
          <cell r="S62">
            <v>0</v>
          </cell>
          <cell r="T62">
            <v>0</v>
          </cell>
          <cell r="U62">
            <v>20.766999999999999</v>
          </cell>
          <cell r="V62">
            <v>42.912999999999997</v>
          </cell>
          <cell r="W62">
            <v>572.90300000000002</v>
          </cell>
          <cell r="X62">
            <v>70.257999999999996</v>
          </cell>
          <cell r="Y62">
            <v>91.347999999999999</v>
          </cell>
          <cell r="Z62">
            <v>60.804000000000002</v>
          </cell>
          <cell r="AA62">
            <v>94.298000000000002</v>
          </cell>
          <cell r="AB62">
            <v>463.815</v>
          </cell>
          <cell r="AC62">
            <v>0.68799999999999994</v>
          </cell>
          <cell r="AD62">
            <v>0</v>
          </cell>
          <cell r="AE62">
            <v>40.206000000000003</v>
          </cell>
          <cell r="AF62">
            <v>93.421000000000006</v>
          </cell>
          <cell r="AG62">
            <v>24.074999999999999</v>
          </cell>
          <cell r="AH62">
            <v>0</v>
          </cell>
          <cell r="AI62">
            <v>0</v>
          </cell>
          <cell r="AJ62">
            <v>58.841999999999999</v>
          </cell>
          <cell r="AK62">
            <v>45.2</v>
          </cell>
          <cell r="AL62">
            <v>385.5</v>
          </cell>
          <cell r="AM62">
            <v>33.501829999999998</v>
          </cell>
          <cell r="AN62">
            <v>3.6070000000000002</v>
          </cell>
          <cell r="AO62">
            <v>0</v>
          </cell>
          <cell r="AR62">
            <v>132.43700000000001</v>
          </cell>
          <cell r="AS62">
            <v>24.074999999999999</v>
          </cell>
          <cell r="AT62">
            <v>14.052</v>
          </cell>
          <cell r="AU62">
            <v>869.2</v>
          </cell>
          <cell r="AV62">
            <v>703.32700000000011</v>
          </cell>
          <cell r="AW62">
            <v>0</v>
          </cell>
          <cell r="AX62">
            <v>0</v>
          </cell>
          <cell r="AY62">
            <v>0</v>
          </cell>
          <cell r="AZ62">
            <v>0</v>
          </cell>
          <cell r="BA62">
            <v>0</v>
          </cell>
          <cell r="BB62">
            <v>0</v>
          </cell>
          <cell r="BC62">
            <v>0</v>
          </cell>
          <cell r="BD62">
            <v>0</v>
          </cell>
          <cell r="BE62">
            <v>0</v>
          </cell>
        </row>
        <row r="63">
          <cell r="H63">
            <v>0</v>
          </cell>
          <cell r="I63">
            <v>0</v>
          </cell>
          <cell r="J63">
            <v>0</v>
          </cell>
          <cell r="K63">
            <v>0</v>
          </cell>
          <cell r="L63">
            <v>0</v>
          </cell>
          <cell r="M63">
            <v>0</v>
          </cell>
          <cell r="N63">
            <v>0</v>
          </cell>
          <cell r="O63">
            <v>0</v>
          </cell>
          <cell r="P63">
            <v>284.63099999999997</v>
          </cell>
          <cell r="Q63">
            <v>0</v>
          </cell>
          <cell r="R63">
            <v>0</v>
          </cell>
          <cell r="S63">
            <v>0</v>
          </cell>
          <cell r="T63">
            <v>0</v>
          </cell>
          <cell r="U63">
            <v>16.481999999999999</v>
          </cell>
          <cell r="V63">
            <v>335.25299999999999</v>
          </cell>
          <cell r="W63">
            <v>102.568</v>
          </cell>
          <cell r="X63">
            <v>147.79900000000001</v>
          </cell>
          <cell r="Y63">
            <v>138.79300000000001</v>
          </cell>
          <cell r="Z63">
            <v>1620.6289999999999</v>
          </cell>
          <cell r="AA63">
            <v>677.18</v>
          </cell>
          <cell r="AB63">
            <v>2061.3310000000001</v>
          </cell>
          <cell r="AC63">
            <v>364.21499999999997</v>
          </cell>
          <cell r="AD63">
            <v>0</v>
          </cell>
          <cell r="AE63">
            <v>226.47300000000001</v>
          </cell>
          <cell r="AF63">
            <v>356.45299999999997</v>
          </cell>
          <cell r="AG63">
            <v>167.529</v>
          </cell>
          <cell r="AH63">
            <v>0</v>
          </cell>
          <cell r="AI63">
            <v>0</v>
          </cell>
          <cell r="AJ63">
            <v>317.221</v>
          </cell>
          <cell r="AK63">
            <v>0</v>
          </cell>
          <cell r="AL63">
            <v>3604.2</v>
          </cell>
          <cell r="AM63">
            <v>181.45</v>
          </cell>
          <cell r="AN63">
            <v>41.622</v>
          </cell>
          <cell r="AO63">
            <v>0</v>
          </cell>
          <cell r="AR63">
            <v>218.86</v>
          </cell>
          <cell r="AS63">
            <v>167.529</v>
          </cell>
          <cell r="AT63">
            <v>66.616</v>
          </cell>
          <cell r="AU63">
            <v>2536</v>
          </cell>
          <cell r="AV63">
            <v>2770.145</v>
          </cell>
          <cell r="AW63">
            <v>0</v>
          </cell>
          <cell r="AX63">
            <v>0</v>
          </cell>
          <cell r="AY63">
            <v>0</v>
          </cell>
          <cell r="AZ63">
            <v>0</v>
          </cell>
          <cell r="BA63">
            <v>0</v>
          </cell>
          <cell r="BB63">
            <v>0</v>
          </cell>
          <cell r="BC63">
            <v>0</v>
          </cell>
          <cell r="BD63">
            <v>0</v>
          </cell>
          <cell r="BE63">
            <v>0</v>
          </cell>
        </row>
        <row r="64">
          <cell r="H64">
            <v>0</v>
          </cell>
          <cell r="I64">
            <v>0</v>
          </cell>
          <cell r="J64">
            <v>0</v>
          </cell>
          <cell r="K64">
            <v>0</v>
          </cell>
          <cell r="L64">
            <v>0</v>
          </cell>
          <cell r="M64">
            <v>0</v>
          </cell>
          <cell r="N64">
            <v>0</v>
          </cell>
          <cell r="O64">
            <v>0</v>
          </cell>
          <cell r="P64">
            <v>0</v>
          </cell>
          <cell r="Q64">
            <v>0</v>
          </cell>
          <cell r="R64">
            <v>0</v>
          </cell>
          <cell r="S64">
            <v>0</v>
          </cell>
          <cell r="T64">
            <v>0</v>
          </cell>
          <cell r="U64">
            <v>0.29299999999999998</v>
          </cell>
          <cell r="W64">
            <v>13.491</v>
          </cell>
          <cell r="X64">
            <v>0</v>
          </cell>
          <cell r="Y64">
            <v>0</v>
          </cell>
          <cell r="Z64">
            <v>21.030999999999999</v>
          </cell>
          <cell r="AA64">
            <v>4.266</v>
          </cell>
          <cell r="AB64">
            <v>17.831</v>
          </cell>
          <cell r="AC64">
            <v>0</v>
          </cell>
          <cell r="AD64">
            <v>0</v>
          </cell>
          <cell r="AE64">
            <v>41.978000000000002</v>
          </cell>
          <cell r="AF64">
            <v>57.145000000000003</v>
          </cell>
          <cell r="AG64">
            <v>27.484999999999999</v>
          </cell>
          <cell r="AH64">
            <v>0</v>
          </cell>
          <cell r="AI64">
            <v>0</v>
          </cell>
          <cell r="AJ64">
            <v>3.7240000000000002</v>
          </cell>
          <cell r="AK64">
            <v>0</v>
          </cell>
          <cell r="AL64">
            <v>160.69999999999999</v>
          </cell>
          <cell r="AM64">
            <v>0</v>
          </cell>
          <cell r="AN64">
            <v>0</v>
          </cell>
          <cell r="AO64">
            <v>0</v>
          </cell>
          <cell r="AR64">
            <v>12.637</v>
          </cell>
          <cell r="AS64">
            <v>27.484999999999999</v>
          </cell>
          <cell r="AT64">
            <v>7.806</v>
          </cell>
          <cell r="AU64">
            <v>870.8</v>
          </cell>
          <cell r="AV64">
            <v>906.09100000000001</v>
          </cell>
          <cell r="AW64">
            <v>0</v>
          </cell>
          <cell r="AX64">
            <v>0</v>
          </cell>
          <cell r="AY64">
            <v>0</v>
          </cell>
          <cell r="AZ64">
            <v>0</v>
          </cell>
          <cell r="BA64">
            <v>0</v>
          </cell>
          <cell r="BB64">
            <v>0</v>
          </cell>
          <cell r="BC64">
            <v>0</v>
          </cell>
          <cell r="BD64">
            <v>0</v>
          </cell>
          <cell r="BE64">
            <v>0</v>
          </cell>
        </row>
        <row r="65">
          <cell r="H65">
            <v>0</v>
          </cell>
          <cell r="I65">
            <v>0</v>
          </cell>
          <cell r="J65">
            <v>0</v>
          </cell>
          <cell r="K65">
            <v>0</v>
          </cell>
          <cell r="L65">
            <v>0</v>
          </cell>
          <cell r="M65">
            <v>0</v>
          </cell>
          <cell r="N65">
            <v>0</v>
          </cell>
          <cell r="O65">
            <v>0</v>
          </cell>
          <cell r="P65">
            <v>206.36099999999999</v>
          </cell>
          <cell r="Q65">
            <v>0</v>
          </cell>
          <cell r="R65">
            <v>0</v>
          </cell>
          <cell r="S65">
            <v>0</v>
          </cell>
          <cell r="T65">
            <v>0</v>
          </cell>
          <cell r="U65">
            <v>10.364000000000001</v>
          </cell>
          <cell r="W65">
            <v>86.736999999999995</v>
          </cell>
          <cell r="X65">
            <v>86.697000000000003</v>
          </cell>
          <cell r="Y65">
            <v>71.028000000000006</v>
          </cell>
          <cell r="Z65">
            <v>2619.4949999999999</v>
          </cell>
          <cell r="AA65">
            <v>1955.385</v>
          </cell>
          <cell r="AB65">
            <v>5295.924</v>
          </cell>
          <cell r="AC65">
            <v>345.50200000000001</v>
          </cell>
          <cell r="AD65">
            <v>0</v>
          </cell>
          <cell r="AE65">
            <v>171.381</v>
          </cell>
          <cell r="AF65">
            <v>293.76400000000001</v>
          </cell>
          <cell r="AG65">
            <v>28.338999999999999</v>
          </cell>
          <cell r="AH65">
            <v>0</v>
          </cell>
          <cell r="AI65">
            <v>0</v>
          </cell>
          <cell r="AJ65">
            <v>81.48</v>
          </cell>
          <cell r="AK65">
            <v>0</v>
          </cell>
          <cell r="AL65">
            <v>6259.3</v>
          </cell>
          <cell r="AM65">
            <v>468.92599999999999</v>
          </cell>
          <cell r="AN65">
            <v>10.763</v>
          </cell>
          <cell r="AO65">
            <v>0</v>
          </cell>
          <cell r="AR65">
            <v>156.03800000000001</v>
          </cell>
          <cell r="AS65">
            <v>28.338999999999999</v>
          </cell>
          <cell r="AT65">
            <v>0</v>
          </cell>
          <cell r="AU65">
            <v>7902</v>
          </cell>
          <cell r="AV65">
            <v>7930.3389999999999</v>
          </cell>
          <cell r="AW65">
            <v>0</v>
          </cell>
          <cell r="AX65">
            <v>0</v>
          </cell>
          <cell r="AY65">
            <v>0</v>
          </cell>
          <cell r="AZ65">
            <v>0</v>
          </cell>
          <cell r="BA65">
            <v>0</v>
          </cell>
          <cell r="BB65">
            <v>0</v>
          </cell>
          <cell r="BC65">
            <v>0</v>
          </cell>
          <cell r="BD65">
            <v>0</v>
          </cell>
          <cell r="BE65">
            <v>0</v>
          </cell>
        </row>
        <row r="66">
          <cell r="H66">
            <v>0</v>
          </cell>
          <cell r="I66">
            <v>0</v>
          </cell>
          <cell r="J66">
            <v>0</v>
          </cell>
          <cell r="K66">
            <v>0</v>
          </cell>
          <cell r="L66">
            <v>0</v>
          </cell>
          <cell r="M66">
            <v>0</v>
          </cell>
          <cell r="N66">
            <v>0</v>
          </cell>
          <cell r="O66">
            <v>0</v>
          </cell>
          <cell r="P66">
            <v>0</v>
          </cell>
          <cell r="Q66">
            <v>0</v>
          </cell>
          <cell r="R66">
            <v>0</v>
          </cell>
          <cell r="S66">
            <v>0</v>
          </cell>
          <cell r="T66">
            <v>0</v>
          </cell>
          <cell r="U66">
            <v>53.353999999999999</v>
          </cell>
          <cell r="W66">
            <v>815.16499999999996</v>
          </cell>
          <cell r="X66">
            <v>348.99099999999999</v>
          </cell>
          <cell r="Y66">
            <v>313.72699999999998</v>
          </cell>
          <cell r="Z66">
            <v>4335.01</v>
          </cell>
          <cell r="AA66">
            <v>2731.1289999999999</v>
          </cell>
          <cell r="AB66">
            <v>7838.9009999999998</v>
          </cell>
          <cell r="AC66">
            <v>727.40599999999995</v>
          </cell>
          <cell r="AD66">
            <v>0</v>
          </cell>
          <cell r="AE66">
            <v>480.49</v>
          </cell>
          <cell r="AF66">
            <v>827.40899999999999</v>
          </cell>
          <cell r="AG66">
            <v>247.428</v>
          </cell>
          <cell r="AH66">
            <v>0</v>
          </cell>
          <cell r="AI66">
            <v>0</v>
          </cell>
          <cell r="AJ66">
            <v>482.88600000000002</v>
          </cell>
          <cell r="AK66">
            <v>0</v>
          </cell>
          <cell r="AL66">
            <v>10409.700000000001</v>
          </cell>
          <cell r="AM66">
            <v>727.31100000000004</v>
          </cell>
          <cell r="AN66">
            <v>67.548000000000002</v>
          </cell>
          <cell r="AO66">
            <v>0</v>
          </cell>
          <cell r="AR66">
            <v>519.97199999999998</v>
          </cell>
          <cell r="AS66">
            <v>247.428</v>
          </cell>
          <cell r="AT66">
            <v>89.408000000000001</v>
          </cell>
          <cell r="AU66">
            <v>12382.6</v>
          </cell>
          <cell r="AV66">
            <v>12719.436</v>
          </cell>
          <cell r="AW66">
            <v>0</v>
          </cell>
          <cell r="AX66">
            <v>0</v>
          </cell>
          <cell r="AY66">
            <v>0</v>
          </cell>
          <cell r="AZ66">
            <v>0</v>
          </cell>
          <cell r="BA66">
            <v>0</v>
          </cell>
          <cell r="BB66">
            <v>0</v>
          </cell>
          <cell r="BC66">
            <v>0</v>
          </cell>
          <cell r="BD66">
            <v>0</v>
          </cell>
          <cell r="BE66">
            <v>0</v>
          </cell>
        </row>
        <row r="67">
          <cell r="H67">
            <v>0</v>
          </cell>
          <cell r="I67">
            <v>0</v>
          </cell>
          <cell r="J67">
            <v>0</v>
          </cell>
          <cell r="K67">
            <v>0</v>
          </cell>
          <cell r="L67">
            <v>0</v>
          </cell>
          <cell r="M67">
            <v>0</v>
          </cell>
          <cell r="N67">
            <v>0</v>
          </cell>
          <cell r="O67">
            <v>0</v>
          </cell>
          <cell r="P67">
            <v>0</v>
          </cell>
          <cell r="Q67">
            <v>0</v>
          </cell>
          <cell r="R67">
            <v>0</v>
          </cell>
          <cell r="S67">
            <v>0</v>
          </cell>
          <cell r="T67">
            <v>0</v>
          </cell>
          <cell r="U67">
            <v>37.055</v>
          </cell>
          <cell r="W67">
            <v>115.32899999999999</v>
          </cell>
          <cell r="X67">
            <v>185.268</v>
          </cell>
          <cell r="Y67">
            <v>11.090999999999999</v>
          </cell>
          <cell r="Z67">
            <v>195.58099999999999</v>
          </cell>
          <cell r="AA67">
            <v>71.009</v>
          </cell>
          <cell r="AB67">
            <v>277.47500000000002</v>
          </cell>
          <cell r="AC67">
            <v>24.536000000000001</v>
          </cell>
          <cell r="AD67">
            <v>0</v>
          </cell>
          <cell r="AE67">
            <v>82.016999999999996</v>
          </cell>
          <cell r="AF67">
            <v>129.49799999999999</v>
          </cell>
          <cell r="AG67">
            <v>180.89599999999999</v>
          </cell>
          <cell r="AH67">
            <v>0</v>
          </cell>
          <cell r="AI67">
            <v>0</v>
          </cell>
          <cell r="AJ67">
            <v>23.617000000000001</v>
          </cell>
          <cell r="AK67">
            <v>0</v>
          </cell>
          <cell r="AL67">
            <v>579.79999999999995</v>
          </cell>
          <cell r="AM67">
            <v>542.04999999999995</v>
          </cell>
          <cell r="AN67">
            <v>6.7640000000000002</v>
          </cell>
          <cell r="AO67">
            <v>0</v>
          </cell>
          <cell r="AR67">
            <v>56.646999999999998</v>
          </cell>
          <cell r="AS67">
            <v>180.89599999999999</v>
          </cell>
          <cell r="AT67">
            <v>10.311</v>
          </cell>
          <cell r="AU67">
            <v>1823.8</v>
          </cell>
          <cell r="AV67">
            <v>2015.0069999999998</v>
          </cell>
          <cell r="AW67">
            <v>0</v>
          </cell>
          <cell r="AX67">
            <v>0</v>
          </cell>
          <cell r="AY67">
            <v>0</v>
          </cell>
          <cell r="AZ67">
            <v>0</v>
          </cell>
          <cell r="BA67">
            <v>0</v>
          </cell>
          <cell r="BB67">
            <v>0</v>
          </cell>
          <cell r="BC67">
            <v>0</v>
          </cell>
          <cell r="BD67">
            <v>0</v>
          </cell>
          <cell r="BE67">
            <v>0</v>
          </cell>
        </row>
        <row r="68">
          <cell r="H68">
            <v>0</v>
          </cell>
          <cell r="I68">
            <v>0</v>
          </cell>
          <cell r="J68">
            <v>0</v>
          </cell>
          <cell r="K68">
            <v>0</v>
          </cell>
          <cell r="L68">
            <v>0</v>
          </cell>
          <cell r="M68">
            <v>0</v>
          </cell>
          <cell r="N68">
            <v>0</v>
          </cell>
          <cell r="O68">
            <v>0</v>
          </cell>
          <cell r="P68">
            <v>0</v>
          </cell>
          <cell r="Q68">
            <v>0</v>
          </cell>
          <cell r="R68">
            <v>0</v>
          </cell>
          <cell r="S68">
            <v>0</v>
          </cell>
          <cell r="T68">
            <v>0</v>
          </cell>
          <cell r="U68">
            <v>10.677</v>
          </cell>
          <cell r="W68">
            <v>1241.213</v>
          </cell>
          <cell r="X68">
            <v>28.251999999999999</v>
          </cell>
          <cell r="Y68">
            <v>83.563000000000002</v>
          </cell>
          <cell r="Z68">
            <v>663.26800000000003</v>
          </cell>
          <cell r="AA68">
            <v>85.805999999999997</v>
          </cell>
          <cell r="AB68">
            <v>2126.1210000000001</v>
          </cell>
          <cell r="AC68">
            <v>198.32400000000001</v>
          </cell>
          <cell r="AD68">
            <v>0</v>
          </cell>
          <cell r="AE68">
            <v>77.122</v>
          </cell>
          <cell r="AF68">
            <v>293.10599999999999</v>
          </cell>
          <cell r="AG68">
            <v>143.16</v>
          </cell>
          <cell r="AH68">
            <v>0</v>
          </cell>
          <cell r="AI68">
            <v>0</v>
          </cell>
          <cell r="AJ68">
            <v>281.48500000000001</v>
          </cell>
          <cell r="AK68">
            <v>0</v>
          </cell>
          <cell r="AL68">
            <v>974.3</v>
          </cell>
          <cell r="AM68">
            <v>127.602</v>
          </cell>
          <cell r="AN68">
            <v>30.233000000000001</v>
          </cell>
          <cell r="AO68">
            <v>0</v>
          </cell>
          <cell r="AR68">
            <v>131.012</v>
          </cell>
          <cell r="AS68">
            <v>143.16</v>
          </cell>
          <cell r="AT68">
            <v>52.091000000000001</v>
          </cell>
          <cell r="AU68">
            <v>1178.3</v>
          </cell>
          <cell r="AV68">
            <v>1373.5509999999999</v>
          </cell>
          <cell r="AW68">
            <v>0</v>
          </cell>
          <cell r="AX68">
            <v>0</v>
          </cell>
          <cell r="AY68">
            <v>0</v>
          </cell>
          <cell r="AZ68">
            <v>0</v>
          </cell>
          <cell r="BA68">
            <v>0</v>
          </cell>
          <cell r="BB68">
            <v>0</v>
          </cell>
          <cell r="BC68">
            <v>0</v>
          </cell>
          <cell r="BD68">
            <v>0</v>
          </cell>
          <cell r="BE68">
            <v>0</v>
          </cell>
        </row>
        <row r="69">
          <cell r="H69">
            <v>0</v>
          </cell>
          <cell r="I69">
            <v>0</v>
          </cell>
          <cell r="J69">
            <v>0</v>
          </cell>
          <cell r="K69">
            <v>0</v>
          </cell>
          <cell r="L69">
            <v>0</v>
          </cell>
          <cell r="M69">
            <v>0</v>
          </cell>
          <cell r="N69">
            <v>0</v>
          </cell>
          <cell r="O69">
            <v>0</v>
          </cell>
          <cell r="P69">
            <v>0</v>
          </cell>
          <cell r="Q69">
            <v>0</v>
          </cell>
          <cell r="R69">
            <v>0</v>
          </cell>
          <cell r="S69">
            <v>0</v>
          </cell>
          <cell r="T69">
            <v>0</v>
          </cell>
          <cell r="U69">
            <v>107.86799999999999</v>
          </cell>
          <cell r="V69">
            <v>924.82899999999995</v>
          </cell>
          <cell r="W69">
            <v>2225.9009999999998</v>
          </cell>
          <cell r="X69">
            <v>922.84900000000005</v>
          </cell>
          <cell r="Y69">
            <v>409.322</v>
          </cell>
          <cell r="Z69">
            <v>5350.3729999999996</v>
          </cell>
          <cell r="AA69">
            <v>2887.944</v>
          </cell>
          <cell r="AB69">
            <v>10600.218999999999</v>
          </cell>
          <cell r="AC69">
            <v>997.43799999999999</v>
          </cell>
          <cell r="AD69">
            <v>0</v>
          </cell>
          <cell r="AE69">
            <v>670.19</v>
          </cell>
          <cell r="AF69">
            <v>1309.519</v>
          </cell>
          <cell r="AG69">
            <v>594.37099999999998</v>
          </cell>
          <cell r="AH69">
            <v>0</v>
          </cell>
          <cell r="AI69">
            <v>0</v>
          </cell>
          <cell r="AJ69">
            <v>793.13599999999997</v>
          </cell>
          <cell r="AK69">
            <v>0</v>
          </cell>
          <cell r="AL69">
            <v>12888.9</v>
          </cell>
          <cell r="AM69">
            <v>1439.8019999999999</v>
          </cell>
          <cell r="AN69">
            <v>105.80200000000001</v>
          </cell>
          <cell r="AO69">
            <v>0</v>
          </cell>
          <cell r="AR69">
            <v>720.822</v>
          </cell>
          <cell r="AS69">
            <v>594.37099999999998</v>
          </cell>
          <cell r="AT69">
            <v>153.495</v>
          </cell>
          <cell r="AU69">
            <v>16256.5</v>
          </cell>
          <cell r="AV69">
            <v>17004.365999999998</v>
          </cell>
          <cell r="AW69">
            <v>0</v>
          </cell>
          <cell r="AX69">
            <v>0</v>
          </cell>
          <cell r="AY69">
            <v>0</v>
          </cell>
          <cell r="AZ69">
            <v>0</v>
          </cell>
          <cell r="BA69">
            <v>0</v>
          </cell>
          <cell r="BB69">
            <v>0</v>
          </cell>
          <cell r="BC69">
            <v>0</v>
          </cell>
          <cell r="BD69">
            <v>0</v>
          </cell>
          <cell r="BE69">
            <v>0</v>
          </cell>
        </row>
        <row r="70">
          <cell r="H70">
            <v>0</v>
          </cell>
          <cell r="I70">
            <v>0</v>
          </cell>
          <cell r="J70">
            <v>0</v>
          </cell>
          <cell r="K70">
            <v>0</v>
          </cell>
          <cell r="L70">
            <v>0</v>
          </cell>
          <cell r="M70">
            <v>0</v>
          </cell>
          <cell r="N70">
            <v>0</v>
          </cell>
          <cell r="O70">
            <v>0</v>
          </cell>
          <cell r="P70">
            <v>0</v>
          </cell>
          <cell r="Q70">
            <v>0</v>
          </cell>
          <cell r="R70">
            <v>0</v>
          </cell>
          <cell r="S70">
            <v>0</v>
          </cell>
          <cell r="T70">
            <v>0</v>
          </cell>
          <cell r="U70">
            <v>5.34</v>
          </cell>
          <cell r="W70">
            <v>22.13</v>
          </cell>
          <cell r="X70">
            <v>44.152000000000001</v>
          </cell>
          <cell r="Y70">
            <v>108.21299999999999</v>
          </cell>
          <cell r="Z70">
            <v>2428.002</v>
          </cell>
          <cell r="AA70">
            <v>1639.876</v>
          </cell>
          <cell r="AB70">
            <v>5076.7669999999998</v>
          </cell>
          <cell r="AC70">
            <v>293.06200000000001</v>
          </cell>
          <cell r="AD70">
            <v>0</v>
          </cell>
          <cell r="AE70">
            <v>148.376</v>
          </cell>
          <cell r="AF70">
            <v>205.71700000000001</v>
          </cell>
          <cell r="AG70">
            <v>65.893000000000001</v>
          </cell>
          <cell r="AH70">
            <v>0</v>
          </cell>
          <cell r="AI70">
            <v>0</v>
          </cell>
          <cell r="AJ70">
            <v>141.47499999999999</v>
          </cell>
          <cell r="AK70">
            <v>0</v>
          </cell>
          <cell r="AL70">
            <v>6249.1</v>
          </cell>
          <cell r="AM70">
            <v>59.509</v>
          </cell>
          <cell r="AN70">
            <v>15.701000000000001</v>
          </cell>
          <cell r="AO70">
            <v>0</v>
          </cell>
          <cell r="AR70">
            <v>112.02500000000001</v>
          </cell>
          <cell r="AS70">
            <v>65.893000000000001</v>
          </cell>
          <cell r="AT70">
            <v>4.5720000000000001</v>
          </cell>
          <cell r="AU70">
            <v>5266.9</v>
          </cell>
          <cell r="AV70">
            <v>5337.3649999999998</v>
          </cell>
          <cell r="AW70">
            <v>0</v>
          </cell>
          <cell r="AX70">
            <v>0</v>
          </cell>
          <cell r="AY70">
            <v>0</v>
          </cell>
          <cell r="AZ70">
            <v>0</v>
          </cell>
          <cell r="BA70">
            <v>0</v>
          </cell>
          <cell r="BB70">
            <v>0</v>
          </cell>
          <cell r="BC70">
            <v>0</v>
          </cell>
          <cell r="BD70">
            <v>0</v>
          </cell>
          <cell r="BE70">
            <v>0</v>
          </cell>
        </row>
        <row r="71">
          <cell r="H71">
            <v>0</v>
          </cell>
          <cell r="I71">
            <v>0</v>
          </cell>
          <cell r="J71">
            <v>0</v>
          </cell>
          <cell r="K71">
            <v>0</v>
          </cell>
          <cell r="L71">
            <v>0</v>
          </cell>
          <cell r="M71">
            <v>0</v>
          </cell>
          <cell r="N71">
            <v>0</v>
          </cell>
          <cell r="O71">
            <v>0</v>
          </cell>
          <cell r="P71">
            <v>0</v>
          </cell>
          <cell r="Q71">
            <v>0</v>
          </cell>
          <cell r="R71">
            <v>0</v>
          </cell>
          <cell r="S71">
            <v>0</v>
          </cell>
          <cell r="T71">
            <v>0</v>
          </cell>
          <cell r="U71">
            <v>13.272</v>
          </cell>
          <cell r="W71">
            <v>143.131</v>
          </cell>
          <cell r="X71">
            <v>123.297</v>
          </cell>
          <cell r="Y71">
            <v>137.387</v>
          </cell>
          <cell r="Z71">
            <v>2818.442</v>
          </cell>
          <cell r="AA71">
            <v>1833.835</v>
          </cell>
          <cell r="AB71">
            <v>5723.3919999999998</v>
          </cell>
          <cell r="AC71">
            <v>362.14100000000002</v>
          </cell>
          <cell r="AD71">
            <v>0</v>
          </cell>
          <cell r="AE71">
            <v>211.059</v>
          </cell>
          <cell r="AF71">
            <v>334.41300000000001</v>
          </cell>
          <cell r="AG71">
            <v>133.71899999999999</v>
          </cell>
          <cell r="AH71">
            <v>0</v>
          </cell>
          <cell r="AI71">
            <v>0</v>
          </cell>
          <cell r="AJ71">
            <v>155.59200000000001</v>
          </cell>
          <cell r="AK71">
            <v>0</v>
          </cell>
          <cell r="AL71">
            <v>7643.8</v>
          </cell>
          <cell r="AM71">
            <v>397.56299999999999</v>
          </cell>
          <cell r="AN71">
            <v>30.297000000000001</v>
          </cell>
          <cell r="AO71">
            <v>0</v>
          </cell>
          <cell r="AR71">
            <v>175.06899999999999</v>
          </cell>
          <cell r="AS71">
            <v>133.71899999999999</v>
          </cell>
          <cell r="AT71">
            <v>47.113999999999997</v>
          </cell>
          <cell r="AU71">
            <v>6770.7</v>
          </cell>
          <cell r="AV71">
            <v>6951.5329999999994</v>
          </cell>
          <cell r="AW71">
            <v>0</v>
          </cell>
          <cell r="AX71">
            <v>0</v>
          </cell>
          <cell r="AY71">
            <v>0</v>
          </cell>
          <cell r="AZ71">
            <v>0</v>
          </cell>
          <cell r="BA71">
            <v>0</v>
          </cell>
          <cell r="BB71">
            <v>0</v>
          </cell>
          <cell r="BC71">
            <v>0</v>
          </cell>
          <cell r="BD71">
            <v>0</v>
          </cell>
          <cell r="BE71">
            <v>0</v>
          </cell>
        </row>
        <row r="72">
          <cell r="H72">
            <v>0</v>
          </cell>
          <cell r="I72">
            <v>0</v>
          </cell>
          <cell r="J72">
            <v>0</v>
          </cell>
          <cell r="K72">
            <v>0</v>
          </cell>
          <cell r="L72">
            <v>0</v>
          </cell>
          <cell r="M72">
            <v>0</v>
          </cell>
          <cell r="N72">
            <v>0</v>
          </cell>
          <cell r="O72">
            <v>0</v>
          </cell>
          <cell r="P72">
            <v>0</v>
          </cell>
          <cell r="Q72">
            <v>0</v>
          </cell>
          <cell r="R72">
            <v>0</v>
          </cell>
          <cell r="S72">
            <v>0</v>
          </cell>
          <cell r="T72">
            <v>0</v>
          </cell>
          <cell r="U72">
            <v>0</v>
          </cell>
          <cell r="W72">
            <v>4.3860000000000001</v>
          </cell>
          <cell r="X72">
            <v>0</v>
          </cell>
          <cell r="Y72">
            <v>0</v>
          </cell>
          <cell r="Z72">
            <v>55.506999999999998</v>
          </cell>
          <cell r="AA72">
            <v>0</v>
          </cell>
          <cell r="AB72">
            <v>30</v>
          </cell>
          <cell r="AC72">
            <v>0</v>
          </cell>
          <cell r="AD72">
            <v>0</v>
          </cell>
          <cell r="AE72">
            <v>0</v>
          </cell>
          <cell r="AF72">
            <v>7.2430000000000003</v>
          </cell>
          <cell r="AG72">
            <v>12.371</v>
          </cell>
          <cell r="AH72">
            <v>0</v>
          </cell>
          <cell r="AI72">
            <v>0</v>
          </cell>
          <cell r="AJ72">
            <v>0</v>
          </cell>
          <cell r="AK72">
            <v>27.8</v>
          </cell>
          <cell r="AL72">
            <v>33.4</v>
          </cell>
          <cell r="AM72">
            <v>270.38200000000001</v>
          </cell>
          <cell r="AN72">
            <v>10.4</v>
          </cell>
          <cell r="AO72">
            <v>0</v>
          </cell>
          <cell r="AR72">
            <v>0</v>
          </cell>
          <cell r="AS72">
            <v>12.371</v>
          </cell>
          <cell r="AT72">
            <v>0</v>
          </cell>
          <cell r="AU72">
            <v>17.2</v>
          </cell>
          <cell r="AV72">
            <v>29.570999999999998</v>
          </cell>
          <cell r="AW72">
            <v>0</v>
          </cell>
          <cell r="AX72">
            <v>0</v>
          </cell>
          <cell r="AY72">
            <v>0</v>
          </cell>
          <cell r="AZ72">
            <v>0</v>
          </cell>
          <cell r="BA72">
            <v>0</v>
          </cell>
          <cell r="BB72">
            <v>0</v>
          </cell>
          <cell r="BC72">
            <v>0</v>
          </cell>
          <cell r="BD72">
            <v>0</v>
          </cell>
          <cell r="BE72">
            <v>0</v>
          </cell>
        </row>
        <row r="73">
          <cell r="H73">
            <v>0</v>
          </cell>
          <cell r="I73">
            <v>0</v>
          </cell>
          <cell r="J73">
            <v>0</v>
          </cell>
          <cell r="K73">
            <v>0</v>
          </cell>
          <cell r="L73">
            <v>0</v>
          </cell>
          <cell r="M73">
            <v>0</v>
          </cell>
          <cell r="N73">
            <v>0</v>
          </cell>
          <cell r="O73">
            <v>0</v>
          </cell>
          <cell r="P73">
            <v>0</v>
          </cell>
          <cell r="Q73">
            <v>0</v>
          </cell>
          <cell r="R73">
            <v>0</v>
          </cell>
          <cell r="S73">
            <v>0</v>
          </cell>
          <cell r="T73">
            <v>0</v>
          </cell>
          <cell r="U73">
            <v>0</v>
          </cell>
          <cell r="W73">
            <v>172.5</v>
          </cell>
          <cell r="X73">
            <v>0</v>
          </cell>
          <cell r="Y73">
            <v>0</v>
          </cell>
          <cell r="Z73">
            <v>0</v>
          </cell>
          <cell r="AA73">
            <v>300</v>
          </cell>
          <cell r="AB73">
            <v>300</v>
          </cell>
          <cell r="AC73">
            <v>0</v>
          </cell>
          <cell r="AD73">
            <v>0</v>
          </cell>
          <cell r="AE73">
            <v>0</v>
          </cell>
          <cell r="AF73">
            <v>0</v>
          </cell>
          <cell r="AG73">
            <v>0</v>
          </cell>
          <cell r="AH73">
            <v>0</v>
          </cell>
          <cell r="AI73">
            <v>0</v>
          </cell>
          <cell r="AJ73">
            <v>0</v>
          </cell>
          <cell r="AK73">
            <v>0</v>
          </cell>
          <cell r="AL73">
            <v>0</v>
          </cell>
          <cell r="AM73">
            <v>0</v>
          </cell>
          <cell r="AN73">
            <v>0</v>
          </cell>
          <cell r="AO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row>
        <row r="74">
          <cell r="H74">
            <v>0</v>
          </cell>
          <cell r="I74">
            <v>0</v>
          </cell>
          <cell r="J74">
            <v>0</v>
          </cell>
          <cell r="K74">
            <v>0</v>
          </cell>
          <cell r="L74">
            <v>0</v>
          </cell>
          <cell r="M74">
            <v>0</v>
          </cell>
          <cell r="N74">
            <v>0</v>
          </cell>
          <cell r="O74">
            <v>0</v>
          </cell>
          <cell r="P74">
            <v>0</v>
          </cell>
          <cell r="Q74">
            <v>0</v>
          </cell>
          <cell r="R74">
            <v>0</v>
          </cell>
          <cell r="S74">
            <v>0</v>
          </cell>
          <cell r="T74">
            <v>0</v>
          </cell>
          <cell r="U74">
            <v>3.028</v>
          </cell>
          <cell r="V74">
            <v>224.68799999999999</v>
          </cell>
          <cell r="W74">
            <v>14.313000000000001</v>
          </cell>
          <cell r="X74">
            <v>332</v>
          </cell>
          <cell r="Y74">
            <v>0</v>
          </cell>
          <cell r="Z74">
            <v>1398.4649999999999</v>
          </cell>
          <cell r="AA74">
            <v>340.93399999999997</v>
          </cell>
          <cell r="AB74">
            <v>1208.8889999999999</v>
          </cell>
          <cell r="AC74">
            <v>242.01499999999999</v>
          </cell>
          <cell r="AD74">
            <v>0</v>
          </cell>
          <cell r="AE74">
            <v>125</v>
          </cell>
          <cell r="AF74">
            <v>241.96799999999999</v>
          </cell>
          <cell r="AG74">
            <v>203.97300000000001</v>
          </cell>
          <cell r="AH74">
            <v>0</v>
          </cell>
          <cell r="AI74">
            <v>0</v>
          </cell>
          <cell r="AJ74">
            <v>227.2</v>
          </cell>
          <cell r="AK74">
            <v>929.7</v>
          </cell>
          <cell r="AL74">
            <v>1293.4000000000001</v>
          </cell>
          <cell r="AM74">
            <v>177.7</v>
          </cell>
          <cell r="AN74">
            <v>0</v>
          </cell>
          <cell r="AO74">
            <v>0</v>
          </cell>
          <cell r="AR74">
            <v>0</v>
          </cell>
          <cell r="AS74">
            <v>203.97300000000001</v>
          </cell>
          <cell r="AT74">
            <v>0</v>
          </cell>
          <cell r="AU74">
            <v>2464</v>
          </cell>
          <cell r="AV74">
            <v>2667.973</v>
          </cell>
          <cell r="AW74">
            <v>0</v>
          </cell>
          <cell r="AX74">
            <v>0</v>
          </cell>
          <cell r="AY74">
            <v>0</v>
          </cell>
          <cell r="AZ74">
            <v>0</v>
          </cell>
          <cell r="BA74">
            <v>0</v>
          </cell>
          <cell r="BB74">
            <v>0</v>
          </cell>
          <cell r="BC74">
            <v>0</v>
          </cell>
          <cell r="BD74">
            <v>0</v>
          </cell>
          <cell r="BE74">
            <v>0</v>
          </cell>
        </row>
        <row r="75">
          <cell r="H75">
            <v>0</v>
          </cell>
          <cell r="I75">
            <v>0</v>
          </cell>
          <cell r="J75">
            <v>0</v>
          </cell>
          <cell r="K75">
            <v>0</v>
          </cell>
          <cell r="L75">
            <v>0</v>
          </cell>
          <cell r="M75">
            <v>0</v>
          </cell>
          <cell r="N75">
            <v>0</v>
          </cell>
          <cell r="O75">
            <v>0</v>
          </cell>
          <cell r="P75">
            <v>0</v>
          </cell>
          <cell r="Q75">
            <v>0</v>
          </cell>
          <cell r="R75">
            <v>0</v>
          </cell>
          <cell r="S75">
            <v>0</v>
          </cell>
          <cell r="T75">
            <v>0</v>
          </cell>
          <cell r="U75">
            <v>0</v>
          </cell>
          <cell r="W75">
            <v>0</v>
          </cell>
          <cell r="X75">
            <v>0</v>
          </cell>
          <cell r="Y75">
            <v>0</v>
          </cell>
          <cell r="Z75">
            <v>300</v>
          </cell>
          <cell r="AA75">
            <v>0</v>
          </cell>
          <cell r="AB75">
            <v>0</v>
          </cell>
          <cell r="AC75">
            <v>132</v>
          </cell>
          <cell r="AD75">
            <v>0</v>
          </cell>
          <cell r="AE75">
            <v>0</v>
          </cell>
          <cell r="AF75">
            <v>0</v>
          </cell>
          <cell r="AG75">
            <v>0</v>
          </cell>
          <cell r="AH75">
            <v>0</v>
          </cell>
          <cell r="AI75">
            <v>0</v>
          </cell>
          <cell r="AJ75">
            <v>0</v>
          </cell>
          <cell r="AK75">
            <v>0</v>
          </cell>
          <cell r="AL75">
            <v>196.1</v>
          </cell>
          <cell r="AM75">
            <v>0</v>
          </cell>
          <cell r="AN75">
            <v>0</v>
          </cell>
          <cell r="AO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row>
        <row r="76">
          <cell r="H76">
            <v>0</v>
          </cell>
          <cell r="I76">
            <v>0</v>
          </cell>
          <cell r="J76">
            <v>0</v>
          </cell>
          <cell r="K76">
            <v>0</v>
          </cell>
          <cell r="L76">
            <v>0</v>
          </cell>
          <cell r="M76">
            <v>0</v>
          </cell>
          <cell r="N76">
            <v>0</v>
          </cell>
          <cell r="O76">
            <v>0</v>
          </cell>
          <cell r="P76">
            <v>0</v>
          </cell>
          <cell r="Q76">
            <v>0</v>
          </cell>
          <cell r="R76">
            <v>0</v>
          </cell>
          <cell r="S76">
            <v>0</v>
          </cell>
          <cell r="T76">
            <v>0</v>
          </cell>
          <cell r="U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row>
        <row r="77">
          <cell r="H77">
            <v>0</v>
          </cell>
          <cell r="I77">
            <v>0</v>
          </cell>
          <cell r="J77">
            <v>0</v>
          </cell>
          <cell r="K77">
            <v>0</v>
          </cell>
          <cell r="L77">
            <v>0</v>
          </cell>
          <cell r="M77">
            <v>0</v>
          </cell>
          <cell r="N77">
            <v>0</v>
          </cell>
          <cell r="O77">
            <v>0</v>
          </cell>
          <cell r="P77">
            <v>0</v>
          </cell>
          <cell r="Q77">
            <v>0</v>
          </cell>
          <cell r="R77">
            <v>0</v>
          </cell>
          <cell r="S77">
            <v>0</v>
          </cell>
          <cell r="T77">
            <v>0</v>
          </cell>
          <cell r="U77">
            <v>0</v>
          </cell>
          <cell r="W77">
            <v>2.4550000000000001</v>
          </cell>
          <cell r="X77">
            <v>45.417000000000002</v>
          </cell>
          <cell r="Y77">
            <v>0</v>
          </cell>
          <cell r="Z77">
            <v>0</v>
          </cell>
          <cell r="AA77">
            <v>0</v>
          </cell>
          <cell r="AB77">
            <v>0</v>
          </cell>
          <cell r="AC77">
            <v>0</v>
          </cell>
          <cell r="AD77">
            <v>0</v>
          </cell>
          <cell r="AE77">
            <v>0</v>
          </cell>
          <cell r="AF77">
            <v>7.5389999999999997</v>
          </cell>
          <cell r="AG77">
            <v>0</v>
          </cell>
          <cell r="AH77">
            <v>0</v>
          </cell>
          <cell r="AI77">
            <v>0</v>
          </cell>
          <cell r="AJ77">
            <v>1.321</v>
          </cell>
          <cell r="AK77">
            <v>0</v>
          </cell>
          <cell r="AL77">
            <v>0</v>
          </cell>
          <cell r="AM77">
            <v>0</v>
          </cell>
          <cell r="AN77">
            <v>0</v>
          </cell>
          <cell r="AO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row>
        <row r="78">
          <cell r="H78">
            <v>0</v>
          </cell>
          <cell r="I78">
            <v>0</v>
          </cell>
          <cell r="J78">
            <v>0</v>
          </cell>
          <cell r="K78">
            <v>0</v>
          </cell>
          <cell r="L78">
            <v>0</v>
          </cell>
          <cell r="M78">
            <v>0</v>
          </cell>
          <cell r="N78">
            <v>0</v>
          </cell>
          <cell r="O78">
            <v>0</v>
          </cell>
          <cell r="P78">
            <v>0</v>
          </cell>
          <cell r="Q78">
            <v>0</v>
          </cell>
          <cell r="R78">
            <v>0</v>
          </cell>
          <cell r="S78">
            <v>0</v>
          </cell>
          <cell r="T78">
            <v>0</v>
          </cell>
          <cell r="U78">
            <v>91.567999999999998</v>
          </cell>
          <cell r="V78">
            <v>471.05399999999997</v>
          </cell>
          <cell r="W78">
            <v>1703.2080000000001</v>
          </cell>
          <cell r="X78">
            <v>375.39800000000002</v>
          </cell>
          <cell r="Y78">
            <v>271.21300000000002</v>
          </cell>
          <cell r="Z78">
            <v>809.50900000000001</v>
          </cell>
          <cell r="AA78">
            <v>402.92500000000001</v>
          </cell>
          <cell r="AB78">
            <v>3049.7260000000001</v>
          </cell>
          <cell r="AC78">
            <v>246.459</v>
          </cell>
          <cell r="AD78">
            <v>0</v>
          </cell>
          <cell r="AE78">
            <v>324.77800000000002</v>
          </cell>
          <cell r="AF78">
            <v>707.42499999999995</v>
          </cell>
          <cell r="AG78">
            <v>245.49199999999999</v>
          </cell>
          <cell r="AH78">
            <v>0</v>
          </cell>
          <cell r="AI78">
            <v>0</v>
          </cell>
          <cell r="AJ78">
            <v>404.96600000000001</v>
          </cell>
          <cell r="AK78">
            <v>45.4</v>
          </cell>
          <cell r="AL78">
            <v>3783.1</v>
          </cell>
          <cell r="AM78">
            <v>805.57983000000002</v>
          </cell>
          <cell r="AN78">
            <v>75.504999999999995</v>
          </cell>
          <cell r="AO78">
            <v>0</v>
          </cell>
          <cell r="AR78">
            <v>543.28300000000002</v>
          </cell>
          <cell r="AS78">
            <v>245.49199999999999</v>
          </cell>
          <cell r="AT78">
            <v>103.72</v>
          </cell>
          <cell r="AU78">
            <v>6209</v>
          </cell>
          <cell r="AV78">
            <v>6209</v>
          </cell>
          <cell r="AW78">
            <v>0</v>
          </cell>
          <cell r="AX78">
            <v>0</v>
          </cell>
          <cell r="AY78">
            <v>0</v>
          </cell>
          <cell r="AZ78">
            <v>0</v>
          </cell>
          <cell r="BA78">
            <v>0</v>
          </cell>
          <cell r="BB78">
            <v>0</v>
          </cell>
          <cell r="BC78">
            <v>0</v>
          </cell>
          <cell r="BD78">
            <v>0</v>
          </cell>
          <cell r="BE78">
            <v>0</v>
          </cell>
        </row>
        <row r="80">
          <cell r="Z80" t="str">
            <v>Purchase price</v>
          </cell>
          <cell r="AA80">
            <v>2427.7871613734401</v>
          </cell>
          <cell r="AK80">
            <v>1025.9000000000001</v>
          </cell>
        </row>
        <row r="81">
          <cell r="Z81" t="str">
            <v>Goodwill created</v>
          </cell>
          <cell r="AA81">
            <v>1618.2781613734401</v>
          </cell>
          <cell r="AQ81">
            <v>0.01</v>
          </cell>
        </row>
        <row r="83">
          <cell r="H83">
            <v>0</v>
          </cell>
          <cell r="I83">
            <v>0</v>
          </cell>
          <cell r="J83">
            <v>0</v>
          </cell>
          <cell r="K83">
            <v>0</v>
          </cell>
          <cell r="L83">
            <v>0</v>
          </cell>
          <cell r="M83">
            <v>0</v>
          </cell>
          <cell r="N83">
            <v>0</v>
          </cell>
          <cell r="O83">
            <v>0</v>
          </cell>
          <cell r="P83">
            <v>0</v>
          </cell>
          <cell r="Q83">
            <v>0</v>
          </cell>
          <cell r="R83">
            <v>0</v>
          </cell>
          <cell r="S83">
            <v>0</v>
          </cell>
          <cell r="T83">
            <v>0</v>
          </cell>
          <cell r="U83">
            <v>21.657</v>
          </cell>
          <cell r="V83">
            <v>248.679</v>
          </cell>
          <cell r="W83">
            <v>156.005</v>
          </cell>
          <cell r="X83">
            <v>157.667</v>
          </cell>
          <cell r="Y83">
            <v>266.45699999999999</v>
          </cell>
          <cell r="Z83">
            <v>5476.2640000000001</v>
          </cell>
          <cell r="AA83">
            <v>3518.8519999999999</v>
          </cell>
          <cell r="AB83">
            <v>9918.6090000000004</v>
          </cell>
          <cell r="AC83">
            <v>966.68299999999999</v>
          </cell>
          <cell r="AD83">
            <v>0</v>
          </cell>
          <cell r="AE83">
            <v>455.31200000000001</v>
          </cell>
          <cell r="AF83">
            <v>647.09299999999996</v>
          </cell>
          <cell r="AG83">
            <v>215.48400000000001</v>
          </cell>
          <cell r="AH83">
            <v>178.49700000000001</v>
          </cell>
          <cell r="AI83">
            <v>172.74</v>
          </cell>
          <cell r="AJ83">
            <v>351.23700000000002</v>
          </cell>
          <cell r="AK83">
            <v>809.9</v>
          </cell>
          <cell r="AL83">
            <v>9629</v>
          </cell>
          <cell r="AM83">
            <v>292.33499999999998</v>
          </cell>
          <cell r="AN83">
            <v>93.427999999999997</v>
          </cell>
          <cell r="AO83">
            <v>0</v>
          </cell>
          <cell r="AP83">
            <v>305.11900000000003</v>
          </cell>
          <cell r="AQ83">
            <v>37.41225</v>
          </cell>
          <cell r="AR83">
            <v>357.39400000000001</v>
          </cell>
          <cell r="AS83">
            <v>215.48400000000001</v>
          </cell>
          <cell r="AT83">
            <v>50.173999999999999</v>
          </cell>
          <cell r="AU83">
            <v>11541.3</v>
          </cell>
          <cell r="AV83">
            <v>11806.958000000001</v>
          </cell>
          <cell r="AW83">
            <v>0</v>
          </cell>
          <cell r="AX83">
            <v>0</v>
          </cell>
          <cell r="AY83">
            <v>0</v>
          </cell>
          <cell r="AZ83">
            <v>0</v>
          </cell>
          <cell r="BA83">
            <v>0</v>
          </cell>
          <cell r="BB83">
            <v>0</v>
          </cell>
          <cell r="BC83">
            <v>0</v>
          </cell>
          <cell r="BD83">
            <v>0</v>
          </cell>
          <cell r="BE83">
            <v>0</v>
          </cell>
        </row>
        <row r="84">
          <cell r="H84">
            <v>0</v>
          </cell>
          <cell r="I84">
            <v>0</v>
          </cell>
          <cell r="J84">
            <v>0</v>
          </cell>
          <cell r="K84">
            <v>0</v>
          </cell>
          <cell r="L84">
            <v>0</v>
          </cell>
          <cell r="M84">
            <v>0</v>
          </cell>
          <cell r="N84">
            <v>0</v>
          </cell>
          <cell r="O84">
            <v>0</v>
          </cell>
          <cell r="P84">
            <v>0</v>
          </cell>
          <cell r="Q84">
            <v>0</v>
          </cell>
          <cell r="R84">
            <v>0</v>
          </cell>
          <cell r="S84">
            <v>0</v>
          </cell>
          <cell r="T84">
            <v>0</v>
          </cell>
          <cell r="U84">
            <v>17.899000000000001</v>
          </cell>
          <cell r="V84">
            <v>225.50800000000001</v>
          </cell>
          <cell r="W84">
            <v>141.75</v>
          </cell>
          <cell r="X84">
            <v>148.267</v>
          </cell>
          <cell r="Y84">
            <v>168.346</v>
          </cell>
          <cell r="Z84">
            <v>4805.4430000000002</v>
          </cell>
          <cell r="AA84">
            <v>2921.424</v>
          </cell>
          <cell r="AB84">
            <v>8467.9760000000006</v>
          </cell>
          <cell r="AC84">
            <v>924.50800000000004</v>
          </cell>
          <cell r="AD84">
            <v>0</v>
          </cell>
          <cell r="AE84">
            <v>449.39400000000001</v>
          </cell>
          <cell r="AF84">
            <v>593.89499999999998</v>
          </cell>
          <cell r="AG84">
            <v>181.416</v>
          </cell>
          <cell r="AH84">
            <v>124.28</v>
          </cell>
          <cell r="AI84">
            <v>174.83175</v>
          </cell>
          <cell r="AJ84">
            <v>299.11175000000003</v>
          </cell>
          <cell r="AK84">
            <v>708.8</v>
          </cell>
          <cell r="AL84">
            <v>8002.7</v>
          </cell>
          <cell r="AM84">
            <v>262.61099999999999</v>
          </cell>
          <cell r="AN84">
            <v>62.843999999999994</v>
          </cell>
          <cell r="AO84">
            <v>0</v>
          </cell>
          <cell r="AP84">
            <v>270.04000000000002</v>
          </cell>
          <cell r="AQ84">
            <v>33.266723499999998</v>
          </cell>
          <cell r="AR84">
            <v>326.089</v>
          </cell>
          <cell r="AS84">
            <v>181.416</v>
          </cell>
          <cell r="AT84">
            <v>46.067</v>
          </cell>
          <cell r="AU84">
            <v>10334.200000000001</v>
          </cell>
          <cell r="AV84">
            <v>10561.682999999999</v>
          </cell>
          <cell r="AW84">
            <v>0</v>
          </cell>
          <cell r="AX84">
            <v>0</v>
          </cell>
          <cell r="AY84">
            <v>0</v>
          </cell>
          <cell r="AZ84">
            <v>0</v>
          </cell>
          <cell r="BA84">
            <v>0</v>
          </cell>
          <cell r="BB84">
            <v>0</v>
          </cell>
          <cell r="BC84">
            <v>0</v>
          </cell>
          <cell r="BD84">
            <v>0</v>
          </cell>
          <cell r="BE84">
            <v>0</v>
          </cell>
        </row>
        <row r="85">
          <cell r="H85">
            <v>0</v>
          </cell>
          <cell r="I85">
            <v>0</v>
          </cell>
          <cell r="J85">
            <v>0</v>
          </cell>
          <cell r="K85">
            <v>0</v>
          </cell>
          <cell r="L85">
            <v>0</v>
          </cell>
          <cell r="M85">
            <v>0</v>
          </cell>
          <cell r="N85">
            <v>0</v>
          </cell>
          <cell r="O85">
            <v>0</v>
          </cell>
          <cell r="P85">
            <v>0</v>
          </cell>
          <cell r="Q85">
            <v>0</v>
          </cell>
          <cell r="R85">
            <v>0</v>
          </cell>
          <cell r="S85">
            <v>0</v>
          </cell>
          <cell r="T85">
            <v>0</v>
          </cell>
          <cell r="U85">
            <v>1.7278360343183984E-2</v>
          </cell>
          <cell r="V85">
            <v>0.43128503980766286</v>
          </cell>
          <cell r="W85">
            <v>0.42099100438629095</v>
          </cell>
          <cell r="X85">
            <v>0.3300802249607146</v>
          </cell>
          <cell r="Y85">
            <v>0.21561950471758168</v>
          </cell>
          <cell r="Z85">
            <v>0.31872743830702677</v>
          </cell>
          <cell r="AA85">
            <v>0.29031699628740149</v>
          </cell>
          <cell r="AB85">
            <v>0.84</v>
          </cell>
          <cell r="AC85">
            <v>0.29162740478994892</v>
          </cell>
          <cell r="AD85">
            <v>0</v>
          </cell>
          <cell r="AE85">
            <v>6.0223542610213163E-2</v>
          </cell>
          <cell r="AF85">
            <v>0.44770700492409626</v>
          </cell>
          <cell r="AG85">
            <v>0.40808768517133026</v>
          </cell>
          <cell r="AH85">
            <v>0</v>
          </cell>
          <cell r="AI85">
            <v>0</v>
          </cell>
          <cell r="AJ85">
            <v>0.45888117014543139</v>
          </cell>
          <cell r="AK85">
            <v>0.4525043177892919</v>
          </cell>
          <cell r="AL85">
            <v>0.37332887700534761</v>
          </cell>
          <cell r="AM85">
            <v>0.45</v>
          </cell>
          <cell r="AN85">
            <v>7.0000000000000007E-2</v>
          </cell>
          <cell r="AO85">
            <v>0</v>
          </cell>
          <cell r="AP85">
            <v>0.30981640291161994</v>
          </cell>
          <cell r="AQ85">
            <v>0.15012607013017476</v>
          </cell>
          <cell r="AR85">
            <v>0.36397215097105173</v>
          </cell>
          <cell r="AS85">
            <v>10.909000000000001</v>
          </cell>
          <cell r="AT85">
            <v>1.883</v>
          </cell>
          <cell r="AU85">
            <v>0</v>
          </cell>
          <cell r="AV85">
            <v>0.71137334829321408</v>
          </cell>
          <cell r="AW85">
            <v>0</v>
          </cell>
          <cell r="AX85">
            <v>0</v>
          </cell>
          <cell r="AY85">
            <v>0</v>
          </cell>
          <cell r="AZ85">
            <v>0</v>
          </cell>
          <cell r="BA85">
            <v>0</v>
          </cell>
          <cell r="BB85">
            <v>0</v>
          </cell>
          <cell r="BC85">
            <v>0</v>
          </cell>
          <cell r="BD85">
            <v>0</v>
          </cell>
          <cell r="BE85">
            <v>0</v>
          </cell>
        </row>
        <row r="86">
          <cell r="H86">
            <v>0</v>
          </cell>
          <cell r="I86">
            <v>0</v>
          </cell>
          <cell r="J86">
            <v>0</v>
          </cell>
          <cell r="K86">
            <v>0</v>
          </cell>
          <cell r="L86">
            <v>0</v>
          </cell>
          <cell r="M86">
            <v>0</v>
          </cell>
          <cell r="N86">
            <v>0</v>
          </cell>
          <cell r="O86">
            <v>0</v>
          </cell>
          <cell r="P86">
            <v>0</v>
          </cell>
          <cell r="Q86">
            <v>0</v>
          </cell>
          <cell r="R86">
            <v>0</v>
          </cell>
          <cell r="S86">
            <v>0</v>
          </cell>
          <cell r="T86">
            <v>0</v>
          </cell>
          <cell r="U86">
            <v>-1.5869880152772291E-2</v>
          </cell>
          <cell r="V86">
            <v>0.37235744721740821</v>
          </cell>
          <cell r="W86">
            <v>0.38252283498449885</v>
          </cell>
          <cell r="X86">
            <v>0.32712136578769435</v>
          </cell>
          <cell r="Y86">
            <v>0.19861669236299087</v>
          </cell>
          <cell r="Z86">
            <v>0.19353407875648096</v>
          </cell>
          <cell r="AA86">
            <v>0.24000267823754298</v>
          </cell>
          <cell r="AB86">
            <v>0.86386163431927232</v>
          </cell>
          <cell r="AC86">
            <v>0.25331095131911907</v>
          </cell>
          <cell r="AD86">
            <v>0</v>
          </cell>
          <cell r="AE86">
            <v>-5.3598091495930367E-2</v>
          </cell>
          <cell r="AF86">
            <v>0.36981411950122839</v>
          </cell>
          <cell r="AG86">
            <v>0.41052728681598466</v>
          </cell>
          <cell r="AH86">
            <v>0</v>
          </cell>
          <cell r="AI86">
            <v>0</v>
          </cell>
          <cell r="AJ86">
            <v>0.27767711258448685</v>
          </cell>
          <cell r="AK86">
            <v>0.29782807151007989</v>
          </cell>
          <cell r="AL86">
            <v>0.2348356489325652</v>
          </cell>
          <cell r="AM86">
            <v>0.41</v>
          </cell>
          <cell r="AN86">
            <v>-0.04</v>
          </cell>
          <cell r="AO86">
            <v>0</v>
          </cell>
          <cell r="AP86">
            <v>0.26646511352184482</v>
          </cell>
          <cell r="AQ86">
            <v>0.1235437885176776</v>
          </cell>
          <cell r="AR86">
            <v>0.31</v>
          </cell>
          <cell r="AS86">
            <v>11.1257</v>
          </cell>
          <cell r="AT86">
            <v>1.389</v>
          </cell>
          <cell r="AU86">
            <v>0</v>
          </cell>
          <cell r="AV86">
            <v>0.59019103295155451</v>
          </cell>
          <cell r="AW86">
            <v>0</v>
          </cell>
          <cell r="AX86">
            <v>0</v>
          </cell>
          <cell r="AY86">
            <v>0</v>
          </cell>
          <cell r="AZ86">
            <v>0</v>
          </cell>
          <cell r="BA86">
            <v>0</v>
          </cell>
          <cell r="BB86">
            <v>0</v>
          </cell>
          <cell r="BC86">
            <v>0</v>
          </cell>
          <cell r="BD86">
            <v>0</v>
          </cell>
          <cell r="BE86">
            <v>0</v>
          </cell>
        </row>
        <row r="88">
          <cell r="AK88">
            <v>1000</v>
          </cell>
        </row>
        <row r="90">
          <cell r="H90">
            <v>0</v>
          </cell>
          <cell r="I90">
            <v>0</v>
          </cell>
          <cell r="J90">
            <v>0</v>
          </cell>
          <cell r="K90">
            <v>0</v>
          </cell>
          <cell r="L90">
            <v>0</v>
          </cell>
          <cell r="M90">
            <v>0</v>
          </cell>
          <cell r="N90">
            <v>0</v>
          </cell>
          <cell r="O90">
            <v>0</v>
          </cell>
          <cell r="P90">
            <v>0</v>
          </cell>
          <cell r="Q90">
            <v>0</v>
          </cell>
          <cell r="R90">
            <v>0</v>
          </cell>
          <cell r="S90">
            <v>0</v>
          </cell>
          <cell r="T90">
            <v>0</v>
          </cell>
          <cell r="U90">
            <v>62.274999999999999</v>
          </cell>
          <cell r="W90">
            <v>476.03399999999999</v>
          </cell>
          <cell r="X90">
            <v>488.137</v>
          </cell>
          <cell r="Y90">
            <v>266.45699999999999</v>
          </cell>
          <cell r="Z90">
            <v>15240.338</v>
          </cell>
          <cell r="AA90">
            <v>10306.288</v>
          </cell>
          <cell r="AB90">
            <v>19604.884999999998</v>
          </cell>
          <cell r="AC90">
            <v>966.68299999999999</v>
          </cell>
          <cell r="AD90">
            <v>0</v>
          </cell>
          <cell r="AE90">
            <v>1350.422</v>
          </cell>
          <cell r="AF90">
            <v>647.09299999999996</v>
          </cell>
          <cell r="AG90">
            <v>215.48400000000001</v>
          </cell>
          <cell r="AH90">
            <v>465.33100000000002</v>
          </cell>
          <cell r="AI90">
            <v>518.22</v>
          </cell>
          <cell r="AJ90">
            <v>983.55100000000004</v>
          </cell>
          <cell r="AK90">
            <v>1585.4</v>
          </cell>
          <cell r="AL90">
            <v>27094.2</v>
          </cell>
          <cell r="AM90">
            <v>0</v>
          </cell>
          <cell r="AN90">
            <v>93.427999999999997</v>
          </cell>
          <cell r="AO90">
            <v>0</v>
          </cell>
          <cell r="AP90">
            <v>0</v>
          </cell>
          <cell r="AQ90">
            <v>0</v>
          </cell>
          <cell r="AR90">
            <v>1049.2940000000001</v>
          </cell>
          <cell r="AS90">
            <v>621.09399999999994</v>
          </cell>
          <cell r="AT90">
            <v>161.69800000000001</v>
          </cell>
          <cell r="AU90">
            <v>32628.400000000001</v>
          </cell>
          <cell r="AV90">
            <v>33411.191999999995</v>
          </cell>
          <cell r="AW90">
            <v>0</v>
          </cell>
          <cell r="AX90">
            <v>0</v>
          </cell>
          <cell r="AY90">
            <v>0</v>
          </cell>
          <cell r="AZ90">
            <v>0</v>
          </cell>
          <cell r="BA90">
            <v>0</v>
          </cell>
          <cell r="BB90">
            <v>0</v>
          </cell>
          <cell r="BC90">
            <v>0</v>
          </cell>
          <cell r="BD90">
            <v>0</v>
          </cell>
          <cell r="BE90">
            <v>0</v>
          </cell>
        </row>
        <row r="91">
          <cell r="H91">
            <v>0</v>
          </cell>
          <cell r="I91">
            <v>0</v>
          </cell>
          <cell r="J91">
            <v>0</v>
          </cell>
          <cell r="K91">
            <v>0</v>
          </cell>
          <cell r="L91">
            <v>0</v>
          </cell>
          <cell r="M91">
            <v>0</v>
          </cell>
          <cell r="N91">
            <v>0</v>
          </cell>
          <cell r="O91">
            <v>0</v>
          </cell>
          <cell r="P91">
            <v>0</v>
          </cell>
          <cell r="Q91">
            <v>0</v>
          </cell>
          <cell r="R91">
            <v>0</v>
          </cell>
          <cell r="S91">
            <v>0</v>
          </cell>
          <cell r="T91">
            <v>0</v>
          </cell>
          <cell r="U91">
            <v>53.747999999999998</v>
          </cell>
          <cell r="W91">
            <v>425.25</v>
          </cell>
          <cell r="X91">
            <v>449.28500000000003</v>
          </cell>
          <cell r="Y91">
            <v>168.346</v>
          </cell>
          <cell r="Z91">
            <v>13888.268</v>
          </cell>
          <cell r="AA91">
            <v>8582.2189999999991</v>
          </cell>
          <cell r="AB91">
            <v>16551.510999999999</v>
          </cell>
          <cell r="AC91">
            <v>924.50800000000004</v>
          </cell>
          <cell r="AD91">
            <v>0</v>
          </cell>
          <cell r="AE91">
            <v>1367.192</v>
          </cell>
          <cell r="AF91">
            <v>593.89499999999998</v>
          </cell>
          <cell r="AG91">
            <v>181.416</v>
          </cell>
          <cell r="AH91">
            <v>337.72699999999998</v>
          </cell>
          <cell r="AI91">
            <v>524.49524999999994</v>
          </cell>
          <cell r="AJ91">
            <v>862.22224999999992</v>
          </cell>
          <cell r="AK91">
            <v>1395.8</v>
          </cell>
          <cell r="AL91">
            <v>22885.200000000001</v>
          </cell>
          <cell r="AM91">
            <v>0</v>
          </cell>
          <cell r="AN91">
            <v>62.844000000000001</v>
          </cell>
          <cell r="AO91">
            <v>0</v>
          </cell>
          <cell r="AP91">
            <v>270.04000000000002</v>
          </cell>
          <cell r="AQ91">
            <v>0</v>
          </cell>
          <cell r="AR91">
            <v>965.88300000000004</v>
          </cell>
          <cell r="AS91">
            <v>507.48599999999999</v>
          </cell>
          <cell r="AT91">
            <v>135.73500000000001</v>
          </cell>
          <cell r="AU91">
            <v>28405.8</v>
          </cell>
          <cell r="AV91">
            <v>29049.021000000001</v>
          </cell>
          <cell r="AW91">
            <v>0</v>
          </cell>
          <cell r="AX91">
            <v>0</v>
          </cell>
          <cell r="AY91">
            <v>0</v>
          </cell>
          <cell r="AZ91">
            <v>0</v>
          </cell>
          <cell r="BA91">
            <v>0</v>
          </cell>
          <cell r="BB91">
            <v>0</v>
          </cell>
          <cell r="BC91">
            <v>0</v>
          </cell>
          <cell r="BD91">
            <v>0</v>
          </cell>
          <cell r="BE91">
            <v>0</v>
          </cell>
        </row>
        <row r="92">
          <cell r="H92">
            <v>0</v>
          </cell>
          <cell r="I92">
            <v>0</v>
          </cell>
          <cell r="J92">
            <v>0</v>
          </cell>
          <cell r="K92">
            <v>0</v>
          </cell>
          <cell r="L92">
            <v>0</v>
          </cell>
          <cell r="M92">
            <v>0</v>
          </cell>
          <cell r="N92">
            <v>0</v>
          </cell>
          <cell r="O92">
            <v>0</v>
          </cell>
          <cell r="P92">
            <v>0</v>
          </cell>
          <cell r="Q92">
            <v>0</v>
          </cell>
          <cell r="R92">
            <v>0</v>
          </cell>
          <cell r="S92">
            <v>0</v>
          </cell>
          <cell r="T92">
            <v>0</v>
          </cell>
          <cell r="U92">
            <v>71.149000000000001</v>
          </cell>
          <cell r="V92">
            <v>859.20799999999997</v>
          </cell>
          <cell r="W92">
            <v>567</v>
          </cell>
          <cell r="X92">
            <v>598.23099999999999</v>
          </cell>
          <cell r="Y92">
            <v>805.12</v>
          </cell>
          <cell r="Z92">
            <v>18725.611000000001</v>
          </cell>
          <cell r="AA92">
            <v>11609.995000000001</v>
          </cell>
          <cell r="AB92">
            <v>34599.31</v>
          </cell>
          <cell r="AC92">
            <v>3814.9940000000001</v>
          </cell>
          <cell r="AD92">
            <v>0</v>
          </cell>
          <cell r="AE92">
            <v>1794.932</v>
          </cell>
          <cell r="AF92">
            <v>2558.2429999999999</v>
          </cell>
          <cell r="AG92">
            <v>774.71799999999996</v>
          </cell>
          <cell r="AH92">
            <v>0</v>
          </cell>
          <cell r="AI92">
            <v>0</v>
          </cell>
          <cell r="AJ92">
            <v>1192.922</v>
          </cell>
          <cell r="AK92">
            <v>2880</v>
          </cell>
          <cell r="AL92">
            <v>31280.2</v>
          </cell>
          <cell r="AM92">
            <v>1179.4469999999999</v>
          </cell>
          <cell r="AN92">
            <v>297.92500000000001</v>
          </cell>
          <cell r="AO92">
            <v>0</v>
          </cell>
          <cell r="AP92">
            <v>1156.4549999999999</v>
          </cell>
          <cell r="AQ92">
            <v>149.649</v>
          </cell>
          <cell r="AR92">
            <v>1306.1039999999998</v>
          </cell>
          <cell r="AS92">
            <v>695.178</v>
          </cell>
          <cell r="AT92">
            <v>189.06200000000001</v>
          </cell>
          <cell r="AU92">
            <v>38660.1</v>
          </cell>
          <cell r="AV92">
            <v>39544.339999999997</v>
          </cell>
          <cell r="AW92">
            <v>0</v>
          </cell>
          <cell r="AX92">
            <v>0</v>
          </cell>
          <cell r="AY92">
            <v>0</v>
          </cell>
          <cell r="AZ92">
            <v>0</v>
          </cell>
          <cell r="BA92">
            <v>0</v>
          </cell>
          <cell r="BB92">
            <v>0</v>
          </cell>
          <cell r="BC92">
            <v>0</v>
          </cell>
          <cell r="BD92">
            <v>0</v>
          </cell>
          <cell r="BE92">
            <v>0</v>
          </cell>
        </row>
        <row r="93">
          <cell r="Z93">
            <v>20077.681</v>
          </cell>
          <cell r="AA93">
            <v>13334.064000000004</v>
          </cell>
        </row>
        <row r="94">
          <cell r="AA94" t="str">
            <v>Gross profit margin</v>
          </cell>
          <cell r="AB94">
            <v>0.94488973862334935</v>
          </cell>
          <cell r="AP94" t="str">
            <v>Webster 2 mos. 2002 rev Stub</v>
          </cell>
          <cell r="AR94">
            <v>33.628000000000043</v>
          </cell>
        </row>
        <row r="95">
          <cell r="AP95" t="str">
            <v>Webster 9 mos. 2001 rev Stub</v>
          </cell>
          <cell r="AR95">
            <v>114.54700000000003</v>
          </cell>
        </row>
        <row r="97">
          <cell r="H97">
            <v>0</v>
          </cell>
          <cell r="I97">
            <v>0</v>
          </cell>
          <cell r="J97">
            <v>0</v>
          </cell>
          <cell r="K97">
            <v>0</v>
          </cell>
          <cell r="L97">
            <v>0</v>
          </cell>
          <cell r="M97">
            <v>0</v>
          </cell>
          <cell r="N97">
            <v>0</v>
          </cell>
          <cell r="O97">
            <v>0</v>
          </cell>
          <cell r="P97">
            <v>0</v>
          </cell>
          <cell r="Q97">
            <v>0</v>
          </cell>
          <cell r="R97">
            <v>0</v>
          </cell>
          <cell r="S97">
            <v>0</v>
          </cell>
          <cell r="T97">
            <v>0</v>
          </cell>
          <cell r="U97">
            <v>19.698</v>
          </cell>
          <cell r="W97">
            <v>216.41900000000001</v>
          </cell>
          <cell r="X97">
            <v>216.59299999999999</v>
          </cell>
          <cell r="Y97">
            <v>236.62700000000001</v>
          </cell>
          <cell r="Z97">
            <v>14275.785999999998</v>
          </cell>
          <cell r="AA97">
            <v>9872.7469999999994</v>
          </cell>
          <cell r="AB97">
            <v>18618.958999999999</v>
          </cell>
          <cell r="AC97">
            <v>863.65200000000004</v>
          </cell>
          <cell r="AD97">
            <v>0</v>
          </cell>
          <cell r="AE97">
            <v>1038.3720000000001</v>
          </cell>
          <cell r="AF97">
            <v>468.70299999999997</v>
          </cell>
          <cell r="AG97">
            <v>133.029</v>
          </cell>
          <cell r="AH97">
            <v>391.76600000000002</v>
          </cell>
          <cell r="AI97">
            <v>360.16800000000001</v>
          </cell>
          <cell r="AJ97">
            <v>751.93399999999997</v>
          </cell>
          <cell r="AK97">
            <v>1166.8</v>
          </cell>
          <cell r="AL97">
            <v>25081.3</v>
          </cell>
          <cell r="AM97">
            <v>0</v>
          </cell>
          <cell r="AN97">
            <v>81.884</v>
          </cell>
          <cell r="AO97">
            <v>0</v>
          </cell>
          <cell r="AR97">
            <v>686.7298876000001</v>
          </cell>
          <cell r="AS97">
            <v>384.524</v>
          </cell>
          <cell r="AT97">
            <v>112.71599999999999</v>
          </cell>
          <cell r="AU97">
            <v>29644.7</v>
          </cell>
          <cell r="AV97">
            <v>30141.94</v>
          </cell>
          <cell r="AW97">
            <v>0</v>
          </cell>
          <cell r="AX97">
            <v>0</v>
          </cell>
          <cell r="AY97">
            <v>0</v>
          </cell>
          <cell r="AZ97">
            <v>0</v>
          </cell>
          <cell r="BA97">
            <v>0</v>
          </cell>
          <cell r="BB97">
            <v>0</v>
          </cell>
          <cell r="BC97">
            <v>0</v>
          </cell>
          <cell r="BD97">
            <v>0</v>
          </cell>
          <cell r="BE97">
            <v>0</v>
          </cell>
        </row>
        <row r="98">
          <cell r="H98">
            <v>0</v>
          </cell>
          <cell r="I98">
            <v>0</v>
          </cell>
          <cell r="J98">
            <v>0</v>
          </cell>
          <cell r="K98">
            <v>0</v>
          </cell>
          <cell r="L98">
            <v>0</v>
          </cell>
          <cell r="M98">
            <v>0</v>
          </cell>
          <cell r="N98">
            <v>0</v>
          </cell>
          <cell r="O98">
            <v>0</v>
          </cell>
          <cell r="P98">
            <v>0</v>
          </cell>
          <cell r="Q98">
            <v>0</v>
          </cell>
          <cell r="R98">
            <v>0</v>
          </cell>
          <cell r="S98">
            <v>0</v>
          </cell>
          <cell r="T98">
            <v>0</v>
          </cell>
          <cell r="U98">
            <v>18.738</v>
          </cell>
          <cell r="W98">
            <v>181.52725172831819</v>
          </cell>
          <cell r="X98">
            <v>198.11799999999999</v>
          </cell>
          <cell r="Y98">
            <v>146.73599999999999</v>
          </cell>
          <cell r="Z98">
            <v>12953.74</v>
          </cell>
          <cell r="AA98">
            <v>8201.2559999999994</v>
          </cell>
          <cell r="AB98">
            <v>15629.226999999999</v>
          </cell>
          <cell r="AC98">
            <v>825.625</v>
          </cell>
          <cell r="AD98">
            <v>0</v>
          </cell>
          <cell r="AE98">
            <v>1046.492</v>
          </cell>
          <cell r="AF98">
            <v>434.53800000000001</v>
          </cell>
          <cell r="AG98">
            <v>112.727</v>
          </cell>
          <cell r="AH98">
            <v>289.32</v>
          </cell>
          <cell r="AI98">
            <v>365.86500000000001</v>
          </cell>
          <cell r="AJ98">
            <v>655.18499999999995</v>
          </cell>
          <cell r="AK98">
            <v>1040.5999999999999</v>
          </cell>
          <cell r="AL98">
            <v>21145.200000000001</v>
          </cell>
          <cell r="AM98">
            <v>0</v>
          </cell>
          <cell r="AN98">
            <v>54.695999999999998</v>
          </cell>
          <cell r="AO98">
            <v>0</v>
          </cell>
          <cell r="AP98">
            <v>176.94499999999999</v>
          </cell>
          <cell r="AQ98">
            <v>0</v>
          </cell>
          <cell r="AR98">
            <v>636.44850990000009</v>
          </cell>
          <cell r="AS98">
            <v>320.38800000000003</v>
          </cell>
          <cell r="AT98">
            <v>96.327999999999989</v>
          </cell>
          <cell r="AU98">
            <v>25771.1</v>
          </cell>
          <cell r="AV98">
            <v>26187.815999999999</v>
          </cell>
          <cell r="AW98">
            <v>0</v>
          </cell>
          <cell r="AX98">
            <v>0</v>
          </cell>
          <cell r="AY98">
            <v>0</v>
          </cell>
          <cell r="AZ98">
            <v>0</v>
          </cell>
          <cell r="BA98">
            <v>0</v>
          </cell>
          <cell r="BB98">
            <v>0</v>
          </cell>
          <cell r="BC98">
            <v>0</v>
          </cell>
          <cell r="BD98">
            <v>0</v>
          </cell>
          <cell r="BE98">
            <v>0</v>
          </cell>
        </row>
        <row r="99">
          <cell r="H99">
            <v>0</v>
          </cell>
          <cell r="I99">
            <v>0</v>
          </cell>
          <cell r="J99">
            <v>0</v>
          </cell>
          <cell r="K99">
            <v>0</v>
          </cell>
          <cell r="L99">
            <v>0</v>
          </cell>
          <cell r="M99">
            <v>0</v>
          </cell>
          <cell r="N99">
            <v>0</v>
          </cell>
          <cell r="O99">
            <v>0</v>
          </cell>
          <cell r="P99">
            <v>0</v>
          </cell>
          <cell r="Q99">
            <v>0</v>
          </cell>
          <cell r="R99">
            <v>0</v>
          </cell>
          <cell r="S99">
            <v>0</v>
          </cell>
          <cell r="T99">
            <v>0</v>
          </cell>
          <cell r="U99">
            <v>24.577000000000002</v>
          </cell>
          <cell r="V99">
            <v>311.23200000000003</v>
          </cell>
          <cell r="W99">
            <v>242.03633563775759</v>
          </cell>
          <cell r="X99">
            <v>265.58699999999999</v>
          </cell>
          <cell r="Y99">
            <v>712.971</v>
          </cell>
          <cell r="Z99">
            <v>17486.464</v>
          </cell>
          <cell r="AA99">
            <v>11090.414000000001</v>
          </cell>
          <cell r="AB99">
            <v>32718.568999999996</v>
          </cell>
          <cell r="AC99">
            <v>3406.7579999999998</v>
          </cell>
          <cell r="AD99">
            <v>0</v>
          </cell>
          <cell r="AE99">
            <v>1384.3860000000002</v>
          </cell>
          <cell r="AF99">
            <v>1858.9190000000001</v>
          </cell>
          <cell r="AG99">
            <v>479.73500000000001</v>
          </cell>
          <cell r="AH99">
            <v>0</v>
          </cell>
          <cell r="AI99">
            <v>0</v>
          </cell>
          <cell r="AJ99">
            <v>914.89700000000005</v>
          </cell>
          <cell r="AK99">
            <v>2142.8000000000002</v>
          </cell>
          <cell r="AL99">
            <v>28849.200000000001</v>
          </cell>
          <cell r="AM99">
            <v>613.04200000000003</v>
          </cell>
          <cell r="AN99">
            <v>262.23200000000003</v>
          </cell>
          <cell r="AO99">
            <v>0</v>
          </cell>
          <cell r="AP99">
            <v>747.30100000000004</v>
          </cell>
          <cell r="AQ99">
            <v>110.994</v>
          </cell>
          <cell r="AR99">
            <v>858.29499999999996</v>
          </cell>
          <cell r="AS99">
            <v>435.90100000000001</v>
          </cell>
          <cell r="AT99">
            <v>133.524</v>
          </cell>
          <cell r="AU99">
            <v>35050.199999999997</v>
          </cell>
          <cell r="AV99">
            <v>35619.624999999993</v>
          </cell>
          <cell r="AW99">
            <v>0</v>
          </cell>
          <cell r="AX99">
            <v>0</v>
          </cell>
          <cell r="AY99">
            <v>0</v>
          </cell>
          <cell r="AZ99">
            <v>0</v>
          </cell>
          <cell r="BA99">
            <v>0</v>
          </cell>
          <cell r="BB99">
            <v>0</v>
          </cell>
          <cell r="BC99">
            <v>0</v>
          </cell>
          <cell r="BD99">
            <v>0</v>
          </cell>
          <cell r="BE99">
            <v>0</v>
          </cell>
        </row>
        <row r="100">
          <cell r="Z100">
            <v>18808.509999999998</v>
          </cell>
          <cell r="AA100">
            <v>12761.905000000001</v>
          </cell>
        </row>
        <row r="101">
          <cell r="AA101" t="str">
            <v>SG&amp;A margin</v>
          </cell>
          <cell r="AB101">
            <v>3.5396086017057772E-2</v>
          </cell>
        </row>
        <row r="104">
          <cell r="H104">
            <v>0</v>
          </cell>
          <cell r="I104">
            <v>0</v>
          </cell>
          <cell r="J104">
            <v>0</v>
          </cell>
          <cell r="K104">
            <v>0</v>
          </cell>
          <cell r="L104">
            <v>0</v>
          </cell>
          <cell r="M104">
            <v>0</v>
          </cell>
          <cell r="N104">
            <v>0</v>
          </cell>
          <cell r="O104">
            <v>0</v>
          </cell>
          <cell r="P104">
            <v>0</v>
          </cell>
          <cell r="Q104">
            <v>0</v>
          </cell>
          <cell r="R104">
            <v>0</v>
          </cell>
          <cell r="S104">
            <v>0</v>
          </cell>
          <cell r="T104">
            <v>0</v>
          </cell>
          <cell r="U104">
            <v>31.42</v>
          </cell>
          <cell r="W104">
            <v>132.999</v>
          </cell>
          <cell r="X104">
            <v>150.18799999999999</v>
          </cell>
          <cell r="Y104">
            <v>14.661</v>
          </cell>
          <cell r="Z104">
            <v>700.26400000000001</v>
          </cell>
          <cell r="AA104">
            <v>241.745</v>
          </cell>
          <cell r="AB104">
            <v>602.16800000000001</v>
          </cell>
          <cell r="AC104">
            <v>75.724000000000004</v>
          </cell>
          <cell r="AD104">
            <v>0</v>
          </cell>
          <cell r="AE104">
            <v>290.37700000000001</v>
          </cell>
          <cell r="AF104">
            <v>143.19200000000001</v>
          </cell>
          <cell r="AG104">
            <v>51.006999999999998</v>
          </cell>
          <cell r="AH104">
            <v>31.154</v>
          </cell>
          <cell r="AI104">
            <v>102.20399999999999</v>
          </cell>
          <cell r="AJ104">
            <v>133.358</v>
          </cell>
          <cell r="AK104">
            <v>303.60000000000002</v>
          </cell>
          <cell r="AL104">
            <v>1518.1</v>
          </cell>
          <cell r="AM104">
            <v>0</v>
          </cell>
          <cell r="AN104">
            <v>10.985999999999999</v>
          </cell>
          <cell r="AO104">
            <v>0</v>
          </cell>
          <cell r="AR104">
            <v>256.42146035999997</v>
          </cell>
          <cell r="AS104">
            <v>150.73399999999998</v>
          </cell>
          <cell r="AT104">
            <v>39.524999999999999</v>
          </cell>
          <cell r="AU104">
            <v>1552.4</v>
          </cell>
          <cell r="AV104">
            <v>1742.6590000000001</v>
          </cell>
          <cell r="AW104">
            <v>0</v>
          </cell>
          <cell r="AX104">
            <v>0</v>
          </cell>
          <cell r="AY104">
            <v>0</v>
          </cell>
          <cell r="AZ104">
            <v>0</v>
          </cell>
          <cell r="BA104">
            <v>0</v>
          </cell>
          <cell r="BB104">
            <v>0</v>
          </cell>
          <cell r="BC104">
            <v>0</v>
          </cell>
          <cell r="BD104">
            <v>0</v>
          </cell>
          <cell r="BE104">
            <v>0</v>
          </cell>
        </row>
        <row r="105">
          <cell r="H105">
            <v>0</v>
          </cell>
          <cell r="I105">
            <v>0</v>
          </cell>
          <cell r="J105">
            <v>0</v>
          </cell>
          <cell r="K105">
            <v>0</v>
          </cell>
          <cell r="L105">
            <v>0</v>
          </cell>
          <cell r="M105">
            <v>0</v>
          </cell>
          <cell r="N105">
            <v>0</v>
          </cell>
          <cell r="O105">
            <v>0</v>
          </cell>
          <cell r="P105">
            <v>0</v>
          </cell>
          <cell r="Q105">
            <v>0</v>
          </cell>
          <cell r="R105">
            <v>0</v>
          </cell>
          <cell r="S105">
            <v>0</v>
          </cell>
          <cell r="T105">
            <v>0</v>
          </cell>
          <cell r="U105">
            <v>27.006000000000004</v>
          </cell>
          <cell r="W105">
            <v>156.1768782149995</v>
          </cell>
          <cell r="X105">
            <v>144.71100000000001</v>
          </cell>
          <cell r="Y105">
            <v>8.9809999999999999</v>
          </cell>
          <cell r="Z105">
            <v>717.07899999999995</v>
          </cell>
          <cell r="AA105">
            <v>224.512</v>
          </cell>
          <cell r="AB105">
            <v>597.33799999999997</v>
          </cell>
          <cell r="AC105">
            <v>72.700999999999993</v>
          </cell>
          <cell r="AD105">
            <v>0</v>
          </cell>
          <cell r="AE105">
            <v>325.358</v>
          </cell>
          <cell r="AF105">
            <v>129.94999999999999</v>
          </cell>
          <cell r="AG105">
            <v>39.011000000000003</v>
          </cell>
          <cell r="AH105">
            <v>21.861000000000001</v>
          </cell>
          <cell r="AI105">
            <v>112.542</v>
          </cell>
          <cell r="AJ105">
            <v>134.40299999999999</v>
          </cell>
          <cell r="AK105">
            <v>258.39999999999998</v>
          </cell>
          <cell r="AL105">
            <v>1369.4</v>
          </cell>
          <cell r="AM105">
            <v>0</v>
          </cell>
          <cell r="AN105">
            <v>8.2260000000000009</v>
          </cell>
          <cell r="AO105">
            <v>0</v>
          </cell>
          <cell r="AP105">
            <v>68.897000000000006</v>
          </cell>
          <cell r="AQ105">
            <v>0</v>
          </cell>
          <cell r="AR105">
            <v>238.47122689000003</v>
          </cell>
          <cell r="AS105">
            <v>116.28100000000001</v>
          </cell>
          <cell r="AT105">
            <v>33.345999999999997</v>
          </cell>
          <cell r="AU105">
            <v>1431.9</v>
          </cell>
          <cell r="AV105">
            <v>1581.527</v>
          </cell>
          <cell r="AW105">
            <v>0</v>
          </cell>
          <cell r="AX105">
            <v>0</v>
          </cell>
          <cell r="AY105">
            <v>0</v>
          </cell>
          <cell r="AZ105">
            <v>0</v>
          </cell>
          <cell r="BA105">
            <v>0</v>
          </cell>
          <cell r="BB105">
            <v>0</v>
          </cell>
          <cell r="BC105">
            <v>0</v>
          </cell>
          <cell r="BD105">
            <v>0</v>
          </cell>
          <cell r="BE105">
            <v>0</v>
          </cell>
        </row>
        <row r="106">
          <cell r="H106">
            <v>0</v>
          </cell>
          <cell r="I106">
            <v>0</v>
          </cell>
          <cell r="J106">
            <v>0</v>
          </cell>
          <cell r="K106">
            <v>0</v>
          </cell>
          <cell r="L106">
            <v>0</v>
          </cell>
          <cell r="M106">
            <v>0</v>
          </cell>
          <cell r="N106">
            <v>0</v>
          </cell>
          <cell r="O106">
            <v>0</v>
          </cell>
          <cell r="P106">
            <v>0</v>
          </cell>
          <cell r="Q106">
            <v>0</v>
          </cell>
          <cell r="R106">
            <v>0</v>
          </cell>
          <cell r="S106">
            <v>0</v>
          </cell>
          <cell r="T106">
            <v>0</v>
          </cell>
          <cell r="U106">
            <v>33.099999999999994</v>
          </cell>
          <cell r="V106">
            <v>269.70600000000002</v>
          </cell>
          <cell r="W106">
            <v>208.23583761999933</v>
          </cell>
          <cell r="X106">
            <v>181.56799999999998</v>
          </cell>
          <cell r="Y106">
            <v>48.348999999999997</v>
          </cell>
          <cell r="Z106">
            <v>879.18899999999996</v>
          </cell>
          <cell r="AA106">
            <v>303.03800000000001</v>
          </cell>
          <cell r="AB106">
            <v>1197.5029999999999</v>
          </cell>
          <cell r="AC106">
            <v>296.80700000000002</v>
          </cell>
          <cell r="AD106">
            <v>0</v>
          </cell>
          <cell r="AE106">
            <v>384.77600000000001</v>
          </cell>
          <cell r="AF106">
            <v>544.27799999999991</v>
          </cell>
          <cell r="AG106">
            <v>180.54499999999999</v>
          </cell>
          <cell r="AH106">
            <v>0</v>
          </cell>
          <cell r="AI106">
            <v>0</v>
          </cell>
          <cell r="AJ106">
            <v>172.601</v>
          </cell>
          <cell r="AK106">
            <v>0</v>
          </cell>
          <cell r="AL106">
            <v>2075.5</v>
          </cell>
          <cell r="AM106">
            <v>347.03</v>
          </cell>
          <cell r="AN106">
            <v>34.326999999999998</v>
          </cell>
          <cell r="AO106">
            <v>0</v>
          </cell>
          <cell r="AP106">
            <v>294.03899999999999</v>
          </cell>
          <cell r="AQ106">
            <v>28.146000000000001</v>
          </cell>
          <cell r="AR106">
            <v>322.185</v>
          </cell>
          <cell r="AS106">
            <v>158.08800000000002</v>
          </cell>
          <cell r="AT106">
            <v>46.335999999999999</v>
          </cell>
          <cell r="AU106">
            <v>1999.6</v>
          </cell>
          <cell r="AV106">
            <v>2204.0239999999999</v>
          </cell>
          <cell r="AW106">
            <v>0</v>
          </cell>
          <cell r="AX106">
            <v>0</v>
          </cell>
          <cell r="AY106">
            <v>0</v>
          </cell>
          <cell r="AZ106">
            <v>0</v>
          </cell>
          <cell r="BA106">
            <v>0</v>
          </cell>
          <cell r="BB106">
            <v>0</v>
          </cell>
          <cell r="BC106">
            <v>0</v>
          </cell>
          <cell r="BD106">
            <v>0</v>
          </cell>
          <cell r="BE106">
            <v>0</v>
          </cell>
        </row>
        <row r="107">
          <cell r="Z107">
            <v>862.37400000000002</v>
          </cell>
          <cell r="AA107">
            <v>320.27100000000002</v>
          </cell>
        </row>
        <row r="108">
          <cell r="AB108">
            <v>683.23800000000188</v>
          </cell>
        </row>
        <row r="111">
          <cell r="H111">
            <v>0</v>
          </cell>
          <cell r="I111">
            <v>0</v>
          </cell>
          <cell r="J111">
            <v>0</v>
          </cell>
          <cell r="K111">
            <v>0</v>
          </cell>
          <cell r="L111">
            <v>0</v>
          </cell>
          <cell r="M111">
            <v>0</v>
          </cell>
          <cell r="N111">
            <v>0</v>
          </cell>
          <cell r="O111">
            <v>0</v>
          </cell>
          <cell r="P111">
            <v>0</v>
          </cell>
          <cell r="Q111">
            <v>0</v>
          </cell>
          <cell r="R111">
            <v>0</v>
          </cell>
          <cell r="S111">
            <v>0</v>
          </cell>
          <cell r="T111">
            <v>0</v>
          </cell>
          <cell r="U111">
            <v>11.292999999999999</v>
          </cell>
          <cell r="W111">
            <v>29.094999999999999</v>
          </cell>
          <cell r="X111">
            <v>33.395000000000003</v>
          </cell>
          <cell r="Y111">
            <v>0</v>
          </cell>
          <cell r="Z111">
            <v>0</v>
          </cell>
          <cell r="AA111">
            <v>0</v>
          </cell>
          <cell r="AB111">
            <v>0</v>
          </cell>
          <cell r="AC111">
            <v>0</v>
          </cell>
          <cell r="AD111">
            <v>0</v>
          </cell>
          <cell r="AE111">
            <v>0</v>
          </cell>
          <cell r="AF111">
            <v>0</v>
          </cell>
          <cell r="AG111">
            <v>0</v>
          </cell>
          <cell r="AH111">
            <v>0</v>
          </cell>
          <cell r="AI111">
            <v>0</v>
          </cell>
          <cell r="AJ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row>
        <row r="112">
          <cell r="H112">
            <v>0</v>
          </cell>
          <cell r="I112">
            <v>0</v>
          </cell>
          <cell r="J112">
            <v>0</v>
          </cell>
          <cell r="K112">
            <v>0</v>
          </cell>
          <cell r="L112">
            <v>0</v>
          </cell>
          <cell r="M112">
            <v>0</v>
          </cell>
          <cell r="N112">
            <v>0</v>
          </cell>
          <cell r="O112">
            <v>0</v>
          </cell>
          <cell r="P112">
            <v>0</v>
          </cell>
          <cell r="Q112">
            <v>0</v>
          </cell>
          <cell r="R112">
            <v>0</v>
          </cell>
          <cell r="S112">
            <v>0</v>
          </cell>
          <cell r="T112">
            <v>0</v>
          </cell>
          <cell r="U112">
            <v>8.11</v>
          </cell>
          <cell r="W112">
            <v>31.519609449231673</v>
          </cell>
          <cell r="X112">
            <v>30.375</v>
          </cell>
          <cell r="Y112">
            <v>0</v>
          </cell>
          <cell r="Z112">
            <v>0</v>
          </cell>
          <cell r="AA112">
            <v>0</v>
          </cell>
          <cell r="AB112">
            <v>0</v>
          </cell>
          <cell r="AC112">
            <v>0</v>
          </cell>
          <cell r="AD112">
            <v>0</v>
          </cell>
          <cell r="AE112">
            <v>0</v>
          </cell>
          <cell r="AF112">
            <v>0</v>
          </cell>
          <cell r="AG112">
            <v>0</v>
          </cell>
          <cell r="AH112">
            <v>0</v>
          </cell>
          <cell r="AI112">
            <v>0</v>
          </cell>
          <cell r="AJ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row>
        <row r="113">
          <cell r="H113">
            <v>0</v>
          </cell>
          <cell r="I113">
            <v>0</v>
          </cell>
          <cell r="J113">
            <v>0</v>
          </cell>
          <cell r="K113">
            <v>0</v>
          </cell>
          <cell r="L113">
            <v>0</v>
          </cell>
          <cell r="M113">
            <v>0</v>
          </cell>
          <cell r="N113">
            <v>0</v>
          </cell>
          <cell r="O113">
            <v>0</v>
          </cell>
          <cell r="P113">
            <v>0</v>
          </cell>
          <cell r="Q113">
            <v>0</v>
          </cell>
          <cell r="R113">
            <v>0</v>
          </cell>
          <cell r="S113">
            <v>0</v>
          </cell>
          <cell r="T113">
            <v>0</v>
          </cell>
          <cell r="U113">
            <v>11.116</v>
          </cell>
          <cell r="V113">
            <v>46.601999999999997</v>
          </cell>
          <cell r="W113">
            <v>42.0261459323089</v>
          </cell>
          <cell r="X113">
            <v>39.486000000000004</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147.5</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row>
        <row r="116">
          <cell r="AF116">
            <v>29.406999999999982</v>
          </cell>
        </row>
        <row r="117">
          <cell r="AF117">
            <v>155.04599999999994</v>
          </cell>
        </row>
        <row r="119">
          <cell r="H119">
            <v>0</v>
          </cell>
          <cell r="I119">
            <v>0</v>
          </cell>
          <cell r="J119">
            <v>0</v>
          </cell>
          <cell r="K119">
            <v>0</v>
          </cell>
          <cell r="L119">
            <v>0</v>
          </cell>
          <cell r="M119">
            <v>0</v>
          </cell>
          <cell r="N119">
            <v>0</v>
          </cell>
          <cell r="O119">
            <v>0</v>
          </cell>
          <cell r="P119">
            <v>0</v>
          </cell>
          <cell r="Q119">
            <v>0</v>
          </cell>
          <cell r="R119">
            <v>0</v>
          </cell>
          <cell r="S119">
            <v>0</v>
          </cell>
          <cell r="T119">
            <v>0</v>
          </cell>
          <cell r="U119">
            <v>-0.1359999999999999</v>
          </cell>
          <cell r="W119">
            <v>97.520999999999987</v>
          </cell>
          <cell r="X119">
            <v>87.960999999999999</v>
          </cell>
          <cell r="Y119">
            <v>14.523</v>
          </cell>
          <cell r="Z119">
            <v>264.28800000000001</v>
          </cell>
          <cell r="AA119">
            <v>179.416</v>
          </cell>
          <cell r="AB119">
            <v>354.30900000000003</v>
          </cell>
          <cell r="AC119">
            <v>23.326000000000001</v>
          </cell>
          <cell r="AD119">
            <v>0</v>
          </cell>
          <cell r="AE119">
            <v>25.34</v>
          </cell>
          <cell r="AF119">
            <v>35.198</v>
          </cell>
          <cell r="AG119">
            <v>21.308</v>
          </cell>
          <cell r="AH119">
            <v>36.216000000000001</v>
          </cell>
          <cell r="AI119">
            <v>28.707000000000001</v>
          </cell>
          <cell r="AJ119">
            <v>64.923000000000002</v>
          </cell>
          <cell r="AK119">
            <v>115</v>
          </cell>
          <cell r="AL119">
            <v>552.70000000000005</v>
          </cell>
          <cell r="AM119">
            <v>0</v>
          </cell>
          <cell r="AN119">
            <v>11.609</v>
          </cell>
          <cell r="AO119">
            <v>0</v>
          </cell>
          <cell r="AR119">
            <v>110.62633092</v>
          </cell>
          <cell r="AS119">
            <v>53.835000000000001</v>
          </cell>
          <cell r="AT119">
            <v>9.4570000000000007</v>
          </cell>
          <cell r="AU119">
            <v>1431.3</v>
          </cell>
          <cell r="AV119">
            <v>1494.5920000000001</v>
          </cell>
          <cell r="AW119">
            <v>0</v>
          </cell>
          <cell r="AX119">
            <v>0</v>
          </cell>
          <cell r="AY119">
            <v>0</v>
          </cell>
          <cell r="AZ119">
            <v>0</v>
          </cell>
          <cell r="BA119">
            <v>0</v>
          </cell>
          <cell r="BB119">
            <v>0</v>
          </cell>
          <cell r="BC119">
            <v>0</v>
          </cell>
          <cell r="BD119">
            <v>0</v>
          </cell>
          <cell r="BE119">
            <v>0</v>
          </cell>
        </row>
        <row r="120">
          <cell r="H120">
            <v>0</v>
          </cell>
          <cell r="I120">
            <v>0</v>
          </cell>
          <cell r="J120">
            <v>0</v>
          </cell>
          <cell r="K120">
            <v>0</v>
          </cell>
          <cell r="L120">
            <v>0</v>
          </cell>
          <cell r="M120">
            <v>0</v>
          </cell>
          <cell r="N120">
            <v>0</v>
          </cell>
          <cell r="O120">
            <v>0</v>
          </cell>
          <cell r="P120">
            <v>0</v>
          </cell>
          <cell r="Q120">
            <v>0</v>
          </cell>
          <cell r="R120">
            <v>0</v>
          </cell>
          <cell r="S120">
            <v>0</v>
          </cell>
          <cell r="T120">
            <v>0</v>
          </cell>
          <cell r="U120">
            <v>-0.10600000000000165</v>
          </cell>
          <cell r="W120">
            <v>53.954883522820339</v>
          </cell>
          <cell r="X120">
            <v>76.080999999999989</v>
          </cell>
          <cell r="Y120">
            <v>12.225</v>
          </cell>
          <cell r="Z120">
            <v>217.44900000000001</v>
          </cell>
          <cell r="AA120">
            <v>144.625</v>
          </cell>
          <cell r="AB120">
            <v>294.02499999999998</v>
          </cell>
          <cell r="AC120">
            <v>20.574999999999999</v>
          </cell>
          <cell r="AD120">
            <v>0</v>
          </cell>
          <cell r="AE120">
            <v>34.225999999999999</v>
          </cell>
          <cell r="AF120">
            <v>29.407</v>
          </cell>
          <cell r="AG120">
            <v>21.936999999999998</v>
          </cell>
          <cell r="AH120">
            <v>19.831</v>
          </cell>
          <cell r="AI120">
            <v>26.346000000000004</v>
          </cell>
          <cell r="AJ120">
            <v>46.177000000000007</v>
          </cell>
          <cell r="AK120">
            <v>96.8</v>
          </cell>
          <cell r="AL120">
            <v>410.5</v>
          </cell>
          <cell r="AM120">
            <v>0</v>
          </cell>
          <cell r="AN120">
            <v>9.3010000000000002</v>
          </cell>
          <cell r="AO120">
            <v>0</v>
          </cell>
          <cell r="AP120">
            <v>24.198</v>
          </cell>
          <cell r="AQ120">
            <v>0</v>
          </cell>
          <cell r="AR120">
            <v>96.873057330000009</v>
          </cell>
          <cell r="AS120">
            <v>48.537999999999997</v>
          </cell>
          <cell r="AT120">
            <v>6.46</v>
          </cell>
          <cell r="AU120">
            <v>1203.8</v>
          </cell>
          <cell r="AV120">
            <v>1258.7979999999998</v>
          </cell>
          <cell r="AW120">
            <v>0</v>
          </cell>
          <cell r="AX120">
            <v>0</v>
          </cell>
          <cell r="AY120">
            <v>0</v>
          </cell>
          <cell r="AZ120">
            <v>0</v>
          </cell>
          <cell r="BA120">
            <v>0</v>
          </cell>
          <cell r="BB120">
            <v>0</v>
          </cell>
          <cell r="BC120">
            <v>0</v>
          </cell>
          <cell r="BD120">
            <v>0</v>
          </cell>
          <cell r="BE120">
            <v>0</v>
          </cell>
        </row>
        <row r="121">
          <cell r="H121">
            <v>0</v>
          </cell>
          <cell r="I121">
            <v>0</v>
          </cell>
          <cell r="J121">
            <v>0</v>
          </cell>
          <cell r="K121">
            <v>0</v>
          </cell>
          <cell r="L121">
            <v>0</v>
          </cell>
          <cell r="M121">
            <v>0</v>
          </cell>
          <cell r="N121">
            <v>0</v>
          </cell>
          <cell r="O121">
            <v>0</v>
          </cell>
          <cell r="P121">
            <v>0</v>
          </cell>
          <cell r="Q121">
            <v>0</v>
          </cell>
          <cell r="R121">
            <v>0</v>
          </cell>
          <cell r="S121">
            <v>0</v>
          </cell>
          <cell r="T121">
            <v>0</v>
          </cell>
          <cell r="U121">
            <v>0.8819999999999979</v>
          </cell>
          <cell r="V121">
            <v>231.66800000000001</v>
          </cell>
          <cell r="W121">
            <v>71.93984469709379</v>
          </cell>
          <cell r="X121">
            <v>111.59</v>
          </cell>
          <cell r="Y121">
            <v>45.207000000000001</v>
          </cell>
          <cell r="Z121">
            <v>283.30200000000002</v>
          </cell>
          <cell r="AA121">
            <v>200.434</v>
          </cell>
          <cell r="AB121">
            <v>620.68299999999999</v>
          </cell>
          <cell r="AC121">
            <v>88.96</v>
          </cell>
          <cell r="AD121">
            <v>0</v>
          </cell>
          <cell r="AE121">
            <v>25.77</v>
          </cell>
          <cell r="AF121">
            <v>155.04599999999999</v>
          </cell>
          <cell r="AG121">
            <v>74.876999999999995</v>
          </cell>
          <cell r="AH121">
            <v>0</v>
          </cell>
          <cell r="AI121">
            <v>0</v>
          </cell>
          <cell r="AJ121">
            <v>56.185000000000002</v>
          </cell>
          <cell r="AK121">
            <v>209</v>
          </cell>
          <cell r="AL121">
            <v>576.79999999999995</v>
          </cell>
          <cell r="AM121">
            <v>219.375</v>
          </cell>
          <cell r="AN121">
            <v>-5.774</v>
          </cell>
          <cell r="AO121">
            <v>0</v>
          </cell>
          <cell r="AP121">
            <v>115.11499999999999</v>
          </cell>
          <cell r="AQ121">
            <v>10.509</v>
          </cell>
          <cell r="AR121">
            <v>122.532</v>
          </cell>
          <cell r="AS121">
            <v>68.950999999999993</v>
          </cell>
          <cell r="AT121">
            <v>9.202</v>
          </cell>
          <cell r="AU121">
            <v>1612</v>
          </cell>
          <cell r="AV121">
            <v>1690.153</v>
          </cell>
          <cell r="AW121">
            <v>0</v>
          </cell>
          <cell r="AX121">
            <v>0</v>
          </cell>
          <cell r="AY121">
            <v>0</v>
          </cell>
          <cell r="AZ121">
            <v>0</v>
          </cell>
          <cell r="BA121">
            <v>0</v>
          </cell>
          <cell r="BB121">
            <v>0</v>
          </cell>
          <cell r="BC121">
            <v>0</v>
          </cell>
          <cell r="BD121">
            <v>0</v>
          </cell>
          <cell r="BE121">
            <v>0</v>
          </cell>
        </row>
        <row r="122">
          <cell r="Z122">
            <v>330.14100000000002</v>
          </cell>
          <cell r="AA122">
            <v>235.22499999999999</v>
          </cell>
        </row>
        <row r="123">
          <cell r="AA123" t="str">
            <v>EBIT margin</v>
          </cell>
          <cell r="AB123">
            <v>1.6921175472876377E-2</v>
          </cell>
        </row>
        <row r="126">
          <cell r="H126">
            <v>0</v>
          </cell>
          <cell r="I126">
            <v>0</v>
          </cell>
          <cell r="J126">
            <v>0</v>
          </cell>
          <cell r="K126">
            <v>0</v>
          </cell>
          <cell r="L126">
            <v>0</v>
          </cell>
          <cell r="M126">
            <v>0</v>
          </cell>
          <cell r="N126">
            <v>0</v>
          </cell>
          <cell r="O126">
            <v>0</v>
          </cell>
          <cell r="P126">
            <v>0</v>
          </cell>
          <cell r="Q126">
            <v>0</v>
          </cell>
          <cell r="R126">
            <v>0</v>
          </cell>
          <cell r="S126">
            <v>0</v>
          </cell>
          <cell r="T126">
            <v>0</v>
          </cell>
          <cell r="U126">
            <v>-0.76</v>
          </cell>
          <cell r="W126">
            <v>7.9530000000000003</v>
          </cell>
          <cell r="X126">
            <v>19.346</v>
          </cell>
          <cell r="Y126">
            <v>0</v>
          </cell>
          <cell r="Z126">
            <v>112.25200000000001</v>
          </cell>
          <cell r="AA126">
            <v>20.698333333333334</v>
          </cell>
          <cell r="AB126">
            <v>75.745000000000005</v>
          </cell>
          <cell r="AC126">
            <v>3.367</v>
          </cell>
          <cell r="AD126">
            <v>0</v>
          </cell>
          <cell r="AE126">
            <v>9.7590000000000003</v>
          </cell>
          <cell r="AF126">
            <v>4.8280000000000003</v>
          </cell>
          <cell r="AG126">
            <v>0</v>
          </cell>
          <cell r="AH126">
            <v>0</v>
          </cell>
          <cell r="AI126">
            <v>0.11</v>
          </cell>
          <cell r="AJ126">
            <v>7.6979999999999995</v>
          </cell>
          <cell r="AK126">
            <v>47.4</v>
          </cell>
          <cell r="AL126">
            <v>81.2</v>
          </cell>
          <cell r="AM126">
            <v>0</v>
          </cell>
          <cell r="AN126">
            <v>8.6999999999999994E-2</v>
          </cell>
          <cell r="AO126">
            <v>0</v>
          </cell>
          <cell r="AP126">
            <v>0</v>
          </cell>
          <cell r="AQ126">
            <v>0</v>
          </cell>
          <cell r="AR126">
            <v>8.3000000000000004E-2</v>
          </cell>
          <cell r="AS126">
            <v>5.7580000000000009</v>
          </cell>
          <cell r="AT126">
            <v>0</v>
          </cell>
          <cell r="AU126">
            <v>107</v>
          </cell>
          <cell r="AV126">
            <v>112.758</v>
          </cell>
          <cell r="AW126">
            <v>0</v>
          </cell>
          <cell r="AX126">
            <v>0</v>
          </cell>
          <cell r="AY126">
            <v>0</v>
          </cell>
          <cell r="AZ126">
            <v>0</v>
          </cell>
          <cell r="BA126">
            <v>0</v>
          </cell>
          <cell r="BB126">
            <v>0</v>
          </cell>
          <cell r="BC126">
            <v>0</v>
          </cell>
          <cell r="BD126">
            <v>0</v>
          </cell>
          <cell r="BE126">
            <v>0</v>
          </cell>
        </row>
        <row r="127">
          <cell r="H127">
            <v>0</v>
          </cell>
          <cell r="I127">
            <v>0</v>
          </cell>
          <cell r="J127">
            <v>0</v>
          </cell>
          <cell r="K127">
            <v>0</v>
          </cell>
          <cell r="L127">
            <v>0</v>
          </cell>
          <cell r="M127">
            <v>0</v>
          </cell>
          <cell r="N127">
            <v>0</v>
          </cell>
          <cell r="O127">
            <v>0</v>
          </cell>
          <cell r="P127">
            <v>0</v>
          </cell>
          <cell r="Q127">
            <v>0</v>
          </cell>
          <cell r="R127">
            <v>0</v>
          </cell>
          <cell r="S127">
            <v>0</v>
          </cell>
          <cell r="T127">
            <v>0</v>
          </cell>
          <cell r="U127">
            <v>-0.91200000000000003</v>
          </cell>
          <cell r="W127">
            <v>10.056750000000001</v>
          </cell>
          <cell r="X127">
            <v>20.728999999999999</v>
          </cell>
          <cell r="Y127">
            <v>0</v>
          </cell>
          <cell r="Z127">
            <v>91.204999999999998</v>
          </cell>
          <cell r="AA127">
            <v>31.202999999999999</v>
          </cell>
          <cell r="AB127">
            <v>91.802999999999997</v>
          </cell>
          <cell r="AC127">
            <v>5.032</v>
          </cell>
          <cell r="AD127">
            <v>0</v>
          </cell>
          <cell r="AE127">
            <v>14.395</v>
          </cell>
          <cell r="AF127">
            <v>5.3680000000000003</v>
          </cell>
          <cell r="AG127">
            <v>0</v>
          </cell>
          <cell r="AH127">
            <v>0</v>
          </cell>
          <cell r="AI127">
            <v>5.109</v>
          </cell>
          <cell r="AJ127">
            <v>7.6979999999999995</v>
          </cell>
          <cell r="AK127">
            <v>52.5</v>
          </cell>
          <cell r="AL127">
            <v>84.4</v>
          </cell>
          <cell r="AM127">
            <v>0</v>
          </cell>
          <cell r="AN127">
            <v>4.8000000000000001E-2</v>
          </cell>
          <cell r="AO127">
            <v>0</v>
          </cell>
          <cell r="AP127">
            <v>0</v>
          </cell>
          <cell r="AQ127">
            <v>0</v>
          </cell>
          <cell r="AR127">
            <v>9.8000000000000004E-2</v>
          </cell>
          <cell r="AS127">
            <v>8.14</v>
          </cell>
          <cell r="AT127">
            <v>0</v>
          </cell>
          <cell r="AU127">
            <v>116.9</v>
          </cell>
          <cell r="AV127">
            <v>125.04</v>
          </cell>
          <cell r="AW127">
            <v>0</v>
          </cell>
          <cell r="AX127">
            <v>0</v>
          </cell>
          <cell r="AY127">
            <v>0</v>
          </cell>
          <cell r="AZ127">
            <v>0</v>
          </cell>
          <cell r="BA127">
            <v>0</v>
          </cell>
          <cell r="BB127">
            <v>0</v>
          </cell>
          <cell r="BC127">
            <v>0</v>
          </cell>
          <cell r="BD127">
            <v>0</v>
          </cell>
          <cell r="BE127">
            <v>0</v>
          </cell>
        </row>
        <row r="128">
          <cell r="H128">
            <v>0</v>
          </cell>
          <cell r="I128">
            <v>0</v>
          </cell>
          <cell r="J128">
            <v>0</v>
          </cell>
          <cell r="K128">
            <v>0</v>
          </cell>
          <cell r="L128">
            <v>0</v>
          </cell>
          <cell r="M128">
            <v>0</v>
          </cell>
          <cell r="N128">
            <v>0</v>
          </cell>
          <cell r="O128">
            <v>0</v>
          </cell>
          <cell r="P128">
            <v>0</v>
          </cell>
          <cell r="Q128">
            <v>0</v>
          </cell>
          <cell r="R128">
            <v>0</v>
          </cell>
          <cell r="S128">
            <v>0</v>
          </cell>
          <cell r="T128">
            <v>0</v>
          </cell>
          <cell r="U128">
            <v>-1.3460000000000001</v>
          </cell>
          <cell r="V128">
            <v>1.258</v>
          </cell>
          <cell r="W128">
            <v>13.409000000000002</v>
          </cell>
          <cell r="X128">
            <v>26.922000000000001</v>
          </cell>
          <cell r="Y128">
            <v>0</v>
          </cell>
          <cell r="Z128">
            <v>159.06666666666669</v>
          </cell>
          <cell r="AA128">
            <v>41.856999999999999</v>
          </cell>
          <cell r="AB128">
            <v>200.92366666666669</v>
          </cell>
          <cell r="AC128">
            <v>17.692999999999998</v>
          </cell>
          <cell r="AD128">
            <v>0</v>
          </cell>
          <cell r="AE128">
            <v>19.670000000000002</v>
          </cell>
          <cell r="AF128">
            <v>17.324000000000002</v>
          </cell>
          <cell r="AG128">
            <v>13.374000000000001</v>
          </cell>
          <cell r="AH128">
            <v>0</v>
          </cell>
          <cell r="AI128">
            <v>0</v>
          </cell>
          <cell r="AJ128">
            <v>8.6509999999999998</v>
          </cell>
          <cell r="AK128">
            <v>100.8</v>
          </cell>
          <cell r="AL128">
            <v>111.6</v>
          </cell>
          <cell r="AM128">
            <v>16.542000000000002</v>
          </cell>
          <cell r="AN128">
            <v>0</v>
          </cell>
          <cell r="AO128">
            <v>0</v>
          </cell>
          <cell r="AP128">
            <v>7.0810000000000004</v>
          </cell>
          <cell r="AQ128">
            <v>0.13100000000000001</v>
          </cell>
          <cell r="AR128">
            <v>4.6910000000000007</v>
          </cell>
          <cell r="AS128">
            <v>15.755999999999998</v>
          </cell>
          <cell r="AT128">
            <v>0</v>
          </cell>
          <cell r="AU128">
            <v>154.9</v>
          </cell>
          <cell r="AV128">
            <v>170.65600000000001</v>
          </cell>
          <cell r="AW128">
            <v>0</v>
          </cell>
          <cell r="AX128">
            <v>0</v>
          </cell>
          <cell r="AY128">
            <v>0</v>
          </cell>
          <cell r="AZ128">
            <v>0</v>
          </cell>
          <cell r="BA128">
            <v>0</v>
          </cell>
          <cell r="BB128">
            <v>0</v>
          </cell>
          <cell r="BC128">
            <v>0</v>
          </cell>
          <cell r="BD128">
            <v>0</v>
          </cell>
          <cell r="BE128">
            <v>0</v>
          </cell>
        </row>
        <row r="133">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W133">
            <v>16.024000000000001</v>
          </cell>
          <cell r="X133">
            <v>2.1579999999999999</v>
          </cell>
          <cell r="Y133">
            <v>0.86699999999999999</v>
          </cell>
          <cell r="Z133">
            <v>0</v>
          </cell>
          <cell r="AA133">
            <v>0</v>
          </cell>
          <cell r="AB133">
            <v>0</v>
          </cell>
          <cell r="AC133">
            <v>0</v>
          </cell>
          <cell r="AD133">
            <v>0</v>
          </cell>
          <cell r="AE133">
            <v>0.32600000000000001</v>
          </cell>
          <cell r="AF133">
            <v>2.4390000000000001</v>
          </cell>
          <cell r="AG133">
            <v>0</v>
          </cell>
          <cell r="AH133">
            <v>0.83799999999999997</v>
          </cell>
          <cell r="AI133">
            <v>0</v>
          </cell>
          <cell r="AJ133">
            <v>0.83799999999999997</v>
          </cell>
          <cell r="AL133">
            <v>0</v>
          </cell>
          <cell r="AM133">
            <v>0</v>
          </cell>
          <cell r="AN133">
            <v>0.112</v>
          </cell>
          <cell r="AO133">
            <v>0</v>
          </cell>
          <cell r="AP133">
            <v>0</v>
          </cell>
          <cell r="AQ133">
            <v>0</v>
          </cell>
          <cell r="AR133">
            <v>0</v>
          </cell>
          <cell r="AS133">
            <v>2.2650000000000001</v>
          </cell>
          <cell r="AT133">
            <v>0.22300000000000003</v>
          </cell>
          <cell r="AU133">
            <v>0</v>
          </cell>
          <cell r="AV133">
            <v>2.488</v>
          </cell>
          <cell r="AW133">
            <v>0</v>
          </cell>
          <cell r="AX133">
            <v>0</v>
          </cell>
          <cell r="AY133">
            <v>0</v>
          </cell>
          <cell r="AZ133">
            <v>0</v>
          </cell>
          <cell r="BA133">
            <v>0</v>
          </cell>
          <cell r="BB133">
            <v>0</v>
          </cell>
          <cell r="BC133">
            <v>0</v>
          </cell>
          <cell r="BD133">
            <v>0</v>
          </cell>
          <cell r="BE133">
            <v>0</v>
          </cell>
        </row>
        <row r="134">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W134">
            <v>11.177</v>
          </cell>
          <cell r="X134">
            <v>2.5390000000000001</v>
          </cell>
          <cell r="Y134">
            <v>1.873</v>
          </cell>
          <cell r="Z134">
            <v>0</v>
          </cell>
          <cell r="AA134">
            <v>0</v>
          </cell>
          <cell r="AB134">
            <v>0</v>
          </cell>
          <cell r="AC134">
            <v>0</v>
          </cell>
          <cell r="AD134">
            <v>0</v>
          </cell>
          <cell r="AE134">
            <v>1.8080000000000001</v>
          </cell>
          <cell r="AF134">
            <v>1.2410000000000001</v>
          </cell>
          <cell r="AG134">
            <v>0</v>
          </cell>
          <cell r="AH134">
            <v>2.1259999999999999</v>
          </cell>
          <cell r="AI134">
            <v>0</v>
          </cell>
          <cell r="AJ134">
            <v>2.1259999999999999</v>
          </cell>
          <cell r="AL134">
            <v>0</v>
          </cell>
          <cell r="AM134">
            <v>0</v>
          </cell>
          <cell r="AN134">
            <v>0.05</v>
          </cell>
          <cell r="AO134">
            <v>0</v>
          </cell>
          <cell r="AP134">
            <v>0</v>
          </cell>
          <cell r="AQ134">
            <v>0</v>
          </cell>
          <cell r="AR134">
            <v>0</v>
          </cell>
          <cell r="AS134">
            <v>2.298</v>
          </cell>
          <cell r="AT134">
            <v>1.3530000000000002</v>
          </cell>
          <cell r="AU134">
            <v>0</v>
          </cell>
          <cell r="AV134">
            <v>3.6510000000000002</v>
          </cell>
          <cell r="AW134">
            <v>0</v>
          </cell>
          <cell r="AX134">
            <v>0</v>
          </cell>
          <cell r="AY134">
            <v>0</v>
          </cell>
          <cell r="AZ134">
            <v>0</v>
          </cell>
          <cell r="BA134">
            <v>0</v>
          </cell>
          <cell r="BB134">
            <v>0</v>
          </cell>
          <cell r="BC134">
            <v>0</v>
          </cell>
          <cell r="BD134">
            <v>0</v>
          </cell>
          <cell r="BE134">
            <v>0</v>
          </cell>
        </row>
        <row r="135">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6.2229999999999999</v>
          </cell>
          <cell r="W135">
            <v>14.902666666666667</v>
          </cell>
          <cell r="X135">
            <v>3.4860000000000002</v>
          </cell>
          <cell r="Y135">
            <v>5.9720000000000004</v>
          </cell>
          <cell r="Z135">
            <v>0</v>
          </cell>
          <cell r="AA135">
            <v>0</v>
          </cell>
          <cell r="AB135">
            <v>0</v>
          </cell>
          <cell r="AC135">
            <v>0</v>
          </cell>
          <cell r="AD135">
            <v>0</v>
          </cell>
          <cell r="AE135">
            <v>2.706</v>
          </cell>
          <cell r="AF135">
            <v>10.077999999999999</v>
          </cell>
          <cell r="AG135">
            <v>2.2650000000000001</v>
          </cell>
          <cell r="AH135">
            <v>0</v>
          </cell>
          <cell r="AI135">
            <v>0</v>
          </cell>
          <cell r="AJ135">
            <v>0</v>
          </cell>
          <cell r="AK135">
            <v>0</v>
          </cell>
          <cell r="AL135">
            <v>0</v>
          </cell>
          <cell r="AM135">
            <v>0</v>
          </cell>
          <cell r="AN135">
            <v>0.56799999999999995</v>
          </cell>
          <cell r="AO135">
            <v>0</v>
          </cell>
          <cell r="AP135">
            <v>0</v>
          </cell>
          <cell r="AQ135">
            <v>0</v>
          </cell>
          <cell r="AR135">
            <v>0</v>
          </cell>
          <cell r="AS135">
            <v>2.298</v>
          </cell>
          <cell r="AT135">
            <v>1.542</v>
          </cell>
          <cell r="AU135">
            <v>0</v>
          </cell>
          <cell r="AV135">
            <v>3.84</v>
          </cell>
          <cell r="AW135">
            <v>0</v>
          </cell>
          <cell r="AX135">
            <v>0</v>
          </cell>
          <cell r="AY135">
            <v>0</v>
          </cell>
          <cell r="AZ135">
            <v>0</v>
          </cell>
          <cell r="BA135">
            <v>0</v>
          </cell>
          <cell r="BB135">
            <v>0</v>
          </cell>
          <cell r="BC135">
            <v>0</v>
          </cell>
          <cell r="BD135">
            <v>0</v>
          </cell>
          <cell r="BE135">
            <v>0</v>
          </cell>
        </row>
        <row r="141">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W141">
            <v>0.98</v>
          </cell>
          <cell r="X141">
            <v>0</v>
          </cell>
          <cell r="Y141">
            <v>0</v>
          </cell>
          <cell r="Z141">
            <v>0</v>
          </cell>
          <cell r="AA141">
            <v>0</v>
          </cell>
          <cell r="AB141">
            <v>0</v>
          </cell>
          <cell r="AC141">
            <v>0</v>
          </cell>
          <cell r="AD141">
            <v>0</v>
          </cell>
          <cell r="AE141">
            <v>0</v>
          </cell>
          <cell r="AF141">
            <v>0.56899999999999995</v>
          </cell>
          <cell r="AG141">
            <v>0</v>
          </cell>
          <cell r="AH141">
            <v>0.5796</v>
          </cell>
          <cell r="AI141">
            <v>0</v>
          </cell>
          <cell r="AJ141">
            <v>0.5796</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row>
        <row r="142">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W142">
            <v>0.06</v>
          </cell>
          <cell r="X142">
            <v>0</v>
          </cell>
          <cell r="Y142">
            <v>0</v>
          </cell>
          <cell r="Z142">
            <v>0</v>
          </cell>
          <cell r="AA142">
            <v>0</v>
          </cell>
          <cell r="AB142">
            <v>0</v>
          </cell>
          <cell r="AC142">
            <v>0</v>
          </cell>
          <cell r="AD142">
            <v>0</v>
          </cell>
          <cell r="AE142">
            <v>0</v>
          </cell>
          <cell r="AF142">
            <v>0.53100000000000003</v>
          </cell>
          <cell r="AG142">
            <v>0</v>
          </cell>
          <cell r="AH142">
            <v>0.28559999999999997</v>
          </cell>
          <cell r="AI142">
            <v>0</v>
          </cell>
          <cell r="AJ142">
            <v>0.28559999999999997</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row>
        <row r="143">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1.462</v>
          </cell>
          <cell r="AG143">
            <v>0</v>
          </cell>
          <cell r="AH143">
            <v>0</v>
          </cell>
          <cell r="AI143">
            <v>0</v>
          </cell>
          <cell r="AJ143">
            <v>0.41519999999999996</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row>
        <row r="149">
          <cell r="H149">
            <v>0</v>
          </cell>
          <cell r="I149">
            <v>0</v>
          </cell>
          <cell r="J149">
            <v>0</v>
          </cell>
          <cell r="K149">
            <v>0</v>
          </cell>
          <cell r="L149">
            <v>0</v>
          </cell>
          <cell r="M149">
            <v>0</v>
          </cell>
          <cell r="N149">
            <v>0</v>
          </cell>
          <cell r="O149">
            <v>0</v>
          </cell>
          <cell r="P149">
            <v>0</v>
          </cell>
          <cell r="Q149">
            <v>0</v>
          </cell>
          <cell r="R149">
            <v>0</v>
          </cell>
          <cell r="S149">
            <v>0</v>
          </cell>
          <cell r="T149">
            <v>0</v>
          </cell>
          <cell r="U149">
            <v>-0.82199999999999995</v>
          </cell>
          <cell r="W149">
            <v>72.207999999999998</v>
          </cell>
          <cell r="X149">
            <v>54.305199999999999</v>
          </cell>
          <cell r="Y149">
            <v>9.6189999999999998</v>
          </cell>
          <cell r="Z149">
            <v>0</v>
          </cell>
          <cell r="AA149">
            <v>0</v>
          </cell>
          <cell r="AB149">
            <v>167.09980000000002</v>
          </cell>
          <cell r="AC149">
            <v>11.884399999999999</v>
          </cell>
          <cell r="AD149">
            <v>0</v>
          </cell>
          <cell r="AE149">
            <v>11.396800000000001</v>
          </cell>
          <cell r="AF149">
            <v>19.73</v>
          </cell>
          <cell r="AG149">
            <v>10.909000000000001</v>
          </cell>
          <cell r="AH149">
            <v>22.082000000000001</v>
          </cell>
          <cell r="AI149">
            <v>17.373000000000001</v>
          </cell>
          <cell r="AJ149">
            <v>39.454999999999998</v>
          </cell>
          <cell r="AK149">
            <v>46</v>
          </cell>
          <cell r="AL149">
            <v>301.89999999999998</v>
          </cell>
          <cell r="AM149">
            <v>0</v>
          </cell>
          <cell r="AN149">
            <v>0.85399999999999998</v>
          </cell>
          <cell r="AO149">
            <v>0</v>
          </cell>
          <cell r="AP149">
            <v>0</v>
          </cell>
          <cell r="AQ149">
            <v>0</v>
          </cell>
          <cell r="AS149">
            <v>27.588999999999999</v>
          </cell>
          <cell r="AT149">
            <v>5.6859999999999999</v>
          </cell>
          <cell r="AU149">
            <v>872.6</v>
          </cell>
          <cell r="AV149">
            <v>905.875</v>
          </cell>
          <cell r="AW149">
            <v>0</v>
          </cell>
          <cell r="AX149">
            <v>0</v>
          </cell>
          <cell r="AY149">
            <v>0</v>
          </cell>
          <cell r="AZ149">
            <v>0</v>
          </cell>
          <cell r="BA149">
            <v>0</v>
          </cell>
          <cell r="BB149">
            <v>0</v>
          </cell>
          <cell r="BC149">
            <v>0</v>
          </cell>
          <cell r="BD149">
            <v>0</v>
          </cell>
          <cell r="BE149">
            <v>0</v>
          </cell>
        </row>
        <row r="150">
          <cell r="H150">
            <v>0</v>
          </cell>
          <cell r="I150">
            <v>0</v>
          </cell>
          <cell r="J150">
            <v>0</v>
          </cell>
          <cell r="K150">
            <v>0</v>
          </cell>
          <cell r="L150">
            <v>0</v>
          </cell>
          <cell r="M150">
            <v>0</v>
          </cell>
          <cell r="N150">
            <v>0</v>
          </cell>
          <cell r="O150">
            <v>0</v>
          </cell>
          <cell r="P150">
            <v>0</v>
          </cell>
          <cell r="Q150">
            <v>0</v>
          </cell>
          <cell r="R150">
            <v>0</v>
          </cell>
          <cell r="S150">
            <v>0</v>
          </cell>
          <cell r="T150">
            <v>0</v>
          </cell>
          <cell r="U150">
            <v>-9.4015999999999984</v>
          </cell>
          <cell r="W150">
            <v>15.532500000000001</v>
          </cell>
          <cell r="X150">
            <v>45.239400000000003</v>
          </cell>
          <cell r="Y150">
            <v>8.8580000000000005</v>
          </cell>
          <cell r="Z150">
            <v>0</v>
          </cell>
          <cell r="AA150">
            <v>0</v>
          </cell>
          <cell r="AB150">
            <v>115.86057699999999</v>
          </cell>
          <cell r="AC150">
            <v>10.110399999999998</v>
          </cell>
          <cell r="AD150">
            <v>0</v>
          </cell>
          <cell r="AE150">
            <v>5.8875999999999991</v>
          </cell>
          <cell r="AF150">
            <v>15.956</v>
          </cell>
          <cell r="AG150">
            <v>11.125</v>
          </cell>
          <cell r="AH150">
            <v>13.395</v>
          </cell>
          <cell r="AI150">
            <v>12.120750000000001</v>
          </cell>
          <cell r="AJ150">
            <v>25.515750000000001</v>
          </cell>
          <cell r="AK150">
            <v>28.086200000000002</v>
          </cell>
          <cell r="AL150">
            <v>198.9</v>
          </cell>
          <cell r="AM150">
            <v>0</v>
          </cell>
          <cell r="AN150">
            <v>-0.53300000000000003</v>
          </cell>
          <cell r="AO150">
            <v>0</v>
          </cell>
          <cell r="AP150">
            <v>9.6159999999999997</v>
          </cell>
          <cell r="AQ150">
            <v>2.5602499999999999</v>
          </cell>
          <cell r="AS150">
            <v>24.225000000000001</v>
          </cell>
          <cell r="AT150">
            <v>4.8570000000000002</v>
          </cell>
          <cell r="AU150">
            <v>518.79999999999995</v>
          </cell>
          <cell r="AV150">
            <v>547.88199999999995</v>
          </cell>
          <cell r="AW150">
            <v>0</v>
          </cell>
          <cell r="AX150">
            <v>0</v>
          </cell>
          <cell r="AY150">
            <v>0</v>
          </cell>
          <cell r="AZ150">
            <v>0</v>
          </cell>
          <cell r="BA150">
            <v>0</v>
          </cell>
          <cell r="BB150">
            <v>0</v>
          </cell>
          <cell r="BC150">
            <v>0</v>
          </cell>
          <cell r="BD150">
            <v>0</v>
          </cell>
          <cell r="BE150">
            <v>0</v>
          </cell>
        </row>
        <row r="151">
          <cell r="H151">
            <v>0</v>
          </cell>
          <cell r="I151">
            <v>0</v>
          </cell>
          <cell r="J151">
            <v>0</v>
          </cell>
          <cell r="K151">
            <v>0</v>
          </cell>
          <cell r="L151">
            <v>0</v>
          </cell>
          <cell r="M151">
            <v>0</v>
          </cell>
          <cell r="N151">
            <v>0</v>
          </cell>
          <cell r="O151">
            <v>0</v>
          </cell>
          <cell r="P151">
            <v>0</v>
          </cell>
          <cell r="Q151">
            <v>0</v>
          </cell>
          <cell r="R151">
            <v>0</v>
          </cell>
          <cell r="S151">
            <v>0</v>
          </cell>
          <cell r="T151">
            <v>0</v>
          </cell>
          <cell r="U151">
            <v>-8.9296000000000042</v>
          </cell>
          <cell r="V151">
            <v>177.45399930934306</v>
          </cell>
          <cell r="W151">
            <v>20.71</v>
          </cell>
          <cell r="X151">
            <v>84.511600000000001</v>
          </cell>
          <cell r="Y151">
            <v>31.986000000000001</v>
          </cell>
          <cell r="Z151">
            <v>80.3</v>
          </cell>
          <cell r="AA151">
            <v>98.340199999999996</v>
          </cell>
          <cell r="AB151">
            <v>251.047</v>
          </cell>
          <cell r="AC151">
            <v>34.117000000000004</v>
          </cell>
          <cell r="AD151">
            <v>0</v>
          </cell>
          <cell r="AE151">
            <v>5.2836000000000007</v>
          </cell>
          <cell r="AF151">
            <v>94.669000000000011</v>
          </cell>
          <cell r="AG151">
            <v>37.869</v>
          </cell>
          <cell r="AH151">
            <v>0</v>
          </cell>
          <cell r="AI151">
            <v>0</v>
          </cell>
          <cell r="AJ151">
            <v>28.309000000000001</v>
          </cell>
          <cell r="AK151">
            <v>69.412600000000012</v>
          </cell>
          <cell r="AL151">
            <v>289.2</v>
          </cell>
          <cell r="AM151">
            <v>141.5</v>
          </cell>
          <cell r="AN151">
            <v>-4.4580000000000002</v>
          </cell>
          <cell r="AO151">
            <v>0</v>
          </cell>
          <cell r="AP151">
            <v>76.474999999999994</v>
          </cell>
          <cell r="AQ151">
            <v>10.241</v>
          </cell>
          <cell r="AR151">
            <v>79.626999999999995</v>
          </cell>
          <cell r="AS151">
            <v>34.289000000000001</v>
          </cell>
          <cell r="AT151">
            <v>6.4554</v>
          </cell>
          <cell r="AU151">
            <v>942.7</v>
          </cell>
          <cell r="AV151">
            <v>983.44439999999997</v>
          </cell>
          <cell r="AW151">
            <v>0</v>
          </cell>
          <cell r="AX151">
            <v>0</v>
          </cell>
          <cell r="AY151">
            <v>0</v>
          </cell>
          <cell r="AZ151">
            <v>0</v>
          </cell>
          <cell r="BA151">
            <v>0</v>
          </cell>
          <cell r="BB151">
            <v>0</v>
          </cell>
          <cell r="BC151">
            <v>0</v>
          </cell>
          <cell r="BD151">
            <v>0</v>
          </cell>
          <cell r="BE151">
            <v>0</v>
          </cell>
        </row>
        <row r="152">
          <cell r="Z152">
            <v>80.3</v>
          </cell>
          <cell r="AA152">
            <v>98.340199999999996</v>
          </cell>
        </row>
        <row r="157">
          <cell r="AU157" t="str">
            <v>CAH stand alone</v>
          </cell>
          <cell r="AV157" t="str">
            <v>Pro forma</v>
          </cell>
        </row>
        <row r="158">
          <cell r="H158">
            <v>0</v>
          </cell>
          <cell r="I158">
            <v>0</v>
          </cell>
          <cell r="J158">
            <v>0</v>
          </cell>
          <cell r="K158">
            <v>0</v>
          </cell>
          <cell r="L158">
            <v>0</v>
          </cell>
          <cell r="M158">
            <v>0</v>
          </cell>
          <cell r="N158">
            <v>0</v>
          </cell>
          <cell r="O158">
            <v>0</v>
          </cell>
          <cell r="P158">
            <v>0</v>
          </cell>
          <cell r="Q158">
            <v>0</v>
          </cell>
          <cell r="R158">
            <v>0</v>
          </cell>
          <cell r="S158">
            <v>0</v>
          </cell>
          <cell r="T158">
            <v>0</v>
          </cell>
          <cell r="U158">
            <v>-5.1920161697827177E-2</v>
          </cell>
          <cell r="W158">
            <v>1.3420563526875324</v>
          </cell>
          <cell r="X158">
            <v>1.1336729155358858</v>
          </cell>
          <cell r="Y158">
            <v>0.21561950471758168</v>
          </cell>
          <cell r="Z158">
            <v>0</v>
          </cell>
          <cell r="AA158">
            <v>0</v>
          </cell>
          <cell r="AB158">
            <v>1.4994194341501936</v>
          </cell>
          <cell r="AC158">
            <v>0.29162740478994892</v>
          </cell>
          <cell r="AD158">
            <v>0</v>
          </cell>
          <cell r="AE158">
            <v>0.15865688471872261</v>
          </cell>
          <cell r="AF158">
            <v>0.44770700492409626</v>
          </cell>
          <cell r="AG158">
            <v>0.40808768517133026</v>
          </cell>
          <cell r="AH158">
            <v>0</v>
          </cell>
          <cell r="AI158">
            <v>0</v>
          </cell>
          <cell r="AJ158">
            <v>1.2316604187202145</v>
          </cell>
          <cell r="AK158">
            <v>0.7962543177892919</v>
          </cell>
          <cell r="AL158">
            <v>1.0096989966555185</v>
          </cell>
          <cell r="AM158">
            <v>0</v>
          </cell>
          <cell r="AN158">
            <v>7.0000000000000007E-2</v>
          </cell>
          <cell r="AO158">
            <v>0</v>
          </cell>
          <cell r="AS158">
            <v>0</v>
          </cell>
          <cell r="AT158">
            <v>0</v>
          </cell>
          <cell r="AU158">
            <v>1.8977816441931274</v>
          </cell>
          <cell r="AV158">
            <v>1.9049200553432737</v>
          </cell>
          <cell r="AW158">
            <v>0</v>
          </cell>
          <cell r="AX158">
            <v>0</v>
          </cell>
          <cell r="AY158">
            <v>0</v>
          </cell>
          <cell r="AZ158">
            <v>0</v>
          </cell>
          <cell r="BA158">
            <v>0</v>
          </cell>
          <cell r="BB158">
            <v>0</v>
          </cell>
          <cell r="BC158">
            <v>0</v>
          </cell>
          <cell r="BD158">
            <v>0</v>
          </cell>
          <cell r="BE158">
            <v>0</v>
          </cell>
        </row>
        <row r="159">
          <cell r="H159">
            <v>0</v>
          </cell>
          <cell r="I159">
            <v>0</v>
          </cell>
          <cell r="J159">
            <v>0</v>
          </cell>
          <cell r="K159">
            <v>0</v>
          </cell>
          <cell r="L159">
            <v>0</v>
          </cell>
          <cell r="M159">
            <v>0</v>
          </cell>
          <cell r="N159">
            <v>0</v>
          </cell>
          <cell r="O159">
            <v>0</v>
          </cell>
          <cell r="P159">
            <v>0</v>
          </cell>
          <cell r="Q159">
            <v>0</v>
          </cell>
          <cell r="R159">
            <v>0</v>
          </cell>
          <cell r="S159">
            <v>0</v>
          </cell>
          <cell r="T159">
            <v>0</v>
          </cell>
          <cell r="U159">
            <v>-0.64575863726904315</v>
          </cell>
          <cell r="W159">
            <v>0.28868671474239832</v>
          </cell>
          <cell r="X159">
            <v>0.9604764230058811</v>
          </cell>
          <cell r="Y159">
            <v>0.19861669236299087</v>
          </cell>
          <cell r="Z159">
            <v>0</v>
          </cell>
          <cell r="AA159">
            <v>0</v>
          </cell>
          <cell r="AB159">
            <v>1.1103661353240726</v>
          </cell>
          <cell r="AC159">
            <v>0.25331095131911907</v>
          </cell>
          <cell r="AD159">
            <v>0</v>
          </cell>
          <cell r="AE159">
            <v>8.2608634648033544E-2</v>
          </cell>
          <cell r="AF159">
            <v>0.36981411950122839</v>
          </cell>
          <cell r="AG159">
            <v>0.41050145751079298</v>
          </cell>
          <cell r="AH159">
            <v>0</v>
          </cell>
          <cell r="AI159">
            <v>0</v>
          </cell>
          <cell r="AJ159">
            <v>0.82418229323443903</v>
          </cell>
          <cell r="AK159">
            <v>0.58024625332826174</v>
          </cell>
          <cell r="AL159">
            <v>0.6804652754019842</v>
          </cell>
          <cell r="AM159">
            <v>0</v>
          </cell>
          <cell r="AN159">
            <v>-0.04</v>
          </cell>
          <cell r="AO159">
            <v>0</v>
          </cell>
          <cell r="AP159">
            <v>0.14214968882581636</v>
          </cell>
          <cell r="AQ159">
            <v>0</v>
          </cell>
          <cell r="AS159">
            <v>0</v>
          </cell>
          <cell r="AT159">
            <v>0</v>
          </cell>
          <cell r="AU159">
            <v>1.1429830359109936</v>
          </cell>
          <cell r="AV159">
            <v>1.1665877997386225</v>
          </cell>
          <cell r="AW159">
            <v>0</v>
          </cell>
          <cell r="AX159">
            <v>0</v>
          </cell>
          <cell r="AY159">
            <v>0</v>
          </cell>
          <cell r="AZ159">
            <v>0</v>
          </cell>
          <cell r="BA159">
            <v>0</v>
          </cell>
          <cell r="BB159">
            <v>0</v>
          </cell>
          <cell r="BC159">
            <v>0</v>
          </cell>
          <cell r="BD159">
            <v>0</v>
          </cell>
          <cell r="BE159">
            <v>0</v>
          </cell>
        </row>
        <row r="160">
          <cell r="H160">
            <v>0</v>
          </cell>
          <cell r="I160">
            <v>0</v>
          </cell>
          <cell r="J160">
            <v>0</v>
          </cell>
          <cell r="K160">
            <v>0</v>
          </cell>
          <cell r="L160">
            <v>0</v>
          </cell>
          <cell r="M160">
            <v>0</v>
          </cell>
          <cell r="N160">
            <v>0</v>
          </cell>
          <cell r="O160">
            <v>0</v>
          </cell>
          <cell r="P160">
            <v>0</v>
          </cell>
          <cell r="Q160">
            <v>0</v>
          </cell>
          <cell r="R160">
            <v>0</v>
          </cell>
          <cell r="S160">
            <v>0</v>
          </cell>
          <cell r="T160">
            <v>0</v>
          </cell>
          <cell r="U160">
            <v>-0.60457684495599218</v>
          </cell>
          <cell r="V160">
            <v>1.2918271786108628</v>
          </cell>
          <cell r="W160">
            <v>0.38491561965653109</v>
          </cell>
          <cell r="X160">
            <v>1.7966283296838792</v>
          </cell>
          <cell r="Y160">
            <v>0.71788978378603308</v>
          </cell>
          <cell r="Z160">
            <v>0.78890634591155917</v>
          </cell>
          <cell r="AA160">
            <v>0.96614206523302504</v>
          </cell>
          <cell r="AB160">
            <v>2.37</v>
          </cell>
          <cell r="AC160">
            <v>0.84475202416619222</v>
          </cell>
          <cell r="AD160">
            <v>0</v>
          </cell>
          <cell r="AE160">
            <v>7.409443408265437E-2</v>
          </cell>
          <cell r="AF160">
            <v>2.1740498335055691</v>
          </cell>
          <cell r="AG160">
            <v>1.4010507232971994</v>
          </cell>
          <cell r="AH160">
            <v>0</v>
          </cell>
          <cell r="AI160">
            <v>0</v>
          </cell>
          <cell r="AJ160">
            <v>0.90773236693242798</v>
          </cell>
          <cell r="AK160">
            <v>1.3104134415707005</v>
          </cell>
          <cell r="AL160">
            <v>0.98736770228747017</v>
          </cell>
          <cell r="AM160">
            <v>2.0301291248206601</v>
          </cell>
          <cell r="AN160">
            <v>-0.36523021464853356</v>
          </cell>
          <cell r="AO160">
            <v>0</v>
          </cell>
          <cell r="AP160">
            <v>1.1322249200521142</v>
          </cell>
          <cell r="AQ160">
            <v>0</v>
          </cell>
          <cell r="AR160">
            <v>1.1690426203514748</v>
          </cell>
          <cell r="AS160">
            <v>0</v>
          </cell>
          <cell r="AT160">
            <v>0</v>
          </cell>
          <cell r="AU160">
            <v>2.0695938529088913</v>
          </cell>
          <cell r="AV160">
            <v>2.0869072935790371</v>
          </cell>
          <cell r="AW160">
            <v>0</v>
          </cell>
          <cell r="AX160">
            <v>0</v>
          </cell>
          <cell r="AY160">
            <v>0</v>
          </cell>
          <cell r="AZ160">
            <v>0</v>
          </cell>
          <cell r="BA160">
            <v>0</v>
          </cell>
          <cell r="BB160">
            <v>0</v>
          </cell>
          <cell r="BC160">
            <v>0</v>
          </cell>
          <cell r="BD160">
            <v>0</v>
          </cell>
          <cell r="BE160">
            <v>0</v>
          </cell>
        </row>
        <row r="163">
          <cell r="AK163">
            <v>1000</v>
          </cell>
        </row>
        <row r="166">
          <cell r="H166">
            <v>0</v>
          </cell>
          <cell r="I166">
            <v>0</v>
          </cell>
          <cell r="J166">
            <v>0</v>
          </cell>
          <cell r="K166">
            <v>0</v>
          </cell>
          <cell r="L166">
            <v>0</v>
          </cell>
          <cell r="M166">
            <v>0</v>
          </cell>
          <cell r="N166">
            <v>0</v>
          </cell>
          <cell r="O166">
            <v>0</v>
          </cell>
          <cell r="P166">
            <v>0</v>
          </cell>
          <cell r="Q166">
            <v>0</v>
          </cell>
          <cell r="R166">
            <v>0</v>
          </cell>
          <cell r="S166">
            <v>0</v>
          </cell>
          <cell r="T166">
            <v>0</v>
          </cell>
          <cell r="U166">
            <v>5.0110000000000001</v>
          </cell>
          <cell r="W166">
            <v>15.741</v>
          </cell>
          <cell r="X166">
            <v>23.265000000000001</v>
          </cell>
          <cell r="Y166">
            <v>0.64600000000000002</v>
          </cell>
          <cell r="Z166">
            <v>0</v>
          </cell>
          <cell r="AA166">
            <v>0</v>
          </cell>
          <cell r="AB166">
            <v>32.15</v>
          </cell>
          <cell r="AC166">
            <v>3.9809999999999999</v>
          </cell>
          <cell r="AD166">
            <v>0</v>
          </cell>
          <cell r="AE166">
            <v>13.801</v>
          </cell>
          <cell r="AF166">
            <v>5.798</v>
          </cell>
          <cell r="AG166">
            <v>10.14</v>
          </cell>
          <cell r="AH166">
            <v>2.3690000000000002</v>
          </cell>
          <cell r="AI166">
            <v>5.5410000000000004</v>
          </cell>
          <cell r="AJ166">
            <v>7.91</v>
          </cell>
          <cell r="AK166">
            <v>37.6</v>
          </cell>
          <cell r="AL166">
            <v>153.5</v>
          </cell>
          <cell r="AM166">
            <v>0</v>
          </cell>
          <cell r="AN166">
            <v>0.73099999999999998</v>
          </cell>
          <cell r="AO166">
            <v>0</v>
          </cell>
          <cell r="AS166">
            <v>32.001000000000005</v>
          </cell>
          <cell r="AT166">
            <v>4.2259999999999991</v>
          </cell>
          <cell r="AU166">
            <v>181.5</v>
          </cell>
          <cell r="AV166">
            <v>217.727</v>
          </cell>
          <cell r="AW166">
            <v>0</v>
          </cell>
          <cell r="AX166">
            <v>0</v>
          </cell>
          <cell r="AY166">
            <v>0</v>
          </cell>
          <cell r="AZ166">
            <v>0</v>
          </cell>
          <cell r="BA166">
            <v>0</v>
          </cell>
          <cell r="BB166">
            <v>0</v>
          </cell>
          <cell r="BC166">
            <v>0</v>
          </cell>
          <cell r="BD166">
            <v>0</v>
          </cell>
          <cell r="BE166">
            <v>0</v>
          </cell>
        </row>
        <row r="167">
          <cell r="H167">
            <v>0</v>
          </cell>
          <cell r="I167">
            <v>0</v>
          </cell>
          <cell r="J167">
            <v>0</v>
          </cell>
          <cell r="K167">
            <v>0</v>
          </cell>
          <cell r="L167">
            <v>0</v>
          </cell>
          <cell r="M167">
            <v>0</v>
          </cell>
          <cell r="N167">
            <v>0</v>
          </cell>
          <cell r="O167">
            <v>0</v>
          </cell>
          <cell r="P167">
            <v>0</v>
          </cell>
          <cell r="Q167">
            <v>0</v>
          </cell>
          <cell r="R167">
            <v>0</v>
          </cell>
          <cell r="S167">
            <v>0</v>
          </cell>
          <cell r="T167">
            <v>0</v>
          </cell>
          <cell r="U167">
            <v>4.0979999999999999</v>
          </cell>
          <cell r="W167">
            <v>18.335250000000002</v>
          </cell>
          <cell r="X167">
            <v>22.844000000000001</v>
          </cell>
          <cell r="Y167">
            <v>0.40400000000000003</v>
          </cell>
          <cell r="Z167">
            <v>0</v>
          </cell>
          <cell r="AA167">
            <v>0</v>
          </cell>
          <cell r="AB167">
            <v>30.920999999999999</v>
          </cell>
          <cell r="AC167">
            <v>4.2720000000000002</v>
          </cell>
          <cell r="AD167">
            <v>0</v>
          </cell>
          <cell r="AE167">
            <v>17.189</v>
          </cell>
          <cell r="AF167">
            <v>7.6419999999999995</v>
          </cell>
          <cell r="AG167">
            <v>7.7410000000000005</v>
          </cell>
          <cell r="AH167">
            <v>1.986</v>
          </cell>
          <cell r="AI167">
            <v>7.2164999999999999</v>
          </cell>
          <cell r="AJ167">
            <v>9.2025000000000006</v>
          </cell>
          <cell r="AK167">
            <v>39</v>
          </cell>
          <cell r="AL167">
            <v>177.8</v>
          </cell>
          <cell r="AM167">
            <v>0</v>
          </cell>
          <cell r="AN167">
            <v>0.7</v>
          </cell>
          <cell r="AO167">
            <v>0</v>
          </cell>
          <cell r="AP167">
            <v>2.7509999999999999</v>
          </cell>
          <cell r="AQ167">
            <v>0.1998675</v>
          </cell>
          <cell r="AS167">
            <v>22.279</v>
          </cell>
          <cell r="AT167">
            <v>3.6370000000000005</v>
          </cell>
          <cell r="AU167">
            <v>175.2</v>
          </cell>
          <cell r="AV167">
            <v>201.11599999999999</v>
          </cell>
          <cell r="AW167">
            <v>0</v>
          </cell>
          <cell r="AX167">
            <v>0</v>
          </cell>
          <cell r="AY167">
            <v>0</v>
          </cell>
          <cell r="AZ167">
            <v>0</v>
          </cell>
          <cell r="BA167">
            <v>0</v>
          </cell>
          <cell r="BB167">
            <v>0</v>
          </cell>
          <cell r="BC167">
            <v>0</v>
          </cell>
          <cell r="BD167">
            <v>0</v>
          </cell>
          <cell r="BE167">
            <v>0</v>
          </cell>
        </row>
        <row r="168">
          <cell r="H168">
            <v>0</v>
          </cell>
          <cell r="I168">
            <v>0</v>
          </cell>
          <cell r="J168">
            <v>0</v>
          </cell>
          <cell r="K168">
            <v>0</v>
          </cell>
          <cell r="L168">
            <v>0</v>
          </cell>
          <cell r="M168">
            <v>0</v>
          </cell>
          <cell r="N168">
            <v>0</v>
          </cell>
          <cell r="O168">
            <v>0</v>
          </cell>
          <cell r="P168">
            <v>0</v>
          </cell>
          <cell r="Q168">
            <v>0</v>
          </cell>
          <cell r="R168">
            <v>0</v>
          </cell>
          <cell r="S168">
            <v>0</v>
          </cell>
          <cell r="T168">
            <v>0</v>
          </cell>
          <cell r="U168">
            <v>5.4969999999999999</v>
          </cell>
          <cell r="V168">
            <v>30.077000000000002</v>
          </cell>
          <cell r="W168">
            <v>24.447000000000003</v>
          </cell>
          <cell r="X168">
            <v>32.134</v>
          </cell>
          <cell r="Y168">
            <v>3.4</v>
          </cell>
          <cell r="Z168">
            <v>82.698000000000008</v>
          </cell>
          <cell r="AA168">
            <v>17.420000000000002</v>
          </cell>
          <cell r="AB168">
            <v>62.555</v>
          </cell>
          <cell r="AC168">
            <v>22.469000000000001</v>
          </cell>
          <cell r="AD168">
            <v>0</v>
          </cell>
          <cell r="AE168">
            <v>24.97</v>
          </cell>
          <cell r="AF168">
            <v>28.346000000000004</v>
          </cell>
          <cell r="AG168">
            <v>39.561</v>
          </cell>
          <cell r="AH168">
            <v>0</v>
          </cell>
          <cell r="AI168">
            <v>0</v>
          </cell>
          <cell r="AJ168">
            <v>16.257000000000001</v>
          </cell>
          <cell r="AK168">
            <v>82</v>
          </cell>
          <cell r="AL168">
            <v>246.1</v>
          </cell>
          <cell r="AM168">
            <v>71.373000000000005</v>
          </cell>
          <cell r="AN168">
            <v>4.056</v>
          </cell>
          <cell r="AO168">
            <v>0</v>
          </cell>
          <cell r="AP168">
            <v>10.19</v>
          </cell>
          <cell r="AQ168">
            <v>0.79947000000000001</v>
          </cell>
          <cell r="AR168">
            <v>10.989469999999999</v>
          </cell>
          <cell r="AS168">
            <v>32.238</v>
          </cell>
          <cell r="AT168">
            <v>5.5010000000000003</v>
          </cell>
          <cell r="AU168">
            <v>280.60000000000002</v>
          </cell>
          <cell r="AV168">
            <v>318.339</v>
          </cell>
          <cell r="AW168">
            <v>0</v>
          </cell>
          <cell r="AX168">
            <v>0</v>
          </cell>
          <cell r="AY168">
            <v>0</v>
          </cell>
          <cell r="AZ168">
            <v>0</v>
          </cell>
          <cell r="BA168">
            <v>0</v>
          </cell>
          <cell r="BB168">
            <v>0</v>
          </cell>
          <cell r="BC168">
            <v>0</v>
          </cell>
          <cell r="BD168">
            <v>0</v>
          </cell>
          <cell r="BE168">
            <v>0</v>
          </cell>
        </row>
        <row r="174">
          <cell r="H174">
            <v>0</v>
          </cell>
          <cell r="I174">
            <v>0</v>
          </cell>
          <cell r="J174">
            <v>0</v>
          </cell>
          <cell r="K174">
            <v>0</v>
          </cell>
          <cell r="L174">
            <v>0</v>
          </cell>
          <cell r="M174">
            <v>0</v>
          </cell>
          <cell r="N174">
            <v>0</v>
          </cell>
          <cell r="O174">
            <v>0</v>
          </cell>
          <cell r="P174">
            <v>0</v>
          </cell>
          <cell r="Q174">
            <v>0</v>
          </cell>
          <cell r="R174">
            <v>0</v>
          </cell>
          <cell r="S174">
            <v>0</v>
          </cell>
          <cell r="T174">
            <v>0</v>
          </cell>
          <cell r="U174">
            <v>18.178999999999998</v>
          </cell>
          <cell r="W174">
            <v>25.146999999999998</v>
          </cell>
          <cell r="X174">
            <v>49.847000000000001</v>
          </cell>
          <cell r="Y174">
            <v>1.849</v>
          </cell>
          <cell r="Z174">
            <v>0</v>
          </cell>
          <cell r="AA174">
            <v>0</v>
          </cell>
          <cell r="AB174">
            <v>20.998999999999999</v>
          </cell>
          <cell r="AC174">
            <v>1.3320000000000001</v>
          </cell>
          <cell r="AD174">
            <v>0</v>
          </cell>
          <cell r="AE174">
            <v>16.545999999999999</v>
          </cell>
          <cell r="AF174">
            <v>17.59</v>
          </cell>
          <cell r="AG174">
            <v>8.9949999999999992</v>
          </cell>
          <cell r="AH174">
            <v>4.4660000000000002</v>
          </cell>
          <cell r="AI174">
            <v>2.999333333333333</v>
          </cell>
          <cell r="AJ174">
            <v>7.4653333333333336</v>
          </cell>
          <cell r="AK174">
            <v>15.9</v>
          </cell>
          <cell r="AL174">
            <v>74.8</v>
          </cell>
          <cell r="AM174">
            <v>0</v>
          </cell>
          <cell r="AN174">
            <v>0.46</v>
          </cell>
          <cell r="AO174">
            <v>0</v>
          </cell>
          <cell r="AS174">
            <v>46.41</v>
          </cell>
          <cell r="AT174">
            <v>2.23</v>
          </cell>
          <cell r="AU174">
            <v>186.1</v>
          </cell>
          <cell r="AV174">
            <v>234.74</v>
          </cell>
          <cell r="AW174">
            <v>0</v>
          </cell>
          <cell r="AX174">
            <v>0</v>
          </cell>
          <cell r="AY174">
            <v>0</v>
          </cell>
          <cell r="AZ174">
            <v>0</v>
          </cell>
          <cell r="BA174">
            <v>0</v>
          </cell>
          <cell r="BB174">
            <v>0</v>
          </cell>
          <cell r="BC174">
            <v>0</v>
          </cell>
          <cell r="BD174">
            <v>0</v>
          </cell>
          <cell r="BE174">
            <v>0</v>
          </cell>
        </row>
        <row r="175">
          <cell r="H175">
            <v>0</v>
          </cell>
          <cell r="I175">
            <v>0</v>
          </cell>
          <cell r="J175">
            <v>0</v>
          </cell>
          <cell r="K175">
            <v>0</v>
          </cell>
          <cell r="L175">
            <v>0</v>
          </cell>
          <cell r="M175">
            <v>0</v>
          </cell>
          <cell r="N175">
            <v>0</v>
          </cell>
          <cell r="O175">
            <v>0</v>
          </cell>
          <cell r="P175">
            <v>0</v>
          </cell>
          <cell r="Q175">
            <v>0</v>
          </cell>
          <cell r="R175">
            <v>0</v>
          </cell>
          <cell r="S175">
            <v>0</v>
          </cell>
          <cell r="T175">
            <v>0</v>
          </cell>
          <cell r="U175">
            <v>10.798</v>
          </cell>
          <cell r="W175">
            <v>26.192250000000001</v>
          </cell>
          <cell r="X175">
            <v>17.690000000000001</v>
          </cell>
          <cell r="Y175">
            <v>0.121</v>
          </cell>
          <cell r="Z175">
            <v>0</v>
          </cell>
          <cell r="AA175">
            <v>0</v>
          </cell>
          <cell r="AB175">
            <v>26.433</v>
          </cell>
          <cell r="AC175">
            <v>5.0129999999999999</v>
          </cell>
          <cell r="AD175">
            <v>0</v>
          </cell>
          <cell r="AE175">
            <v>16.494</v>
          </cell>
          <cell r="AF175">
            <v>6.157</v>
          </cell>
          <cell r="AG175">
            <v>10.218999999999999</v>
          </cell>
          <cell r="AH175">
            <v>1.419</v>
          </cell>
          <cell r="AI175">
            <v>2.8485</v>
          </cell>
          <cell r="AJ175">
            <v>4.2675000000000001</v>
          </cell>
          <cell r="AK175">
            <v>14</v>
          </cell>
          <cell r="AL175">
            <v>96</v>
          </cell>
          <cell r="AM175">
            <v>0</v>
          </cell>
          <cell r="AN175">
            <v>0.56599999999999995</v>
          </cell>
          <cell r="AO175">
            <v>0</v>
          </cell>
          <cell r="AP175">
            <v>2.3980000000000001</v>
          </cell>
          <cell r="AQ175">
            <v>0.12210275</v>
          </cell>
          <cell r="AS175">
            <v>28.722999999999999</v>
          </cell>
          <cell r="AT175">
            <v>4.9450000000000003</v>
          </cell>
          <cell r="AU175">
            <v>234.8</v>
          </cell>
          <cell r="AV175">
            <v>268.46800000000002</v>
          </cell>
          <cell r="AW175">
            <v>0</v>
          </cell>
          <cell r="AX175">
            <v>0</v>
          </cell>
          <cell r="AY175">
            <v>0</v>
          </cell>
          <cell r="AZ175">
            <v>0</v>
          </cell>
          <cell r="BA175">
            <v>0</v>
          </cell>
          <cell r="BB175">
            <v>0</v>
          </cell>
          <cell r="BC175">
            <v>0</v>
          </cell>
          <cell r="BD175">
            <v>0</v>
          </cell>
          <cell r="BE175">
            <v>0</v>
          </cell>
        </row>
        <row r="176">
          <cell r="H176">
            <v>0</v>
          </cell>
          <cell r="I176">
            <v>0</v>
          </cell>
          <cell r="J176">
            <v>0</v>
          </cell>
          <cell r="K176">
            <v>0</v>
          </cell>
          <cell r="L176">
            <v>0</v>
          </cell>
          <cell r="M176">
            <v>0</v>
          </cell>
          <cell r="N176">
            <v>0</v>
          </cell>
          <cell r="O176">
            <v>0</v>
          </cell>
          <cell r="P176">
            <v>0</v>
          </cell>
          <cell r="Q176">
            <v>0</v>
          </cell>
          <cell r="R176">
            <v>0</v>
          </cell>
          <cell r="S176">
            <v>0</v>
          </cell>
          <cell r="T176">
            <v>0</v>
          </cell>
          <cell r="U176">
            <v>15.15</v>
          </cell>
          <cell r="V176">
            <v>37.673000000000002</v>
          </cell>
          <cell r="W176">
            <v>34.923000000000002</v>
          </cell>
          <cell r="X176">
            <v>40.412000000000006</v>
          </cell>
          <cell r="Y176">
            <v>7.4459999999999997</v>
          </cell>
          <cell r="Z176">
            <v>69.308999999999997</v>
          </cell>
          <cell r="AA176">
            <v>16.619</v>
          </cell>
          <cell r="AB176">
            <v>55.454999999999998</v>
          </cell>
          <cell r="AC176">
            <v>10.147</v>
          </cell>
          <cell r="AD176">
            <v>0</v>
          </cell>
          <cell r="AE176">
            <v>22.856999999999999</v>
          </cell>
          <cell r="AF176">
            <v>46.127000000000002</v>
          </cell>
          <cell r="AG176">
            <v>64.891999999999996</v>
          </cell>
          <cell r="AH176">
            <v>2.6349999999999998</v>
          </cell>
          <cell r="AI176">
            <v>3.798</v>
          </cell>
          <cell r="AJ176">
            <v>6.4329999999999998</v>
          </cell>
          <cell r="AK176">
            <v>40.1</v>
          </cell>
          <cell r="AL176">
            <v>158.9</v>
          </cell>
          <cell r="AM176">
            <v>109.76300000000001</v>
          </cell>
          <cell r="AN176">
            <v>2.85</v>
          </cell>
          <cell r="AO176">
            <v>0</v>
          </cell>
          <cell r="AP176">
            <v>15.372999999999999</v>
          </cell>
          <cell r="AQ176">
            <v>0.48841099999999998</v>
          </cell>
          <cell r="AR176">
            <v>15.861410999999999</v>
          </cell>
          <cell r="AS176">
            <v>45.980999999999995</v>
          </cell>
          <cell r="AT176">
            <v>6.8949999999999996</v>
          </cell>
          <cell r="AU176">
            <v>341.2</v>
          </cell>
          <cell r="AV176">
            <v>394.07599999999996</v>
          </cell>
          <cell r="AW176">
            <v>0</v>
          </cell>
          <cell r="AX176">
            <v>0</v>
          </cell>
          <cell r="AY176">
            <v>0</v>
          </cell>
          <cell r="AZ176">
            <v>0</v>
          </cell>
          <cell r="BA176">
            <v>0</v>
          </cell>
          <cell r="BB176">
            <v>0</v>
          </cell>
          <cell r="BC176">
            <v>0</v>
          </cell>
          <cell r="BD176">
            <v>0</v>
          </cell>
          <cell r="BE176">
            <v>0</v>
          </cell>
        </row>
        <row r="180">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row>
        <row r="181">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row>
        <row r="184">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row>
        <row r="185">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row>
        <row r="186">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row>
        <row r="190">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row>
        <row r="191">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row>
        <row r="192">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row>
        <row r="193">
          <cell r="Z193" t="str">
            <v>B</v>
          </cell>
        </row>
        <row r="196">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row>
        <row r="197">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row>
        <row r="198">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row>
        <row r="204">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row>
        <row r="205">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row>
        <row r="206">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row>
        <row r="207">
          <cell r="Y207">
            <v>0</v>
          </cell>
          <cell r="Z207">
            <v>0</v>
          </cell>
        </row>
        <row r="212">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254.59899999999999</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row>
        <row r="213">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22.143000000000001</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row>
        <row r="214">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2.4900000000000002</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row>
        <row r="215">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row>
        <row r="216">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14.489000000000001</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row>
        <row r="217">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0.42934186742525265</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row>
        <row r="221">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row>
        <row r="222">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row>
        <row r="223">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row>
        <row r="224">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row>
        <row r="229">
          <cell r="H229" t="str">
            <v>Spare</v>
          </cell>
          <cell r="I229" t="str">
            <v>Spare</v>
          </cell>
          <cell r="J229" t="str">
            <v>Spare</v>
          </cell>
          <cell r="K229" t="str">
            <v>Spare</v>
          </cell>
          <cell r="L229" t="str">
            <v>Spare</v>
          </cell>
          <cell r="M229" t="str">
            <v>Spare</v>
          </cell>
          <cell r="N229" t="str">
            <v>Spare</v>
          </cell>
          <cell r="O229" t="str">
            <v>Spare</v>
          </cell>
          <cell r="P229" t="str">
            <v>Spare</v>
          </cell>
          <cell r="Q229" t="str">
            <v>Spare</v>
          </cell>
          <cell r="R229" t="str">
            <v>Spare</v>
          </cell>
          <cell r="S229" t="str">
            <v>Spare</v>
          </cell>
          <cell r="T229" t="str">
            <v>Spare</v>
          </cell>
          <cell r="U229" t="str">
            <v>Spare</v>
          </cell>
          <cell r="V229" t="str">
            <v>Spare</v>
          </cell>
          <cell r="W229" t="str">
            <v>Spare</v>
          </cell>
          <cell r="X229" t="str">
            <v>Spare</v>
          </cell>
          <cell r="Y229" t="str">
            <v>Spare</v>
          </cell>
          <cell r="Z229" t="str">
            <v>Spare</v>
          </cell>
          <cell r="AA229" t="str">
            <v>Spare</v>
          </cell>
          <cell r="AB229" t="str">
            <v>Spare</v>
          </cell>
          <cell r="AC229" t="str">
            <v>Spare</v>
          </cell>
          <cell r="AD229" t="str">
            <v>Spare</v>
          </cell>
          <cell r="AE229" t="str">
            <v>Spare</v>
          </cell>
          <cell r="AF229" t="str">
            <v>Spare</v>
          </cell>
          <cell r="AG229" t="str">
            <v>Spare</v>
          </cell>
          <cell r="AH229">
            <v>0.13140653897996923</v>
          </cell>
          <cell r="AI229" t="str">
            <v>Spare</v>
          </cell>
          <cell r="AJ229" t="str">
            <v>Spare</v>
          </cell>
          <cell r="AK229" t="str">
            <v>Spare</v>
          </cell>
          <cell r="AL229" t="str">
            <v>Spare</v>
          </cell>
          <cell r="AM229" t="str">
            <v>Spare</v>
          </cell>
          <cell r="AN229" t="str">
            <v>Spare</v>
          </cell>
          <cell r="AO229" t="str">
            <v>Spare</v>
          </cell>
          <cell r="AP229" t="str">
            <v>Spare</v>
          </cell>
          <cell r="AQ229" t="str">
            <v>Spare</v>
          </cell>
          <cell r="AR229" t="str">
            <v>Spare</v>
          </cell>
          <cell r="AS229" t="str">
            <v>Spare</v>
          </cell>
          <cell r="AT229" t="str">
            <v>Spare</v>
          </cell>
          <cell r="AU229" t="str">
            <v>Spare</v>
          </cell>
          <cell r="AV229" t="str">
            <v>Spare</v>
          </cell>
          <cell r="AW229" t="str">
            <v>Spare</v>
          </cell>
          <cell r="AX229" t="str">
            <v>Spare</v>
          </cell>
          <cell r="AY229" t="str">
            <v>Spare</v>
          </cell>
          <cell r="AZ229" t="str">
            <v>Spare</v>
          </cell>
          <cell r="BA229" t="str">
            <v>Spare</v>
          </cell>
          <cell r="BB229" t="str">
            <v>Spare</v>
          </cell>
          <cell r="BC229" t="str">
            <v>Spare</v>
          </cell>
          <cell r="BD229" t="str">
            <v>Spare</v>
          </cell>
          <cell r="BE229" t="str">
            <v>Spare</v>
          </cell>
        </row>
        <row r="230">
          <cell r="H230" t="str">
            <v>Spare</v>
          </cell>
          <cell r="I230" t="str">
            <v>Spare</v>
          </cell>
          <cell r="J230" t="str">
            <v>Spare</v>
          </cell>
          <cell r="K230" t="str">
            <v>Spare</v>
          </cell>
          <cell r="L230" t="str">
            <v>Spare</v>
          </cell>
          <cell r="M230" t="str">
            <v>Spare</v>
          </cell>
          <cell r="N230" t="str">
            <v>Spare</v>
          </cell>
          <cell r="O230" t="str">
            <v>Spare</v>
          </cell>
          <cell r="P230" t="str">
            <v>Spare</v>
          </cell>
          <cell r="Q230" t="str">
            <v>Spare</v>
          </cell>
          <cell r="R230" t="str">
            <v>Spare</v>
          </cell>
          <cell r="S230" t="str">
            <v>Spare</v>
          </cell>
          <cell r="T230" t="str">
            <v>Spare</v>
          </cell>
          <cell r="U230" t="str">
            <v>Spare</v>
          </cell>
          <cell r="V230" t="str">
            <v>Spare</v>
          </cell>
          <cell r="W230" t="str">
            <v>Spare</v>
          </cell>
          <cell r="X230" t="str">
            <v>Spare</v>
          </cell>
          <cell r="Y230" t="str">
            <v>Spare</v>
          </cell>
          <cell r="Z230" t="str">
            <v>Spare</v>
          </cell>
          <cell r="AA230" t="str">
            <v>Spare</v>
          </cell>
          <cell r="AB230" t="str">
            <v>Spare</v>
          </cell>
          <cell r="AC230" t="str">
            <v>Spare</v>
          </cell>
          <cell r="AD230" t="str">
            <v>Spare</v>
          </cell>
          <cell r="AE230" t="str">
            <v>Spare</v>
          </cell>
          <cell r="AF230" t="str">
            <v>Spare</v>
          </cell>
          <cell r="AG230" t="str">
            <v>Spare</v>
          </cell>
          <cell r="AH230" t="str">
            <v>Spare</v>
          </cell>
          <cell r="AI230" t="str">
            <v>Spare</v>
          </cell>
          <cell r="AJ230" t="str">
            <v>Spare</v>
          </cell>
          <cell r="AK230" t="str">
            <v>Spare</v>
          </cell>
          <cell r="AL230" t="str">
            <v>Spare</v>
          </cell>
          <cell r="AM230" t="str">
            <v>Spare</v>
          </cell>
          <cell r="AN230" t="str">
            <v>Spare</v>
          </cell>
          <cell r="AO230" t="str">
            <v>Spare</v>
          </cell>
          <cell r="AP230" t="str">
            <v>Spare</v>
          </cell>
          <cell r="AQ230" t="str">
            <v>Spare</v>
          </cell>
          <cell r="AR230" t="str">
            <v>Spare</v>
          </cell>
          <cell r="AS230" t="str">
            <v>Spare</v>
          </cell>
          <cell r="AT230" t="str">
            <v>Spare</v>
          </cell>
          <cell r="AU230" t="str">
            <v>Spare</v>
          </cell>
          <cell r="AV230" t="str">
            <v>Spare</v>
          </cell>
          <cell r="AW230" t="str">
            <v>Spare</v>
          </cell>
          <cell r="AX230" t="str">
            <v>Spare</v>
          </cell>
          <cell r="AY230" t="str">
            <v>Spare</v>
          </cell>
          <cell r="AZ230" t="str">
            <v>Spare</v>
          </cell>
          <cell r="BA230" t="str">
            <v>Spare</v>
          </cell>
          <cell r="BB230" t="str">
            <v>Spare</v>
          </cell>
          <cell r="BC230" t="str">
            <v>Spare</v>
          </cell>
          <cell r="BD230" t="str">
            <v>Spare</v>
          </cell>
          <cell r="BE230" t="str">
            <v>Spare</v>
          </cell>
        </row>
        <row r="231">
          <cell r="H231" t="str">
            <v>Spare</v>
          </cell>
          <cell r="I231" t="str">
            <v>Spare</v>
          </cell>
          <cell r="J231" t="str">
            <v>Spare</v>
          </cell>
          <cell r="K231" t="str">
            <v>Spare</v>
          </cell>
          <cell r="L231" t="str">
            <v>Spare</v>
          </cell>
          <cell r="M231" t="str">
            <v>Spare</v>
          </cell>
          <cell r="N231" t="str">
            <v>Spare</v>
          </cell>
          <cell r="O231" t="str">
            <v>Spare</v>
          </cell>
          <cell r="P231" t="str">
            <v>Spare</v>
          </cell>
          <cell r="Q231" t="str">
            <v>Spare</v>
          </cell>
          <cell r="R231" t="str">
            <v>Spare</v>
          </cell>
          <cell r="S231" t="str">
            <v>Spare</v>
          </cell>
          <cell r="T231" t="str">
            <v>Spare</v>
          </cell>
          <cell r="U231" t="str">
            <v>Spare</v>
          </cell>
          <cell r="V231" t="str">
            <v>Spare</v>
          </cell>
          <cell r="W231" t="str">
            <v>Spare</v>
          </cell>
          <cell r="X231" t="str">
            <v>Spare</v>
          </cell>
          <cell r="Y231" t="str">
            <v>Spare</v>
          </cell>
          <cell r="Z231" t="str">
            <v>Spare</v>
          </cell>
          <cell r="AA231" t="str">
            <v>Spare</v>
          </cell>
          <cell r="AB231" t="str">
            <v>Spare</v>
          </cell>
          <cell r="AC231" t="str">
            <v>Spare</v>
          </cell>
          <cell r="AD231" t="str">
            <v>Spare</v>
          </cell>
          <cell r="AE231" t="str">
            <v>Spare</v>
          </cell>
          <cell r="AF231" t="str">
            <v>Spare</v>
          </cell>
          <cell r="AG231" t="str">
            <v>Spare</v>
          </cell>
          <cell r="AH231" t="str">
            <v>Spare</v>
          </cell>
          <cell r="AI231" t="str">
            <v>Spare</v>
          </cell>
          <cell r="AJ231" t="str">
            <v>Spare</v>
          </cell>
          <cell r="AK231" t="str">
            <v>Spare</v>
          </cell>
          <cell r="AL231" t="str">
            <v>Spare</v>
          </cell>
          <cell r="AM231" t="str">
            <v>Spare</v>
          </cell>
          <cell r="AN231" t="str">
            <v>Spare</v>
          </cell>
          <cell r="AO231" t="str">
            <v>Spare</v>
          </cell>
          <cell r="AP231" t="str">
            <v>Spare</v>
          </cell>
          <cell r="AQ231" t="str">
            <v>Spare</v>
          </cell>
          <cell r="AR231" t="str">
            <v>Spare</v>
          </cell>
          <cell r="AS231" t="str">
            <v>Spare</v>
          </cell>
          <cell r="AT231" t="str">
            <v>Spare</v>
          </cell>
          <cell r="AU231" t="str">
            <v>Spare</v>
          </cell>
          <cell r="AV231" t="str">
            <v>Spare</v>
          </cell>
          <cell r="AW231" t="str">
            <v>Spare</v>
          </cell>
          <cell r="AX231" t="str">
            <v>Spare</v>
          </cell>
          <cell r="AY231" t="str">
            <v>Spare</v>
          </cell>
          <cell r="AZ231" t="str">
            <v>Spare</v>
          </cell>
          <cell r="BA231" t="str">
            <v>Spare</v>
          </cell>
          <cell r="BB231" t="str">
            <v>Spare</v>
          </cell>
          <cell r="BC231" t="str">
            <v>Spare</v>
          </cell>
          <cell r="BD231" t="str">
            <v>Spare</v>
          </cell>
          <cell r="BE231" t="str">
            <v>Spare</v>
          </cell>
        </row>
        <row r="232">
          <cell r="H232" t="str">
            <v>Spare</v>
          </cell>
          <cell r="I232" t="str">
            <v>Spare</v>
          </cell>
          <cell r="J232" t="str">
            <v>Spare</v>
          </cell>
          <cell r="K232" t="str">
            <v>Spare</v>
          </cell>
          <cell r="L232" t="str">
            <v>Spare</v>
          </cell>
          <cell r="M232" t="str">
            <v>Spare</v>
          </cell>
          <cell r="N232" t="str">
            <v>Spare</v>
          </cell>
          <cell r="O232" t="str">
            <v>Spare</v>
          </cell>
          <cell r="P232" t="str">
            <v>Spare</v>
          </cell>
          <cell r="Q232" t="str">
            <v>Spare</v>
          </cell>
          <cell r="R232" t="str">
            <v>Spare</v>
          </cell>
          <cell r="S232" t="str">
            <v>Spare</v>
          </cell>
          <cell r="T232" t="str">
            <v>Spare</v>
          </cell>
          <cell r="U232" t="str">
            <v>Spare</v>
          </cell>
          <cell r="V232" t="str">
            <v>Spare</v>
          </cell>
          <cell r="W232" t="str">
            <v>Spare</v>
          </cell>
          <cell r="X232" t="str">
            <v>Spare</v>
          </cell>
          <cell r="Y232" t="str">
            <v>Spare</v>
          </cell>
          <cell r="Z232" t="str">
            <v>Spare</v>
          </cell>
          <cell r="AA232" t="str">
            <v>Spare</v>
          </cell>
          <cell r="AB232" t="str">
            <v>Spare</v>
          </cell>
          <cell r="AC232" t="str">
            <v>Spare</v>
          </cell>
          <cell r="AD232" t="str">
            <v>Spare</v>
          </cell>
          <cell r="AE232" t="str">
            <v>Spare</v>
          </cell>
          <cell r="AF232" t="str">
            <v>Spare</v>
          </cell>
          <cell r="AG232" t="str">
            <v>Spare</v>
          </cell>
          <cell r="AH232" t="str">
            <v>Spare</v>
          </cell>
          <cell r="AI232" t="str">
            <v>Spare</v>
          </cell>
          <cell r="AJ232" t="str">
            <v>Spare</v>
          </cell>
          <cell r="AK232" t="str">
            <v>Spare</v>
          </cell>
          <cell r="AL232" t="str">
            <v>Spare</v>
          </cell>
          <cell r="AM232" t="str">
            <v>Spare</v>
          </cell>
          <cell r="AN232" t="str">
            <v>Spare</v>
          </cell>
          <cell r="AO232" t="str">
            <v>Spare</v>
          </cell>
          <cell r="AP232" t="str">
            <v>Spare</v>
          </cell>
          <cell r="AQ232" t="str">
            <v>Spare</v>
          </cell>
          <cell r="AR232" t="str">
            <v>Spare</v>
          </cell>
          <cell r="AS232" t="str">
            <v>Spare</v>
          </cell>
          <cell r="AT232" t="str">
            <v>Spare</v>
          </cell>
          <cell r="AU232" t="str">
            <v>Spare</v>
          </cell>
          <cell r="AV232" t="str">
            <v>Spare</v>
          </cell>
          <cell r="AW232" t="str">
            <v>Spare</v>
          </cell>
          <cell r="AX232" t="str">
            <v>Spare</v>
          </cell>
          <cell r="AY232" t="str">
            <v>Spare</v>
          </cell>
          <cell r="AZ232" t="str">
            <v>Spare</v>
          </cell>
          <cell r="BA232" t="str">
            <v>Spare</v>
          </cell>
          <cell r="BB232" t="str">
            <v>Spare</v>
          </cell>
          <cell r="BC232" t="str">
            <v>Spare</v>
          </cell>
          <cell r="BD232" t="str">
            <v>Spare</v>
          </cell>
          <cell r="BE232" t="str">
            <v>Spare</v>
          </cell>
        </row>
        <row r="233">
          <cell r="H233" t="str">
            <v>Spare</v>
          </cell>
          <cell r="I233" t="str">
            <v>Spare</v>
          </cell>
          <cell r="J233" t="str">
            <v>Spare</v>
          </cell>
          <cell r="K233" t="str">
            <v>Spare</v>
          </cell>
          <cell r="L233" t="str">
            <v>Spare</v>
          </cell>
          <cell r="M233" t="str">
            <v>Spare</v>
          </cell>
          <cell r="N233" t="str">
            <v>Spare</v>
          </cell>
          <cell r="O233" t="str">
            <v>Spare</v>
          </cell>
          <cell r="P233" t="str">
            <v>Spare</v>
          </cell>
          <cell r="Q233" t="str">
            <v>Spare</v>
          </cell>
          <cell r="R233" t="str">
            <v>Spare</v>
          </cell>
          <cell r="S233" t="str">
            <v>Spare</v>
          </cell>
          <cell r="T233" t="str">
            <v>Spare</v>
          </cell>
          <cell r="U233" t="str">
            <v>Spare</v>
          </cell>
          <cell r="V233" t="str">
            <v>Spare</v>
          </cell>
          <cell r="W233" t="str">
            <v>Spare</v>
          </cell>
          <cell r="X233" t="str">
            <v>Spare</v>
          </cell>
          <cell r="Y233" t="str">
            <v>Spare</v>
          </cell>
          <cell r="Z233" t="str">
            <v>Spare</v>
          </cell>
          <cell r="AA233" t="str">
            <v>Spare</v>
          </cell>
          <cell r="AB233" t="str">
            <v>Spare</v>
          </cell>
          <cell r="AC233" t="str">
            <v>Spare</v>
          </cell>
          <cell r="AD233" t="str">
            <v>Spare</v>
          </cell>
          <cell r="AE233" t="str">
            <v>Spare</v>
          </cell>
          <cell r="AF233" t="str">
            <v>Spare</v>
          </cell>
          <cell r="AG233" t="str">
            <v>Spare</v>
          </cell>
          <cell r="AH233" t="str">
            <v>Spare</v>
          </cell>
          <cell r="AI233" t="str">
            <v>Spare</v>
          </cell>
          <cell r="AJ233" t="str">
            <v>Spare</v>
          </cell>
          <cell r="AK233" t="str">
            <v>Spare</v>
          </cell>
          <cell r="AL233" t="str">
            <v>Spare</v>
          </cell>
          <cell r="AM233" t="str">
            <v>Spare</v>
          </cell>
          <cell r="AN233" t="str">
            <v>Spare</v>
          </cell>
          <cell r="AO233" t="str">
            <v>Spare</v>
          </cell>
          <cell r="AP233" t="str">
            <v>Spare</v>
          </cell>
          <cell r="AQ233" t="str">
            <v>Spare</v>
          </cell>
          <cell r="AR233" t="str">
            <v>Spare</v>
          </cell>
          <cell r="AS233" t="str">
            <v>Spare</v>
          </cell>
          <cell r="AT233" t="str">
            <v>Spare</v>
          </cell>
          <cell r="AU233" t="str">
            <v>Spare</v>
          </cell>
          <cell r="AV233" t="str">
            <v>Spare</v>
          </cell>
          <cell r="AW233" t="str">
            <v>Spare</v>
          </cell>
          <cell r="AX233" t="str">
            <v>Spare</v>
          </cell>
          <cell r="AY233" t="str">
            <v>Spare</v>
          </cell>
          <cell r="AZ233" t="str">
            <v>Spare</v>
          </cell>
          <cell r="BA233" t="str">
            <v>Spare</v>
          </cell>
          <cell r="BB233" t="str">
            <v>Spare</v>
          </cell>
          <cell r="BC233" t="str">
            <v>Spare</v>
          </cell>
          <cell r="BD233" t="str">
            <v>Spare</v>
          </cell>
          <cell r="BE233" t="str">
            <v>Spare</v>
          </cell>
        </row>
        <row r="238">
          <cell r="H238">
            <v>34.51</v>
          </cell>
          <cell r="I238">
            <v>5.66</v>
          </cell>
          <cell r="J238">
            <v>29.09</v>
          </cell>
          <cell r="K238">
            <v>44.25</v>
          </cell>
          <cell r="L238">
            <v>18.05</v>
          </cell>
          <cell r="M238">
            <v>19</v>
          </cell>
          <cell r="N238">
            <v>30.01</v>
          </cell>
          <cell r="O238">
            <v>12.27</v>
          </cell>
          <cell r="P238">
            <v>5.52</v>
          </cell>
          <cell r="Q238">
            <v>17.329999999999998</v>
          </cell>
          <cell r="R238">
            <v>33.479999999999997</v>
          </cell>
          <cell r="S238">
            <v>24.02</v>
          </cell>
          <cell r="T238" t="e">
            <v>#VALUE!</v>
          </cell>
          <cell r="U238">
            <v>21.26</v>
          </cell>
          <cell r="V238">
            <v>52.05</v>
          </cell>
          <cell r="W238">
            <v>34.51</v>
          </cell>
          <cell r="X238">
            <v>34.64</v>
          </cell>
          <cell r="Y238">
            <v>24.38</v>
          </cell>
          <cell r="Z238" t="e">
            <v>#N/A</v>
          </cell>
          <cell r="AA238">
            <v>72.7</v>
          </cell>
          <cell r="AB238">
            <v>72.7</v>
          </cell>
          <cell r="AC238">
            <v>14.75</v>
          </cell>
          <cell r="AD238" t="e">
            <v>#N/A</v>
          </cell>
          <cell r="AE238">
            <v>7.84</v>
          </cell>
          <cell r="AF238">
            <v>53.25</v>
          </cell>
          <cell r="AG238">
            <v>33.58</v>
          </cell>
          <cell r="AH238">
            <v>52.05</v>
          </cell>
          <cell r="AI238">
            <v>8.26</v>
          </cell>
          <cell r="AJ238" t="e">
            <v>#VALUE!</v>
          </cell>
          <cell r="AK238">
            <v>28.9</v>
          </cell>
          <cell r="AL238">
            <v>31.81</v>
          </cell>
          <cell r="AM238">
            <v>50.35</v>
          </cell>
          <cell r="AN238">
            <v>4.99</v>
          </cell>
          <cell r="AO238" t="e">
            <v>#N/A</v>
          </cell>
          <cell r="AP238">
            <v>47.72</v>
          </cell>
          <cell r="AQ238" t="e">
            <v>#VALUE!</v>
          </cell>
          <cell r="AR238">
            <v>47.72</v>
          </cell>
          <cell r="AS238">
            <v>33.58</v>
          </cell>
          <cell r="AT238" t="e">
            <v>#N/A</v>
          </cell>
          <cell r="AU238">
            <v>64.69</v>
          </cell>
          <cell r="AV238">
            <v>64.69</v>
          </cell>
          <cell r="AW238" t="e">
            <v>#VALUE!</v>
          </cell>
          <cell r="AX238" t="e">
            <v>#VALUE!</v>
          </cell>
          <cell r="AY238" t="e">
            <v>#VALUE!</v>
          </cell>
          <cell r="AZ238" t="e">
            <v>#VALUE!</v>
          </cell>
          <cell r="BA238" t="e">
            <v>#VALUE!</v>
          </cell>
          <cell r="BB238" t="e">
            <v>#VALUE!</v>
          </cell>
          <cell r="BC238" t="e">
            <v>#VALUE!</v>
          </cell>
          <cell r="BD238" t="e">
            <v>#VALUE!</v>
          </cell>
          <cell r="BE238" t="e">
            <v>#VALUE!</v>
          </cell>
        </row>
        <row r="239">
          <cell r="H239">
            <v>69.5</v>
          </cell>
          <cell r="I239">
            <v>18.05</v>
          </cell>
          <cell r="J239">
            <v>29.95</v>
          </cell>
          <cell r="K239">
            <v>27.125</v>
          </cell>
          <cell r="L239">
            <v>19.95</v>
          </cell>
          <cell r="M239">
            <v>24.14</v>
          </cell>
          <cell r="N239">
            <v>46</v>
          </cell>
          <cell r="O239">
            <v>23.66</v>
          </cell>
          <cell r="P239">
            <v>30.43</v>
          </cell>
          <cell r="Q239">
            <v>21.14</v>
          </cell>
          <cell r="R239">
            <v>28.14</v>
          </cell>
          <cell r="S239">
            <v>35.51</v>
          </cell>
          <cell r="T239" t="e">
            <v>#VALUE!</v>
          </cell>
          <cell r="U239">
            <v>26.86</v>
          </cell>
          <cell r="V239">
            <v>34.4</v>
          </cell>
          <cell r="W239">
            <v>69.5</v>
          </cell>
          <cell r="X239">
            <v>58.88</v>
          </cell>
          <cell r="Y239">
            <v>26.65</v>
          </cell>
          <cell r="Z239" t="e">
            <v>#N/A</v>
          </cell>
          <cell r="AA239">
            <v>66.709999999999994</v>
          </cell>
          <cell r="AB239">
            <v>66.709999999999994</v>
          </cell>
          <cell r="AC239">
            <v>20.3</v>
          </cell>
          <cell r="AD239" t="e">
            <v>#N/A</v>
          </cell>
          <cell r="AE239">
            <v>8.2100000000000009</v>
          </cell>
          <cell r="AF239">
            <v>35.46</v>
          </cell>
          <cell r="AG239">
            <v>34.25</v>
          </cell>
          <cell r="AH239">
            <v>34.4</v>
          </cell>
          <cell r="AI239">
            <v>19.5</v>
          </cell>
          <cell r="AJ239" t="e">
            <v>#VALUE!</v>
          </cell>
          <cell r="AK239">
            <v>25.25</v>
          </cell>
          <cell r="AL239">
            <v>40.130000000000003</v>
          </cell>
          <cell r="AM239">
            <v>45.96</v>
          </cell>
          <cell r="AN239">
            <v>4.66</v>
          </cell>
          <cell r="AO239" t="e">
            <v>#N/A</v>
          </cell>
          <cell r="AP239">
            <v>35.25</v>
          </cell>
          <cell r="AQ239" t="e">
            <v>#VALUE!</v>
          </cell>
          <cell r="AR239">
            <v>35.25</v>
          </cell>
          <cell r="AS239">
            <v>34.25</v>
          </cell>
          <cell r="AT239" t="e">
            <v>#N/A</v>
          </cell>
          <cell r="AU239">
            <v>73.319999999999993</v>
          </cell>
          <cell r="AV239">
            <v>73.319999999999993</v>
          </cell>
          <cell r="AW239" t="e">
            <v>#VALUE!</v>
          </cell>
          <cell r="AX239" t="e">
            <v>#VALUE!</v>
          </cell>
          <cell r="AY239" t="e">
            <v>#VALUE!</v>
          </cell>
          <cell r="AZ239" t="e">
            <v>#VALUE!</v>
          </cell>
          <cell r="BA239" t="e">
            <v>#VALUE!</v>
          </cell>
          <cell r="BB239" t="e">
            <v>#VALUE!</v>
          </cell>
          <cell r="BC239" t="e">
            <v>#VALUE!</v>
          </cell>
          <cell r="BD239" t="e">
            <v>#VALUE!</v>
          </cell>
          <cell r="BE239" t="e">
            <v>#VALUE!</v>
          </cell>
        </row>
        <row r="240">
          <cell r="H240">
            <v>34.5</v>
          </cell>
          <cell r="I240">
            <v>6.9</v>
          </cell>
          <cell r="J240">
            <v>26.74</v>
          </cell>
          <cell r="K240">
            <v>40.51</v>
          </cell>
          <cell r="L240">
            <v>16.59</v>
          </cell>
          <cell r="M240">
            <v>17.079999999999998</v>
          </cell>
          <cell r="N240">
            <v>27.38</v>
          </cell>
          <cell r="O240">
            <v>13.84</v>
          </cell>
          <cell r="P240">
            <v>7.31</v>
          </cell>
          <cell r="Q240">
            <v>16.579999999999998</v>
          </cell>
          <cell r="R240">
            <v>32.35</v>
          </cell>
          <cell r="S240">
            <v>21.6</v>
          </cell>
          <cell r="T240" t="e">
            <v>#VALUE!</v>
          </cell>
          <cell r="U240">
            <v>22</v>
          </cell>
          <cell r="V240">
            <v>44.89</v>
          </cell>
          <cell r="W240">
            <v>34.5</v>
          </cell>
          <cell r="X240">
            <v>32.450000000000003</v>
          </cell>
          <cell r="Y240">
            <v>20.95</v>
          </cell>
          <cell r="Z240" t="e">
            <v>#N/A</v>
          </cell>
          <cell r="AA240">
            <v>63.64</v>
          </cell>
          <cell r="AB240">
            <v>63.64</v>
          </cell>
          <cell r="AC240">
            <v>14.5</v>
          </cell>
          <cell r="AD240" t="e">
            <v>#N/A</v>
          </cell>
          <cell r="AE240">
            <v>7.17</v>
          </cell>
          <cell r="AF240">
            <v>42.92</v>
          </cell>
          <cell r="AG240">
            <v>28.85</v>
          </cell>
          <cell r="AH240">
            <v>44.89</v>
          </cell>
          <cell r="AI240">
            <v>8.26</v>
          </cell>
          <cell r="AJ240" t="e">
            <v>#VALUE!</v>
          </cell>
          <cell r="AK240">
            <v>26.75</v>
          </cell>
          <cell r="AL240">
            <v>31.14</v>
          </cell>
          <cell r="AM240">
            <v>48.32</v>
          </cell>
          <cell r="AN240">
            <v>4.6500000000000004</v>
          </cell>
          <cell r="AO240" t="e">
            <v>#N/A</v>
          </cell>
          <cell r="AP240">
            <v>45.19</v>
          </cell>
          <cell r="AQ240" t="e">
            <v>#VALUE!</v>
          </cell>
          <cell r="AR240">
            <v>45.19</v>
          </cell>
          <cell r="AS240">
            <v>28.85</v>
          </cell>
          <cell r="AT240" t="e">
            <v>#N/A</v>
          </cell>
          <cell r="AU240">
            <v>55.71</v>
          </cell>
          <cell r="AV240">
            <v>55.71</v>
          </cell>
          <cell r="AW240" t="e">
            <v>#VALUE!</v>
          </cell>
          <cell r="AX240" t="e">
            <v>#VALUE!</v>
          </cell>
          <cell r="AY240" t="e">
            <v>#VALUE!</v>
          </cell>
          <cell r="AZ240" t="e">
            <v>#VALUE!</v>
          </cell>
          <cell r="BA240" t="e">
            <v>#VALUE!</v>
          </cell>
          <cell r="BB240" t="e">
            <v>#VALUE!</v>
          </cell>
          <cell r="BC240" t="e">
            <v>#VALUE!</v>
          </cell>
          <cell r="BD240" t="e">
            <v>#VALUE!</v>
          </cell>
          <cell r="BE240" t="e">
            <v>#VALUE!</v>
          </cell>
        </row>
        <row r="241">
          <cell r="H241">
            <v>32.119999999999997</v>
          </cell>
          <cell r="I241">
            <v>13.81</v>
          </cell>
          <cell r="J241">
            <v>29</v>
          </cell>
          <cell r="K241">
            <v>40.159999999999997</v>
          </cell>
          <cell r="L241">
            <v>22.86</v>
          </cell>
          <cell r="M241">
            <v>18.36</v>
          </cell>
          <cell r="N241">
            <v>38.94</v>
          </cell>
          <cell r="O241">
            <v>18.78</v>
          </cell>
          <cell r="P241">
            <v>13.35</v>
          </cell>
          <cell r="Q241">
            <v>17.7</v>
          </cell>
          <cell r="R241">
            <v>31.84</v>
          </cell>
          <cell r="S241">
            <v>24.29</v>
          </cell>
          <cell r="T241" t="e">
            <v>#VALUE!</v>
          </cell>
          <cell r="U241">
            <v>20.350000000000001</v>
          </cell>
          <cell r="V241">
            <v>49.47</v>
          </cell>
          <cell r="W241">
            <v>32.119999999999997</v>
          </cell>
          <cell r="X241">
            <v>37.880000000000003</v>
          </cell>
          <cell r="Y241">
            <v>24.17</v>
          </cell>
          <cell r="Z241" t="e">
            <v>#N/A</v>
          </cell>
          <cell r="AA241">
            <v>76.25</v>
          </cell>
          <cell r="AB241">
            <v>76.25</v>
          </cell>
          <cell r="AC241">
            <v>18.23</v>
          </cell>
          <cell r="AD241" t="e">
            <v>#N/A</v>
          </cell>
          <cell r="AE241">
            <v>7.92</v>
          </cell>
          <cell r="AF241">
            <v>47.86</v>
          </cell>
          <cell r="AG241">
            <v>30.01</v>
          </cell>
          <cell r="AH241">
            <v>49.47</v>
          </cell>
          <cell r="AI241">
            <v>24.56</v>
          </cell>
          <cell r="AJ241" t="e">
            <v>#VALUE!</v>
          </cell>
          <cell r="AK241">
            <v>29.4</v>
          </cell>
          <cell r="AL241">
            <v>36.29</v>
          </cell>
          <cell r="AM241">
            <v>47.98</v>
          </cell>
          <cell r="AN241">
            <v>4.8</v>
          </cell>
          <cell r="AO241" t="e">
            <v>#N/A</v>
          </cell>
          <cell r="AP241">
            <v>49.25</v>
          </cell>
          <cell r="AQ241" t="e">
            <v>#VALUE!</v>
          </cell>
          <cell r="AR241">
            <v>49.25</v>
          </cell>
          <cell r="AS241">
            <v>30.01</v>
          </cell>
          <cell r="AT241" t="e">
            <v>#N/A</v>
          </cell>
          <cell r="AU241">
            <v>63.03</v>
          </cell>
          <cell r="AV241">
            <v>63.03</v>
          </cell>
          <cell r="AW241" t="e">
            <v>#VALUE!</v>
          </cell>
          <cell r="AX241" t="e">
            <v>#VALUE!</v>
          </cell>
          <cell r="AY241" t="e">
            <v>#VALUE!</v>
          </cell>
          <cell r="AZ241" t="e">
            <v>#VALUE!</v>
          </cell>
          <cell r="BA241" t="e">
            <v>#VALUE!</v>
          </cell>
          <cell r="BB241" t="e">
            <v>#VALUE!</v>
          </cell>
          <cell r="BC241" t="e">
            <v>#VALUE!</v>
          </cell>
          <cell r="BD241" t="e">
            <v>#VALUE!</v>
          </cell>
          <cell r="BE241" t="e">
            <v>#VALUE!</v>
          </cell>
        </row>
        <row r="242">
          <cell r="H242">
            <v>37</v>
          </cell>
          <cell r="I242">
            <v>15.6</v>
          </cell>
          <cell r="J242">
            <v>27.42</v>
          </cell>
          <cell r="K242">
            <v>33.5</v>
          </cell>
          <cell r="L242">
            <v>26.99</v>
          </cell>
          <cell r="M242">
            <v>23.94</v>
          </cell>
          <cell r="N242">
            <v>45.24</v>
          </cell>
          <cell r="O242">
            <v>20.14</v>
          </cell>
          <cell r="P242">
            <v>17</v>
          </cell>
          <cell r="Q242">
            <v>20.88</v>
          </cell>
          <cell r="R242">
            <v>32.049999999999997</v>
          </cell>
          <cell r="S242">
            <v>30.4</v>
          </cell>
          <cell r="T242" t="e">
            <v>#VALUE!</v>
          </cell>
          <cell r="U242">
            <v>18.3</v>
          </cell>
          <cell r="V242">
            <v>53.69</v>
          </cell>
          <cell r="W242">
            <v>37</v>
          </cell>
          <cell r="X242">
            <v>47</v>
          </cell>
          <cell r="Y242">
            <v>24.6</v>
          </cell>
          <cell r="Z242" t="e">
            <v>#N/A</v>
          </cell>
          <cell r="AA242">
            <v>66.260000000000005</v>
          </cell>
          <cell r="AB242">
            <v>66.260000000000005</v>
          </cell>
          <cell r="AC242">
            <v>19.13</v>
          </cell>
          <cell r="AD242" t="e">
            <v>#N/A</v>
          </cell>
          <cell r="AE242">
            <v>9.33</v>
          </cell>
          <cell r="AF242">
            <v>42.92</v>
          </cell>
          <cell r="AG242">
            <v>27.22</v>
          </cell>
          <cell r="AH242">
            <v>53.69</v>
          </cell>
          <cell r="AI242">
            <v>24.25</v>
          </cell>
          <cell r="AJ242" t="e">
            <v>#VALUE!</v>
          </cell>
          <cell r="AK242">
            <v>27.2</v>
          </cell>
          <cell r="AL242">
            <v>32.07</v>
          </cell>
          <cell r="AM242">
            <v>46.62</v>
          </cell>
          <cell r="AN242">
            <v>6.7</v>
          </cell>
          <cell r="AO242" t="e">
            <v>#N/A</v>
          </cell>
          <cell r="AP242">
            <v>39.909999999999997</v>
          </cell>
          <cell r="AQ242" t="e">
            <v>#VALUE!</v>
          </cell>
          <cell r="AR242">
            <v>39.909999999999997</v>
          </cell>
          <cell r="AS242">
            <v>27.22</v>
          </cell>
          <cell r="AT242" t="e">
            <v>#N/A</v>
          </cell>
          <cell r="AU242">
            <v>65.650000000000006</v>
          </cell>
          <cell r="AV242">
            <v>65.650000000000006</v>
          </cell>
          <cell r="AW242" t="e">
            <v>#VALUE!</v>
          </cell>
          <cell r="AX242" t="e">
            <v>#VALUE!</v>
          </cell>
          <cell r="AY242" t="e">
            <v>#VALUE!</v>
          </cell>
          <cell r="AZ242" t="e">
            <v>#VALUE!</v>
          </cell>
          <cell r="BA242" t="e">
            <v>#VALUE!</v>
          </cell>
          <cell r="BB242" t="e">
            <v>#VALUE!</v>
          </cell>
          <cell r="BC242" t="e">
            <v>#VALUE!</v>
          </cell>
          <cell r="BD242" t="e">
            <v>#VALUE!</v>
          </cell>
          <cell r="BE242" t="e">
            <v>#VALUE!</v>
          </cell>
        </row>
        <row r="243">
          <cell r="H243">
            <v>1.72</v>
          </cell>
          <cell r="I243">
            <v>0.25</v>
          </cell>
          <cell r="J243">
            <v>0.96</v>
          </cell>
          <cell r="K243">
            <v>2.1800000000000002</v>
          </cell>
          <cell r="L243">
            <v>-0.2</v>
          </cell>
          <cell r="M243">
            <v>0.91</v>
          </cell>
          <cell r="N243">
            <v>2.02</v>
          </cell>
          <cell r="O243">
            <v>0.45</v>
          </cell>
          <cell r="P243">
            <v>1.0900000000000001</v>
          </cell>
          <cell r="Q243">
            <v>0.91</v>
          </cell>
          <cell r="R243">
            <v>1.4475</v>
          </cell>
          <cell r="S243">
            <v>1.27</v>
          </cell>
          <cell r="T243" t="e">
            <v>#VALUE!</v>
          </cell>
          <cell r="U243">
            <v>0.09</v>
          </cell>
          <cell r="V243">
            <v>0.88</v>
          </cell>
          <cell r="W243">
            <v>1.72</v>
          </cell>
          <cell r="X243">
            <v>1.56</v>
          </cell>
          <cell r="Y243">
            <v>0.72</v>
          </cell>
          <cell r="Z243" t="e">
            <v>#N/A</v>
          </cell>
          <cell r="AA243">
            <v>2.5150000000000001</v>
          </cell>
          <cell r="AB243">
            <v>2.5150000000000001</v>
          </cell>
          <cell r="AC243">
            <v>1.03</v>
          </cell>
          <cell r="AD243" t="e">
            <v>#N/A</v>
          </cell>
          <cell r="AE243">
            <v>0.40749999999999997</v>
          </cell>
          <cell r="AF243">
            <v>2.0099999999999998</v>
          </cell>
          <cell r="AG243">
            <v>1.4</v>
          </cell>
          <cell r="AH243">
            <v>1.0900000000000001</v>
          </cell>
          <cell r="AI243">
            <v>0.89</v>
          </cell>
          <cell r="AJ243" t="e">
            <v>#VALUE!</v>
          </cell>
          <cell r="AK243">
            <v>1.31</v>
          </cell>
          <cell r="AL243">
            <v>1.3674999999999999</v>
          </cell>
          <cell r="AM243">
            <v>1.88</v>
          </cell>
          <cell r="AN243">
            <v>0.64500000000000002</v>
          </cell>
          <cell r="AO243" t="e">
            <v>#N/A</v>
          </cell>
          <cell r="AP243">
            <v>1.2666666666666666</v>
          </cell>
          <cell r="AQ243" t="e">
            <v>#VALUE!</v>
          </cell>
          <cell r="AR243">
            <v>1.2666666666666666</v>
          </cell>
          <cell r="AS243">
            <v>1.4</v>
          </cell>
          <cell r="AT243" t="e">
            <v>#N/A</v>
          </cell>
          <cell r="AU243">
            <v>1.82</v>
          </cell>
          <cell r="AV243">
            <v>1.82</v>
          </cell>
          <cell r="AW243" t="e">
            <v>#VALUE!</v>
          </cell>
          <cell r="AX243" t="e">
            <v>#VALUE!</v>
          </cell>
          <cell r="AY243" t="e">
            <v>#VALUE!</v>
          </cell>
          <cell r="AZ243" t="e">
            <v>#VALUE!</v>
          </cell>
          <cell r="BA243" t="e">
            <v>#VALUE!</v>
          </cell>
          <cell r="BB243" t="e">
            <v>#VALUE!</v>
          </cell>
          <cell r="BC243" t="e">
            <v>#VALUE!</v>
          </cell>
          <cell r="BD243" t="e">
            <v>#VALUE!</v>
          </cell>
          <cell r="BE243" t="e">
            <v>#VALUE!</v>
          </cell>
        </row>
        <row r="244">
          <cell r="H244">
            <v>1.9</v>
          </cell>
          <cell r="I244">
            <v>0.23</v>
          </cell>
          <cell r="J244">
            <v>1.05</v>
          </cell>
          <cell r="K244">
            <v>2.77</v>
          </cell>
          <cell r="L244">
            <v>0.1</v>
          </cell>
          <cell r="M244">
            <v>0.83</v>
          </cell>
          <cell r="N244">
            <v>2.16</v>
          </cell>
          <cell r="O244">
            <v>0.51</v>
          </cell>
          <cell r="P244">
            <v>0.33</v>
          </cell>
          <cell r="Q244">
            <v>0.95</v>
          </cell>
          <cell r="R244">
            <v>1.53</v>
          </cell>
          <cell r="S244">
            <v>1.34</v>
          </cell>
          <cell r="T244">
            <v>1.76</v>
          </cell>
          <cell r="U244">
            <v>0.32</v>
          </cell>
          <cell r="V244">
            <v>1.54</v>
          </cell>
          <cell r="W244">
            <v>1.88</v>
          </cell>
          <cell r="X244">
            <v>1.78</v>
          </cell>
          <cell r="Y244">
            <v>1.01</v>
          </cell>
          <cell r="Z244" t="e">
            <v>#N/A</v>
          </cell>
          <cell r="AA244">
            <v>3.41</v>
          </cell>
          <cell r="AB244">
            <v>3.41</v>
          </cell>
          <cell r="AC244">
            <v>1.28</v>
          </cell>
          <cell r="AD244" t="e">
            <v>#N/A</v>
          </cell>
          <cell r="AE244">
            <v>0.26250000000000001</v>
          </cell>
          <cell r="AF244">
            <v>2.56</v>
          </cell>
          <cell r="AG244">
            <v>1.82</v>
          </cell>
          <cell r="AH244">
            <v>1.5649999999999999</v>
          </cell>
          <cell r="AI244">
            <v>0.24</v>
          </cell>
          <cell r="AJ244" t="e">
            <v>#VALUE!</v>
          </cell>
          <cell r="AK244">
            <v>1.76</v>
          </cell>
          <cell r="AL244">
            <v>1.7825</v>
          </cell>
          <cell r="AM244">
            <v>2.2799999999999998</v>
          </cell>
          <cell r="AN244">
            <v>0.33500000000000002</v>
          </cell>
          <cell r="AO244" t="e">
            <v>#N/A</v>
          </cell>
          <cell r="AP244">
            <v>1.5933333333333333</v>
          </cell>
          <cell r="AQ244" t="e">
            <v>#VALUE!</v>
          </cell>
          <cell r="AR244">
            <v>1.5933333333333333</v>
          </cell>
          <cell r="AS244">
            <v>1.82</v>
          </cell>
          <cell r="AT244" t="e">
            <v>#N/A</v>
          </cell>
          <cell r="AU244">
            <v>2.91</v>
          </cell>
          <cell r="AV244">
            <v>2.91</v>
          </cell>
          <cell r="AW244" t="e">
            <v>#VALUE!</v>
          </cell>
          <cell r="AX244" t="e">
            <v>#VALUE!</v>
          </cell>
          <cell r="AY244" t="e">
            <v>#VALUE!</v>
          </cell>
          <cell r="AZ244" t="e">
            <v>#VALUE!</v>
          </cell>
          <cell r="BA244" t="e">
            <v>#VALUE!</v>
          </cell>
          <cell r="BB244" t="e">
            <v>#VALUE!</v>
          </cell>
          <cell r="BC244" t="e">
            <v>#VALUE!</v>
          </cell>
          <cell r="BD244" t="e">
            <v>#VALUE!</v>
          </cell>
          <cell r="BE244" t="e">
            <v>#VALUE!</v>
          </cell>
        </row>
        <row r="245">
          <cell r="H245">
            <v>2.14</v>
          </cell>
          <cell r="I245">
            <v>0.34</v>
          </cell>
          <cell r="J245">
            <v>1.19</v>
          </cell>
          <cell r="K245">
            <v>3.12</v>
          </cell>
          <cell r="L245">
            <v>0.45</v>
          </cell>
          <cell r="M245">
            <v>1.02</v>
          </cell>
          <cell r="N245">
            <v>2.39</v>
          </cell>
          <cell r="O245">
            <v>0.73</v>
          </cell>
          <cell r="P245">
            <v>0.7</v>
          </cell>
          <cell r="Q245">
            <v>1.1100000000000001</v>
          </cell>
          <cell r="R245">
            <v>1.78083675</v>
          </cell>
          <cell r="S245">
            <v>1.55</v>
          </cell>
          <cell r="T245">
            <v>2.0299999999999998</v>
          </cell>
          <cell r="U245">
            <v>0.65</v>
          </cell>
          <cell r="V245">
            <v>2.2799999999999998</v>
          </cell>
          <cell r="W245">
            <v>2.14</v>
          </cell>
          <cell r="X245">
            <v>2.06</v>
          </cell>
          <cell r="Y245">
            <v>1.27</v>
          </cell>
          <cell r="Z245" t="e">
            <v>#N/A</v>
          </cell>
          <cell r="AA245">
            <v>4.08</v>
          </cell>
          <cell r="AB245">
            <v>4.08</v>
          </cell>
          <cell r="AC245">
            <v>1.42</v>
          </cell>
          <cell r="AD245" t="e">
            <v>#N/A</v>
          </cell>
          <cell r="AE245">
            <v>0.37</v>
          </cell>
          <cell r="AF245">
            <v>2.96</v>
          </cell>
          <cell r="AG245">
            <v>2.1800000000000002</v>
          </cell>
          <cell r="AH245">
            <v>2.2149999999999999</v>
          </cell>
          <cell r="AI245">
            <v>0.48</v>
          </cell>
          <cell r="AJ245" t="e">
            <v>#VALUE!</v>
          </cell>
          <cell r="AK245">
            <v>2.0299999999999998</v>
          </cell>
          <cell r="AL245">
            <v>2.1724999999999999</v>
          </cell>
          <cell r="AM245">
            <v>2.54</v>
          </cell>
          <cell r="AN245">
            <v>0.50160000000000005</v>
          </cell>
          <cell r="AO245" t="e">
            <v>#N/A</v>
          </cell>
          <cell r="AP245">
            <v>1.91</v>
          </cell>
          <cell r="AQ245" t="e">
            <v>#VALUE!</v>
          </cell>
          <cell r="AR245">
            <v>1.91</v>
          </cell>
          <cell r="AS245">
            <v>2.1800000000000002</v>
          </cell>
          <cell r="AT245" t="e">
            <v>#N/A</v>
          </cell>
          <cell r="AU245">
            <v>3.5</v>
          </cell>
          <cell r="AV245">
            <v>3.5</v>
          </cell>
          <cell r="AW245" t="e">
            <v>#VALUE!</v>
          </cell>
          <cell r="AX245" t="e">
            <v>#VALUE!</v>
          </cell>
          <cell r="AY245" t="e">
            <v>#VALUE!</v>
          </cell>
          <cell r="AZ245" t="e">
            <v>#VALUE!</v>
          </cell>
          <cell r="BA245" t="e">
            <v>#VALUE!</v>
          </cell>
          <cell r="BB245" t="e">
            <v>#VALUE!</v>
          </cell>
          <cell r="BC245" t="e">
            <v>#VALUE!</v>
          </cell>
          <cell r="BD245" t="e">
            <v>#VALUE!</v>
          </cell>
          <cell r="BE245" t="e">
            <v>#VALUE!</v>
          </cell>
        </row>
        <row r="246">
          <cell r="H246">
            <v>2.6</v>
          </cell>
          <cell r="I246">
            <v>0.46</v>
          </cell>
          <cell r="J246">
            <v>1.3729374999999999</v>
          </cell>
          <cell r="K246">
            <v>3.6816</v>
          </cell>
          <cell r="L246">
            <v>0.7</v>
          </cell>
          <cell r="M246">
            <v>1.25</v>
          </cell>
          <cell r="N246">
            <v>2.65</v>
          </cell>
          <cell r="O246">
            <v>0.86903999999999992</v>
          </cell>
          <cell r="P246">
            <v>0.81025000000000003</v>
          </cell>
          <cell r="Q246">
            <v>1.2931500000000002</v>
          </cell>
          <cell r="R246">
            <v>1.78083675</v>
          </cell>
          <cell r="S246">
            <v>1.75</v>
          </cell>
          <cell r="T246" t="e">
            <v>#VALUE!</v>
          </cell>
          <cell r="U246">
            <v>0.80437499999999995</v>
          </cell>
          <cell r="V246">
            <v>2.8143040000000004</v>
          </cell>
          <cell r="W246">
            <v>2.6</v>
          </cell>
          <cell r="X246">
            <v>2.38</v>
          </cell>
          <cell r="Y246">
            <v>1.5972790000000001</v>
          </cell>
          <cell r="Z246" t="e">
            <v>#N/A</v>
          </cell>
          <cell r="AA246" t="e">
            <v>#N/A</v>
          </cell>
          <cell r="AB246" t="e">
            <v>#N/A</v>
          </cell>
          <cell r="AC246">
            <v>1.6045999999999998</v>
          </cell>
          <cell r="AD246" t="e">
            <v>#N/A</v>
          </cell>
          <cell r="AE246">
            <v>0.44800000000000006</v>
          </cell>
          <cell r="AF246">
            <v>3.4039999999999999</v>
          </cell>
          <cell r="AG246">
            <v>2.6515339999999998</v>
          </cell>
          <cell r="AH246">
            <v>2.8143040000000004</v>
          </cell>
          <cell r="AI246">
            <v>0.52800000000000002</v>
          </cell>
          <cell r="AJ246" t="e">
            <v>#VALUE!</v>
          </cell>
          <cell r="AK246">
            <v>2.25</v>
          </cell>
          <cell r="AL246">
            <v>2.54</v>
          </cell>
          <cell r="AM246">
            <v>2.8305760000000002</v>
          </cell>
          <cell r="AN246">
            <v>0.50160000000000005</v>
          </cell>
          <cell r="AO246" t="e">
            <v>#N/A</v>
          </cell>
          <cell r="AP246">
            <v>2.271422666666667</v>
          </cell>
          <cell r="AQ246" t="e">
            <v>#VALUE!</v>
          </cell>
          <cell r="AR246">
            <v>2.271422666666667</v>
          </cell>
          <cell r="AS246">
            <v>2.6515339999999998</v>
          </cell>
          <cell r="AT246" t="e">
            <v>#N/A</v>
          </cell>
          <cell r="AU246">
            <v>4.1981800000000007</v>
          </cell>
          <cell r="AV246">
            <v>4.1981800000000007</v>
          </cell>
          <cell r="AW246" t="e">
            <v>#VALUE!</v>
          </cell>
          <cell r="AX246" t="e">
            <v>#VALUE!</v>
          </cell>
          <cell r="AY246" t="e">
            <v>#VALUE!</v>
          </cell>
          <cell r="AZ246" t="e">
            <v>#VALUE!</v>
          </cell>
          <cell r="BA246" t="e">
            <v>#VALUE!</v>
          </cell>
          <cell r="BB246" t="e">
            <v>#VALUE!</v>
          </cell>
          <cell r="BC246" t="e">
            <v>#VALUE!</v>
          </cell>
          <cell r="BD246" t="e">
            <v>#VALUE!</v>
          </cell>
          <cell r="BE246" t="e">
            <v>#VALUE!</v>
          </cell>
        </row>
        <row r="247">
          <cell r="H247">
            <v>0.17</v>
          </cell>
          <cell r="I247">
            <v>0.2</v>
          </cell>
          <cell r="J247">
            <v>0.19</v>
          </cell>
          <cell r="K247">
            <v>0.18</v>
          </cell>
          <cell r="L247">
            <v>0.38750000000000001</v>
          </cell>
          <cell r="M247">
            <v>0.17</v>
          </cell>
          <cell r="N247">
            <v>0.13</v>
          </cell>
          <cell r="O247">
            <v>0.2</v>
          </cell>
          <cell r="P247">
            <v>0.1575</v>
          </cell>
          <cell r="Q247">
            <v>0.16500000000000001</v>
          </cell>
          <cell r="R247">
            <v>0.16570000000000001</v>
          </cell>
          <cell r="S247">
            <v>0.17</v>
          </cell>
          <cell r="T247">
            <v>0.16</v>
          </cell>
          <cell r="U247">
            <v>0.23749999999999999</v>
          </cell>
          <cell r="V247">
            <v>0.3</v>
          </cell>
          <cell r="W247">
            <v>0.18760000000000002</v>
          </cell>
          <cell r="X247">
            <v>0.15670000000000001</v>
          </cell>
          <cell r="Y247">
            <v>0.25769999999999998</v>
          </cell>
          <cell r="Z247" t="e">
            <v>#N/A</v>
          </cell>
          <cell r="AA247">
            <v>0.19320000000000001</v>
          </cell>
          <cell r="AB247">
            <v>0.19320000000000001</v>
          </cell>
          <cell r="AC247">
            <v>0.13</v>
          </cell>
          <cell r="AD247" t="e">
            <v>#N/A</v>
          </cell>
          <cell r="AE247">
            <v>0.16</v>
          </cell>
          <cell r="AF247">
            <v>0.15</v>
          </cell>
          <cell r="AG247">
            <v>0.21629999999999999</v>
          </cell>
          <cell r="AH247">
            <v>0.26960000000000001</v>
          </cell>
          <cell r="AI247">
            <v>0.1</v>
          </cell>
          <cell r="AJ247" t="e">
            <v>#VALUE!</v>
          </cell>
          <cell r="AK247">
            <v>0.16</v>
          </cell>
          <cell r="AL247">
            <v>0.18760000000000002</v>
          </cell>
          <cell r="AM247">
            <v>0.1144</v>
          </cell>
          <cell r="AN247">
            <v>0.2</v>
          </cell>
          <cell r="AO247" t="e">
            <v>#N/A</v>
          </cell>
          <cell r="AP247">
            <v>0.1867</v>
          </cell>
          <cell r="AQ247" t="e">
            <v>#VALUE!</v>
          </cell>
          <cell r="AR247">
            <v>0.1867</v>
          </cell>
          <cell r="AS247">
            <v>0.21629999999999999</v>
          </cell>
          <cell r="AT247" t="e">
            <v>#N/A</v>
          </cell>
          <cell r="AU247">
            <v>0.19800000000000001</v>
          </cell>
          <cell r="AV247">
            <v>0.19800000000000001</v>
          </cell>
          <cell r="AW247" t="e">
            <v>#VALUE!</v>
          </cell>
          <cell r="AX247" t="e">
            <v>#VALUE!</v>
          </cell>
          <cell r="AY247" t="e">
            <v>#VALUE!</v>
          </cell>
          <cell r="AZ247" t="e">
            <v>#VALUE!</v>
          </cell>
          <cell r="BA247" t="e">
            <v>#VALUE!</v>
          </cell>
          <cell r="BB247" t="e">
            <v>#VALUE!</v>
          </cell>
          <cell r="BC247" t="e">
            <v>#VALUE!</v>
          </cell>
          <cell r="BD247" t="e">
            <v>#VALUE!</v>
          </cell>
          <cell r="BE247" t="e">
            <v>#VALUE!</v>
          </cell>
        </row>
        <row r="248">
          <cell r="H248">
            <v>73.790000000000006</v>
          </cell>
          <cell r="I248">
            <v>21.36</v>
          </cell>
          <cell r="J248">
            <v>38.06</v>
          </cell>
          <cell r="K248">
            <v>51</v>
          </cell>
          <cell r="L248">
            <v>41.95</v>
          </cell>
          <cell r="M248">
            <v>40.42</v>
          </cell>
          <cell r="N248">
            <v>51.98</v>
          </cell>
          <cell r="O248">
            <v>24.05</v>
          </cell>
          <cell r="P248">
            <v>36.299999999999997</v>
          </cell>
          <cell r="Q248">
            <v>24.6</v>
          </cell>
          <cell r="R248">
            <v>39.6</v>
          </cell>
          <cell r="S248">
            <v>40.950000000000003</v>
          </cell>
          <cell r="T248" t="e">
            <v>#VALUE!</v>
          </cell>
          <cell r="U248">
            <v>26.86</v>
          </cell>
          <cell r="V248">
            <v>64.819999999999993</v>
          </cell>
          <cell r="W248">
            <v>73.790000000000006</v>
          </cell>
          <cell r="X248">
            <v>56.248170000000002</v>
          </cell>
          <cell r="Y248">
            <v>35.96</v>
          </cell>
          <cell r="Z248" t="e">
            <v>#N/A</v>
          </cell>
          <cell r="AA248">
            <v>82.85</v>
          </cell>
          <cell r="AB248">
            <v>82.85</v>
          </cell>
          <cell r="AC248">
            <v>20.9</v>
          </cell>
          <cell r="AD248" t="e">
            <v>#N/A</v>
          </cell>
          <cell r="AE248">
            <v>10.48</v>
          </cell>
          <cell r="AF248">
            <v>53.35</v>
          </cell>
          <cell r="AG248">
            <v>35.799999999999997</v>
          </cell>
          <cell r="AH248">
            <v>64.819999999999993</v>
          </cell>
          <cell r="AI248">
            <v>9.5009999999999994</v>
          </cell>
          <cell r="AJ248" t="e">
            <v>#VALUE!</v>
          </cell>
          <cell r="AK248">
            <v>33.43</v>
          </cell>
          <cell r="AL248">
            <v>42.09</v>
          </cell>
          <cell r="AM248">
            <v>52.8</v>
          </cell>
          <cell r="AN248">
            <v>8.15</v>
          </cell>
          <cell r="AO248" t="e">
            <v>#N/A</v>
          </cell>
          <cell r="AP248">
            <v>53.47</v>
          </cell>
          <cell r="AQ248" t="e">
            <v>#VALUE!</v>
          </cell>
          <cell r="AR248">
            <v>53.47</v>
          </cell>
          <cell r="AS248">
            <v>35.799999999999997</v>
          </cell>
          <cell r="AT248">
            <v>16.12</v>
          </cell>
          <cell r="AU248">
            <v>76.599999999999994</v>
          </cell>
          <cell r="AV248">
            <v>76.599999999999994</v>
          </cell>
          <cell r="AW248" t="e">
            <v>#VALUE!</v>
          </cell>
          <cell r="AX248" t="e">
            <v>#VALUE!</v>
          </cell>
          <cell r="AY248" t="e">
            <v>#VALUE!</v>
          </cell>
          <cell r="AZ248" t="e">
            <v>#VALUE!</v>
          </cell>
          <cell r="BA248" t="e">
            <v>#VALUE!</v>
          </cell>
          <cell r="BB248" t="e">
            <v>#VALUE!</v>
          </cell>
          <cell r="BC248" t="e">
            <v>#VALUE!</v>
          </cell>
          <cell r="BD248" t="e">
            <v>#VALUE!</v>
          </cell>
          <cell r="BE248" t="e">
            <v>#VALUE!</v>
          </cell>
        </row>
        <row r="249">
          <cell r="H249">
            <v>26.58</v>
          </cell>
          <cell r="I249">
            <v>5.2</v>
          </cell>
          <cell r="J249">
            <v>21.8</v>
          </cell>
          <cell r="K249">
            <v>21</v>
          </cell>
          <cell r="L249">
            <v>13.8</v>
          </cell>
          <cell r="M249">
            <v>13</v>
          </cell>
          <cell r="N249">
            <v>24.85</v>
          </cell>
          <cell r="O249">
            <v>9.9499999999999993</v>
          </cell>
          <cell r="P249">
            <v>4.28</v>
          </cell>
          <cell r="Q249">
            <v>14.33</v>
          </cell>
          <cell r="R249">
            <v>22.33</v>
          </cell>
          <cell r="S249">
            <v>17.86</v>
          </cell>
          <cell r="T249" t="e">
            <v>#VALUE!</v>
          </cell>
          <cell r="U249">
            <v>18</v>
          </cell>
          <cell r="V249">
            <v>29.25</v>
          </cell>
          <cell r="W249">
            <v>26.58</v>
          </cell>
          <cell r="X249">
            <v>27.25</v>
          </cell>
          <cell r="Y249">
            <v>18.16</v>
          </cell>
          <cell r="Z249" t="e">
            <v>#N/A</v>
          </cell>
          <cell r="AA249">
            <v>53.850999999999999</v>
          </cell>
          <cell r="AB249">
            <v>53.850999999999999</v>
          </cell>
          <cell r="AC249">
            <v>13.27</v>
          </cell>
          <cell r="AD249" t="e">
            <v>#N/A</v>
          </cell>
          <cell r="AE249">
            <v>4.55</v>
          </cell>
          <cell r="AF249">
            <v>31.9</v>
          </cell>
          <cell r="AG249">
            <v>20.5</v>
          </cell>
          <cell r="AH249">
            <v>29.25</v>
          </cell>
          <cell r="AI249">
            <v>4.8816200000000007</v>
          </cell>
          <cell r="AJ249" t="e">
            <v>#VALUE!</v>
          </cell>
          <cell r="AK249">
            <v>21</v>
          </cell>
          <cell r="AL249">
            <v>26.5</v>
          </cell>
          <cell r="AM249">
            <v>36.25</v>
          </cell>
          <cell r="AN249">
            <v>1.75</v>
          </cell>
          <cell r="AO249" t="e">
            <v>#N/A</v>
          </cell>
          <cell r="AP249">
            <v>32.799999999999997</v>
          </cell>
          <cell r="AQ249" t="e">
            <v>#VALUE!</v>
          </cell>
          <cell r="AR249">
            <v>32.799999999999997</v>
          </cell>
          <cell r="AS249">
            <v>20.5</v>
          </cell>
          <cell r="AT249">
            <v>8</v>
          </cell>
          <cell r="AU249">
            <v>46.6</v>
          </cell>
          <cell r="AV249">
            <v>46.6</v>
          </cell>
          <cell r="AW249" t="e">
            <v>#VALUE!</v>
          </cell>
          <cell r="AX249" t="e">
            <v>#VALUE!</v>
          </cell>
          <cell r="AY249" t="e">
            <v>#VALUE!</v>
          </cell>
          <cell r="AZ249" t="e">
            <v>#VALUE!</v>
          </cell>
          <cell r="BA249" t="e">
            <v>#VALUE!</v>
          </cell>
          <cell r="BB249" t="e">
            <v>#VALUE!</v>
          </cell>
          <cell r="BC249" t="e">
            <v>#VALUE!</v>
          </cell>
          <cell r="BD249" t="e">
            <v>#VALUE!</v>
          </cell>
          <cell r="BE249" t="e">
            <v>#VALUE!</v>
          </cell>
        </row>
        <row r="252">
          <cell r="H252">
            <v>37256</v>
          </cell>
          <cell r="I252">
            <v>37256</v>
          </cell>
          <cell r="J252">
            <v>37437</v>
          </cell>
          <cell r="K252">
            <v>37256</v>
          </cell>
          <cell r="L252">
            <v>37256</v>
          </cell>
          <cell r="M252">
            <v>37256</v>
          </cell>
          <cell r="N252">
            <v>37256</v>
          </cell>
          <cell r="O252">
            <v>37256</v>
          </cell>
          <cell r="P252">
            <v>37256</v>
          </cell>
          <cell r="Q252">
            <v>37256</v>
          </cell>
          <cell r="R252">
            <v>37256</v>
          </cell>
          <cell r="S252">
            <v>37256</v>
          </cell>
          <cell r="T252">
            <v>37256</v>
          </cell>
          <cell r="U252">
            <v>37256</v>
          </cell>
          <cell r="V252">
            <v>37437</v>
          </cell>
          <cell r="W252">
            <v>37256</v>
          </cell>
          <cell r="X252">
            <v>37256</v>
          </cell>
          <cell r="Y252">
            <v>37345</v>
          </cell>
          <cell r="Z252">
            <v>0</v>
          </cell>
          <cell r="AA252">
            <v>0</v>
          </cell>
          <cell r="AB252">
            <v>37346</v>
          </cell>
          <cell r="AC252">
            <v>37346</v>
          </cell>
          <cell r="AD252">
            <v>36891</v>
          </cell>
          <cell r="AE252">
            <v>37253</v>
          </cell>
          <cell r="AF252">
            <v>37345</v>
          </cell>
          <cell r="AG252">
            <v>37346</v>
          </cell>
          <cell r="AH252">
            <v>0</v>
          </cell>
          <cell r="AI252">
            <v>0</v>
          </cell>
          <cell r="AJ252">
            <v>37256</v>
          </cell>
          <cell r="AK252">
            <v>37437</v>
          </cell>
          <cell r="AL252">
            <v>37256</v>
          </cell>
          <cell r="AM252">
            <v>37256</v>
          </cell>
          <cell r="AN252">
            <v>37162</v>
          </cell>
          <cell r="AO252">
            <v>36891</v>
          </cell>
          <cell r="AP252">
            <v>37009</v>
          </cell>
          <cell r="AQ252">
            <v>37009</v>
          </cell>
          <cell r="AR252">
            <v>37434</v>
          </cell>
          <cell r="AS252">
            <v>0</v>
          </cell>
          <cell r="AT252">
            <v>0</v>
          </cell>
          <cell r="AU252">
            <v>0</v>
          </cell>
          <cell r="AV252">
            <v>37346</v>
          </cell>
          <cell r="AW252">
            <v>36891</v>
          </cell>
          <cell r="AX252">
            <v>36891</v>
          </cell>
          <cell r="AY252">
            <v>36891</v>
          </cell>
          <cell r="AZ252">
            <v>36891</v>
          </cell>
          <cell r="BA252">
            <v>36891</v>
          </cell>
          <cell r="BB252">
            <v>36891</v>
          </cell>
          <cell r="BC252">
            <v>36891</v>
          </cell>
          <cell r="BD252">
            <v>36891</v>
          </cell>
          <cell r="BE252">
            <v>36891</v>
          </cell>
        </row>
        <row r="253">
          <cell r="H253">
            <v>0</v>
          </cell>
          <cell r="I253">
            <v>0</v>
          </cell>
          <cell r="J253">
            <v>0</v>
          </cell>
          <cell r="K253">
            <v>0</v>
          </cell>
          <cell r="L253">
            <v>0</v>
          </cell>
          <cell r="M253">
            <v>0</v>
          </cell>
          <cell r="N253">
            <v>0</v>
          </cell>
          <cell r="O253">
            <v>0</v>
          </cell>
          <cell r="P253">
            <v>0</v>
          </cell>
          <cell r="Q253">
            <v>0</v>
          </cell>
          <cell r="R253">
            <v>0</v>
          </cell>
          <cell r="S253">
            <v>0</v>
          </cell>
          <cell r="T253">
            <v>0</v>
          </cell>
          <cell r="U253">
            <v>79.676000000000016</v>
          </cell>
          <cell r="V253">
            <v>859.20799999999997</v>
          </cell>
          <cell r="W253">
            <v>617.78400000000011</v>
          </cell>
          <cell r="X253">
            <v>637.08299999999986</v>
          </cell>
          <cell r="Y253">
            <v>903.23099999999999</v>
          </cell>
          <cell r="Z253">
            <v>20077.681</v>
          </cell>
          <cell r="AA253">
            <v>13334.064000000004</v>
          </cell>
          <cell r="AB253">
            <v>37652.683999999994</v>
          </cell>
          <cell r="AC253">
            <v>3857.1689999999999</v>
          </cell>
          <cell r="AD253">
            <v>0</v>
          </cell>
          <cell r="AE253">
            <v>1778.1620000000003</v>
          </cell>
          <cell r="AF253">
            <v>2611.4409999999998</v>
          </cell>
          <cell r="AG253">
            <v>808.78600000000006</v>
          </cell>
          <cell r="AH253">
            <v>127.60400000000004</v>
          </cell>
          <cell r="AI253">
            <v>-6.2752499999999145</v>
          </cell>
          <cell r="AJ253">
            <v>1314.2507500000002</v>
          </cell>
          <cell r="AK253">
            <v>3069.5999999999995</v>
          </cell>
          <cell r="AL253">
            <v>35489.199999999997</v>
          </cell>
          <cell r="AM253">
            <v>1179.4469999999999</v>
          </cell>
          <cell r="AN253">
            <v>328.50900000000001</v>
          </cell>
          <cell r="AO253">
            <v>0</v>
          </cell>
          <cell r="AP253">
            <v>886.41499999999996</v>
          </cell>
          <cell r="AQ253">
            <v>149.649</v>
          </cell>
          <cell r="AR253">
            <v>1389.5150000000001</v>
          </cell>
          <cell r="AS253">
            <v>808.78599999999994</v>
          </cell>
          <cell r="AT253">
            <v>215.02499999999998</v>
          </cell>
          <cell r="AU253">
            <v>42882.7</v>
          </cell>
          <cell r="AV253">
            <v>43906.510999999991</v>
          </cell>
          <cell r="AW253">
            <v>0</v>
          </cell>
          <cell r="AX253">
            <v>0</v>
          </cell>
          <cell r="AY253">
            <v>0</v>
          </cell>
          <cell r="AZ253">
            <v>0</v>
          </cell>
          <cell r="BA253">
            <v>0</v>
          </cell>
          <cell r="BB253">
            <v>0</v>
          </cell>
          <cell r="BC253">
            <v>0</v>
          </cell>
          <cell r="BD253">
            <v>0</v>
          </cell>
          <cell r="BE253">
            <v>0</v>
          </cell>
        </row>
        <row r="254">
          <cell r="H254">
            <v>0</v>
          </cell>
          <cell r="I254">
            <v>0</v>
          </cell>
          <cell r="J254">
            <v>0</v>
          </cell>
          <cell r="K254">
            <v>0</v>
          </cell>
          <cell r="L254">
            <v>0</v>
          </cell>
          <cell r="M254">
            <v>0</v>
          </cell>
          <cell r="N254">
            <v>0</v>
          </cell>
          <cell r="O254">
            <v>0</v>
          </cell>
          <cell r="P254">
            <v>0</v>
          </cell>
          <cell r="Q254">
            <v>0</v>
          </cell>
          <cell r="R254">
            <v>0</v>
          </cell>
          <cell r="S254">
            <v>0</v>
          </cell>
          <cell r="T254">
            <v>0</v>
          </cell>
          <cell r="U254">
            <v>25.537000000000006</v>
          </cell>
          <cell r="V254">
            <v>311.23200000000003</v>
          </cell>
          <cell r="W254">
            <v>276.92808390943935</v>
          </cell>
          <cell r="X254">
            <v>284.06199999999995</v>
          </cell>
          <cell r="Y254">
            <v>802.86199999999997</v>
          </cell>
          <cell r="Z254">
            <v>18808.510000000002</v>
          </cell>
          <cell r="AA254">
            <v>12761.905000000001</v>
          </cell>
          <cell r="AB254">
            <v>35708.300999999992</v>
          </cell>
          <cell r="AC254">
            <v>3444.7849999999999</v>
          </cell>
          <cell r="AD254">
            <v>0</v>
          </cell>
          <cell r="AE254">
            <v>1376.2660000000003</v>
          </cell>
          <cell r="AF254">
            <v>1893.0840000000003</v>
          </cell>
          <cell r="AG254">
            <v>500.03700000000003</v>
          </cell>
          <cell r="AH254">
            <v>102.44600000000003</v>
          </cell>
          <cell r="AI254">
            <v>-5.6970000000000027</v>
          </cell>
          <cell r="AJ254">
            <v>1011.6460000000002</v>
          </cell>
          <cell r="AK254">
            <v>2269.0000000000005</v>
          </cell>
          <cell r="AL254">
            <v>32785.300000000003</v>
          </cell>
          <cell r="AM254">
            <v>613.04200000000003</v>
          </cell>
          <cell r="AN254">
            <v>289.42000000000007</v>
          </cell>
          <cell r="AO254">
            <v>0</v>
          </cell>
          <cell r="AP254">
            <v>570.35599999999999</v>
          </cell>
          <cell r="AQ254">
            <v>110.994</v>
          </cell>
          <cell r="AR254">
            <v>908.57637769999997</v>
          </cell>
          <cell r="AS254">
            <v>500.03699999999992</v>
          </cell>
          <cell r="AT254">
            <v>149.91200000000003</v>
          </cell>
          <cell r="AU254">
            <v>38923.799999999996</v>
          </cell>
          <cell r="AV254">
            <v>39573.748999999989</v>
          </cell>
          <cell r="AW254">
            <v>0</v>
          </cell>
          <cell r="AX254">
            <v>0</v>
          </cell>
          <cell r="AY254">
            <v>0</v>
          </cell>
          <cell r="AZ254">
            <v>0</v>
          </cell>
          <cell r="BA254">
            <v>0</v>
          </cell>
          <cell r="BB254">
            <v>0</v>
          </cell>
          <cell r="BC254">
            <v>0</v>
          </cell>
          <cell r="BD254">
            <v>0</v>
          </cell>
          <cell r="BE254">
            <v>0</v>
          </cell>
        </row>
        <row r="255">
          <cell r="H255">
            <v>0</v>
          </cell>
          <cell r="I255">
            <v>0</v>
          </cell>
          <cell r="J255">
            <v>0</v>
          </cell>
          <cell r="K255">
            <v>0</v>
          </cell>
          <cell r="L255">
            <v>0</v>
          </cell>
          <cell r="M255">
            <v>0</v>
          </cell>
          <cell r="N255">
            <v>0</v>
          </cell>
          <cell r="O255">
            <v>0</v>
          </cell>
          <cell r="P255">
            <v>0</v>
          </cell>
          <cell r="Q255">
            <v>0</v>
          </cell>
          <cell r="R255">
            <v>0</v>
          </cell>
          <cell r="S255">
            <v>0</v>
          </cell>
          <cell r="T255">
            <v>0</v>
          </cell>
          <cell r="U255">
            <v>54.13900000000001</v>
          </cell>
          <cell r="V255">
            <v>547.97599999999989</v>
          </cell>
          <cell r="W255">
            <v>340.85591609056075</v>
          </cell>
          <cell r="X255">
            <v>353.0209999999999</v>
          </cell>
          <cell r="Y255">
            <v>100.36900000000003</v>
          </cell>
          <cell r="Z255">
            <v>1269.1709999999985</v>
          </cell>
          <cell r="AA255">
            <v>572.15900000000329</v>
          </cell>
          <cell r="AB255">
            <v>1944.3830000000016</v>
          </cell>
          <cell r="AC255">
            <v>412.38400000000001</v>
          </cell>
          <cell r="AD255">
            <v>0</v>
          </cell>
          <cell r="AE255">
            <v>401.89599999999996</v>
          </cell>
          <cell r="AF255">
            <v>718.35699999999952</v>
          </cell>
          <cell r="AG255">
            <v>308.74900000000002</v>
          </cell>
          <cell r="AH255">
            <v>25.158000000000015</v>
          </cell>
          <cell r="AI255">
            <v>-0.57824999999991178</v>
          </cell>
          <cell r="AJ255">
            <v>302.60474999999997</v>
          </cell>
          <cell r="AK255">
            <v>800.599999999999</v>
          </cell>
          <cell r="AL255">
            <v>2703.8999999999942</v>
          </cell>
          <cell r="AM255">
            <v>566.40499999999986</v>
          </cell>
          <cell r="AN255">
            <v>39.088999999999942</v>
          </cell>
          <cell r="AO255">
            <v>0</v>
          </cell>
          <cell r="AP255">
            <v>316.05899999999997</v>
          </cell>
          <cell r="AQ255">
            <v>38.655000000000001</v>
          </cell>
          <cell r="AR255">
            <v>480.93862230000013</v>
          </cell>
          <cell r="AS255">
            <v>308.74900000000002</v>
          </cell>
          <cell r="AT255">
            <v>65.112999999999943</v>
          </cell>
          <cell r="AU255">
            <v>3958.9000000000015</v>
          </cell>
          <cell r="AV255">
            <v>4332.7620000000024</v>
          </cell>
          <cell r="AW255">
            <v>0</v>
          </cell>
          <cell r="AX255">
            <v>0</v>
          </cell>
          <cell r="AY255">
            <v>0</v>
          </cell>
          <cell r="AZ255">
            <v>0</v>
          </cell>
          <cell r="BA255">
            <v>0</v>
          </cell>
          <cell r="BB255">
            <v>0</v>
          </cell>
          <cell r="BC255">
            <v>0</v>
          </cell>
          <cell r="BD255">
            <v>0</v>
          </cell>
          <cell r="BE255">
            <v>0</v>
          </cell>
        </row>
        <row r="256">
          <cell r="H256">
            <v>0</v>
          </cell>
          <cell r="I256">
            <v>0</v>
          </cell>
          <cell r="J256">
            <v>0</v>
          </cell>
          <cell r="K256">
            <v>0</v>
          </cell>
          <cell r="L256">
            <v>0</v>
          </cell>
          <cell r="M256">
            <v>0</v>
          </cell>
          <cell r="N256">
            <v>0</v>
          </cell>
          <cell r="O256">
            <v>0</v>
          </cell>
          <cell r="P256">
            <v>0</v>
          </cell>
          <cell r="Q256">
            <v>0</v>
          </cell>
          <cell r="R256">
            <v>0</v>
          </cell>
          <cell r="S256">
            <v>0</v>
          </cell>
          <cell r="T256">
            <v>0</v>
          </cell>
          <cell r="U256">
            <v>6.4099999999999993</v>
          </cell>
          <cell r="V256">
            <v>30.077000000000002</v>
          </cell>
          <cell r="W256">
            <v>21.85275</v>
          </cell>
          <cell r="X256">
            <v>32.555</v>
          </cell>
          <cell r="Y256">
            <v>3.6420000000000003</v>
          </cell>
          <cell r="Z256">
            <v>82.698000000000008</v>
          </cell>
          <cell r="AA256">
            <v>17.420000000000002</v>
          </cell>
          <cell r="AB256">
            <v>63.783999999999999</v>
          </cell>
          <cell r="AC256">
            <v>22.178000000000004</v>
          </cell>
          <cell r="AD256">
            <v>0</v>
          </cell>
          <cell r="AE256">
            <v>21.582000000000001</v>
          </cell>
          <cell r="AF256">
            <v>26.502000000000006</v>
          </cell>
          <cell r="AG256">
            <v>41.96</v>
          </cell>
          <cell r="AH256">
            <v>0.38300000000000023</v>
          </cell>
          <cell r="AI256">
            <v>-1.6754999999999995</v>
          </cell>
          <cell r="AJ256">
            <v>14.964500000000001</v>
          </cell>
          <cell r="AK256">
            <v>80.599999999999994</v>
          </cell>
          <cell r="AL256">
            <v>221.8</v>
          </cell>
          <cell r="AM256">
            <v>71.373000000000005</v>
          </cell>
          <cell r="AN256">
            <v>4.0869999999999997</v>
          </cell>
          <cell r="AO256">
            <v>0</v>
          </cell>
          <cell r="AP256">
            <v>7.4390000000000001</v>
          </cell>
          <cell r="AQ256">
            <v>0.59960250000000004</v>
          </cell>
          <cell r="AR256">
            <v>10.989469999999999</v>
          </cell>
          <cell r="AS256">
            <v>41.960000000000008</v>
          </cell>
          <cell r="AT256">
            <v>6.09</v>
          </cell>
          <cell r="AU256">
            <v>286.90000000000003</v>
          </cell>
          <cell r="AV256">
            <v>334.95000000000005</v>
          </cell>
          <cell r="AW256">
            <v>0</v>
          </cell>
          <cell r="AX256">
            <v>0</v>
          </cell>
          <cell r="AY256">
            <v>0</v>
          </cell>
          <cell r="AZ256">
            <v>0</v>
          </cell>
          <cell r="BA256">
            <v>0</v>
          </cell>
          <cell r="BB256">
            <v>0</v>
          </cell>
          <cell r="BC256">
            <v>0</v>
          </cell>
          <cell r="BD256">
            <v>0</v>
          </cell>
          <cell r="BE256">
            <v>0</v>
          </cell>
        </row>
        <row r="257">
          <cell r="H257">
            <v>0</v>
          </cell>
          <cell r="I257">
            <v>0</v>
          </cell>
          <cell r="J257">
            <v>0</v>
          </cell>
          <cell r="K257">
            <v>0</v>
          </cell>
          <cell r="L257">
            <v>0</v>
          </cell>
          <cell r="M257">
            <v>0</v>
          </cell>
          <cell r="N257">
            <v>0</v>
          </cell>
          <cell r="O257">
            <v>0</v>
          </cell>
          <cell r="P257">
            <v>0</v>
          </cell>
          <cell r="Q257">
            <v>0</v>
          </cell>
          <cell r="R257">
            <v>0</v>
          </cell>
          <cell r="S257">
            <v>0</v>
          </cell>
          <cell r="T257">
            <v>0</v>
          </cell>
          <cell r="U257">
            <v>37.513999999999996</v>
          </cell>
          <cell r="V257">
            <v>269.70600000000002</v>
          </cell>
          <cell r="W257">
            <v>185.05795940499982</v>
          </cell>
          <cell r="X257">
            <v>187.04499999999996</v>
          </cell>
          <cell r="Y257">
            <v>54.028999999999996</v>
          </cell>
          <cell r="Z257">
            <v>862.37400000000002</v>
          </cell>
          <cell r="AA257">
            <v>320.27100000000002</v>
          </cell>
          <cell r="AB257">
            <v>1202.3329999999999</v>
          </cell>
          <cell r="AC257">
            <v>299.83000000000004</v>
          </cell>
          <cell r="AD257">
            <v>0</v>
          </cell>
          <cell r="AE257">
            <v>349.79500000000002</v>
          </cell>
          <cell r="AF257">
            <v>557.52</v>
          </cell>
          <cell r="AG257">
            <v>192.541</v>
          </cell>
          <cell r="AH257">
            <v>9.2929999999999993</v>
          </cell>
          <cell r="AI257">
            <v>-10.338000000000008</v>
          </cell>
          <cell r="AJ257">
            <v>171.55600000000001</v>
          </cell>
          <cell r="AK257">
            <v>45.200000000000045</v>
          </cell>
          <cell r="AL257">
            <v>2224.1999999999998</v>
          </cell>
          <cell r="AM257">
            <v>347.03</v>
          </cell>
          <cell r="AN257">
            <v>37.086999999999996</v>
          </cell>
          <cell r="AO257">
            <v>0</v>
          </cell>
          <cell r="AP257">
            <v>225.142</v>
          </cell>
          <cell r="AQ257">
            <v>28.146000000000001</v>
          </cell>
          <cell r="AR257">
            <v>340.13523347</v>
          </cell>
          <cell r="AS257">
            <v>192.541</v>
          </cell>
          <cell r="AT257">
            <v>52.514999999999993</v>
          </cell>
          <cell r="AU257">
            <v>2120.1</v>
          </cell>
          <cell r="AV257">
            <v>2365.1559999999999</v>
          </cell>
          <cell r="AW257">
            <v>0</v>
          </cell>
          <cell r="AX257">
            <v>0</v>
          </cell>
          <cell r="AY257">
            <v>0</v>
          </cell>
          <cell r="AZ257">
            <v>0</v>
          </cell>
          <cell r="BA257">
            <v>0</v>
          </cell>
          <cell r="BB257">
            <v>0</v>
          </cell>
          <cell r="BC257">
            <v>0</v>
          </cell>
          <cell r="BD257">
            <v>0</v>
          </cell>
          <cell r="BE257">
            <v>0</v>
          </cell>
        </row>
        <row r="258">
          <cell r="H258">
            <v>0</v>
          </cell>
          <cell r="I258">
            <v>0</v>
          </cell>
          <cell r="J258">
            <v>0</v>
          </cell>
          <cell r="K258">
            <v>0</v>
          </cell>
          <cell r="L258">
            <v>0</v>
          </cell>
          <cell r="M258">
            <v>0</v>
          </cell>
          <cell r="N258">
            <v>0</v>
          </cell>
          <cell r="O258">
            <v>0</v>
          </cell>
          <cell r="P258">
            <v>0</v>
          </cell>
          <cell r="Q258">
            <v>0</v>
          </cell>
          <cell r="R258">
            <v>0</v>
          </cell>
          <cell r="S258">
            <v>0</v>
          </cell>
          <cell r="T258">
            <v>0</v>
          </cell>
          <cell r="U258">
            <v>14.298999999999999</v>
          </cell>
          <cell r="V258">
            <v>46.601999999999997</v>
          </cell>
          <cell r="W258">
            <v>39.601536483077233</v>
          </cell>
          <cell r="X258">
            <v>42.506</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147.5</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row>
        <row r="259">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row>
        <row r="260">
          <cell r="H260">
            <v>0</v>
          </cell>
          <cell r="I260">
            <v>0</v>
          </cell>
          <cell r="J260">
            <v>0</v>
          </cell>
          <cell r="K260">
            <v>0</v>
          </cell>
          <cell r="L260">
            <v>0</v>
          </cell>
          <cell r="M260">
            <v>0</v>
          </cell>
          <cell r="N260">
            <v>0</v>
          </cell>
          <cell r="O260">
            <v>0</v>
          </cell>
          <cell r="P260">
            <v>0</v>
          </cell>
          <cell r="Q260">
            <v>0</v>
          </cell>
          <cell r="R260">
            <v>0</v>
          </cell>
          <cell r="S260">
            <v>0</v>
          </cell>
          <cell r="T260">
            <v>0</v>
          </cell>
          <cell r="U260">
            <v>0.85199999999999965</v>
          </cell>
          <cell r="V260">
            <v>231.66800000000001</v>
          </cell>
          <cell r="W260">
            <v>115.50596117427342</v>
          </cell>
          <cell r="X260">
            <v>123.47</v>
          </cell>
          <cell r="Y260">
            <v>47.505000000000003</v>
          </cell>
          <cell r="Z260">
            <v>330.14100000000002</v>
          </cell>
          <cell r="AA260">
            <v>235.22500000000002</v>
          </cell>
          <cell r="AB260">
            <v>680.96699999999998</v>
          </cell>
          <cell r="AC260">
            <v>91.710999999999999</v>
          </cell>
          <cell r="AD260">
            <v>0</v>
          </cell>
          <cell r="AE260">
            <v>16.884</v>
          </cell>
          <cell r="AF260">
            <v>160.83699999999999</v>
          </cell>
          <cell r="AG260">
            <v>74.248000000000005</v>
          </cell>
          <cell r="AH260">
            <v>16.385000000000002</v>
          </cell>
          <cell r="AI260">
            <v>2.3609999999999971</v>
          </cell>
          <cell r="AJ260">
            <v>74.930999999999997</v>
          </cell>
          <cell r="AK260">
            <v>227.2</v>
          </cell>
          <cell r="AL260">
            <v>719</v>
          </cell>
          <cell r="AM260">
            <v>219.375</v>
          </cell>
          <cell r="AN260">
            <v>-3.4660000000000002</v>
          </cell>
          <cell r="AO260">
            <v>0</v>
          </cell>
          <cell r="AP260">
            <v>90.917000000000002</v>
          </cell>
          <cell r="AQ260">
            <v>10.509</v>
          </cell>
          <cell r="AR260">
            <v>136.28527358999997</v>
          </cell>
          <cell r="AS260">
            <v>74.248000000000005</v>
          </cell>
          <cell r="AT260">
            <v>12.198999999999998</v>
          </cell>
          <cell r="AU260">
            <v>1839.5000000000002</v>
          </cell>
          <cell r="AV260">
            <v>1925.9470000000001</v>
          </cell>
          <cell r="AW260">
            <v>0</v>
          </cell>
          <cell r="AX260">
            <v>0</v>
          </cell>
          <cell r="AY260">
            <v>0</v>
          </cell>
          <cell r="AZ260">
            <v>0</v>
          </cell>
          <cell r="BA260">
            <v>0</v>
          </cell>
          <cell r="BB260">
            <v>0</v>
          </cell>
          <cell r="BC260">
            <v>0</v>
          </cell>
          <cell r="BD260">
            <v>0</v>
          </cell>
          <cell r="BE260">
            <v>0</v>
          </cell>
        </row>
        <row r="261">
          <cell r="H261">
            <v>0</v>
          </cell>
          <cell r="I261">
            <v>0</v>
          </cell>
          <cell r="J261">
            <v>0</v>
          </cell>
          <cell r="K261">
            <v>0</v>
          </cell>
          <cell r="L261">
            <v>0</v>
          </cell>
          <cell r="M261">
            <v>0</v>
          </cell>
          <cell r="N261">
            <v>0</v>
          </cell>
          <cell r="O261">
            <v>0</v>
          </cell>
          <cell r="P261">
            <v>0</v>
          </cell>
          <cell r="Q261">
            <v>0</v>
          </cell>
          <cell r="R261">
            <v>0</v>
          </cell>
          <cell r="S261">
            <v>0</v>
          </cell>
          <cell r="T261">
            <v>0</v>
          </cell>
          <cell r="U261">
            <v>-1.194</v>
          </cell>
          <cell r="V261">
            <v>-4.9649999999999999</v>
          </cell>
          <cell r="W261">
            <v>-8.4444166666666689</v>
          </cell>
          <cell r="X261">
            <v>22.434000000000001</v>
          </cell>
          <cell r="Y261">
            <v>-4.9660000000000002</v>
          </cell>
          <cell r="Z261">
            <v>180.11366666666669</v>
          </cell>
          <cell r="AA261">
            <v>31.352333333333338</v>
          </cell>
          <cell r="AB261">
            <v>184.8656666666667</v>
          </cell>
          <cell r="AC261">
            <v>16.027999999999999</v>
          </cell>
          <cell r="AD261">
            <v>0</v>
          </cell>
          <cell r="AE261">
            <v>13.810000000000002</v>
          </cell>
          <cell r="AF261">
            <v>5.5079999999999991</v>
          </cell>
          <cell r="AG261">
            <v>11.109</v>
          </cell>
          <cell r="AH261">
            <v>1.2879999999999998</v>
          </cell>
          <cell r="AI261">
            <v>-4.9989999999999997</v>
          </cell>
          <cell r="AJ261">
            <v>9.9390000000000001</v>
          </cell>
          <cell r="AK261">
            <v>95.699999999999989</v>
          </cell>
          <cell r="AL261">
            <v>108.4</v>
          </cell>
          <cell r="AM261">
            <v>16.542000000000002</v>
          </cell>
          <cell r="AN261">
            <v>-0.59099999999999986</v>
          </cell>
          <cell r="AO261">
            <v>0</v>
          </cell>
          <cell r="AP261">
            <v>7.0810000000000004</v>
          </cell>
          <cell r="AQ261">
            <v>0.13100000000000001</v>
          </cell>
          <cell r="AR261">
            <v>4.676000000000001</v>
          </cell>
          <cell r="AS261">
            <v>11.108999999999998</v>
          </cell>
          <cell r="AT261">
            <v>-0.41199999999999992</v>
          </cell>
          <cell r="AU261">
            <v>144.99999999999997</v>
          </cell>
          <cell r="AV261">
            <v>155.69699999999997</v>
          </cell>
          <cell r="AW261">
            <v>0</v>
          </cell>
          <cell r="AX261">
            <v>0</v>
          </cell>
          <cell r="AY261">
            <v>0</v>
          </cell>
          <cell r="AZ261">
            <v>0</v>
          </cell>
          <cell r="BA261">
            <v>0</v>
          </cell>
          <cell r="BB261">
            <v>0</v>
          </cell>
          <cell r="BC261">
            <v>0</v>
          </cell>
          <cell r="BD261">
            <v>0</v>
          </cell>
          <cell r="BE261">
            <v>0</v>
          </cell>
        </row>
        <row r="262">
          <cell r="H262">
            <v>0</v>
          </cell>
          <cell r="I262">
            <v>0</v>
          </cell>
          <cell r="J262">
            <v>0</v>
          </cell>
          <cell r="K262">
            <v>0</v>
          </cell>
          <cell r="L262">
            <v>0</v>
          </cell>
          <cell r="M262">
            <v>0</v>
          </cell>
          <cell r="N262">
            <v>0</v>
          </cell>
          <cell r="O262">
            <v>0</v>
          </cell>
          <cell r="P262">
            <v>0</v>
          </cell>
          <cell r="Q262">
            <v>0</v>
          </cell>
          <cell r="R262">
            <v>0</v>
          </cell>
          <cell r="S262">
            <v>0</v>
          </cell>
          <cell r="T262">
            <v>0</v>
          </cell>
          <cell r="U262">
            <v>2.0459999999999994</v>
          </cell>
          <cell r="V262">
            <v>236.63300000000001</v>
          </cell>
          <cell r="W262">
            <v>123.95037784094009</v>
          </cell>
          <cell r="X262">
            <v>101.036</v>
          </cell>
          <cell r="Y262">
            <v>52.471000000000004</v>
          </cell>
          <cell r="Z262">
            <v>150.02733333333333</v>
          </cell>
          <cell r="AA262">
            <v>203.87266666666667</v>
          </cell>
          <cell r="AB262">
            <v>496.10133333333329</v>
          </cell>
          <cell r="AC262">
            <v>75.682999999999993</v>
          </cell>
          <cell r="AD262">
            <v>0</v>
          </cell>
          <cell r="AE262">
            <v>3.0739999999999981</v>
          </cell>
          <cell r="AF262">
            <v>155.32899999999998</v>
          </cell>
          <cell r="AG262">
            <v>63.139000000000003</v>
          </cell>
          <cell r="AH262">
            <v>15.097000000000001</v>
          </cell>
          <cell r="AI262">
            <v>7.3599999999999968</v>
          </cell>
          <cell r="AJ262">
            <v>64.99199999999999</v>
          </cell>
          <cell r="AK262">
            <v>131.5</v>
          </cell>
          <cell r="AL262">
            <v>610.6</v>
          </cell>
          <cell r="AM262">
            <v>202.833</v>
          </cell>
          <cell r="AN262">
            <v>-2.8750000000000004</v>
          </cell>
          <cell r="AO262">
            <v>0</v>
          </cell>
          <cell r="AP262">
            <v>83.835999999999999</v>
          </cell>
          <cell r="AQ262">
            <v>10.378</v>
          </cell>
          <cell r="AR262">
            <v>131.60927358999999</v>
          </cell>
          <cell r="AS262">
            <v>63.13900000000001</v>
          </cell>
          <cell r="AT262">
            <v>12.610999999999997</v>
          </cell>
          <cell r="AU262">
            <v>1694.5000000000002</v>
          </cell>
          <cell r="AV262">
            <v>1770.2500000000002</v>
          </cell>
          <cell r="AW262">
            <v>0</v>
          </cell>
          <cell r="AX262">
            <v>0</v>
          </cell>
          <cell r="AY262">
            <v>0</v>
          </cell>
          <cell r="AZ262">
            <v>0</v>
          </cell>
          <cell r="BA262">
            <v>0</v>
          </cell>
          <cell r="BB262">
            <v>0</v>
          </cell>
          <cell r="BC262">
            <v>0</v>
          </cell>
          <cell r="BD262">
            <v>0</v>
          </cell>
          <cell r="BE262">
            <v>0</v>
          </cell>
        </row>
        <row r="263">
          <cell r="H263">
            <v>0</v>
          </cell>
          <cell r="I263">
            <v>0</v>
          </cell>
          <cell r="J263">
            <v>0</v>
          </cell>
          <cell r="K263">
            <v>0</v>
          </cell>
          <cell r="L263">
            <v>0</v>
          </cell>
          <cell r="M263">
            <v>0</v>
          </cell>
          <cell r="N263">
            <v>0</v>
          </cell>
          <cell r="O263">
            <v>0</v>
          </cell>
          <cell r="P263">
            <v>0</v>
          </cell>
          <cell r="Q263">
            <v>0</v>
          </cell>
          <cell r="R263">
            <v>0</v>
          </cell>
          <cell r="S263">
            <v>0</v>
          </cell>
          <cell r="T263">
            <v>0</v>
          </cell>
          <cell r="U263">
            <v>2.3960000000000043</v>
          </cell>
          <cell r="V263">
            <v>59.179000690656949</v>
          </cell>
          <cell r="W263">
            <v>45.644877840940083</v>
          </cell>
          <cell r="X263">
            <v>7.4586000000000041</v>
          </cell>
          <cell r="Y263">
            <v>19.724000000000004</v>
          </cell>
          <cell r="Z263">
            <v>69.727333333333334</v>
          </cell>
          <cell r="AA263">
            <v>105.53246666666668</v>
          </cell>
          <cell r="AB263">
            <v>193.81511033333328</v>
          </cell>
          <cell r="AC263">
            <v>39.791999999999987</v>
          </cell>
          <cell r="AD263">
            <v>0</v>
          </cell>
          <cell r="AE263">
            <v>-7.7188000000000052</v>
          </cell>
          <cell r="AF263">
            <v>55.385999999999967</v>
          </cell>
          <cell r="AG263">
            <v>25.486000000000004</v>
          </cell>
          <cell r="AH263">
            <v>6.1159999999999997</v>
          </cell>
          <cell r="AI263">
            <v>2.1077499999999967</v>
          </cell>
          <cell r="AJ263">
            <v>22.034549999999996</v>
          </cell>
          <cell r="AK263">
            <v>44.173599999999993</v>
          </cell>
          <cell r="AL263">
            <v>218.40000000000009</v>
          </cell>
          <cell r="AM263">
            <v>61.332999999999998</v>
          </cell>
          <cell r="AN263">
            <v>0.19599999999999973</v>
          </cell>
          <cell r="AO263">
            <v>0</v>
          </cell>
          <cell r="AP263">
            <v>16.977000000000004</v>
          </cell>
          <cell r="AQ263">
            <v>2.6972500000000004</v>
          </cell>
          <cell r="AR263">
            <v>51.982273589999991</v>
          </cell>
          <cell r="AS263">
            <v>25.486000000000011</v>
          </cell>
          <cell r="AT263">
            <v>5.3265999999999964</v>
          </cell>
          <cell r="AU263">
            <v>398</v>
          </cell>
          <cell r="AV263">
            <v>428.81260000000043</v>
          </cell>
          <cell r="AW263">
            <v>0</v>
          </cell>
          <cell r="AX263">
            <v>0</v>
          </cell>
          <cell r="AY263">
            <v>0</v>
          </cell>
          <cell r="AZ263">
            <v>0</v>
          </cell>
          <cell r="BA263">
            <v>0</v>
          </cell>
          <cell r="BB263">
            <v>0</v>
          </cell>
          <cell r="BC263">
            <v>0</v>
          </cell>
          <cell r="BD263">
            <v>0</v>
          </cell>
          <cell r="BE263">
            <v>0</v>
          </cell>
        </row>
        <row r="264">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0.91999999999999993</v>
          </cell>
          <cell r="X264">
            <v>0</v>
          </cell>
          <cell r="Y264">
            <v>0</v>
          </cell>
          <cell r="Z264">
            <v>0</v>
          </cell>
          <cell r="AA264">
            <v>0</v>
          </cell>
          <cell r="AB264">
            <v>0</v>
          </cell>
          <cell r="AC264">
            <v>0</v>
          </cell>
          <cell r="AD264">
            <v>0</v>
          </cell>
          <cell r="AE264">
            <v>0</v>
          </cell>
          <cell r="AF264">
            <v>1.4999999999999996</v>
          </cell>
          <cell r="AG264">
            <v>0</v>
          </cell>
          <cell r="AH264">
            <v>0.29400000000000004</v>
          </cell>
          <cell r="AI264">
            <v>0</v>
          </cell>
          <cell r="AJ264">
            <v>0.70919999999999994</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row>
        <row r="265">
          <cell r="H265">
            <v>0</v>
          </cell>
          <cell r="I265">
            <v>0</v>
          </cell>
          <cell r="J265">
            <v>0</v>
          </cell>
          <cell r="K265">
            <v>0</v>
          </cell>
          <cell r="L265">
            <v>0</v>
          </cell>
          <cell r="M265">
            <v>0</v>
          </cell>
          <cell r="N265">
            <v>0</v>
          </cell>
          <cell r="O265">
            <v>0</v>
          </cell>
          <cell r="P265">
            <v>0</v>
          </cell>
          <cell r="Q265">
            <v>0</v>
          </cell>
          <cell r="R265">
            <v>0</v>
          </cell>
          <cell r="S265">
            <v>0</v>
          </cell>
          <cell r="T265">
            <v>0</v>
          </cell>
          <cell r="U265">
            <v>-0.35000000000000497</v>
          </cell>
          <cell r="V265">
            <v>177.45399930934306</v>
          </cell>
          <cell r="W265">
            <v>77.385500000000008</v>
          </cell>
          <cell r="X265">
            <v>93.577399999999997</v>
          </cell>
          <cell r="Y265">
            <v>32.747</v>
          </cell>
          <cell r="Z265">
            <v>80.3</v>
          </cell>
          <cell r="AA265">
            <v>98.340199999999996</v>
          </cell>
          <cell r="AB265">
            <v>302.28622300000001</v>
          </cell>
          <cell r="AC265">
            <v>35.891000000000005</v>
          </cell>
          <cell r="AD265">
            <v>0</v>
          </cell>
          <cell r="AE265">
            <v>10.792800000000003</v>
          </cell>
          <cell r="AF265">
            <v>98.443000000000012</v>
          </cell>
          <cell r="AG265">
            <v>37.652999999999999</v>
          </cell>
          <cell r="AH265">
            <v>8.6870000000000012</v>
          </cell>
          <cell r="AI265">
            <v>5.2522500000000001</v>
          </cell>
          <cell r="AJ265">
            <v>42.248249999999999</v>
          </cell>
          <cell r="AK265">
            <v>87.326400000000007</v>
          </cell>
          <cell r="AL265">
            <v>392.19999999999993</v>
          </cell>
          <cell r="AM265">
            <v>141.5</v>
          </cell>
          <cell r="AN265">
            <v>-3.0710000000000002</v>
          </cell>
          <cell r="AO265">
            <v>0</v>
          </cell>
          <cell r="AP265">
            <v>66.858999999999995</v>
          </cell>
          <cell r="AQ265">
            <v>7.6807499999999997</v>
          </cell>
          <cell r="AR265">
            <v>79.626999999999995</v>
          </cell>
          <cell r="AS265">
            <v>37.652999999999999</v>
          </cell>
          <cell r="AT265">
            <v>7.2844000000000007</v>
          </cell>
          <cell r="AU265">
            <v>1296.5000000000002</v>
          </cell>
          <cell r="AV265">
            <v>1341.4373999999998</v>
          </cell>
          <cell r="AW265">
            <v>0</v>
          </cell>
          <cell r="AX265">
            <v>0</v>
          </cell>
          <cell r="AY265">
            <v>0</v>
          </cell>
          <cell r="AZ265">
            <v>0</v>
          </cell>
          <cell r="BA265">
            <v>0</v>
          </cell>
          <cell r="BB265">
            <v>0</v>
          </cell>
          <cell r="BC265">
            <v>0</v>
          </cell>
          <cell r="BD265">
            <v>0</v>
          </cell>
          <cell r="BE265">
            <v>0</v>
          </cell>
        </row>
        <row r="267">
          <cell r="H267">
            <v>0</v>
          </cell>
          <cell r="I267">
            <v>0</v>
          </cell>
          <cell r="J267">
            <v>0</v>
          </cell>
          <cell r="K267">
            <v>0</v>
          </cell>
          <cell r="L267">
            <v>0</v>
          </cell>
          <cell r="M267">
            <v>0</v>
          </cell>
          <cell r="N267">
            <v>0</v>
          </cell>
          <cell r="O267">
            <v>0</v>
          </cell>
          <cell r="P267">
            <v>0</v>
          </cell>
          <cell r="Q267">
            <v>0</v>
          </cell>
          <cell r="R267">
            <v>0</v>
          </cell>
          <cell r="S267">
            <v>0</v>
          </cell>
          <cell r="T267">
            <v>0</v>
          </cell>
          <cell r="U267">
            <v>-1.0738369384776236E-2</v>
          </cell>
          <cell r="V267">
            <v>1.2918271786108628</v>
          </cell>
          <cell r="W267">
            <v>1.4382852576016651</v>
          </cell>
          <cell r="X267">
            <v>1.9698248222138839</v>
          </cell>
          <cell r="Y267">
            <v>0.73489259614062385</v>
          </cell>
          <cell r="Z267">
            <v>0.78890634591155917</v>
          </cell>
          <cell r="AA267">
            <v>0.96614206523302504</v>
          </cell>
          <cell r="AB267">
            <v>2.7590532988261209</v>
          </cell>
          <cell r="AC267">
            <v>0.88306847763702201</v>
          </cell>
          <cell r="AD267">
            <v>0</v>
          </cell>
          <cell r="AE267">
            <v>0.15014268415334342</v>
          </cell>
          <cell r="AF267">
            <v>2.2519427189284369</v>
          </cell>
          <cell r="AG267">
            <v>1.3986369509577365</v>
          </cell>
          <cell r="AH267">
            <v>0</v>
          </cell>
          <cell r="AI267">
            <v>0</v>
          </cell>
          <cell r="AJ267">
            <v>1.3152104924182035</v>
          </cell>
          <cell r="AK267">
            <v>1.5264215060317308</v>
          </cell>
          <cell r="AL267">
            <v>1.3166014235410044</v>
          </cell>
          <cell r="AM267">
            <v>2.0301291248206601</v>
          </cell>
          <cell r="AN267">
            <v>-0.25523021464853357</v>
          </cell>
          <cell r="AO267">
            <v>0</v>
          </cell>
          <cell r="AP267">
            <v>0.99007523122629781</v>
          </cell>
          <cell r="AQ267">
            <v>0</v>
          </cell>
          <cell r="AR267">
            <v>1.1690426203514748</v>
          </cell>
          <cell r="AS267">
            <v>0</v>
          </cell>
          <cell r="AT267">
            <v>0</v>
          </cell>
          <cell r="AU267">
            <v>2.8243924611910254</v>
          </cell>
          <cell r="AV267">
            <v>2.8252395491836886</v>
          </cell>
          <cell r="AW267">
            <v>0</v>
          </cell>
          <cell r="AX267">
            <v>0</v>
          </cell>
          <cell r="AY267">
            <v>0</v>
          </cell>
          <cell r="AZ267">
            <v>0</v>
          </cell>
          <cell r="BA267">
            <v>0</v>
          </cell>
          <cell r="BB267">
            <v>0</v>
          </cell>
          <cell r="BC267">
            <v>0</v>
          </cell>
          <cell r="BD267">
            <v>0</v>
          </cell>
          <cell r="BE267">
            <v>0</v>
          </cell>
        </row>
        <row r="269">
          <cell r="H269">
            <v>0</v>
          </cell>
          <cell r="I269">
            <v>0</v>
          </cell>
          <cell r="J269">
            <v>0</v>
          </cell>
          <cell r="K269">
            <v>0</v>
          </cell>
          <cell r="L269">
            <v>0</v>
          </cell>
          <cell r="M269">
            <v>0</v>
          </cell>
          <cell r="N269">
            <v>0</v>
          </cell>
          <cell r="O269">
            <v>0</v>
          </cell>
          <cell r="P269">
            <v>0</v>
          </cell>
          <cell r="Q269">
            <v>0</v>
          </cell>
          <cell r="R269">
            <v>0</v>
          </cell>
          <cell r="S269">
            <v>0</v>
          </cell>
          <cell r="T269">
            <v>0</v>
          </cell>
          <cell r="U269">
            <v>6.4099999999999993</v>
          </cell>
          <cell r="V269">
            <v>30.077000000000002</v>
          </cell>
          <cell r="W269">
            <v>21.85275</v>
          </cell>
          <cell r="X269">
            <v>32.555</v>
          </cell>
          <cell r="Y269">
            <v>3.6420000000000003</v>
          </cell>
          <cell r="Z269">
            <v>82.698000000000008</v>
          </cell>
          <cell r="AA269">
            <v>17.420000000000002</v>
          </cell>
          <cell r="AB269">
            <v>63.783999999999999</v>
          </cell>
          <cell r="AC269">
            <v>22.178000000000004</v>
          </cell>
          <cell r="AD269">
            <v>0</v>
          </cell>
          <cell r="AE269">
            <v>21.582000000000001</v>
          </cell>
          <cell r="AF269">
            <v>26.502000000000006</v>
          </cell>
          <cell r="AG269">
            <v>41.96</v>
          </cell>
          <cell r="AH269">
            <v>0.38300000000000023</v>
          </cell>
          <cell r="AI269">
            <v>-1.6754999999999995</v>
          </cell>
          <cell r="AJ269">
            <v>14.964500000000001</v>
          </cell>
          <cell r="AK269">
            <v>80.599999999999994</v>
          </cell>
          <cell r="AL269">
            <v>221.8</v>
          </cell>
          <cell r="AM269">
            <v>71.373000000000005</v>
          </cell>
          <cell r="AN269">
            <v>4.0869999999999997</v>
          </cell>
          <cell r="AO269">
            <v>0</v>
          </cell>
          <cell r="AP269">
            <v>7.4390000000000001</v>
          </cell>
          <cell r="AQ269">
            <v>0.59960250000000004</v>
          </cell>
          <cell r="AR269">
            <v>10.989469999999999</v>
          </cell>
          <cell r="AS269">
            <v>41.960000000000008</v>
          </cell>
          <cell r="AT269">
            <v>6.09</v>
          </cell>
          <cell r="AU269">
            <v>286.90000000000003</v>
          </cell>
          <cell r="AV269">
            <v>334.95000000000005</v>
          </cell>
          <cell r="AW269">
            <v>0</v>
          </cell>
          <cell r="AX269">
            <v>0</v>
          </cell>
          <cell r="AY269">
            <v>0</v>
          </cell>
          <cell r="AZ269">
            <v>0</v>
          </cell>
          <cell r="BA269">
            <v>0</v>
          </cell>
          <cell r="BB269">
            <v>0</v>
          </cell>
          <cell r="BC269">
            <v>0</v>
          </cell>
          <cell r="BD269">
            <v>0</v>
          </cell>
          <cell r="BE269">
            <v>0</v>
          </cell>
        </row>
        <row r="270">
          <cell r="H270">
            <v>0</v>
          </cell>
          <cell r="I270">
            <v>0</v>
          </cell>
          <cell r="J270">
            <v>0</v>
          </cell>
          <cell r="K270">
            <v>0</v>
          </cell>
          <cell r="L270">
            <v>0</v>
          </cell>
          <cell r="M270">
            <v>0</v>
          </cell>
          <cell r="N270">
            <v>0</v>
          </cell>
          <cell r="O270">
            <v>0</v>
          </cell>
          <cell r="P270">
            <v>0</v>
          </cell>
          <cell r="Q270">
            <v>0</v>
          </cell>
          <cell r="R270">
            <v>0</v>
          </cell>
          <cell r="S270">
            <v>0</v>
          </cell>
          <cell r="T270">
            <v>0</v>
          </cell>
          <cell r="U270">
            <v>7.2619999999999987</v>
          </cell>
          <cell r="V270">
            <v>261.745</v>
          </cell>
          <cell r="W270">
            <v>137.35871117427342</v>
          </cell>
          <cell r="X270">
            <v>156.02500000000001</v>
          </cell>
          <cell r="Y270">
            <v>51.147000000000006</v>
          </cell>
          <cell r="Z270">
            <v>412.83900000000006</v>
          </cell>
          <cell r="AA270">
            <v>252.64500000000004</v>
          </cell>
          <cell r="AB270">
            <v>744.75099999999998</v>
          </cell>
          <cell r="AC270">
            <v>113.88900000000001</v>
          </cell>
          <cell r="AD270">
            <v>0</v>
          </cell>
          <cell r="AE270">
            <v>38.466000000000001</v>
          </cell>
          <cell r="AF270">
            <v>187.339</v>
          </cell>
          <cell r="AG270">
            <v>116.208</v>
          </cell>
          <cell r="AH270">
            <v>16.768000000000001</v>
          </cell>
          <cell r="AI270">
            <v>0.68549999999999756</v>
          </cell>
          <cell r="AJ270">
            <v>89.895499999999998</v>
          </cell>
          <cell r="AK270">
            <v>307.79999999999995</v>
          </cell>
          <cell r="AL270">
            <v>940.8</v>
          </cell>
          <cell r="AM270">
            <v>290.74799999999999</v>
          </cell>
          <cell r="AN270">
            <v>0.62099999999999955</v>
          </cell>
          <cell r="AO270">
            <v>0</v>
          </cell>
          <cell r="AP270">
            <v>98.355999999999995</v>
          </cell>
          <cell r="AQ270">
            <v>11.1086025</v>
          </cell>
          <cell r="AR270">
            <v>147.27474358999999</v>
          </cell>
          <cell r="AS270">
            <v>116.20800000000001</v>
          </cell>
          <cell r="AT270">
            <v>18.288999999999998</v>
          </cell>
          <cell r="AU270">
            <v>2126.4</v>
          </cell>
          <cell r="AV270">
            <v>2260.8969999999999</v>
          </cell>
          <cell r="AW270">
            <v>0</v>
          </cell>
          <cell r="AX270">
            <v>0</v>
          </cell>
          <cell r="AY270">
            <v>0</v>
          </cell>
          <cell r="AZ270">
            <v>0</v>
          </cell>
          <cell r="BA270">
            <v>0</v>
          </cell>
          <cell r="BB270">
            <v>0</v>
          </cell>
          <cell r="BC270">
            <v>0</v>
          </cell>
          <cell r="BD270">
            <v>0</v>
          </cell>
          <cell r="BE270">
            <v>0</v>
          </cell>
        </row>
        <row r="271">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row>
        <row r="272">
          <cell r="H272">
            <v>0</v>
          </cell>
          <cell r="I272">
            <v>0</v>
          </cell>
          <cell r="J272">
            <v>0</v>
          </cell>
          <cell r="K272">
            <v>0</v>
          </cell>
          <cell r="L272">
            <v>0</v>
          </cell>
          <cell r="M272">
            <v>0</v>
          </cell>
          <cell r="N272">
            <v>0</v>
          </cell>
          <cell r="O272">
            <v>0</v>
          </cell>
          <cell r="P272">
            <v>0</v>
          </cell>
          <cell r="Q272">
            <v>0</v>
          </cell>
          <cell r="R272">
            <v>0</v>
          </cell>
          <cell r="S272">
            <v>0</v>
          </cell>
          <cell r="T272">
            <v>0</v>
          </cell>
          <cell r="U272">
            <v>22.530999999999999</v>
          </cell>
          <cell r="V272">
            <v>37.673000000000002</v>
          </cell>
          <cell r="W272">
            <v>33.877749999999999</v>
          </cell>
          <cell r="X272">
            <v>72.569000000000017</v>
          </cell>
          <cell r="Y272">
            <v>9.1739999999999995</v>
          </cell>
          <cell r="Z272">
            <v>69.308999999999997</v>
          </cell>
          <cell r="AA272">
            <v>16.619</v>
          </cell>
          <cell r="AB272">
            <v>50.020999999999994</v>
          </cell>
          <cell r="AC272">
            <v>6.4660000000000011</v>
          </cell>
          <cell r="AD272">
            <v>0</v>
          </cell>
          <cell r="AE272">
            <v>22.908999999999999</v>
          </cell>
          <cell r="AF272">
            <v>57.56</v>
          </cell>
          <cell r="AG272">
            <v>63.667999999999999</v>
          </cell>
          <cell r="AH272">
            <v>5.6820000000000004</v>
          </cell>
          <cell r="AI272">
            <v>3.9488333333333325</v>
          </cell>
          <cell r="AJ272">
            <v>9.6308333333333334</v>
          </cell>
          <cell r="AK272">
            <v>42</v>
          </cell>
          <cell r="AL272">
            <v>137.69999999999999</v>
          </cell>
          <cell r="AM272">
            <v>109.76300000000001</v>
          </cell>
          <cell r="AN272">
            <v>2.7440000000000002</v>
          </cell>
          <cell r="AO272">
            <v>0</v>
          </cell>
          <cell r="AP272">
            <v>12.975</v>
          </cell>
          <cell r="AQ272">
            <v>0.36630825</v>
          </cell>
          <cell r="AR272">
            <v>15.861410999999999</v>
          </cell>
          <cell r="AS272">
            <v>63.667999999999992</v>
          </cell>
          <cell r="AT272">
            <v>4.18</v>
          </cell>
          <cell r="AU272">
            <v>292.49999999999994</v>
          </cell>
          <cell r="AV272">
            <v>360.34800000000001</v>
          </cell>
          <cell r="AW272">
            <v>0</v>
          </cell>
          <cell r="AX272">
            <v>0</v>
          </cell>
          <cell r="AY272">
            <v>0</v>
          </cell>
          <cell r="AZ272">
            <v>0</v>
          </cell>
          <cell r="BA272">
            <v>0</v>
          </cell>
          <cell r="BB272">
            <v>0</v>
          </cell>
          <cell r="BC272">
            <v>0</v>
          </cell>
          <cell r="BD272">
            <v>0</v>
          </cell>
          <cell r="BE272">
            <v>0</v>
          </cell>
        </row>
        <row r="274">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6.2229999999999999</v>
          </cell>
          <cell r="W274">
            <v>19.74966666666667</v>
          </cell>
          <cell r="X274">
            <v>3.105</v>
          </cell>
          <cell r="Y274">
            <v>4.9660000000000002</v>
          </cell>
          <cell r="Z274">
            <v>0</v>
          </cell>
          <cell r="AA274">
            <v>0</v>
          </cell>
          <cell r="AB274">
            <v>0</v>
          </cell>
          <cell r="AC274">
            <v>0</v>
          </cell>
          <cell r="AD274">
            <v>0</v>
          </cell>
          <cell r="AE274">
            <v>1.224</v>
          </cell>
          <cell r="AF274">
            <v>11.276</v>
          </cell>
          <cell r="AG274">
            <v>2.2650000000000001</v>
          </cell>
          <cell r="AH274">
            <v>-1.2879999999999998</v>
          </cell>
          <cell r="AI274">
            <v>0</v>
          </cell>
          <cell r="AJ274">
            <v>-1.2879999999999998</v>
          </cell>
          <cell r="AK274">
            <v>0</v>
          </cell>
          <cell r="AL274">
            <v>0</v>
          </cell>
          <cell r="AM274">
            <v>0</v>
          </cell>
          <cell r="AN274">
            <v>0.62999999999999989</v>
          </cell>
          <cell r="AO274">
            <v>0</v>
          </cell>
          <cell r="AP274">
            <v>0</v>
          </cell>
          <cell r="AQ274">
            <v>0</v>
          </cell>
          <cell r="AR274">
            <v>0</v>
          </cell>
          <cell r="AS274">
            <v>2.2650000000000006</v>
          </cell>
          <cell r="AT274">
            <v>0.41199999999999992</v>
          </cell>
          <cell r="AU274">
            <v>0</v>
          </cell>
          <cell r="AV274">
            <v>2.6769999999999992</v>
          </cell>
          <cell r="AW274">
            <v>0</v>
          </cell>
          <cell r="AX274">
            <v>0</v>
          </cell>
          <cell r="AY274">
            <v>0</v>
          </cell>
          <cell r="AZ274">
            <v>0</v>
          </cell>
          <cell r="BA274">
            <v>0</v>
          </cell>
          <cell r="BB274">
            <v>0</v>
          </cell>
          <cell r="BC274">
            <v>0</v>
          </cell>
          <cell r="BD274">
            <v>0</v>
          </cell>
          <cell r="BE274">
            <v>0</v>
          </cell>
        </row>
        <row r="275">
          <cell r="H275">
            <v>0</v>
          </cell>
          <cell r="I275">
            <v>0</v>
          </cell>
          <cell r="J275">
            <v>0</v>
          </cell>
          <cell r="K275">
            <v>0</v>
          </cell>
          <cell r="L275">
            <v>0</v>
          </cell>
          <cell r="M275">
            <v>0</v>
          </cell>
          <cell r="N275">
            <v>0</v>
          </cell>
          <cell r="O275">
            <v>0</v>
          </cell>
          <cell r="P275">
            <v>0</v>
          </cell>
          <cell r="Q275">
            <v>0</v>
          </cell>
          <cell r="R275">
            <v>0</v>
          </cell>
          <cell r="S275">
            <v>0</v>
          </cell>
          <cell r="T275">
            <v>0</v>
          </cell>
          <cell r="U275">
            <v>-1.194</v>
          </cell>
          <cell r="V275">
            <v>1.258</v>
          </cell>
          <cell r="W275">
            <v>11.305250000000001</v>
          </cell>
          <cell r="X275">
            <v>25.539000000000001</v>
          </cell>
          <cell r="Y275">
            <v>0</v>
          </cell>
          <cell r="Z275">
            <v>180.11366666666669</v>
          </cell>
          <cell r="AA275">
            <v>31.352333333333338</v>
          </cell>
          <cell r="AB275">
            <v>184.8656666666667</v>
          </cell>
          <cell r="AC275">
            <v>16.027999999999999</v>
          </cell>
          <cell r="AD275">
            <v>0</v>
          </cell>
          <cell r="AE275">
            <v>15.034000000000002</v>
          </cell>
          <cell r="AF275">
            <v>16.783999999999999</v>
          </cell>
          <cell r="AG275">
            <v>13.374000000000001</v>
          </cell>
          <cell r="AH275">
            <v>0</v>
          </cell>
          <cell r="AI275">
            <v>-4.9989999999999997</v>
          </cell>
          <cell r="AJ275">
            <v>8.6509999999999998</v>
          </cell>
          <cell r="AK275">
            <v>95.699999999999989</v>
          </cell>
          <cell r="AL275">
            <v>108.4</v>
          </cell>
          <cell r="AM275">
            <v>16.542000000000002</v>
          </cell>
          <cell r="AN275">
            <v>3.8999999999999993E-2</v>
          </cell>
          <cell r="AO275">
            <v>0</v>
          </cell>
          <cell r="AP275">
            <v>7.0810000000000004</v>
          </cell>
          <cell r="AQ275">
            <v>0.13100000000000001</v>
          </cell>
          <cell r="AR275">
            <v>4.676000000000001</v>
          </cell>
          <cell r="AS275">
            <v>13.373999999999999</v>
          </cell>
          <cell r="AT275">
            <v>0</v>
          </cell>
          <cell r="AU275">
            <v>144.99999999999997</v>
          </cell>
          <cell r="AV275">
            <v>158.37399999999997</v>
          </cell>
          <cell r="AW275">
            <v>0</v>
          </cell>
          <cell r="AX275">
            <v>0</v>
          </cell>
          <cell r="AY275">
            <v>0</v>
          </cell>
          <cell r="AZ275">
            <v>0</v>
          </cell>
          <cell r="BA275">
            <v>0</v>
          </cell>
          <cell r="BB275">
            <v>0</v>
          </cell>
          <cell r="BC275">
            <v>0</v>
          </cell>
          <cell r="BD275">
            <v>0</v>
          </cell>
          <cell r="BE275">
            <v>0</v>
          </cell>
        </row>
        <row r="278">
          <cell r="H278" t="str">
            <v>Invitrogen</v>
          </cell>
          <cell r="I278" t="str">
            <v>QIAGEN NV</v>
          </cell>
          <cell r="J278" t="str">
            <v>TECHNE</v>
          </cell>
          <cell r="K278" t="str">
            <v>Bio-Rad Laboratories</v>
          </cell>
          <cell r="L278" t="str">
            <v>Affymetrix</v>
          </cell>
          <cell r="M278" t="str">
            <v>Applied Biosystems*</v>
          </cell>
          <cell r="N278" t="str">
            <v>Mettler Toledo*</v>
          </cell>
          <cell r="O278" t="str">
            <v>Molecular Devices*</v>
          </cell>
          <cell r="P278" t="str">
            <v>PerkinElmer</v>
          </cell>
          <cell r="Q278" t="str">
            <v>Thermo Electron</v>
          </cell>
          <cell r="R278" t="str">
            <v>Varian</v>
          </cell>
          <cell r="S278" t="str">
            <v>Waters*</v>
          </cell>
          <cell r="T278" t="str">
            <v>Fisher Scientific*</v>
          </cell>
          <cell r="U278" t="str">
            <v>Ventana Medical Systems, Inc.</v>
          </cell>
          <cell r="V278" t="str">
            <v>Accredo Health*</v>
          </cell>
          <cell r="W278" t="str">
            <v>Invitrogen</v>
          </cell>
          <cell r="X278" t="str">
            <v>Millipore</v>
          </cell>
          <cell r="Y278" t="str">
            <v>Priority Healthcare</v>
          </cell>
          <cell r="Z278" t="str">
            <v>Bergen Brunswig</v>
          </cell>
          <cell r="AA278" t="str">
            <v>AmeriSource</v>
          </cell>
          <cell r="AB278" t="str">
            <v>AmerisourceBergen</v>
          </cell>
          <cell r="AC278" t="str">
            <v>Owens &amp; Minor</v>
          </cell>
          <cell r="AD278" t="str">
            <v>Short Name</v>
          </cell>
          <cell r="AE278" t="str">
            <v>PSS World Medical, Inc.</v>
          </cell>
          <cell r="AF278" t="str">
            <v>Henry Schein</v>
          </cell>
          <cell r="AG278" t="str">
            <v>Syncor</v>
          </cell>
          <cell r="AH278" t="str">
            <v>Accredo</v>
          </cell>
          <cell r="AI278" t="str">
            <v>Gentiva</v>
          </cell>
          <cell r="AJ278" t="str">
            <v>Accredo*</v>
          </cell>
          <cell r="AK278" t="str">
            <v>Fisher Scientific*</v>
          </cell>
          <cell r="AL278" t="str">
            <v>McKesson Corporation</v>
          </cell>
          <cell r="AM278" t="str">
            <v>Sigma-Aldrich</v>
          </cell>
          <cell r="AN278" t="str">
            <v>Chronimed</v>
          </cell>
          <cell r="AO278" t="str">
            <v>Short Name</v>
          </cell>
          <cell r="AP278" t="str">
            <v>Patterson Dental</v>
          </cell>
          <cell r="AQ278" t="str">
            <v>Short Name</v>
          </cell>
          <cell r="AR278" t="str">
            <v>Patterson Dental</v>
          </cell>
          <cell r="AS278" t="str">
            <v>Syncor</v>
          </cell>
          <cell r="AT278" t="str">
            <v>Boron, LePore</v>
          </cell>
          <cell r="AU278" t="str">
            <v>Cardinal Health</v>
          </cell>
          <cell r="AV278" t="str">
            <v>Cardinal Health</v>
          </cell>
          <cell r="AW278" t="str">
            <v>Short Name</v>
          </cell>
          <cell r="AX278" t="str">
            <v>Short Name</v>
          </cell>
          <cell r="AY278" t="str">
            <v>Short Name</v>
          </cell>
          <cell r="AZ278" t="str">
            <v>Short Name</v>
          </cell>
          <cell r="BA278" t="str">
            <v>Short Name</v>
          </cell>
          <cell r="BB278" t="str">
            <v>Short Name</v>
          </cell>
          <cell r="BC278" t="str">
            <v>Short Name</v>
          </cell>
          <cell r="BD278" t="str">
            <v>Short Name</v>
          </cell>
          <cell r="BE278" t="str">
            <v>Short Name</v>
          </cell>
        </row>
        <row r="283">
          <cell r="H283">
            <v>0</v>
          </cell>
          <cell r="I283">
            <v>0</v>
          </cell>
          <cell r="J283">
            <v>0</v>
          </cell>
          <cell r="K283">
            <v>0</v>
          </cell>
          <cell r="L283">
            <v>0</v>
          </cell>
          <cell r="M283">
            <v>0</v>
          </cell>
          <cell r="N283">
            <v>0</v>
          </cell>
          <cell r="O283">
            <v>0</v>
          </cell>
          <cell r="P283">
            <v>0</v>
          </cell>
          <cell r="Q283">
            <v>0</v>
          </cell>
          <cell r="R283">
            <v>0</v>
          </cell>
          <cell r="S283">
            <v>0</v>
          </cell>
          <cell r="T283">
            <v>0</v>
          </cell>
          <cell r="U283">
            <v>4.875</v>
          </cell>
          <cell r="V283">
            <v>0</v>
          </cell>
          <cell r="W283">
            <v>113.26199999999999</v>
          </cell>
          <cell r="X283">
            <v>111.226</v>
          </cell>
          <cell r="Y283">
            <v>15.169</v>
          </cell>
          <cell r="Z283">
            <v>264.28800000000001</v>
          </cell>
          <cell r="AA283">
            <v>179.416</v>
          </cell>
          <cell r="AB283">
            <v>386.459</v>
          </cell>
          <cell r="AC283">
            <v>27.307000000000002</v>
          </cell>
          <cell r="AD283">
            <v>0</v>
          </cell>
          <cell r="AE283">
            <v>39.140999999999998</v>
          </cell>
          <cell r="AF283">
            <v>40.996000000000002</v>
          </cell>
          <cell r="AG283">
            <v>31.448</v>
          </cell>
          <cell r="AH283">
            <v>38.585000000000001</v>
          </cell>
          <cell r="AI283">
            <v>34.248000000000005</v>
          </cell>
          <cell r="AJ283">
            <v>72.832999999999998</v>
          </cell>
          <cell r="AK283">
            <v>152.6</v>
          </cell>
          <cell r="AL283">
            <v>706.2</v>
          </cell>
          <cell r="AM283">
            <v>0</v>
          </cell>
          <cell r="AN283">
            <v>12.34</v>
          </cell>
          <cell r="AO283">
            <v>0</v>
          </cell>
          <cell r="AP283">
            <v>0</v>
          </cell>
          <cell r="AQ283">
            <v>0</v>
          </cell>
          <cell r="AR283">
            <v>110.62633092</v>
          </cell>
          <cell r="AS283">
            <v>85.836000000000013</v>
          </cell>
          <cell r="AT283">
            <v>13.683</v>
          </cell>
          <cell r="AU283">
            <v>1612.8</v>
          </cell>
          <cell r="AV283">
            <v>1712.3190000000002</v>
          </cell>
          <cell r="AW283">
            <v>0</v>
          </cell>
          <cell r="AX283">
            <v>0</v>
          </cell>
          <cell r="AY283">
            <v>0</v>
          </cell>
          <cell r="AZ283">
            <v>0</v>
          </cell>
          <cell r="BA283">
            <v>0</v>
          </cell>
          <cell r="BB283">
            <v>0</v>
          </cell>
          <cell r="BC283">
            <v>0</v>
          </cell>
          <cell r="BD283">
            <v>0</v>
          </cell>
          <cell r="BE283">
            <v>0</v>
          </cell>
        </row>
        <row r="284">
          <cell r="H284">
            <v>0</v>
          </cell>
          <cell r="I284">
            <v>0</v>
          </cell>
          <cell r="J284">
            <v>0</v>
          </cell>
          <cell r="K284">
            <v>0</v>
          </cell>
          <cell r="L284">
            <v>0</v>
          </cell>
          <cell r="M284">
            <v>0</v>
          </cell>
          <cell r="N284">
            <v>0</v>
          </cell>
          <cell r="O284">
            <v>0</v>
          </cell>
          <cell r="P284">
            <v>0</v>
          </cell>
          <cell r="Q284">
            <v>0</v>
          </cell>
          <cell r="R284">
            <v>0</v>
          </cell>
          <cell r="S284">
            <v>0</v>
          </cell>
          <cell r="T284">
            <v>0</v>
          </cell>
          <cell r="U284">
            <v>3.9919999999999982</v>
          </cell>
          <cell r="V284">
            <v>0</v>
          </cell>
          <cell r="W284">
            <v>72.290133522820341</v>
          </cell>
          <cell r="X284">
            <v>98.924999999999983</v>
          </cell>
          <cell r="Y284">
            <v>12.629</v>
          </cell>
          <cell r="Z284">
            <v>217.44900000000001</v>
          </cell>
          <cell r="AA284">
            <v>144.625</v>
          </cell>
          <cell r="AB284">
            <v>324.94599999999997</v>
          </cell>
          <cell r="AC284">
            <v>24.847000000000001</v>
          </cell>
          <cell r="AD284">
            <v>0</v>
          </cell>
          <cell r="AE284">
            <v>51.414999999999999</v>
          </cell>
          <cell r="AF284">
            <v>37.048999999999999</v>
          </cell>
          <cell r="AG284">
            <v>29.677999999999997</v>
          </cell>
          <cell r="AH284">
            <v>21.817</v>
          </cell>
          <cell r="AI284">
            <v>33.5625</v>
          </cell>
          <cell r="AJ284">
            <v>55.379500000000007</v>
          </cell>
          <cell r="AK284">
            <v>135.80000000000001</v>
          </cell>
          <cell r="AL284">
            <v>588.29999999999995</v>
          </cell>
          <cell r="AM284">
            <v>0</v>
          </cell>
          <cell r="AN284">
            <v>10.000999999999999</v>
          </cell>
          <cell r="AO284">
            <v>0</v>
          </cell>
          <cell r="AP284">
            <v>26.949000000000002</v>
          </cell>
          <cell r="AQ284">
            <v>0.1998675</v>
          </cell>
          <cell r="AR284">
            <v>96.873057330000009</v>
          </cell>
          <cell r="AS284">
            <v>70.816999999999993</v>
          </cell>
          <cell r="AT284">
            <v>10.097000000000001</v>
          </cell>
          <cell r="AU284">
            <v>1379</v>
          </cell>
          <cell r="AV284">
            <v>1459.9139999999998</v>
          </cell>
          <cell r="AW284">
            <v>0</v>
          </cell>
          <cell r="AX284">
            <v>0</v>
          </cell>
          <cell r="AY284">
            <v>0</v>
          </cell>
          <cell r="AZ284">
            <v>0</v>
          </cell>
          <cell r="BA284">
            <v>0</v>
          </cell>
          <cell r="BB284">
            <v>0</v>
          </cell>
          <cell r="BC284">
            <v>0</v>
          </cell>
          <cell r="BD284">
            <v>0</v>
          </cell>
          <cell r="BE284">
            <v>0</v>
          </cell>
        </row>
        <row r="285">
          <cell r="H285">
            <v>0</v>
          </cell>
          <cell r="I285">
            <v>0</v>
          </cell>
          <cell r="J285">
            <v>0</v>
          </cell>
          <cell r="K285">
            <v>0</v>
          </cell>
          <cell r="L285">
            <v>0</v>
          </cell>
          <cell r="M285">
            <v>0</v>
          </cell>
          <cell r="N285">
            <v>0</v>
          </cell>
          <cell r="O285">
            <v>0</v>
          </cell>
          <cell r="P285">
            <v>0</v>
          </cell>
          <cell r="Q285">
            <v>0</v>
          </cell>
          <cell r="R285">
            <v>0</v>
          </cell>
          <cell r="S285">
            <v>0</v>
          </cell>
          <cell r="T285">
            <v>0</v>
          </cell>
          <cell r="U285">
            <v>6.3789999999999978</v>
          </cell>
          <cell r="V285">
            <v>261.745</v>
          </cell>
          <cell r="W285">
            <v>96.386844697093792</v>
          </cell>
          <cell r="X285">
            <v>143.72399999999999</v>
          </cell>
          <cell r="Y285">
            <v>48.606999999999999</v>
          </cell>
          <cell r="Z285">
            <v>366</v>
          </cell>
          <cell r="AA285">
            <v>217.85399999999998</v>
          </cell>
          <cell r="AB285">
            <v>683.23799999999994</v>
          </cell>
          <cell r="AC285">
            <v>111.429</v>
          </cell>
          <cell r="AD285">
            <v>0</v>
          </cell>
          <cell r="AE285">
            <v>50.739999999999995</v>
          </cell>
          <cell r="AF285">
            <v>183.392</v>
          </cell>
          <cell r="AG285">
            <v>114.43799999999999</v>
          </cell>
          <cell r="AH285">
            <v>0</v>
          </cell>
          <cell r="AI285">
            <v>0</v>
          </cell>
          <cell r="AJ285">
            <v>72.442000000000007</v>
          </cell>
          <cell r="AK285">
            <v>291</v>
          </cell>
          <cell r="AL285">
            <v>822.9</v>
          </cell>
          <cell r="AM285">
            <v>290.74799999999999</v>
          </cell>
          <cell r="AN285">
            <v>-1.718</v>
          </cell>
          <cell r="AO285">
            <v>0</v>
          </cell>
          <cell r="AP285">
            <v>125.30499999999999</v>
          </cell>
          <cell r="AQ285">
            <v>11.30847</v>
          </cell>
          <cell r="AR285">
            <v>133.52146999999999</v>
          </cell>
          <cell r="AS285">
            <v>101.18899999999999</v>
          </cell>
          <cell r="AT285">
            <v>14.702999999999999</v>
          </cell>
          <cell r="AU285">
            <v>1892.6</v>
          </cell>
          <cell r="AV285">
            <v>2008.492</v>
          </cell>
          <cell r="AW285">
            <v>0</v>
          </cell>
          <cell r="AX285">
            <v>0</v>
          </cell>
          <cell r="AY285">
            <v>0</v>
          </cell>
          <cell r="AZ285">
            <v>0</v>
          </cell>
          <cell r="BA285">
            <v>0</v>
          </cell>
          <cell r="BB285">
            <v>0</v>
          </cell>
          <cell r="BC285">
            <v>0</v>
          </cell>
          <cell r="BD285">
            <v>0</v>
          </cell>
          <cell r="BE285">
            <v>0</v>
          </cell>
        </row>
        <row r="286">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330.14100000000002</v>
          </cell>
          <cell r="AA286">
            <v>235.22499999999999</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row>
        <row r="290">
          <cell r="H290" t="str">
            <v xml:space="preserve">NM  </v>
          </cell>
          <cell r="I290" t="str">
            <v xml:space="preserve">NM  </v>
          </cell>
          <cell r="J290" t="str">
            <v xml:space="preserve">NM  </v>
          </cell>
          <cell r="K290" t="str">
            <v xml:space="preserve">NM  </v>
          </cell>
          <cell r="L290" t="str">
            <v xml:space="preserve">NM  </v>
          </cell>
          <cell r="M290" t="str">
            <v xml:space="preserve">NM  </v>
          </cell>
          <cell r="N290" t="str">
            <v xml:space="preserve">NM  </v>
          </cell>
          <cell r="O290" t="str">
            <v xml:space="preserve">NM  </v>
          </cell>
          <cell r="P290" t="str">
            <v xml:space="preserve">NM  </v>
          </cell>
          <cell r="Q290" t="str">
            <v xml:space="preserve">NM  </v>
          </cell>
          <cell r="R290" t="str">
            <v xml:space="preserve">NM  </v>
          </cell>
          <cell r="S290" t="str">
            <v xml:space="preserve">NM  </v>
          </cell>
          <cell r="T290" t="str">
            <v xml:space="preserve">NM  </v>
          </cell>
          <cell r="U290" t="str">
            <v xml:space="preserve">NM  </v>
          </cell>
          <cell r="V290" t="str">
            <v xml:space="preserve">NM  </v>
          </cell>
          <cell r="W290" t="str">
            <v xml:space="preserve">NM  </v>
          </cell>
          <cell r="X290" t="str">
            <v xml:space="preserve">NM  </v>
          </cell>
          <cell r="Y290" t="str">
            <v xml:space="preserve">NM  </v>
          </cell>
          <cell r="Z290" t="str">
            <v xml:space="preserve">NM  </v>
          </cell>
          <cell r="AA290" t="str">
            <v xml:space="preserve">NM  </v>
          </cell>
          <cell r="AB290" t="str">
            <v xml:space="preserve">NM  </v>
          </cell>
          <cell r="AC290" t="str">
            <v xml:space="preserve">NM  </v>
          </cell>
          <cell r="AD290" t="str">
            <v xml:space="preserve">NM  </v>
          </cell>
          <cell r="AE290" t="str">
            <v xml:space="preserve">NM  </v>
          </cell>
          <cell r="AF290" t="str">
            <v xml:space="preserve">NM  </v>
          </cell>
          <cell r="AG290" t="str">
            <v xml:space="preserve">NM  </v>
          </cell>
          <cell r="AH290" t="str">
            <v xml:space="preserve">NM  </v>
          </cell>
          <cell r="AI290" t="str">
            <v xml:space="preserve">NM  </v>
          </cell>
          <cell r="AJ290" t="str">
            <v xml:space="preserve">NM  </v>
          </cell>
          <cell r="AK290" t="str">
            <v xml:space="preserve">NM  </v>
          </cell>
          <cell r="AL290" t="str">
            <v xml:space="preserve">NM  </v>
          </cell>
          <cell r="AM290" t="str">
            <v xml:space="preserve">NM  </v>
          </cell>
          <cell r="AN290" t="str">
            <v xml:space="preserve">NM  </v>
          </cell>
          <cell r="AO290" t="str">
            <v xml:space="preserve">NM  </v>
          </cell>
          <cell r="AP290" t="str">
            <v xml:space="preserve">NM  </v>
          </cell>
          <cell r="AQ290" t="str">
            <v xml:space="preserve">NM  </v>
          </cell>
          <cell r="AR290" t="str">
            <v xml:space="preserve">NM  </v>
          </cell>
          <cell r="AS290" t="str">
            <v xml:space="preserve">NM  </v>
          </cell>
          <cell r="AT290" t="str">
            <v xml:space="preserve">NM  </v>
          </cell>
          <cell r="AU290" t="str">
            <v xml:space="preserve">NM  </v>
          </cell>
          <cell r="AV290" t="str">
            <v xml:space="preserve">NM  </v>
          </cell>
          <cell r="AW290" t="str">
            <v xml:space="preserve">NM  </v>
          </cell>
          <cell r="AX290" t="str">
            <v xml:space="preserve">NM  </v>
          </cell>
          <cell r="AY290" t="str">
            <v xml:space="preserve">NM  </v>
          </cell>
          <cell r="AZ290" t="str">
            <v xml:space="preserve">NM  </v>
          </cell>
          <cell r="BA290" t="str">
            <v xml:space="preserve">NM  </v>
          </cell>
          <cell r="BB290" t="str">
            <v xml:space="preserve">NM  </v>
          </cell>
          <cell r="BC290" t="str">
            <v xml:space="preserve">NM  </v>
          </cell>
          <cell r="BD290" t="str">
            <v xml:space="preserve">NM  </v>
          </cell>
          <cell r="BE290" t="str">
            <v xml:space="preserve">NM  </v>
          </cell>
        </row>
        <row r="291">
          <cell r="H291" t="str">
            <v xml:space="preserve">NM  </v>
          </cell>
          <cell r="I291" t="str">
            <v xml:space="preserve">NM  </v>
          </cell>
          <cell r="J291" t="str">
            <v xml:space="preserve">NM  </v>
          </cell>
          <cell r="K291" t="str">
            <v xml:space="preserve">NM  </v>
          </cell>
          <cell r="L291" t="str">
            <v xml:space="preserve">NM  </v>
          </cell>
          <cell r="M291" t="str">
            <v xml:space="preserve">NM  </v>
          </cell>
          <cell r="N291" t="str">
            <v xml:space="preserve">NM  </v>
          </cell>
          <cell r="O291" t="str">
            <v xml:space="preserve">NM  </v>
          </cell>
          <cell r="P291" t="str">
            <v xml:space="preserve">NM  </v>
          </cell>
          <cell r="Q291" t="str">
            <v xml:space="preserve">NM  </v>
          </cell>
          <cell r="R291" t="str">
            <v xml:space="preserve">NM  </v>
          </cell>
          <cell r="S291" t="str">
            <v xml:space="preserve">NM  </v>
          </cell>
          <cell r="T291" t="str">
            <v xml:space="preserve">NM  </v>
          </cell>
          <cell r="U291" t="str">
            <v xml:space="preserve">NM  </v>
          </cell>
          <cell r="V291" t="str">
            <v xml:space="preserve">NM  </v>
          </cell>
          <cell r="W291" t="str">
            <v xml:space="preserve">NM  </v>
          </cell>
          <cell r="X291" t="str">
            <v xml:space="preserve">NM  </v>
          </cell>
          <cell r="Y291" t="str">
            <v xml:space="preserve">NM  </v>
          </cell>
          <cell r="Z291" t="str">
            <v xml:space="preserve">NM  </v>
          </cell>
          <cell r="AA291" t="str">
            <v xml:space="preserve">NM  </v>
          </cell>
          <cell r="AB291" t="str">
            <v xml:space="preserve">NM  </v>
          </cell>
          <cell r="AC291" t="str">
            <v xml:space="preserve">NM  </v>
          </cell>
          <cell r="AD291" t="str">
            <v xml:space="preserve">NM  </v>
          </cell>
          <cell r="AE291" t="str">
            <v xml:space="preserve">NM  </v>
          </cell>
          <cell r="AF291" t="str">
            <v xml:space="preserve">NM  </v>
          </cell>
          <cell r="AG291" t="str">
            <v xml:space="preserve">NM  </v>
          </cell>
          <cell r="AH291" t="str">
            <v xml:space="preserve">NM  </v>
          </cell>
          <cell r="AI291" t="str">
            <v xml:space="preserve">NM  </v>
          </cell>
          <cell r="AJ291" t="str">
            <v xml:space="preserve">NM  </v>
          </cell>
          <cell r="AK291" t="str">
            <v xml:space="preserve">NM  </v>
          </cell>
          <cell r="AL291" t="str">
            <v xml:space="preserve">NM  </v>
          </cell>
          <cell r="AM291" t="str">
            <v xml:space="preserve">NM  </v>
          </cell>
          <cell r="AN291" t="str">
            <v xml:space="preserve">NM  </v>
          </cell>
          <cell r="AO291" t="str">
            <v xml:space="preserve">NM  </v>
          </cell>
          <cell r="AP291" t="str">
            <v xml:space="preserve">NM  </v>
          </cell>
          <cell r="AQ291" t="str">
            <v xml:space="preserve">NM  </v>
          </cell>
          <cell r="AR291" t="str">
            <v xml:space="preserve">NM  </v>
          </cell>
          <cell r="AS291" t="str">
            <v xml:space="preserve">NM  </v>
          </cell>
          <cell r="AT291" t="str">
            <v xml:space="preserve">NM  </v>
          </cell>
          <cell r="AU291" t="str">
            <v xml:space="preserve">NM  </v>
          </cell>
          <cell r="AV291" t="str">
            <v xml:space="preserve">NM  </v>
          </cell>
          <cell r="AW291" t="str">
            <v xml:space="preserve">NM  </v>
          </cell>
          <cell r="AX291" t="str">
            <v xml:space="preserve">NM  </v>
          </cell>
          <cell r="AY291" t="str">
            <v xml:space="preserve">NM  </v>
          </cell>
          <cell r="AZ291" t="str">
            <v xml:space="preserve">NM  </v>
          </cell>
          <cell r="BA291" t="str">
            <v xml:space="preserve">NM  </v>
          </cell>
          <cell r="BB291" t="str">
            <v xml:space="preserve">NM  </v>
          </cell>
          <cell r="BC291" t="str">
            <v xml:space="preserve">NM  </v>
          </cell>
          <cell r="BD291" t="str">
            <v xml:space="preserve">NM  </v>
          </cell>
          <cell r="BE291" t="str">
            <v xml:space="preserve">NM  </v>
          </cell>
        </row>
        <row r="297">
          <cell r="H297">
            <v>0</v>
          </cell>
          <cell r="I297">
            <v>0</v>
          </cell>
          <cell r="J297">
            <v>0</v>
          </cell>
          <cell r="K297">
            <v>0</v>
          </cell>
          <cell r="L297">
            <v>0</v>
          </cell>
          <cell r="M297">
            <v>0</v>
          </cell>
          <cell r="N297">
            <v>0</v>
          </cell>
          <cell r="O297">
            <v>0</v>
          </cell>
          <cell r="P297">
            <v>0</v>
          </cell>
          <cell r="Q297">
            <v>0</v>
          </cell>
          <cell r="R297">
            <v>0</v>
          </cell>
          <cell r="S297">
            <v>0</v>
          </cell>
          <cell r="T297">
            <v>0</v>
          </cell>
          <cell r="U297">
            <v>40.082000000000001</v>
          </cell>
          <cell r="V297">
            <v>0</v>
          </cell>
          <cell r="W297">
            <v>672.03399999999999</v>
          </cell>
          <cell r="X297">
            <v>225.69399999999999</v>
          </cell>
          <cell r="Y297">
            <v>176.33999999999997</v>
          </cell>
          <cell r="Z297">
            <v>1516.5680000000002</v>
          </cell>
          <cell r="AA297">
            <v>897.29399999999987</v>
          </cell>
          <cell r="AB297">
            <v>2115.509</v>
          </cell>
          <cell r="AC297">
            <v>365.26499999999993</v>
          </cell>
          <cell r="AD297">
            <v>0</v>
          </cell>
          <cell r="AE297">
            <v>269.43100000000004</v>
          </cell>
          <cell r="AF297">
            <v>492.99599999999998</v>
          </cell>
          <cell r="AG297">
            <v>113.709</v>
          </cell>
          <cell r="AH297">
            <v>0</v>
          </cell>
          <cell r="AI297">
            <v>0</v>
          </cell>
          <cell r="AJ297">
            <v>327.29399999999998</v>
          </cell>
          <cell r="AK297">
            <v>0</v>
          </cell>
          <cell r="AL297">
            <v>2765.9000000000005</v>
          </cell>
          <cell r="AM297">
            <v>329.74800000000005</v>
          </cell>
          <cell r="AN297">
            <v>37.251000000000005</v>
          </cell>
          <cell r="AO297">
            <v>0</v>
          </cell>
          <cell r="AP297">
            <v>0</v>
          </cell>
          <cell r="AQ297">
            <v>0</v>
          </cell>
          <cell r="AR297">
            <v>344.90300000000002</v>
          </cell>
          <cell r="AS297">
            <v>113.709</v>
          </cell>
          <cell r="AT297">
            <v>42.294000000000004</v>
          </cell>
          <cell r="AU297">
            <v>5611.9000000000005</v>
          </cell>
          <cell r="AV297">
            <v>5767.9030000000002</v>
          </cell>
          <cell r="AW297">
            <v>0</v>
          </cell>
          <cell r="AX297">
            <v>0</v>
          </cell>
          <cell r="AY297">
            <v>0</v>
          </cell>
          <cell r="AZ297">
            <v>0</v>
          </cell>
          <cell r="BA297">
            <v>0</v>
          </cell>
          <cell r="BB297">
            <v>0</v>
          </cell>
          <cell r="BC297">
            <v>0</v>
          </cell>
          <cell r="BD297">
            <v>0</v>
          </cell>
          <cell r="BE297">
            <v>0</v>
          </cell>
        </row>
        <row r="298">
          <cell r="H298">
            <v>0</v>
          </cell>
          <cell r="I298">
            <v>0</v>
          </cell>
          <cell r="J298">
            <v>0</v>
          </cell>
          <cell r="K298">
            <v>0</v>
          </cell>
          <cell r="L298">
            <v>0</v>
          </cell>
          <cell r="M298">
            <v>0</v>
          </cell>
          <cell r="N298">
            <v>0</v>
          </cell>
          <cell r="O298">
            <v>0</v>
          </cell>
          <cell r="P298">
            <v>0</v>
          </cell>
          <cell r="Q298">
            <v>0</v>
          </cell>
          <cell r="R298">
            <v>0</v>
          </cell>
          <cell r="S298">
            <v>0</v>
          </cell>
          <cell r="T298" t="e">
            <v>#VALUE!</v>
          </cell>
          <cell r="U298">
            <v>80.890999999999991</v>
          </cell>
          <cell r="V298">
            <v>471.05399999999997</v>
          </cell>
          <cell r="W298">
            <v>634.49500000000012</v>
          </cell>
          <cell r="X298">
            <v>347.14600000000002</v>
          </cell>
          <cell r="Y298">
            <v>187.65000000000003</v>
          </cell>
          <cell r="Z298" t="e">
            <v>#N/A</v>
          </cell>
          <cell r="AA298">
            <v>617.11899999999991</v>
          </cell>
          <cell r="AB298">
            <v>1223.605</v>
          </cell>
          <cell r="AC298">
            <v>180.13499999999999</v>
          </cell>
          <cell r="AD298" t="e">
            <v>#N/A</v>
          </cell>
          <cell r="AE298">
            <v>247.65600000000001</v>
          </cell>
          <cell r="AF298">
            <v>414.31899999999996</v>
          </cell>
          <cell r="AG298">
            <v>102.33199999999999</v>
          </cell>
          <cell r="AH298">
            <v>0</v>
          </cell>
          <cell r="AI298" t="e">
            <v>#DIV/0!</v>
          </cell>
          <cell r="AJ298" t="e">
            <v>#VALUE!</v>
          </cell>
          <cell r="AK298">
            <v>45.4</v>
          </cell>
          <cell r="AL298">
            <v>3004.8999999999996</v>
          </cell>
          <cell r="AM298">
            <v>677.97783000000004</v>
          </cell>
          <cell r="AN298">
            <v>45.271999999999991</v>
          </cell>
          <cell r="AO298" t="e">
            <v>#N/A</v>
          </cell>
          <cell r="AP298" t="e">
            <v>#DIV/0!</v>
          </cell>
          <cell r="AQ298" t="e">
            <v>#VALUE!</v>
          </cell>
          <cell r="AR298">
            <v>412.27100000000002</v>
          </cell>
          <cell r="AS298">
            <v>102.33199999999999</v>
          </cell>
          <cell r="AT298" t="e">
            <v>#N/A</v>
          </cell>
          <cell r="AU298" t="e">
            <v>#DIV/0!</v>
          </cell>
          <cell r="AV298">
            <v>4835.4490000000005</v>
          </cell>
          <cell r="AW298" t="e">
            <v>#VALUE!</v>
          </cell>
          <cell r="AX298" t="e">
            <v>#VALUE!</v>
          </cell>
          <cell r="AY298" t="e">
            <v>#VALUE!</v>
          </cell>
          <cell r="AZ298" t="e">
            <v>#VALUE!</v>
          </cell>
          <cell r="BA298" t="e">
            <v>#VALUE!</v>
          </cell>
          <cell r="BB298" t="e">
            <v>#VALUE!</v>
          </cell>
          <cell r="BC298" t="e">
            <v>#VALUE!</v>
          </cell>
          <cell r="BD298" t="e">
            <v>#VALUE!</v>
          </cell>
          <cell r="BE298" t="e">
            <v>#VALUE!</v>
          </cell>
        </row>
        <row r="299">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300</v>
          </cell>
          <cell r="AA299">
            <v>0</v>
          </cell>
          <cell r="AB299">
            <v>0</v>
          </cell>
          <cell r="AC299">
            <v>132</v>
          </cell>
          <cell r="AD299">
            <v>0</v>
          </cell>
          <cell r="AE299">
            <v>0</v>
          </cell>
          <cell r="AF299">
            <v>0</v>
          </cell>
          <cell r="AG299">
            <v>0</v>
          </cell>
          <cell r="AH299">
            <v>0</v>
          </cell>
          <cell r="AI299">
            <v>0</v>
          </cell>
          <cell r="AJ299">
            <v>0</v>
          </cell>
          <cell r="AK299">
            <v>0</v>
          </cell>
          <cell r="AL299">
            <v>196.1</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row>
        <row r="300">
          <cell r="H300">
            <v>0</v>
          </cell>
          <cell r="I300">
            <v>0</v>
          </cell>
          <cell r="J300">
            <v>0</v>
          </cell>
          <cell r="K300">
            <v>0</v>
          </cell>
          <cell r="L300">
            <v>0</v>
          </cell>
          <cell r="M300">
            <v>0</v>
          </cell>
          <cell r="N300">
            <v>0</v>
          </cell>
          <cell r="O300">
            <v>0</v>
          </cell>
          <cell r="P300">
            <v>0</v>
          </cell>
          <cell r="Q300">
            <v>0</v>
          </cell>
          <cell r="R300">
            <v>0</v>
          </cell>
          <cell r="S300">
            <v>0</v>
          </cell>
          <cell r="T300" t="e">
            <v>#VALUE!</v>
          </cell>
          <cell r="U300">
            <v>3.028</v>
          </cell>
          <cell r="V300">
            <v>224.68799999999999</v>
          </cell>
          <cell r="W300">
            <v>21.153999999999996</v>
          </cell>
          <cell r="X300">
            <v>377.41700000000003</v>
          </cell>
          <cell r="Y300">
            <v>0</v>
          </cell>
          <cell r="Z300" t="e">
            <v>#N/A</v>
          </cell>
          <cell r="AA300">
            <v>340.93399999999997</v>
          </cell>
          <cell r="AB300">
            <v>1238.8889999999999</v>
          </cell>
          <cell r="AC300">
            <v>242.01499999999999</v>
          </cell>
          <cell r="AD300" t="e">
            <v>#N/A</v>
          </cell>
          <cell r="AE300">
            <v>125</v>
          </cell>
          <cell r="AF300">
            <v>256.75</v>
          </cell>
          <cell r="AG300">
            <v>216.34400000000002</v>
          </cell>
          <cell r="AH300">
            <v>0</v>
          </cell>
          <cell r="AI300" t="e">
            <v>#DIV/0!</v>
          </cell>
          <cell r="AJ300" t="e">
            <v>#VALUE!</v>
          </cell>
          <cell r="AK300">
            <v>957.5</v>
          </cell>
          <cell r="AL300">
            <v>1326.8000000000002</v>
          </cell>
          <cell r="AM300">
            <v>448.08199999999999</v>
          </cell>
          <cell r="AN300">
            <v>10.4</v>
          </cell>
          <cell r="AO300" t="e">
            <v>#N/A</v>
          </cell>
          <cell r="AP300" t="e">
            <v>#DIV/0!</v>
          </cell>
          <cell r="AQ300" t="e">
            <v>#VALUE!</v>
          </cell>
          <cell r="AR300">
            <v>0</v>
          </cell>
          <cell r="AS300">
            <v>216.34400000000002</v>
          </cell>
          <cell r="AT300" t="e">
            <v>#N/A</v>
          </cell>
          <cell r="AU300" t="e">
            <v>#DIV/0!</v>
          </cell>
          <cell r="AV300">
            <v>2697.5439999999999</v>
          </cell>
          <cell r="AW300" t="e">
            <v>#VALUE!</v>
          </cell>
          <cell r="AX300" t="e">
            <v>#VALUE!</v>
          </cell>
          <cell r="AY300" t="e">
            <v>#VALUE!</v>
          </cell>
          <cell r="AZ300" t="e">
            <v>#VALUE!</v>
          </cell>
          <cell r="BA300" t="e">
            <v>#VALUE!</v>
          </cell>
          <cell r="BB300" t="e">
            <v>#VALUE!</v>
          </cell>
          <cell r="BC300" t="e">
            <v>#VALUE!</v>
          </cell>
          <cell r="BD300" t="e">
            <v>#VALUE!</v>
          </cell>
          <cell r="BE300" t="e">
            <v>#VALUE!</v>
          </cell>
        </row>
        <row r="301">
          <cell r="H301">
            <v>0</v>
          </cell>
          <cell r="I301">
            <v>0</v>
          </cell>
          <cell r="J301">
            <v>0</v>
          </cell>
          <cell r="K301">
            <v>0</v>
          </cell>
          <cell r="L301">
            <v>0</v>
          </cell>
          <cell r="M301">
            <v>0</v>
          </cell>
          <cell r="N301">
            <v>0</v>
          </cell>
          <cell r="O301">
            <v>0</v>
          </cell>
          <cell r="P301">
            <v>0</v>
          </cell>
          <cell r="Q301">
            <v>0</v>
          </cell>
          <cell r="R301">
            <v>0</v>
          </cell>
          <cell r="S301">
            <v>0</v>
          </cell>
          <cell r="T301" t="e">
            <v>#VALUE!</v>
          </cell>
          <cell r="U301">
            <v>16.299999999999997</v>
          </cell>
          <cell r="V301">
            <v>453.77499999999998</v>
          </cell>
          <cell r="W301">
            <v>350.19299999999976</v>
          </cell>
          <cell r="X301">
            <v>547.45100000000002</v>
          </cell>
          <cell r="Y301">
            <v>138.10899999999998</v>
          </cell>
          <cell r="Z301" t="e">
            <v>#N/A</v>
          </cell>
          <cell r="AA301">
            <v>2185.0190000000002</v>
          </cell>
          <cell r="AB301">
            <v>7250.4929999999986</v>
          </cell>
          <cell r="AC301">
            <v>618.97900000000004</v>
          </cell>
          <cell r="AD301" t="e">
            <v>#N/A</v>
          </cell>
          <cell r="AE301">
            <v>345.41200000000003</v>
          </cell>
          <cell r="AF301">
            <v>602.09400000000005</v>
          </cell>
          <cell r="AG301">
            <v>348.87900000000002</v>
          </cell>
          <cell r="AH301">
            <v>0</v>
          </cell>
          <cell r="AI301" t="e">
            <v>#DIV/0!</v>
          </cell>
          <cell r="AJ301" t="e">
            <v>#VALUE!</v>
          </cell>
          <cell r="AK301">
            <v>-45.4</v>
          </cell>
          <cell r="AL301">
            <v>8909.7000000000007</v>
          </cell>
          <cell r="AM301">
            <v>634.22216999999989</v>
          </cell>
          <cell r="AN301">
            <v>30.297000000000011</v>
          </cell>
          <cell r="AO301" t="e">
            <v>#N/A</v>
          </cell>
          <cell r="AP301" t="e">
            <v>#DIV/0!</v>
          </cell>
          <cell r="AQ301" t="e">
            <v>#VALUE!</v>
          </cell>
          <cell r="AR301">
            <v>177.53899999999999</v>
          </cell>
          <cell r="AS301">
            <v>348.87900000000002</v>
          </cell>
          <cell r="AT301" t="e">
            <v>#N/A</v>
          </cell>
          <cell r="AU301" t="e">
            <v>#DIV/0!</v>
          </cell>
          <cell r="AV301">
            <v>10795.365999999998</v>
          </cell>
          <cell r="AW301" t="e">
            <v>#VALUE!</v>
          </cell>
          <cell r="AX301" t="e">
            <v>#VALUE!</v>
          </cell>
          <cell r="AY301" t="e">
            <v>#VALUE!</v>
          </cell>
          <cell r="AZ301" t="e">
            <v>#VALUE!</v>
          </cell>
          <cell r="BA301" t="e">
            <v>#VALUE!</v>
          </cell>
          <cell r="BB301" t="e">
            <v>#VALUE!</v>
          </cell>
          <cell r="BC301" t="e">
            <v>#VALUE!</v>
          </cell>
          <cell r="BD301" t="e">
            <v>#VALUE!</v>
          </cell>
          <cell r="BE301" t="e">
            <v>#VALUE!</v>
          </cell>
        </row>
        <row r="302">
          <cell r="H302">
            <v>0</v>
          </cell>
          <cell r="I302">
            <v>0</v>
          </cell>
          <cell r="J302">
            <v>0</v>
          </cell>
          <cell r="K302">
            <v>0</v>
          </cell>
          <cell r="L302">
            <v>0</v>
          </cell>
          <cell r="M302">
            <v>0</v>
          </cell>
          <cell r="N302">
            <v>0</v>
          </cell>
          <cell r="O302">
            <v>0</v>
          </cell>
          <cell r="P302">
            <v>0</v>
          </cell>
          <cell r="Q302">
            <v>0</v>
          </cell>
          <cell r="R302">
            <v>0</v>
          </cell>
          <cell r="S302">
            <v>0</v>
          </cell>
          <cell r="T302">
            <v>0</v>
          </cell>
          <cell r="U302">
            <v>20.766999999999999</v>
          </cell>
          <cell r="V302">
            <v>0</v>
          </cell>
          <cell r="W302">
            <v>572.90300000000002</v>
          </cell>
          <cell r="X302">
            <v>70.257999999999996</v>
          </cell>
          <cell r="Y302">
            <v>91.347999999999999</v>
          </cell>
          <cell r="Z302">
            <v>60.804000000000002</v>
          </cell>
          <cell r="AA302">
            <v>94.298000000000002</v>
          </cell>
          <cell r="AB302">
            <v>463.815</v>
          </cell>
          <cell r="AC302">
            <v>0.68799999999999994</v>
          </cell>
          <cell r="AD302">
            <v>0</v>
          </cell>
          <cell r="AE302">
            <v>40.206000000000003</v>
          </cell>
          <cell r="AF302">
            <v>93.421000000000006</v>
          </cell>
          <cell r="AG302">
            <v>24.074999999999999</v>
          </cell>
          <cell r="AH302">
            <v>0</v>
          </cell>
          <cell r="AI302">
            <v>0</v>
          </cell>
          <cell r="AJ302">
            <v>58.841999999999999</v>
          </cell>
          <cell r="AK302">
            <v>0</v>
          </cell>
          <cell r="AL302">
            <v>385.5</v>
          </cell>
          <cell r="AM302">
            <v>33.501829999999998</v>
          </cell>
          <cell r="AN302">
            <v>3.6070000000000002</v>
          </cell>
          <cell r="AO302">
            <v>0</v>
          </cell>
          <cell r="AP302">
            <v>0</v>
          </cell>
          <cell r="AQ302">
            <v>0</v>
          </cell>
          <cell r="AR302">
            <v>132.43700000000001</v>
          </cell>
          <cell r="AS302">
            <v>24.074999999999999</v>
          </cell>
          <cell r="AT302">
            <v>14.052</v>
          </cell>
          <cell r="AU302">
            <v>869.2</v>
          </cell>
          <cell r="AV302">
            <v>703.32700000000011</v>
          </cell>
          <cell r="AW302">
            <v>0</v>
          </cell>
          <cell r="AX302">
            <v>0</v>
          </cell>
          <cell r="AY302">
            <v>0</v>
          </cell>
          <cell r="AZ302">
            <v>0</v>
          </cell>
          <cell r="BA302">
            <v>0</v>
          </cell>
          <cell r="BB302">
            <v>0</v>
          </cell>
          <cell r="BC302">
            <v>0</v>
          </cell>
          <cell r="BD302">
            <v>0</v>
          </cell>
          <cell r="BE302">
            <v>0</v>
          </cell>
        </row>
        <row r="303">
          <cell r="H303">
            <v>0</v>
          </cell>
          <cell r="I303">
            <v>0</v>
          </cell>
          <cell r="J303">
            <v>0</v>
          </cell>
          <cell r="K303">
            <v>0</v>
          </cell>
          <cell r="L303">
            <v>0</v>
          </cell>
          <cell r="M303">
            <v>0</v>
          </cell>
          <cell r="N303">
            <v>0</v>
          </cell>
          <cell r="O303">
            <v>0</v>
          </cell>
          <cell r="P303">
            <v>0</v>
          </cell>
          <cell r="Q303">
            <v>0</v>
          </cell>
          <cell r="R303">
            <v>0</v>
          </cell>
          <cell r="S303">
            <v>0</v>
          </cell>
          <cell r="T303" t="e">
            <v>#VALUE!</v>
          </cell>
          <cell r="U303">
            <v>91.567999999999998</v>
          </cell>
          <cell r="V303">
            <v>471.05399999999997</v>
          </cell>
          <cell r="W303">
            <v>1875.7080000000001</v>
          </cell>
          <cell r="X303">
            <v>375.39800000000002</v>
          </cell>
          <cell r="Y303">
            <v>271.21300000000002</v>
          </cell>
          <cell r="Z303" t="e">
            <v>#N/A</v>
          </cell>
          <cell r="AA303">
            <v>702.92499999999995</v>
          </cell>
          <cell r="AB303">
            <v>3349.7260000000001</v>
          </cell>
          <cell r="AC303">
            <v>378.459</v>
          </cell>
          <cell r="AD303" t="e">
            <v>#N/A</v>
          </cell>
          <cell r="AE303">
            <v>324.77800000000002</v>
          </cell>
          <cell r="AF303">
            <v>707.42499999999995</v>
          </cell>
          <cell r="AG303">
            <v>245.49199999999999</v>
          </cell>
          <cell r="AH303">
            <v>0</v>
          </cell>
          <cell r="AI303" t="e">
            <v>#DIV/0!</v>
          </cell>
          <cell r="AJ303" t="e">
            <v>#VALUE!</v>
          </cell>
          <cell r="AK303">
            <v>45.4</v>
          </cell>
          <cell r="AL303">
            <v>3979.2</v>
          </cell>
          <cell r="AM303">
            <v>805.57983000000002</v>
          </cell>
          <cell r="AN303">
            <v>75.504999999999995</v>
          </cell>
          <cell r="AO303" t="e">
            <v>#N/A</v>
          </cell>
          <cell r="AP303" t="e">
            <v>#DIV/0!</v>
          </cell>
          <cell r="AQ303" t="e">
            <v>#VALUE!</v>
          </cell>
          <cell r="AR303">
            <v>543.28300000000002</v>
          </cell>
          <cell r="AS303">
            <v>245.49199999999999</v>
          </cell>
          <cell r="AT303" t="e">
            <v>#N/A</v>
          </cell>
          <cell r="AU303" t="e">
            <v>#DIV/0!</v>
          </cell>
          <cell r="AV303">
            <v>6209</v>
          </cell>
          <cell r="AW303" t="e">
            <v>#VALUE!</v>
          </cell>
          <cell r="AX303" t="e">
            <v>#VALUE!</v>
          </cell>
          <cell r="AY303" t="e">
            <v>#VALUE!</v>
          </cell>
          <cell r="AZ303" t="e">
            <v>#VALUE!</v>
          </cell>
          <cell r="BA303" t="e">
            <v>#VALUE!</v>
          </cell>
          <cell r="BB303" t="e">
            <v>#VALUE!</v>
          </cell>
          <cell r="BC303" t="e">
            <v>#VALUE!</v>
          </cell>
          <cell r="BD303" t="e">
            <v>#VALUE!</v>
          </cell>
          <cell r="BE303" t="e">
            <v>#VALUE!</v>
          </cell>
        </row>
        <row r="304">
          <cell r="H304">
            <v>0</v>
          </cell>
          <cell r="I304">
            <v>0</v>
          </cell>
          <cell r="J304">
            <v>0</v>
          </cell>
          <cell r="K304">
            <v>0</v>
          </cell>
          <cell r="L304">
            <v>0</v>
          </cell>
          <cell r="M304">
            <v>0</v>
          </cell>
          <cell r="N304">
            <v>0</v>
          </cell>
          <cell r="O304">
            <v>0</v>
          </cell>
          <cell r="P304">
            <v>0</v>
          </cell>
          <cell r="Q304">
            <v>0</v>
          </cell>
          <cell r="R304">
            <v>0</v>
          </cell>
          <cell r="S304">
            <v>0</v>
          </cell>
          <cell r="T304" t="e">
            <v>#VALUE!</v>
          </cell>
          <cell r="U304">
            <v>3.028</v>
          </cell>
          <cell r="V304">
            <v>224.68799999999999</v>
          </cell>
          <cell r="W304">
            <v>21.153999999999996</v>
          </cell>
          <cell r="X304">
            <v>377.41700000000003</v>
          </cell>
          <cell r="Y304">
            <v>0</v>
          </cell>
          <cell r="Z304" t="e">
            <v>#N/A</v>
          </cell>
          <cell r="AA304">
            <v>340.93399999999997</v>
          </cell>
          <cell r="AB304">
            <v>1238.8889999999999</v>
          </cell>
          <cell r="AC304">
            <v>242.01499999999999</v>
          </cell>
          <cell r="AD304" t="e">
            <v>#N/A</v>
          </cell>
          <cell r="AE304">
            <v>125</v>
          </cell>
          <cell r="AF304">
            <v>256.75</v>
          </cell>
          <cell r="AG304">
            <v>216.34400000000002</v>
          </cell>
          <cell r="AH304">
            <v>0</v>
          </cell>
          <cell r="AI304" t="e">
            <v>#DIV/0!</v>
          </cell>
          <cell r="AJ304" t="e">
            <v>#VALUE!</v>
          </cell>
          <cell r="AK304">
            <v>957.5</v>
          </cell>
          <cell r="AL304">
            <v>1326.8000000000002</v>
          </cell>
          <cell r="AM304">
            <v>448.08199999999999</v>
          </cell>
          <cell r="AN304">
            <v>10.4</v>
          </cell>
          <cell r="AO304" t="e">
            <v>#N/A</v>
          </cell>
          <cell r="AP304" t="e">
            <v>#DIV/0!</v>
          </cell>
          <cell r="AQ304" t="e">
            <v>#VALUE!</v>
          </cell>
          <cell r="AR304">
            <v>0</v>
          </cell>
          <cell r="AS304">
            <v>216.34400000000002</v>
          </cell>
          <cell r="AT304" t="e">
            <v>#N/A</v>
          </cell>
          <cell r="AU304" t="e">
            <v>#DIV/0!</v>
          </cell>
          <cell r="AV304">
            <v>2697.5439999999999</v>
          </cell>
          <cell r="AW304" t="e">
            <v>#VALUE!</v>
          </cell>
          <cell r="AX304" t="e">
            <v>#VALUE!</v>
          </cell>
          <cell r="AY304" t="e">
            <v>#VALUE!</v>
          </cell>
          <cell r="AZ304" t="e">
            <v>#VALUE!</v>
          </cell>
          <cell r="BA304" t="e">
            <v>#VALUE!</v>
          </cell>
          <cell r="BB304" t="e">
            <v>#VALUE!</v>
          </cell>
          <cell r="BC304" t="e">
            <v>#VALUE!</v>
          </cell>
          <cell r="BD304" t="e">
            <v>#VALUE!</v>
          </cell>
          <cell r="BE304" t="e">
            <v>#VALUE!</v>
          </cell>
        </row>
        <row r="305">
          <cell r="H305">
            <v>0</v>
          </cell>
          <cell r="I305">
            <v>0</v>
          </cell>
          <cell r="J305">
            <v>0</v>
          </cell>
          <cell r="K305">
            <v>0</v>
          </cell>
          <cell r="L305">
            <v>0</v>
          </cell>
          <cell r="M305">
            <v>0</v>
          </cell>
          <cell r="N305">
            <v>0</v>
          </cell>
          <cell r="O305">
            <v>0</v>
          </cell>
          <cell r="P305">
            <v>0</v>
          </cell>
          <cell r="Q305">
            <v>0</v>
          </cell>
          <cell r="R305">
            <v>0</v>
          </cell>
          <cell r="S305">
            <v>0</v>
          </cell>
          <cell r="T305" t="e">
            <v>#VALUE!</v>
          </cell>
          <cell r="U305">
            <v>94.596000000000004</v>
          </cell>
          <cell r="V305">
            <v>695.74199999999996</v>
          </cell>
          <cell r="W305">
            <v>1896.8620000000001</v>
          </cell>
          <cell r="X305">
            <v>752.81500000000005</v>
          </cell>
          <cell r="Y305">
            <v>271.21300000000002</v>
          </cell>
          <cell r="Z305" t="e">
            <v>#N/A</v>
          </cell>
          <cell r="AA305">
            <v>1043.8589999999999</v>
          </cell>
          <cell r="AB305">
            <v>4588.6149999999998</v>
          </cell>
          <cell r="AC305">
            <v>620.47399999999993</v>
          </cell>
          <cell r="AD305" t="e">
            <v>#N/A</v>
          </cell>
          <cell r="AE305">
            <v>449.77800000000002</v>
          </cell>
          <cell r="AF305">
            <v>964.17499999999995</v>
          </cell>
          <cell r="AG305">
            <v>461.83600000000001</v>
          </cell>
          <cell r="AH305">
            <v>0</v>
          </cell>
          <cell r="AI305" t="e">
            <v>#DIV/0!</v>
          </cell>
          <cell r="AJ305" t="e">
            <v>#VALUE!</v>
          </cell>
          <cell r="AK305">
            <v>1002.9</v>
          </cell>
          <cell r="AL305">
            <v>5306</v>
          </cell>
          <cell r="AM305">
            <v>1253.66183</v>
          </cell>
          <cell r="AN305">
            <v>85.905000000000001</v>
          </cell>
          <cell r="AO305" t="e">
            <v>#N/A</v>
          </cell>
          <cell r="AP305" t="e">
            <v>#DIV/0!</v>
          </cell>
          <cell r="AQ305" t="e">
            <v>#VALUE!</v>
          </cell>
          <cell r="AR305">
            <v>543.28300000000002</v>
          </cell>
          <cell r="AS305">
            <v>461.83600000000001</v>
          </cell>
          <cell r="AT305" t="e">
            <v>#N/A</v>
          </cell>
          <cell r="AU305" t="e">
            <v>#DIV/0!</v>
          </cell>
          <cell r="AV305">
            <v>8906.5439999999999</v>
          </cell>
          <cell r="AW305" t="e">
            <v>#VALUE!</v>
          </cell>
          <cell r="AX305" t="e">
            <v>#VALUE!</v>
          </cell>
          <cell r="AY305" t="e">
            <v>#VALUE!</v>
          </cell>
          <cell r="AZ305" t="e">
            <v>#VALUE!</v>
          </cell>
          <cell r="BA305" t="e">
            <v>#VALUE!</v>
          </cell>
          <cell r="BB305" t="e">
            <v>#VALUE!</v>
          </cell>
          <cell r="BC305" t="e">
            <v>#VALUE!</v>
          </cell>
          <cell r="BD305" t="e">
            <v>#VALUE!</v>
          </cell>
          <cell r="BE305" t="e">
            <v>#VALUE!</v>
          </cell>
        </row>
        <row r="309">
          <cell r="H309">
            <v>0</v>
          </cell>
          <cell r="I309">
            <v>0</v>
          </cell>
          <cell r="J309">
            <v>0.5</v>
          </cell>
          <cell r="K309">
            <v>0</v>
          </cell>
          <cell r="L309">
            <v>0</v>
          </cell>
          <cell r="M309">
            <v>0.5</v>
          </cell>
          <cell r="N309">
            <v>0</v>
          </cell>
          <cell r="O309">
            <v>0</v>
          </cell>
          <cell r="P309">
            <v>0</v>
          </cell>
          <cell r="Q309">
            <v>0</v>
          </cell>
          <cell r="R309">
            <v>193.71250000000001</v>
          </cell>
          <cell r="S309">
            <v>0</v>
          </cell>
          <cell r="T309" t="str">
            <v xml:space="preserve">NA </v>
          </cell>
          <cell r="U309">
            <v>71.149000000000001</v>
          </cell>
          <cell r="V309">
            <v>430.10399999999998</v>
          </cell>
          <cell r="W309">
            <v>0</v>
          </cell>
          <cell r="X309">
            <v>598.23099999999999</v>
          </cell>
          <cell r="Y309">
            <v>805.12</v>
          </cell>
          <cell r="Z309" t="str">
            <v xml:space="preserve">NA </v>
          </cell>
          <cell r="AA309" t="str">
            <v xml:space="preserve">NA </v>
          </cell>
          <cell r="AB309">
            <v>36038.432499999995</v>
          </cell>
          <cell r="AC309">
            <v>3814.9940000000001</v>
          </cell>
          <cell r="AD309" t="str">
            <v xml:space="preserve">NA </v>
          </cell>
          <cell r="AE309">
            <v>1346.4490000000001</v>
          </cell>
          <cell r="AF309">
            <v>2558.2429999999999</v>
          </cell>
          <cell r="AG309">
            <v>774.71799999999996</v>
          </cell>
          <cell r="AH309">
            <v>430.10399999999998</v>
          </cell>
          <cell r="AI309" t="str">
            <v xml:space="preserve">NA </v>
          </cell>
          <cell r="AJ309" t="str">
            <v xml:space="preserve">NA </v>
          </cell>
          <cell r="AK309">
            <v>2880</v>
          </cell>
          <cell r="AL309">
            <v>23460.400000000001</v>
          </cell>
          <cell r="AM309">
            <v>1179.4469999999999</v>
          </cell>
          <cell r="AN309">
            <v>149.46250000000001</v>
          </cell>
          <cell r="AO309" t="str">
            <v xml:space="preserve">NA </v>
          </cell>
          <cell r="AP309">
            <v>871.06933333333325</v>
          </cell>
          <cell r="AQ309" t="str">
            <v xml:space="preserve">NA </v>
          </cell>
          <cell r="AR309">
            <v>871.06933333333325</v>
          </cell>
          <cell r="AS309">
            <v>774.71799999999996</v>
          </cell>
          <cell r="AT309" t="str">
            <v xml:space="preserve">NA </v>
          </cell>
          <cell r="AU309">
            <v>19772.669999999998</v>
          </cell>
          <cell r="AV309">
            <v>19772.669999999998</v>
          </cell>
          <cell r="AW309" t="str">
            <v xml:space="preserve">NA </v>
          </cell>
          <cell r="AX309" t="str">
            <v xml:space="preserve">NA </v>
          </cell>
          <cell r="AY309" t="str">
            <v xml:space="preserve">NA </v>
          </cell>
          <cell r="AZ309" t="str">
            <v xml:space="preserve">NA </v>
          </cell>
          <cell r="BA309" t="str">
            <v xml:space="preserve">NA </v>
          </cell>
          <cell r="BB309" t="str">
            <v xml:space="preserve">NA </v>
          </cell>
          <cell r="BC309" t="str">
            <v xml:space="preserve">NA </v>
          </cell>
          <cell r="BD309" t="str">
            <v xml:space="preserve">NA </v>
          </cell>
          <cell r="BE309" t="str">
            <v xml:space="preserve">NA </v>
          </cell>
        </row>
        <row r="310">
          <cell r="H310">
            <v>651.88599999999997</v>
          </cell>
          <cell r="I310">
            <v>297.774</v>
          </cell>
          <cell r="J310">
            <v>74.204000000000008</v>
          </cell>
          <cell r="K310">
            <v>865.8</v>
          </cell>
          <cell r="L310">
            <v>286.60300000000001</v>
          </cell>
          <cell r="M310">
            <v>863.29</v>
          </cell>
          <cell r="N310">
            <v>1179.02</v>
          </cell>
          <cell r="O310">
            <v>104.3</v>
          </cell>
          <cell r="P310">
            <v>1298.22</v>
          </cell>
          <cell r="Q310">
            <v>2055.6999999999998</v>
          </cell>
          <cell r="R310">
            <v>792.83749999999998</v>
          </cell>
          <cell r="S310">
            <v>902.26099999999997</v>
          </cell>
          <cell r="T310" t="str">
            <v xml:space="preserve">NA </v>
          </cell>
          <cell r="U310">
            <v>105.1</v>
          </cell>
          <cell r="V310">
            <v>1170.8699999999999</v>
          </cell>
          <cell r="W310">
            <v>651.88599999999997</v>
          </cell>
          <cell r="X310">
            <v>706.82500000000005</v>
          </cell>
          <cell r="Y310">
            <v>1181.761</v>
          </cell>
          <cell r="Z310" t="str">
            <v xml:space="preserve">NA </v>
          </cell>
          <cell r="AA310">
            <v>41782.035000000003</v>
          </cell>
          <cell r="AB310">
            <v>41782.035000000003</v>
          </cell>
          <cell r="AC310">
            <v>4007.8830000000003</v>
          </cell>
          <cell r="AD310" t="str">
            <v xml:space="preserve">NA </v>
          </cell>
          <cell r="AE310">
            <v>1873.2455</v>
          </cell>
          <cell r="AF310">
            <v>2805.6</v>
          </cell>
          <cell r="AG310">
            <v>931.6</v>
          </cell>
          <cell r="AH310">
            <v>1170.8699999999999</v>
          </cell>
          <cell r="AI310">
            <v>826.72300000000007</v>
          </cell>
          <cell r="AJ310" t="str">
            <v xml:space="preserve">NA </v>
          </cell>
          <cell r="AK310">
            <v>3203.14</v>
          </cell>
          <cell r="AL310">
            <v>39302.589999999997</v>
          </cell>
          <cell r="AM310">
            <v>1220.6500000000001</v>
          </cell>
          <cell r="AN310">
            <v>366.50400000000002</v>
          </cell>
          <cell r="AO310" t="str">
            <v xml:space="preserve">NA </v>
          </cell>
          <cell r="AP310">
            <v>1530.0246666666667</v>
          </cell>
          <cell r="AQ310" t="str">
            <v xml:space="preserve">NA </v>
          </cell>
          <cell r="AR310">
            <v>1530.0246666666667</v>
          </cell>
          <cell r="AS310">
            <v>931.6</v>
          </cell>
          <cell r="AT310" t="str">
            <v xml:space="preserve">NA </v>
          </cell>
          <cell r="AU310">
            <v>45340.45</v>
          </cell>
          <cell r="AV310">
            <v>45340.45</v>
          </cell>
          <cell r="AW310" t="str">
            <v xml:space="preserve">NA </v>
          </cell>
          <cell r="AX310" t="str">
            <v xml:space="preserve">NA </v>
          </cell>
          <cell r="AY310" t="str">
            <v xml:space="preserve">NA </v>
          </cell>
          <cell r="AZ310" t="str">
            <v xml:space="preserve">NA </v>
          </cell>
          <cell r="BA310" t="str">
            <v xml:space="preserve">NA </v>
          </cell>
          <cell r="BB310" t="str">
            <v xml:space="preserve">NA </v>
          </cell>
          <cell r="BC310" t="str">
            <v xml:space="preserve">NA </v>
          </cell>
          <cell r="BD310" t="str">
            <v xml:space="preserve">NA </v>
          </cell>
          <cell r="BE310" t="str">
            <v xml:space="preserve">NA </v>
          </cell>
        </row>
        <row r="311">
          <cell r="H311">
            <v>739.88300000000004</v>
          </cell>
          <cell r="I311">
            <v>346.4</v>
          </cell>
          <cell r="J311">
            <v>159.20400000000001</v>
          </cell>
          <cell r="K311">
            <v>937</v>
          </cell>
          <cell r="L311">
            <v>346.274</v>
          </cell>
          <cell r="M311">
            <v>1808.665</v>
          </cell>
          <cell r="N311">
            <v>1241.45</v>
          </cell>
          <cell r="O311">
            <v>122.65</v>
          </cell>
          <cell r="P311">
            <v>1396.81</v>
          </cell>
          <cell r="Q311">
            <v>2192.38</v>
          </cell>
          <cell r="R311">
            <v>881.87869000000001</v>
          </cell>
          <cell r="S311">
            <v>996.26700000000005</v>
          </cell>
          <cell r="T311" t="str">
            <v xml:space="preserve">NA </v>
          </cell>
          <cell r="U311">
            <v>131.9</v>
          </cell>
          <cell r="V311">
            <v>1665.0744999999999</v>
          </cell>
          <cell r="W311">
            <v>739.88300000000004</v>
          </cell>
          <cell r="X311">
            <v>788.39400000000001</v>
          </cell>
          <cell r="Y311">
            <v>1462.2560000000001</v>
          </cell>
          <cell r="Z311" t="str">
            <v xml:space="preserve">NA </v>
          </cell>
          <cell r="AA311">
            <v>47526.497499999998</v>
          </cell>
          <cell r="AB311">
            <v>47526.497499999998</v>
          </cell>
          <cell r="AC311">
            <v>4167.6499999999996</v>
          </cell>
          <cell r="AD311" t="str">
            <v xml:space="preserve">NA </v>
          </cell>
          <cell r="AE311">
            <v>2467.6355199999998</v>
          </cell>
          <cell r="AF311">
            <v>3000</v>
          </cell>
          <cell r="AG311">
            <v>1072.6500000000001</v>
          </cell>
          <cell r="AH311">
            <v>1665.0744999999999</v>
          </cell>
          <cell r="AI311">
            <v>799.10500000000002</v>
          </cell>
          <cell r="AJ311" t="str">
            <v xml:space="preserve">NA </v>
          </cell>
          <cell r="AK311">
            <v>3397.2649999999999</v>
          </cell>
          <cell r="AL311">
            <v>46176.817499999997</v>
          </cell>
          <cell r="AM311">
            <v>1309.6600000000001</v>
          </cell>
          <cell r="AN311">
            <v>574.30956000000003</v>
          </cell>
          <cell r="AO311" t="str">
            <v xml:space="preserve">NA </v>
          </cell>
          <cell r="AP311">
            <v>1763.9683333333332</v>
          </cell>
          <cell r="AQ311" t="str">
            <v xml:space="preserve">NA </v>
          </cell>
          <cell r="AR311">
            <v>1763.9683333333332</v>
          </cell>
          <cell r="AS311">
            <v>1072.6500000000001</v>
          </cell>
          <cell r="AT311" t="str">
            <v xml:space="preserve">NA </v>
          </cell>
          <cell r="AU311">
            <v>54681.75</v>
          </cell>
          <cell r="AV311">
            <v>54681.75</v>
          </cell>
          <cell r="AW311" t="str">
            <v xml:space="preserve">NA </v>
          </cell>
          <cell r="AX311" t="str">
            <v xml:space="preserve">NA </v>
          </cell>
          <cell r="AY311" t="str">
            <v xml:space="preserve">NA </v>
          </cell>
          <cell r="AZ311" t="str">
            <v xml:space="preserve">NA </v>
          </cell>
          <cell r="BA311" t="str">
            <v xml:space="preserve">NA </v>
          </cell>
          <cell r="BB311" t="str">
            <v xml:space="preserve">NA </v>
          </cell>
          <cell r="BC311" t="str">
            <v xml:space="preserve">NA </v>
          </cell>
          <cell r="BD311" t="str">
            <v xml:space="preserve">NA </v>
          </cell>
          <cell r="BE311" t="str">
            <v xml:space="preserve">NA </v>
          </cell>
        </row>
        <row r="312">
          <cell r="H312">
            <v>878.6850508</v>
          </cell>
          <cell r="I312">
            <v>418</v>
          </cell>
          <cell r="J312">
            <v>186.71949999999998</v>
          </cell>
          <cell r="K312">
            <v>1105.6600000000001</v>
          </cell>
          <cell r="L312">
            <v>407.96699999999998</v>
          </cell>
          <cell r="M312">
            <v>2046.16965</v>
          </cell>
          <cell r="N312">
            <v>1322.8</v>
          </cell>
          <cell r="O312">
            <v>150.12360000000001</v>
          </cell>
          <cell r="P312">
            <v>1616.8075749999998</v>
          </cell>
          <cell r="Q312">
            <v>2554.1227000000003</v>
          </cell>
          <cell r="R312">
            <v>881.87869000000001</v>
          </cell>
          <cell r="S312">
            <v>1177.7868473999999</v>
          </cell>
          <cell r="T312" t="str">
            <v xml:space="preserve">NA </v>
          </cell>
          <cell r="U312">
            <v>163.22624999999999</v>
          </cell>
          <cell r="V312">
            <v>2096.6757716000002</v>
          </cell>
          <cell r="W312">
            <v>878.6850508</v>
          </cell>
          <cell r="X312">
            <v>911.93533980000007</v>
          </cell>
          <cell r="Y312">
            <v>1839.0793712000002</v>
          </cell>
          <cell r="Z312" t="str">
            <v xml:space="preserve">NA </v>
          </cell>
          <cell r="AA312" t="str">
            <v xml:space="preserve">NA </v>
          </cell>
          <cell r="AB312" t="str">
            <v xml:space="preserve">NA </v>
          </cell>
          <cell r="AC312">
            <v>4709.4444999999987</v>
          </cell>
          <cell r="AD312" t="str">
            <v xml:space="preserve">NA </v>
          </cell>
          <cell r="AE312">
            <v>2467.6355199999998</v>
          </cell>
          <cell r="AF312">
            <v>3450</v>
          </cell>
          <cell r="AG312">
            <v>1304.6641950000001</v>
          </cell>
          <cell r="AH312">
            <v>2096.6757716000002</v>
          </cell>
          <cell r="AI312">
            <v>879.01550000000009</v>
          </cell>
          <cell r="AJ312" t="str">
            <v xml:space="preserve">NA </v>
          </cell>
          <cell r="AK312">
            <v>3935.0520495000001</v>
          </cell>
          <cell r="AL312">
            <v>52035.112500000003</v>
          </cell>
          <cell r="AM312">
            <v>1459.4851040000001</v>
          </cell>
          <cell r="AN312">
            <v>574.30956000000003</v>
          </cell>
          <cell r="AO312" t="str">
            <v xml:space="preserve">NA </v>
          </cell>
          <cell r="AP312">
            <v>2052.1066880000003</v>
          </cell>
          <cell r="AQ312" t="str">
            <v xml:space="preserve">NA </v>
          </cell>
          <cell r="AR312">
            <v>2052.1066880000003</v>
          </cell>
          <cell r="AS312">
            <v>1304.6641950000001</v>
          </cell>
          <cell r="AT312" t="str">
            <v xml:space="preserve">NA </v>
          </cell>
          <cell r="AU312">
            <v>62265.919999999998</v>
          </cell>
          <cell r="AV312">
            <v>62265.919999999998</v>
          </cell>
          <cell r="AW312" t="str">
            <v xml:space="preserve">NA </v>
          </cell>
          <cell r="AX312" t="str">
            <v xml:space="preserve">NA </v>
          </cell>
          <cell r="AY312" t="str">
            <v xml:space="preserve">NA </v>
          </cell>
          <cell r="AZ312" t="str">
            <v xml:space="preserve">NA </v>
          </cell>
          <cell r="BA312" t="str">
            <v xml:space="preserve">NA </v>
          </cell>
          <cell r="BB312" t="str">
            <v xml:space="preserve">NA </v>
          </cell>
          <cell r="BC312" t="str">
            <v xml:space="preserve">NA </v>
          </cell>
          <cell r="BD312" t="str">
            <v xml:space="preserve">NA </v>
          </cell>
          <cell r="BE312" t="str">
            <v xml:space="preserve">NA </v>
          </cell>
        </row>
        <row r="319">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row>
        <row r="322">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1018.396</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row>
        <row r="323">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88.572000000000003</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row>
        <row r="324">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9.9600000000000009</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row>
        <row r="325">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row>
        <row r="326">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98.532000000000011</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row>
        <row r="327">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98.532000000000011</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row>
        <row r="328">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57.956000000000003</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row>
        <row r="329">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1.7173674697010106</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row>
        <row r="333">
          <cell r="H333" t="e">
            <v>#DIV/0!</v>
          </cell>
          <cell r="I333" t="e">
            <v>#DIV/0!</v>
          </cell>
          <cell r="J333" t="e">
            <v>#DIV/0!</v>
          </cell>
          <cell r="K333" t="e">
            <v>#DIV/0!</v>
          </cell>
          <cell r="L333" t="e">
            <v>#DIV/0!</v>
          </cell>
          <cell r="M333" t="e">
            <v>#DIV/0!</v>
          </cell>
          <cell r="N333" t="e">
            <v>#DIV/0!</v>
          </cell>
          <cell r="O333" t="e">
            <v>#DIV/0!</v>
          </cell>
          <cell r="P333" t="e">
            <v>#DIV/0!</v>
          </cell>
          <cell r="Q333" t="e">
            <v>#DIV/0!</v>
          </cell>
          <cell r="R333" t="e">
            <v>#DIV/0!</v>
          </cell>
          <cell r="S333" t="e">
            <v>#DIV/0!</v>
          </cell>
          <cell r="T333" t="e">
            <v>#VALUE!</v>
          </cell>
          <cell r="U333">
            <v>3.3068320810763586E-2</v>
          </cell>
          <cell r="V333">
            <v>0.47698989924722007</v>
          </cell>
          <cell r="W333">
            <v>1.1277874807805904E-2</v>
          </cell>
          <cell r="X333">
            <v>1.0053782918395942</v>
          </cell>
          <cell r="Y333">
            <v>0</v>
          </cell>
          <cell r="Z333" t="e">
            <v>#N/A</v>
          </cell>
          <cell r="AA333">
            <v>0.48502187288828819</v>
          </cell>
          <cell r="AB333">
            <v>0.36984786218335464</v>
          </cell>
          <cell r="AC333">
            <v>0.63947481761564662</v>
          </cell>
          <cell r="AD333" t="e">
            <v>#N/A</v>
          </cell>
          <cell r="AE333">
            <v>0.3848782860908066</v>
          </cell>
          <cell r="AF333">
            <v>0.3629360002827155</v>
          </cell>
          <cell r="AG333">
            <v>0.88126700666416846</v>
          </cell>
          <cell r="AH333" t="e">
            <v>#DIV/0!</v>
          </cell>
          <cell r="AI333" t="e">
            <v>#DIV/0!</v>
          </cell>
          <cell r="AJ333" t="e">
            <v>#VALUE!</v>
          </cell>
          <cell r="AK333">
            <v>21.090308370044053</v>
          </cell>
          <cell r="AL333">
            <v>0.33343385605146769</v>
          </cell>
          <cell r="AM333">
            <v>0.55622296303024366</v>
          </cell>
          <cell r="AN333">
            <v>0.13773922256804186</v>
          </cell>
          <cell r="AO333" t="e">
            <v>#N/A</v>
          </cell>
          <cell r="AP333" t="e">
            <v>#DIV/0!</v>
          </cell>
          <cell r="AQ333" t="e">
            <v>#VALUE!</v>
          </cell>
          <cell r="AR333">
            <v>0</v>
          </cell>
          <cell r="AS333">
            <v>0.88126700666416846</v>
          </cell>
          <cell r="AT333" t="e">
            <v>#N/A</v>
          </cell>
          <cell r="AU333" t="e">
            <v>#DIV/0!</v>
          </cell>
          <cell r="AV333">
            <v>0.43445707843453052</v>
          </cell>
          <cell r="AW333" t="e">
            <v>#VALUE!</v>
          </cell>
          <cell r="AX333" t="e">
            <v>#VALUE!</v>
          </cell>
          <cell r="AY333" t="e">
            <v>#VALUE!</v>
          </cell>
          <cell r="AZ333" t="e">
            <v>#VALUE!</v>
          </cell>
          <cell r="BA333" t="e">
            <v>#VALUE!</v>
          </cell>
          <cell r="BB333" t="e">
            <v>#VALUE!</v>
          </cell>
          <cell r="BC333" t="e">
            <v>#VALUE!</v>
          </cell>
          <cell r="BD333" t="e">
            <v>#VALUE!</v>
          </cell>
          <cell r="BE333" t="e">
            <v>#VALUE!</v>
          </cell>
        </row>
        <row r="334">
          <cell r="H334" t="e">
            <v>#DIV/0!</v>
          </cell>
          <cell r="I334" t="e">
            <v>#DIV/0!</v>
          </cell>
          <cell r="J334" t="e">
            <v>#DIV/0!</v>
          </cell>
          <cell r="K334" t="e">
            <v>#DIV/0!</v>
          </cell>
          <cell r="L334" t="e">
            <v>#DIV/0!</v>
          </cell>
          <cell r="M334" t="e">
            <v>#DIV/0!</v>
          </cell>
          <cell r="N334" t="e">
            <v>#DIV/0!</v>
          </cell>
          <cell r="O334" t="e">
            <v>#DIV/0!</v>
          </cell>
          <cell r="P334" t="e">
            <v>#DIV/0!</v>
          </cell>
          <cell r="Q334" t="e">
            <v>#DIV/0!</v>
          </cell>
          <cell r="R334" t="e">
            <v>#DIV/0!</v>
          </cell>
          <cell r="S334" t="e">
            <v>#DIV/0!</v>
          </cell>
          <cell r="T334" t="e">
            <v>#VALUE!</v>
          </cell>
          <cell r="U334">
            <v>3.2009810139963631E-2</v>
          </cell>
          <cell r="V334">
            <v>0.32294729942996109</v>
          </cell>
          <cell r="W334">
            <v>1.1152102788711038E-2</v>
          </cell>
          <cell r="X334">
            <v>0.50134096690421948</v>
          </cell>
          <cell r="Y334">
            <v>0</v>
          </cell>
          <cell r="Z334" t="e">
            <v>#N/A</v>
          </cell>
          <cell r="AA334">
            <v>0.3266092451183541</v>
          </cell>
          <cell r="AB334">
            <v>0.26999192566820268</v>
          </cell>
          <cell r="AC334">
            <v>0.39004857576626906</v>
          </cell>
          <cell r="AD334" t="e">
            <v>#N/A</v>
          </cell>
          <cell r="AE334">
            <v>0.27791488245312129</v>
          </cell>
          <cell r="AF334">
            <v>0.26628983327715405</v>
          </cell>
          <cell r="AG334">
            <v>0.4684433435245412</v>
          </cell>
          <cell r="AH334" t="e">
            <v>#DIV/0!</v>
          </cell>
          <cell r="AI334" t="e">
            <v>#DIV/0!</v>
          </cell>
          <cell r="AJ334" t="e">
            <v>#VALUE!</v>
          </cell>
          <cell r="AK334">
            <v>0.95473127929005885</v>
          </cell>
          <cell r="AL334">
            <v>0.25005653976630232</v>
          </cell>
          <cell r="AM334">
            <v>0.35741855520958149</v>
          </cell>
          <cell r="AN334">
            <v>0.12106396600896339</v>
          </cell>
          <cell r="AO334" t="e">
            <v>#N/A</v>
          </cell>
          <cell r="AP334" t="e">
            <v>#DIV/0!</v>
          </cell>
          <cell r="AQ334" t="e">
            <v>#VALUE!</v>
          </cell>
          <cell r="AR334">
            <v>0</v>
          </cell>
          <cell r="AS334">
            <v>0.4684433435245412</v>
          </cell>
          <cell r="AT334" t="e">
            <v>#N/A</v>
          </cell>
          <cell r="AU334" t="e">
            <v>#DIV/0!</v>
          </cell>
          <cell r="AV334">
            <v>0.30287213536473856</v>
          </cell>
          <cell r="AW334" t="e">
            <v>#VALUE!</v>
          </cell>
          <cell r="AX334" t="e">
            <v>#VALUE!</v>
          </cell>
          <cell r="AY334" t="e">
            <v>#VALUE!</v>
          </cell>
          <cell r="AZ334" t="e">
            <v>#VALUE!</v>
          </cell>
          <cell r="BA334" t="e">
            <v>#VALUE!</v>
          </cell>
          <cell r="BB334" t="e">
            <v>#VALUE!</v>
          </cell>
          <cell r="BC334" t="e">
            <v>#VALUE!</v>
          </cell>
          <cell r="BD334" t="e">
            <v>#VALUE!</v>
          </cell>
          <cell r="BE334" t="e">
            <v>#VALUE!</v>
          </cell>
        </row>
        <row r="335">
          <cell r="H335">
            <v>0</v>
          </cell>
          <cell r="I335">
            <v>0</v>
          </cell>
          <cell r="J335">
            <v>0</v>
          </cell>
          <cell r="K335">
            <v>0</v>
          </cell>
          <cell r="L335">
            <v>0</v>
          </cell>
          <cell r="M335">
            <v>0</v>
          </cell>
          <cell r="N335">
            <v>0</v>
          </cell>
          <cell r="O335">
            <v>0</v>
          </cell>
          <cell r="P335">
            <v>0</v>
          </cell>
          <cell r="Q335">
            <v>0</v>
          </cell>
          <cell r="R335">
            <v>0</v>
          </cell>
          <cell r="S335">
            <v>0</v>
          </cell>
          <cell r="T335" t="e">
            <v>#VALUE!</v>
          </cell>
          <cell r="U335">
            <v>8.8588866269284829E-3</v>
          </cell>
          <cell r="V335">
            <v>0.15307732625778603</v>
          </cell>
          <cell r="W335">
            <v>1.1574160335215539E-2</v>
          </cell>
          <cell r="X335">
            <v>0.22820228024703099</v>
          </cell>
          <cell r="Y335">
            <v>0</v>
          </cell>
          <cell r="Z335" t="e">
            <v>#N/A</v>
          </cell>
          <cell r="AA335">
            <v>8.8481266666178393E-2</v>
          </cell>
          <cell r="AB335">
            <v>0.15095192856660783</v>
          </cell>
          <cell r="AC335">
            <v>0.40164981543094397</v>
          </cell>
          <cell r="AD335" t="e">
            <v>#N/A</v>
          </cell>
          <cell r="AE335">
            <v>0.22387679760513463</v>
          </cell>
          <cell r="AF335">
            <v>0.10775239109060843</v>
          </cell>
          <cell r="AG335">
            <v>0.26001184308563613</v>
          </cell>
          <cell r="AH335">
            <v>0</v>
          </cell>
          <cell r="AI335" t="e">
            <v>#DIV/0!</v>
          </cell>
          <cell r="AJ335" t="e">
            <v>#VALUE!</v>
          </cell>
          <cell r="AK335">
            <v>0.57221913452976436</v>
          </cell>
          <cell r="AL335">
            <v>0.13857194033093087</v>
          </cell>
          <cell r="AM335">
            <v>0.12063472892986141</v>
          </cell>
          <cell r="AN335">
            <v>0.16923387716085408</v>
          </cell>
          <cell r="AO335" t="e">
            <v>#N/A</v>
          </cell>
          <cell r="AP335" t="e">
            <v>#DIV/0!</v>
          </cell>
          <cell r="AQ335" t="e">
            <v>#VALUE!</v>
          </cell>
          <cell r="AR335">
            <v>0</v>
          </cell>
          <cell r="AS335">
            <v>0.50002277516468485</v>
          </cell>
          <cell r="AT335" t="e">
            <v>#N/A</v>
          </cell>
          <cell r="AU335" t="e">
            <v>#DIV/0!</v>
          </cell>
          <cell r="AV335">
            <v>9.0651199365535964E-2</v>
          </cell>
          <cell r="AW335" t="e">
            <v>#VALUE!</v>
          </cell>
          <cell r="AX335" t="e">
            <v>#VALUE!</v>
          </cell>
          <cell r="AY335" t="e">
            <v>#VALUE!</v>
          </cell>
          <cell r="AZ335" t="e">
            <v>#VALUE!</v>
          </cell>
          <cell r="BA335" t="e">
            <v>#VALUE!</v>
          </cell>
          <cell r="BB335" t="e">
            <v>#VALUE!</v>
          </cell>
          <cell r="BC335" t="e">
            <v>#VALUE!</v>
          </cell>
          <cell r="BD335" t="e">
            <v>#VALUE!</v>
          </cell>
          <cell r="BE335" t="e">
            <v>#VALUE!</v>
          </cell>
        </row>
        <row r="336">
          <cell r="H336" t="e">
            <v>#DIV/0!</v>
          </cell>
          <cell r="I336" t="e">
            <v>#DIV/0!</v>
          </cell>
          <cell r="J336" t="e">
            <v>#DIV/0!</v>
          </cell>
          <cell r="K336" t="e">
            <v>#DIV/0!</v>
          </cell>
          <cell r="L336" t="e">
            <v>#DIV/0!</v>
          </cell>
          <cell r="M336" t="e">
            <v>#DIV/0!</v>
          </cell>
          <cell r="N336" t="e">
            <v>#DIV/0!</v>
          </cell>
          <cell r="O336" t="e">
            <v>#DIV/0!</v>
          </cell>
          <cell r="P336" t="e">
            <v>#DIV/0!</v>
          </cell>
          <cell r="Q336" t="e">
            <v>#DIV/0!</v>
          </cell>
          <cell r="R336" t="e">
            <v>#DIV/0!</v>
          </cell>
          <cell r="S336" t="e">
            <v>#DIV/0!</v>
          </cell>
          <cell r="T336" t="e">
            <v>#DIV/0!</v>
          </cell>
          <cell r="U336">
            <v>-6.082077051926297</v>
          </cell>
          <cell r="V336">
            <v>213.01112877583466</v>
          </cell>
          <cell r="W336">
            <v>13.896939726316541</v>
          </cell>
          <cell r="X336">
            <v>6.230862602294529</v>
          </cell>
          <cell r="Y336" t="e">
            <v>#DIV/0!</v>
          </cell>
          <cell r="Z336">
            <v>2.2921025796672843</v>
          </cell>
          <cell r="AA336">
            <v>8.0582519110751996</v>
          </cell>
          <cell r="AB336">
            <v>4.0286063574090729</v>
          </cell>
          <cell r="AC336">
            <v>7.1056276516096846</v>
          </cell>
          <cell r="AD336" t="e">
            <v>#DIV/0!</v>
          </cell>
          <cell r="AE336">
            <v>2.6400159638153511</v>
          </cell>
          <cell r="AF336">
            <v>11.833591515729267</v>
          </cell>
          <cell r="AG336">
            <v>8.8584567070435174</v>
          </cell>
          <cell r="AH336" t="e">
            <v>#DIV/0!</v>
          </cell>
          <cell r="AI336">
            <v>-0.13712742548509654</v>
          </cell>
          <cell r="AJ336">
            <v>10.242457519361924</v>
          </cell>
          <cell r="AK336">
            <v>3.2163009404388712</v>
          </cell>
          <cell r="AL336">
            <v>8.6789667896678964</v>
          </cell>
          <cell r="AM336">
            <v>17.576351106274934</v>
          </cell>
          <cell r="AN336">
            <v>32.076923076923066</v>
          </cell>
          <cell r="AO336" t="e">
            <v>#DIV/0!</v>
          </cell>
          <cell r="AP336">
            <v>13.890128512921903</v>
          </cell>
          <cell r="AQ336">
            <v>84.798492366412205</v>
          </cell>
          <cell r="AR336">
            <v>31.495881862703154</v>
          </cell>
          <cell r="AS336">
            <v>8.8584567070435192</v>
          </cell>
          <cell r="AT336" t="e">
            <v>#DIV/0!</v>
          </cell>
          <cell r="AU336">
            <v>14.664827586206901</v>
          </cell>
          <cell r="AV336">
            <v>14.292585904251965</v>
          </cell>
          <cell r="AW336" t="e">
            <v>#DIV/0!</v>
          </cell>
          <cell r="AX336" t="e">
            <v>#DIV/0!</v>
          </cell>
          <cell r="AY336" t="e">
            <v>#DIV/0!</v>
          </cell>
          <cell r="AZ336" t="e">
            <v>#DIV/0!</v>
          </cell>
          <cell r="BA336" t="e">
            <v>#DIV/0!</v>
          </cell>
          <cell r="BB336" t="e">
            <v>#DIV/0!</v>
          </cell>
          <cell r="BC336" t="e">
            <v>#DIV/0!</v>
          </cell>
          <cell r="BD336" t="e">
            <v>#DIV/0!</v>
          </cell>
          <cell r="BE336" t="e">
            <v>#DIV/0!</v>
          </cell>
        </row>
        <row r="337">
          <cell r="H337" t="e">
            <v>#DIV/0!</v>
          </cell>
          <cell r="I337" t="e">
            <v>#DIV/0!</v>
          </cell>
          <cell r="J337" t="e">
            <v>#DIV/0!</v>
          </cell>
          <cell r="K337" t="e">
            <v>#DIV/0!</v>
          </cell>
          <cell r="L337" t="e">
            <v>#DIV/0!</v>
          </cell>
          <cell r="M337" t="e">
            <v>#DIV/0!</v>
          </cell>
          <cell r="N337" t="e">
            <v>#DIV/0!</v>
          </cell>
          <cell r="O337" t="e">
            <v>#DIV/0!</v>
          </cell>
          <cell r="P337" t="e">
            <v>#DIV/0!</v>
          </cell>
          <cell r="Q337" t="e">
            <v>#DIV/0!</v>
          </cell>
          <cell r="R337" t="e">
            <v>#DIV/0!</v>
          </cell>
          <cell r="S337" t="e">
            <v>#DIV/0!</v>
          </cell>
          <cell r="T337" t="e">
            <v>#DIV/0!</v>
          </cell>
          <cell r="U337">
            <v>12.788107202680068</v>
          </cell>
          <cell r="V337">
            <v>183.0643879173291</v>
          </cell>
          <cell r="W337">
            <v>10.900300996522862</v>
          </cell>
          <cell r="X337">
            <v>3.3893652844668929</v>
          </cell>
          <cell r="Y337" t="e">
            <v>#DIV/0!</v>
          </cell>
          <cell r="Z337">
            <v>1.907295578162679</v>
          </cell>
          <cell r="AA337">
            <v>7.5281797208075956</v>
          </cell>
          <cell r="AB337">
            <v>3.7580260982298852</v>
          </cell>
          <cell r="AC337">
            <v>6.7022086348889447</v>
          </cell>
          <cell r="AD337" t="e">
            <v>#DIV/0!</v>
          </cell>
          <cell r="AE337">
            <v>1.1162032725821469</v>
          </cell>
          <cell r="AF337">
            <v>8.4041348903717843</v>
          </cell>
          <cell r="AG337">
            <v>4.0978764767459248</v>
          </cell>
          <cell r="AH337" t="e">
            <v>#DIV/0!</v>
          </cell>
          <cell r="AI337">
            <v>0.65279722611188939</v>
          </cell>
          <cell r="AJ337">
            <v>9.1291950834200293</v>
          </cell>
          <cell r="AK337">
            <v>2.7774294670846396</v>
          </cell>
          <cell r="AL337">
            <v>7.4086715867158661</v>
          </cell>
          <cell r="AM337">
            <v>10.940938217869663</v>
          </cell>
          <cell r="AN337">
            <v>-38.282051282051306</v>
          </cell>
          <cell r="AO337" t="e">
            <v>#DIV/0!</v>
          </cell>
          <cell r="AP337">
            <v>12.057760203361106</v>
          </cell>
          <cell r="AQ337">
            <v>82.002246183206111</v>
          </cell>
          <cell r="AR337">
            <v>28.103792256201871</v>
          </cell>
          <cell r="AS337">
            <v>4.0978764767459266</v>
          </cell>
          <cell r="AT337" t="e">
            <v>#DIV/0!</v>
          </cell>
          <cell r="AU337">
            <v>12.647586206896555</v>
          </cell>
          <cell r="AV337">
            <v>12.017288191243516</v>
          </cell>
          <cell r="AW337" t="e">
            <v>#DIV/0!</v>
          </cell>
          <cell r="AX337" t="e">
            <v>#DIV/0!</v>
          </cell>
          <cell r="AY337" t="e">
            <v>#DIV/0!</v>
          </cell>
          <cell r="AZ337" t="e">
            <v>#DIV/0!</v>
          </cell>
          <cell r="BA337" t="e">
            <v>#DIV/0!</v>
          </cell>
          <cell r="BB337" t="e">
            <v>#DIV/0!</v>
          </cell>
          <cell r="BC337" t="e">
            <v>#DIV/0!</v>
          </cell>
          <cell r="BD337" t="e">
            <v>#DIV/0!</v>
          </cell>
          <cell r="BE337" t="e">
            <v>#DIV/0!</v>
          </cell>
        </row>
        <row r="338">
          <cell r="H338" t="str">
            <v xml:space="preserve">NA </v>
          </cell>
          <cell r="I338" t="str">
            <v xml:space="preserve">NA </v>
          </cell>
          <cell r="J338" t="str">
            <v xml:space="preserve">NA </v>
          </cell>
          <cell r="K338" t="str">
            <v xml:space="preserve">NA </v>
          </cell>
          <cell r="L338" t="str">
            <v xml:space="preserve">NA </v>
          </cell>
          <cell r="M338" t="str">
            <v xml:space="preserve">NA </v>
          </cell>
          <cell r="N338" t="str">
            <v xml:space="preserve">NA </v>
          </cell>
          <cell r="O338" t="str">
            <v xml:space="preserve">NA </v>
          </cell>
          <cell r="P338" t="str">
            <v xml:space="preserve">NA </v>
          </cell>
          <cell r="Q338" t="str">
            <v xml:space="preserve">NA </v>
          </cell>
          <cell r="R338" t="str">
            <v xml:space="preserve">NA </v>
          </cell>
          <cell r="S338" t="str">
            <v xml:space="preserve">NA </v>
          </cell>
          <cell r="T338" t="str">
            <v xml:space="preserve">NA </v>
          </cell>
          <cell r="U338">
            <v>0.41696502340952912</v>
          </cell>
          <cell r="V338">
            <v>0.85842327456111855</v>
          </cell>
          <cell r="W338">
            <v>0.1540055218861287</v>
          </cell>
          <cell r="X338">
            <v>2.418952091011056</v>
          </cell>
          <cell r="Y338">
            <v>0</v>
          </cell>
          <cell r="Z338" t="e">
            <v>#N/A</v>
          </cell>
          <cell r="AA338">
            <v>1.3494587266718119</v>
          </cell>
          <cell r="AB338">
            <v>1.6634942416995746</v>
          </cell>
          <cell r="AC338">
            <v>2.1250076829193336</v>
          </cell>
          <cell r="AD338" t="str">
            <v xml:space="preserve">NA </v>
          </cell>
          <cell r="AE338">
            <v>3.2496230437269276</v>
          </cell>
          <cell r="AF338">
            <v>1.3705101447109251</v>
          </cell>
          <cell r="AG338">
            <v>1.861696268759466</v>
          </cell>
          <cell r="AH338">
            <v>0</v>
          </cell>
          <cell r="AI338" t="e">
            <v>#DIV/0!</v>
          </cell>
          <cell r="AJ338" t="e">
            <v>#VALUE!</v>
          </cell>
          <cell r="AK338">
            <v>3.1107862248213132</v>
          </cell>
          <cell r="AL338">
            <v>1.4102891156462587</v>
          </cell>
          <cell r="AM338">
            <v>1.5411352786605583</v>
          </cell>
          <cell r="AN338">
            <v>16.747181964573283</v>
          </cell>
          <cell r="AO338" t="str">
            <v xml:space="preserve">NA </v>
          </cell>
          <cell r="AP338" t="e">
            <v>#DIV/0!</v>
          </cell>
          <cell r="AQ338" t="e">
            <v>#VALUE!</v>
          </cell>
          <cell r="AR338">
            <v>0</v>
          </cell>
          <cell r="AS338">
            <v>1.8616962687594658</v>
          </cell>
          <cell r="AT338" t="e">
            <v>#N/A</v>
          </cell>
          <cell r="AU338" t="e">
            <v>#DIV/0!</v>
          </cell>
          <cell r="AV338">
            <v>1.1931299833650095</v>
          </cell>
          <cell r="AW338" t="str">
            <v xml:space="preserve">NA </v>
          </cell>
          <cell r="AX338" t="str">
            <v xml:space="preserve">NA </v>
          </cell>
          <cell r="AY338" t="str">
            <v xml:space="preserve">NA </v>
          </cell>
          <cell r="AZ338" t="str">
            <v xml:space="preserve">NA </v>
          </cell>
          <cell r="BA338" t="str">
            <v xml:space="preserve">NA </v>
          </cell>
          <cell r="BB338" t="str">
            <v xml:space="preserve">NA </v>
          </cell>
          <cell r="BC338" t="str">
            <v xml:space="preserve">NA </v>
          </cell>
          <cell r="BD338" t="str">
            <v xml:space="preserve">NA </v>
          </cell>
          <cell r="BE338" t="str">
            <v xml:space="preserve">NA </v>
          </cell>
        </row>
        <row r="339">
          <cell r="H339" t="e">
            <v>#DIV/0!</v>
          </cell>
          <cell r="I339" t="e">
            <v>#DIV/0!</v>
          </cell>
          <cell r="J339" t="e">
            <v>#DIV/0!</v>
          </cell>
          <cell r="K339" t="e">
            <v>#DIV/0!</v>
          </cell>
          <cell r="L339" t="e">
            <v>#DIV/0!</v>
          </cell>
          <cell r="M339" t="e">
            <v>#DIV/0!</v>
          </cell>
          <cell r="N339" t="e">
            <v>#DIV/0!</v>
          </cell>
          <cell r="O339" t="e">
            <v>#DIV/0!</v>
          </cell>
          <cell r="P339" t="e">
            <v>#DIV/0!</v>
          </cell>
          <cell r="Q339" t="e">
            <v>#DIV/0!</v>
          </cell>
          <cell r="R339" t="e">
            <v>#DIV/0!</v>
          </cell>
          <cell r="S339" t="e">
            <v>#DIV/0!</v>
          </cell>
          <cell r="T339" t="e">
            <v>#VALUE!</v>
          </cell>
          <cell r="U339">
            <v>3.7433088971579043E-2</v>
          </cell>
          <cell r="V339">
            <v>0.47698989924722007</v>
          </cell>
          <cell r="W339">
            <v>3.3339900235620445E-2</v>
          </cell>
          <cell r="X339">
            <v>1.0871996220610349</v>
          </cell>
          <cell r="Y339">
            <v>0</v>
          </cell>
          <cell r="Z339" t="e">
            <v>#N/A</v>
          </cell>
          <cell r="AA339">
            <v>0.55246070855053886</v>
          </cell>
          <cell r="AB339">
            <v>1.0124909590921907</v>
          </cell>
          <cell r="AC339">
            <v>1.3435201376745218</v>
          </cell>
          <cell r="AD339" t="e">
            <v>#N/A</v>
          </cell>
          <cell r="AE339">
            <v>0.5047323707077559</v>
          </cell>
          <cell r="AF339">
            <v>0.61969159029636589</v>
          </cell>
          <cell r="AG339">
            <v>2.1141382949614984</v>
          </cell>
          <cell r="AH339" t="e">
            <v>#DIV/0!</v>
          </cell>
          <cell r="AI339" t="e">
            <v>#DIV/0!</v>
          </cell>
          <cell r="AJ339" t="e">
            <v>#VALUE!</v>
          </cell>
          <cell r="AK339">
            <v>21.090308370044053</v>
          </cell>
          <cell r="AL339">
            <v>0.44154547572298591</v>
          </cell>
          <cell r="AM339">
            <v>0.66090951676104215</v>
          </cell>
          <cell r="AN339">
            <v>0.22972256582435063</v>
          </cell>
          <cell r="AO339" t="e">
            <v>#N/A</v>
          </cell>
          <cell r="AP339" t="e">
            <v>#DIV/0!</v>
          </cell>
          <cell r="AQ339" t="e">
            <v>#VALUE!</v>
          </cell>
          <cell r="AR339">
            <v>0</v>
          </cell>
          <cell r="AS339">
            <v>2.1141382949614984</v>
          </cell>
          <cell r="AT339" t="e">
            <v>#N/A</v>
          </cell>
          <cell r="AU339" t="e">
            <v>#DIV/0!</v>
          </cell>
          <cell r="AV339">
            <v>0.55786835927749412</v>
          </cell>
          <cell r="AW339" t="e">
            <v>#VALUE!</v>
          </cell>
          <cell r="AX339" t="e">
            <v>#VALUE!</v>
          </cell>
          <cell r="AY339" t="e">
            <v>#VALUE!</v>
          </cell>
          <cell r="AZ339" t="e">
            <v>#VALUE!</v>
          </cell>
          <cell r="BA339" t="e">
            <v>#VALUE!</v>
          </cell>
          <cell r="BB339" t="e">
            <v>#VALUE!</v>
          </cell>
          <cell r="BC339" t="e">
            <v>#VALUE!</v>
          </cell>
          <cell r="BD339" t="e">
            <v>#VALUE!</v>
          </cell>
          <cell r="BE339" t="e">
            <v>#VALUE!</v>
          </cell>
        </row>
        <row r="340">
          <cell r="H340" t="e">
            <v>#DIV/0!</v>
          </cell>
          <cell r="I340" t="e">
            <v>#DIV/0!</v>
          </cell>
          <cell r="J340" t="e">
            <v>#DIV/0!</v>
          </cell>
          <cell r="K340" t="e">
            <v>#DIV/0!</v>
          </cell>
          <cell r="L340" t="e">
            <v>#DIV/0!</v>
          </cell>
          <cell r="M340" t="e">
            <v>#DIV/0!</v>
          </cell>
          <cell r="N340" t="e">
            <v>#DIV/0!</v>
          </cell>
          <cell r="O340" t="e">
            <v>#DIV/0!</v>
          </cell>
          <cell r="P340" t="e">
            <v>#DIV/0!</v>
          </cell>
          <cell r="Q340" t="e">
            <v>#DIV/0!</v>
          </cell>
          <cell r="R340" t="e">
            <v>#DIV/0!</v>
          </cell>
          <cell r="S340" t="e">
            <v>#DIV/0!</v>
          </cell>
          <cell r="T340" t="e">
            <v>#DIV/0!</v>
          </cell>
          <cell r="U340">
            <v>4.0200421940928273</v>
          </cell>
          <cell r="V340" t="e">
            <v>#DIV/0!</v>
          </cell>
          <cell r="W340">
            <v>5.6952372302296492</v>
          </cell>
          <cell r="X340">
            <v>2.8304906039887427</v>
          </cell>
          <cell r="Y340">
            <v>2.2835275535531014</v>
          </cell>
          <cell r="Z340">
            <v>1.5380873546448712</v>
          </cell>
          <cell r="AA340">
            <v>1.4892992008550388</v>
          </cell>
          <cell r="AB340">
            <v>1.3696250405354029</v>
          </cell>
          <cell r="AC340">
            <v>2.0086264742186053</v>
          </cell>
          <cell r="AD340" t="e">
            <v>#DIV/0!</v>
          </cell>
          <cell r="AE340">
            <v>2.2765672158022165</v>
          </cell>
          <cell r="AF340">
            <v>2.4742130240152145</v>
          </cell>
          <cell r="AG340">
            <v>1.8503578399479506</v>
          </cell>
          <cell r="AH340" t="e">
            <v>#DIV/0!</v>
          </cell>
          <cell r="AI340" t="e">
            <v>#DIV/0!</v>
          </cell>
          <cell r="AJ340">
            <v>3.1035400277649234</v>
          </cell>
          <cell r="AK340" t="e">
            <v>#DIV/0!</v>
          </cell>
          <cell r="AL340">
            <v>1.3618488186504096</v>
          </cell>
          <cell r="AM340">
            <v>1.8294232612189767</v>
          </cell>
          <cell r="AN340">
            <v>2.2295276760075255</v>
          </cell>
          <cell r="AO340" t="e">
            <v>#DIV/0!</v>
          </cell>
          <cell r="AP340" t="e">
            <v>#DIV/0!</v>
          </cell>
          <cell r="AQ340" t="e">
            <v>#DIV/0!</v>
          </cell>
          <cell r="AR340">
            <v>2.9700975044125459</v>
          </cell>
          <cell r="AS340">
            <v>1.8503578399479506</v>
          </cell>
          <cell r="AT340">
            <v>1.8976949526679969</v>
          </cell>
          <cell r="AU340">
            <v>1.8288507835231218</v>
          </cell>
          <cell r="AV340">
            <v>1.8297310823382411</v>
          </cell>
          <cell r="AW340" t="e">
            <v>#DIV/0!</v>
          </cell>
          <cell r="AX340" t="e">
            <v>#DIV/0!</v>
          </cell>
          <cell r="AY340" t="e">
            <v>#DIV/0!</v>
          </cell>
          <cell r="AZ340" t="e">
            <v>#DIV/0!</v>
          </cell>
          <cell r="BA340" t="e">
            <v>#DIV/0!</v>
          </cell>
          <cell r="BB340" t="e">
            <v>#DIV/0!</v>
          </cell>
          <cell r="BC340" t="e">
            <v>#DIV/0!</v>
          </cell>
          <cell r="BD340" t="e">
            <v>#DIV/0!</v>
          </cell>
          <cell r="BE340" t="e">
            <v>#DIV/0!</v>
          </cell>
        </row>
        <row r="341">
          <cell r="H341" t="e">
            <v>#DIV/0!</v>
          </cell>
          <cell r="I341" t="e">
            <v>#DIV/0!</v>
          </cell>
          <cell r="J341" t="e">
            <v>#DIV/0!</v>
          </cell>
          <cell r="K341" t="e">
            <v>#DIV/0!</v>
          </cell>
          <cell r="L341" t="e">
            <v>#DIV/0!</v>
          </cell>
          <cell r="M341" t="e">
            <v>#DIV/0!</v>
          </cell>
          <cell r="N341" t="e">
            <v>#DIV/0!</v>
          </cell>
          <cell r="O341" t="e">
            <v>#DIV/0!</v>
          </cell>
          <cell r="P341" t="e">
            <v>#DIV/0!</v>
          </cell>
          <cell r="Q341" t="e">
            <v>#DIV/0!</v>
          </cell>
          <cell r="R341" t="e">
            <v>#DIV/0!</v>
          </cell>
          <cell r="S341" t="e">
            <v>#DIV/0!</v>
          </cell>
          <cell r="T341" t="e">
            <v>#DIV/0!</v>
          </cell>
          <cell r="U341">
            <v>3.2170735382760696</v>
          </cell>
          <cell r="V341" t="e">
            <v>#DIV/0!</v>
          </cell>
          <cell r="W341">
            <v>4.9949836164073469</v>
          </cell>
          <cell r="X341">
            <v>2.1273348094438629</v>
          </cell>
          <cell r="Y341">
            <v>1.7665354072801644</v>
          </cell>
          <cell r="Z341">
            <v>0.60121301059237708</v>
          </cell>
          <cell r="AA341">
            <v>0.42069106544481916</v>
          </cell>
          <cell r="AB341">
            <v>0.44119745773135927</v>
          </cell>
          <cell r="AC341">
            <v>1.0545726664475989</v>
          </cell>
          <cell r="AD341" t="e">
            <v>#DIV/0!</v>
          </cell>
          <cell r="AE341">
            <v>1.2656697890163415</v>
          </cell>
          <cell r="AF341">
            <v>1.4248847981388282</v>
          </cell>
          <cell r="AG341">
            <v>1.4328853790411236</v>
          </cell>
          <cell r="AH341" t="e">
            <v>#DIV/0!</v>
          </cell>
          <cell r="AI341" t="e">
            <v>#DIV/0!</v>
          </cell>
          <cell r="AJ341">
            <v>2.5559283253637717</v>
          </cell>
          <cell r="AK341" t="e">
            <v>#DIV/0!</v>
          </cell>
          <cell r="AL341">
            <v>0.52195243203642172</v>
          </cell>
          <cell r="AM341">
            <v>0.64992215070315917</v>
          </cell>
          <cell r="AN341">
            <v>1.8742779813182824</v>
          </cell>
          <cell r="AO341" t="e">
            <v>#DIV/0!</v>
          </cell>
          <cell r="AP341" t="e">
            <v>#DIV/0!</v>
          </cell>
          <cell r="AQ341" t="e">
            <v>#DIV/0!</v>
          </cell>
          <cell r="AR341">
            <v>2.0066202468740895</v>
          </cell>
          <cell r="AS341">
            <v>1.4328853790411236</v>
          </cell>
          <cell r="AT341">
            <v>1.7320117162626822</v>
          </cell>
          <cell r="AU341">
            <v>0.53315019126530494</v>
          </cell>
          <cell r="AV341">
            <v>0.55858268960242297</v>
          </cell>
          <cell r="AW341" t="e">
            <v>#DIV/0!</v>
          </cell>
          <cell r="AX341" t="e">
            <v>#DIV/0!</v>
          </cell>
          <cell r="AY341" t="e">
            <v>#DIV/0!</v>
          </cell>
          <cell r="AZ341" t="e">
            <v>#DIV/0!</v>
          </cell>
          <cell r="BA341" t="e">
            <v>#DIV/0!</v>
          </cell>
          <cell r="BB341" t="e">
            <v>#DIV/0!</v>
          </cell>
          <cell r="BC341" t="e">
            <v>#DIV/0!</v>
          </cell>
          <cell r="BD341" t="e">
            <v>#DIV/0!</v>
          </cell>
          <cell r="BE341" t="e">
            <v>#DIV/0!</v>
          </cell>
        </row>
        <row r="342">
          <cell r="H342" t="e">
            <v>#DIV/0!</v>
          </cell>
          <cell r="I342" t="e">
            <v>#DIV/0!</v>
          </cell>
          <cell r="J342" t="e">
            <v>#DIV/0!</v>
          </cell>
          <cell r="K342" t="e">
            <v>#DIV/0!</v>
          </cell>
          <cell r="L342" t="e">
            <v>#DIV/0!</v>
          </cell>
          <cell r="M342" t="e">
            <v>#DIV/0!</v>
          </cell>
          <cell r="N342" t="e">
            <v>#DIV/0!</v>
          </cell>
          <cell r="O342" t="e">
            <v>#DIV/0!</v>
          </cell>
          <cell r="P342" t="e">
            <v>#DIV/0!</v>
          </cell>
          <cell r="Q342" t="e">
            <v>#DIV/0!</v>
          </cell>
          <cell r="R342" t="e">
            <v>#DIV/0!</v>
          </cell>
          <cell r="S342" t="e">
            <v>#DIV/0!</v>
          </cell>
          <cell r="T342" t="e">
            <v>#DIV/0!</v>
          </cell>
          <cell r="U342">
            <v>75.504919925699056</v>
          </cell>
          <cell r="V342">
            <v>142.41876821444865</v>
          </cell>
          <cell r="W342">
            <v>60.599368063918767</v>
          </cell>
          <cell r="X342">
            <v>84.677561636395907</v>
          </cell>
          <cell r="Y342">
            <v>56.086920178780403</v>
          </cell>
          <cell r="Z342">
            <v>29.462047185628659</v>
          </cell>
          <cell r="AA342">
            <v>18.536786684089705</v>
          </cell>
          <cell r="AB342">
            <v>19.982262486254637</v>
          </cell>
          <cell r="AC342">
            <v>34.465296957431732</v>
          </cell>
          <cell r="AD342" t="e">
            <v>#DIV/0!</v>
          </cell>
          <cell r="AE342">
            <v>46.48769066035603</v>
          </cell>
          <cell r="AF342">
            <v>49.821284493886708</v>
          </cell>
          <cell r="AG342">
            <v>75.604776788915729</v>
          </cell>
          <cell r="AH342">
            <v>0</v>
          </cell>
          <cell r="AI342">
            <v>0</v>
          </cell>
          <cell r="AJ342">
            <v>88.100132337759732</v>
          </cell>
          <cell r="AK342">
            <v>0</v>
          </cell>
          <cell r="AL342">
            <v>37.06854479672689</v>
          </cell>
          <cell r="AM342">
            <v>56.152798726860979</v>
          </cell>
          <cell r="AN342">
            <v>46.245399669415441</v>
          </cell>
          <cell r="AO342" t="e">
            <v>#DIV/0!</v>
          </cell>
          <cell r="AP342">
            <v>0</v>
          </cell>
          <cell r="AQ342">
            <v>0</v>
          </cell>
          <cell r="AR342">
            <v>57.490491286528034</v>
          </cell>
          <cell r="AS342">
            <v>75.604776788915729</v>
          </cell>
          <cell r="AT342">
            <v>113.07913033368213</v>
          </cell>
          <cell r="AU342">
            <v>21.585394576367626</v>
          </cell>
          <cell r="AV342">
            <v>23.028541826063112</v>
          </cell>
          <cell r="AW342" t="e">
            <v>#DIV/0!</v>
          </cell>
          <cell r="AX342" t="e">
            <v>#DIV/0!</v>
          </cell>
          <cell r="AY342" t="e">
            <v>#DIV/0!</v>
          </cell>
          <cell r="AZ342" t="e">
            <v>#DIV/0!</v>
          </cell>
          <cell r="BA342" t="e">
            <v>#DIV/0!</v>
          </cell>
          <cell r="BB342" t="e">
            <v>#DIV/0!</v>
          </cell>
          <cell r="BC342" t="e">
            <v>#DIV/0!</v>
          </cell>
          <cell r="BD342" t="e">
            <v>#DIV/0!</v>
          </cell>
          <cell r="BE342" t="e">
            <v>#DIV/0!</v>
          </cell>
        </row>
        <row r="343">
          <cell r="H343" t="e">
            <v>#DIV/0!</v>
          </cell>
          <cell r="I343" t="e">
            <v>#DIV/0!</v>
          </cell>
          <cell r="J343" t="e">
            <v>#DIV/0!</v>
          </cell>
          <cell r="K343" t="e">
            <v>#DIV/0!</v>
          </cell>
          <cell r="L343" t="e">
            <v>#DIV/0!</v>
          </cell>
          <cell r="M343" t="e">
            <v>#DIV/0!</v>
          </cell>
          <cell r="N343" t="e">
            <v>#DIV/0!</v>
          </cell>
          <cell r="O343" t="e">
            <v>#DIV/0!</v>
          </cell>
          <cell r="P343">
            <v>0</v>
          </cell>
          <cell r="Q343" t="e">
            <v>#DIV/0!</v>
          </cell>
          <cell r="R343" t="e">
            <v>#DIV/0!</v>
          </cell>
          <cell r="S343" t="e">
            <v>#DIV/0!</v>
          </cell>
          <cell r="T343" t="e">
            <v>#DIV/0!</v>
          </cell>
          <cell r="U343">
            <v>2.4640100347356237</v>
          </cell>
          <cell r="V343" t="e">
            <v>#DIV/0!</v>
          </cell>
          <cell r="W343">
            <v>3.1927330194661949</v>
          </cell>
          <cell r="X343">
            <v>3.2764916894471545</v>
          </cell>
          <cell r="Y343">
            <v>11.303457791293573</v>
          </cell>
          <cell r="Z343">
            <v>7.1802045814174118</v>
          </cell>
          <cell r="AA343">
            <v>6.5265433661401726</v>
          </cell>
          <cell r="AB343">
            <v>6.7426007246327542</v>
          </cell>
          <cell r="AC343">
            <v>9.9703764377630222</v>
          </cell>
          <cell r="AD343" t="e">
            <v>#DIV/0!</v>
          </cell>
          <cell r="AE343">
            <v>8.030446782315428</v>
          </cell>
          <cell r="AF343">
            <v>6.4442341471385198</v>
          </cell>
          <cell r="AG343">
            <v>17.644835738734606</v>
          </cell>
          <cell r="AH343" t="e">
            <v>#DIV/0!</v>
          </cell>
          <cell r="AI343" t="e">
            <v>#DIV/0!</v>
          </cell>
          <cell r="AJ343">
            <v>12.415881197839962</v>
          </cell>
          <cell r="AK343" t="e">
            <v>#DIV/0!</v>
          </cell>
          <cell r="AL343">
            <v>5.237854073139169</v>
          </cell>
          <cell r="AM343">
            <v>1.3073320737173884</v>
          </cell>
          <cell r="AN343">
            <v>26.89027222893246</v>
          </cell>
          <cell r="AO343" t="e">
            <v>#DIV/0!</v>
          </cell>
          <cell r="AP343" t="e">
            <v>#DIV/0!</v>
          </cell>
          <cell r="AQ343" t="e">
            <v>#DIV/0!</v>
          </cell>
          <cell r="AR343">
            <v>5.8227891776362162</v>
          </cell>
          <cell r="AS343">
            <v>17.644835738734603</v>
          </cell>
          <cell r="AT343" t="e">
            <v>#DIV/0!</v>
          </cell>
          <cell r="AU343">
            <v>4.9258162490508726</v>
          </cell>
          <cell r="AV343">
            <v>4.990171164183522</v>
          </cell>
          <cell r="AW343" t="e">
            <v>#DIV/0!</v>
          </cell>
          <cell r="AX343" t="e">
            <v>#DIV/0!</v>
          </cell>
          <cell r="AY343" t="e">
            <v>#DIV/0!</v>
          </cell>
          <cell r="AZ343" t="e">
            <v>#DIV/0!</v>
          </cell>
          <cell r="BA343" t="e">
            <v>#DIV/0!</v>
          </cell>
          <cell r="BB343" t="e">
            <v>#DIV/0!</v>
          </cell>
          <cell r="BC343" t="e">
            <v>#DIV/0!</v>
          </cell>
          <cell r="BD343" t="e">
            <v>#DIV/0!</v>
          </cell>
          <cell r="BE343" t="e">
            <v>#DIV/0!</v>
          </cell>
        </row>
        <row r="344">
          <cell r="H344" t="e">
            <v>#DIV/0!</v>
          </cell>
          <cell r="I344" t="e">
            <v>#DIV/0!</v>
          </cell>
          <cell r="J344" t="e">
            <v>#DIV/0!</v>
          </cell>
          <cell r="K344" t="e">
            <v>#DIV/0!</v>
          </cell>
          <cell r="L344" t="e">
            <v>#DIV/0!</v>
          </cell>
          <cell r="M344" t="e">
            <v>#DIV/0!</v>
          </cell>
          <cell r="N344" t="e">
            <v>#DIV/0!</v>
          </cell>
          <cell r="O344" t="e">
            <v>#DIV/0!</v>
          </cell>
          <cell r="P344" t="e">
            <v>#DIV/0!</v>
          </cell>
          <cell r="Q344" t="e">
            <v>#DIV/0!</v>
          </cell>
          <cell r="R344" t="e">
            <v>#DIV/0!</v>
          </cell>
          <cell r="S344" t="e">
            <v>#DIV/0!</v>
          </cell>
          <cell r="T344" t="e">
            <v>#DIV/0!</v>
          </cell>
          <cell r="U344">
            <v>0.7386435272740759</v>
          </cell>
          <cell r="V344">
            <v>0.92904526134020449</v>
          </cell>
          <cell r="W344">
            <v>0.2775433408763463</v>
          </cell>
          <cell r="X344">
            <v>0.69034370736707718</v>
          </cell>
          <cell r="Y344">
            <v>2.206651487093291</v>
          </cell>
          <cell r="Z344">
            <v>3.7525759419016209</v>
          </cell>
          <cell r="AA344">
            <v>4.6171477009249502</v>
          </cell>
          <cell r="AB344">
            <v>3.5520666129633733</v>
          </cell>
          <cell r="AC344">
            <v>3.8670764498645527</v>
          </cell>
          <cell r="AD344" t="e">
            <v>#DIV/0!</v>
          </cell>
          <cell r="AE344">
            <v>2.6532207284501412</v>
          </cell>
          <cell r="AF344">
            <v>1.9941986332386166</v>
          </cell>
          <cell r="AG344">
            <v>1.3607427011075575</v>
          </cell>
          <cell r="AH344" t="e">
            <v>#DIV/0!</v>
          </cell>
          <cell r="AI344" t="e">
            <v>#DIV/0!</v>
          </cell>
          <cell r="AJ344">
            <v>1.6570307614330961</v>
          </cell>
          <cell r="AK344" t="e">
            <v>#DIV/0!</v>
          </cell>
          <cell r="AL344">
            <v>2.7534700401120342</v>
          </cell>
          <cell r="AM344">
            <v>0.81917305296144882</v>
          </cell>
          <cell r="AN344">
            <v>3.1049413054573636</v>
          </cell>
          <cell r="AO344" t="e">
            <v>#DIV/0!</v>
          </cell>
          <cell r="AP344" t="e">
            <v>#DIV/0!</v>
          </cell>
          <cell r="AQ344" t="e">
            <v>#DIV/0!</v>
          </cell>
          <cell r="AR344">
            <v>1.9276811751028688</v>
          </cell>
          <cell r="AS344">
            <v>1.3607427011075575</v>
          </cell>
          <cell r="AT344">
            <v>1.4008599628652396</v>
          </cell>
          <cell r="AU344">
            <v>2.6378802325223756</v>
          </cell>
          <cell r="AV344">
            <v>2.5820728041257168</v>
          </cell>
          <cell r="AW344" t="e">
            <v>#DIV/0!</v>
          </cell>
          <cell r="AX344" t="e">
            <v>#DIV/0!</v>
          </cell>
          <cell r="AY344" t="e">
            <v>#DIV/0!</v>
          </cell>
          <cell r="AZ344" t="e">
            <v>#DIV/0!</v>
          </cell>
          <cell r="BA344" t="e">
            <v>#DIV/0!</v>
          </cell>
          <cell r="BB344" t="e">
            <v>#DIV/0!</v>
          </cell>
          <cell r="BC344" t="e">
            <v>#DIV/0!</v>
          </cell>
          <cell r="BD344" t="e">
            <v>#DIV/0!</v>
          </cell>
          <cell r="BE344" t="e">
            <v>#DIV/0!</v>
          </cell>
        </row>
        <row r="345">
          <cell r="H345" t="e">
            <v>#DIV/0!</v>
          </cell>
          <cell r="I345" t="e">
            <v>#DIV/0!</v>
          </cell>
          <cell r="J345" t="e">
            <v>#DIV/0!</v>
          </cell>
          <cell r="K345" t="e">
            <v>#DIV/0!</v>
          </cell>
          <cell r="L345" t="e">
            <v>#DIV/0!</v>
          </cell>
          <cell r="M345" t="e">
            <v>#DIV/0!</v>
          </cell>
          <cell r="N345" t="e">
            <v>#DIV/0!</v>
          </cell>
          <cell r="O345" t="e">
            <v>#DIV/0!</v>
          </cell>
          <cell r="P345" t="e">
            <v>#DIV/0!</v>
          </cell>
          <cell r="Q345" t="e">
            <v>#DIV/0!</v>
          </cell>
          <cell r="R345" t="e">
            <v>#DIV/0!</v>
          </cell>
          <cell r="S345" t="e">
            <v>#DIV/0!</v>
          </cell>
          <cell r="T345" t="e">
            <v>#VALUE!</v>
          </cell>
          <cell r="U345">
            <v>27.408945083978104</v>
          </cell>
          <cell r="V345">
            <v>13.313445437991476</v>
          </cell>
          <cell r="W345">
            <v>74.208841920757138</v>
          </cell>
          <cell r="X345">
            <v>4.7245960228152333</v>
          </cell>
          <cell r="Y345" t="e">
            <v>#DIV/0!</v>
          </cell>
          <cell r="Z345" t="e">
            <v>#N/A</v>
          </cell>
          <cell r="AA345">
            <v>8.4690040552465558</v>
          </cell>
          <cell r="AB345">
            <v>6.8702200116394607</v>
          </cell>
          <cell r="AC345">
            <v>5.3781318159145979</v>
          </cell>
          <cell r="AD345" t="e">
            <v>#N/A</v>
          </cell>
          <cell r="AE345">
            <v>3.5168914285714279</v>
          </cell>
          <cell r="AF345">
            <v>8.3389177910696883</v>
          </cell>
          <cell r="AG345">
            <v>6.1387948293986812</v>
          </cell>
          <cell r="AH345" t="e">
            <v>#DIV/0!</v>
          </cell>
          <cell r="AI345" t="e">
            <v>#DIV/0!</v>
          </cell>
          <cell r="AJ345" t="e">
            <v>#VALUE!</v>
          </cell>
          <cell r="AK345">
            <v>3.6738530399104801</v>
          </cell>
          <cell r="AL345">
            <v>8.1037081700331601</v>
          </cell>
          <cell r="AM345">
            <v>7.4156834814035939</v>
          </cell>
          <cell r="AN345">
            <v>0.68241758241758177</v>
          </cell>
          <cell r="AO345" t="e">
            <v>#N/A</v>
          </cell>
          <cell r="AP345" t="e">
            <v>#DIV/0!</v>
          </cell>
          <cell r="AQ345" t="e">
            <v>#VALUE!</v>
          </cell>
          <cell r="AR345" t="e">
            <v>#DIV/0!</v>
          </cell>
          <cell r="AS345">
            <v>6.138794829398682</v>
          </cell>
          <cell r="AT345" t="e">
            <v>#N/A</v>
          </cell>
          <cell r="AU345" t="e">
            <v>#DIV/0!</v>
          </cell>
          <cell r="AV345">
            <v>9.5786474130330621</v>
          </cell>
          <cell r="AW345" t="e">
            <v>#VALUE!</v>
          </cell>
          <cell r="AX345" t="e">
            <v>#VALUE!</v>
          </cell>
          <cell r="AY345" t="e">
            <v>#VALUE!</v>
          </cell>
          <cell r="AZ345" t="e">
            <v>#VALUE!</v>
          </cell>
          <cell r="BA345" t="e">
            <v>#VALUE!</v>
          </cell>
          <cell r="BB345" t="e">
            <v>#VALUE!</v>
          </cell>
          <cell r="BC345" t="e">
            <v>#VALUE!</v>
          </cell>
          <cell r="BD345" t="e">
            <v>#VALUE!</v>
          </cell>
          <cell r="BE345" t="e">
            <v>#VALUE!</v>
          </cell>
        </row>
        <row r="346">
          <cell r="H346" t="e">
            <v>#DIV/0!</v>
          </cell>
          <cell r="I346" t="e">
            <v>#DIV/0!</v>
          </cell>
          <cell r="J346" t="e">
            <v>#DIV/0!</v>
          </cell>
          <cell r="K346" t="e">
            <v>#DIV/0!</v>
          </cell>
          <cell r="L346" t="e">
            <v>#DIV/0!</v>
          </cell>
          <cell r="M346" t="e">
            <v>#DIV/0!</v>
          </cell>
          <cell r="N346" t="e">
            <v>#DIV/0!</v>
          </cell>
          <cell r="O346" t="e">
            <v>#DIV/0!</v>
          </cell>
          <cell r="P346" t="e">
            <v>#DIV/0!</v>
          </cell>
          <cell r="Q346" t="e">
            <v>#DIV/0!</v>
          </cell>
          <cell r="R346" t="e">
            <v>#DIV/0!</v>
          </cell>
          <cell r="S346" t="e">
            <v>#DIV/0!</v>
          </cell>
          <cell r="T346" t="e">
            <v>#VALUE!</v>
          </cell>
          <cell r="U346">
            <v>3.3068320810763586E-2</v>
          </cell>
          <cell r="V346">
            <v>0.47698989924722007</v>
          </cell>
          <cell r="W346">
            <v>1.1277874807805904E-2</v>
          </cell>
          <cell r="X346">
            <v>1.0053782918395942</v>
          </cell>
          <cell r="Y346">
            <v>0</v>
          </cell>
          <cell r="Z346" t="e">
            <v>#N/A</v>
          </cell>
          <cell r="AA346">
            <v>0.48502187288828819</v>
          </cell>
          <cell r="AB346">
            <v>0.36984786218335464</v>
          </cell>
          <cell r="AC346">
            <v>0.63947481761564662</v>
          </cell>
          <cell r="AD346" t="e">
            <v>#N/A</v>
          </cell>
          <cell r="AE346">
            <v>0.3848782860908066</v>
          </cell>
          <cell r="AF346">
            <v>0.3629360002827155</v>
          </cell>
          <cell r="AG346">
            <v>0.88126700666416846</v>
          </cell>
          <cell r="AH346" t="e">
            <v>#DIV/0!</v>
          </cell>
          <cell r="AI346" t="e">
            <v>#DIV/0!</v>
          </cell>
          <cell r="AJ346" t="e">
            <v>#VALUE!</v>
          </cell>
          <cell r="AK346">
            <v>21.090308370044053</v>
          </cell>
          <cell r="AL346">
            <v>0.33343385605146769</v>
          </cell>
          <cell r="AM346">
            <v>0.55622296303024366</v>
          </cell>
          <cell r="AN346">
            <v>0.13773922256804186</v>
          </cell>
          <cell r="AO346" t="e">
            <v>#N/A</v>
          </cell>
          <cell r="AP346" t="e">
            <v>#DIV/0!</v>
          </cell>
          <cell r="AQ346" t="e">
            <v>#VALUE!</v>
          </cell>
          <cell r="AR346">
            <v>0</v>
          </cell>
          <cell r="AS346">
            <v>0.88126700666416846</v>
          </cell>
          <cell r="AT346" t="e">
            <v>#N/A</v>
          </cell>
          <cell r="AU346" t="e">
            <v>#DIV/0!</v>
          </cell>
          <cell r="AV346">
            <v>0.43445707843453052</v>
          </cell>
          <cell r="AW346" t="e">
            <v>#VALUE!</v>
          </cell>
          <cell r="AX346" t="e">
            <v>#VALUE!</v>
          </cell>
          <cell r="AY346" t="e">
            <v>#VALUE!</v>
          </cell>
          <cell r="AZ346" t="e">
            <v>#VALUE!</v>
          </cell>
          <cell r="BA346" t="e">
            <v>#VALUE!</v>
          </cell>
          <cell r="BB346" t="e">
            <v>#VALUE!</v>
          </cell>
          <cell r="BC346" t="e">
            <v>#VALUE!</v>
          </cell>
          <cell r="BD346" t="e">
            <v>#VALUE!</v>
          </cell>
          <cell r="BE346" t="e">
            <v>#VALUE!</v>
          </cell>
        </row>
        <row r="347">
          <cell r="H347" t="e">
            <v>#DIV/0!</v>
          </cell>
          <cell r="I347" t="e">
            <v>#DIV/0!</v>
          </cell>
          <cell r="J347" t="e">
            <v>#DIV/0!</v>
          </cell>
          <cell r="K347" t="e">
            <v>#DIV/0!</v>
          </cell>
          <cell r="L347" t="e">
            <v>#DIV/0!</v>
          </cell>
          <cell r="M347" t="e">
            <v>#DIV/0!</v>
          </cell>
          <cell r="N347" t="e">
            <v>#DIV/0!</v>
          </cell>
          <cell r="O347" t="e">
            <v>#DIV/0!</v>
          </cell>
          <cell r="P347" t="e">
            <v>#DIV/0!</v>
          </cell>
          <cell r="Q347" t="e">
            <v>#DIV/0!</v>
          </cell>
          <cell r="R347" t="e">
            <v>#DIV/0!</v>
          </cell>
          <cell r="S347" t="e">
            <v>#DIV/0!</v>
          </cell>
          <cell r="T347" t="e">
            <v>#VALUE!</v>
          </cell>
          <cell r="U347">
            <v>3.7433088971579043E-2</v>
          </cell>
          <cell r="V347">
            <v>0.47698989924722007</v>
          </cell>
          <cell r="W347">
            <v>3.3339900235620445E-2</v>
          </cell>
          <cell r="X347">
            <v>1.0871996220610349</v>
          </cell>
          <cell r="Y347">
            <v>0</v>
          </cell>
          <cell r="Z347" t="e">
            <v>#N/A</v>
          </cell>
          <cell r="AA347">
            <v>0.55246070855053886</v>
          </cell>
          <cell r="AB347">
            <v>1.0124909590921907</v>
          </cell>
          <cell r="AC347">
            <v>1.3435201376745218</v>
          </cell>
          <cell r="AD347" t="e">
            <v>#N/A</v>
          </cell>
          <cell r="AE347">
            <v>0.5047323707077559</v>
          </cell>
          <cell r="AF347">
            <v>0.61969159029636589</v>
          </cell>
          <cell r="AG347">
            <v>2.1141382949614984</v>
          </cell>
          <cell r="AH347" t="e">
            <v>#DIV/0!</v>
          </cell>
          <cell r="AI347" t="e">
            <v>#DIV/0!</v>
          </cell>
          <cell r="AJ347" t="e">
            <v>#VALUE!</v>
          </cell>
          <cell r="AK347">
            <v>21.090308370044053</v>
          </cell>
          <cell r="AL347">
            <v>0.44154547572298591</v>
          </cell>
          <cell r="AM347">
            <v>0.66090951676104215</v>
          </cell>
          <cell r="AN347">
            <v>0.22972256582435063</v>
          </cell>
          <cell r="AO347" t="e">
            <v>#N/A</v>
          </cell>
          <cell r="AP347" t="e">
            <v>#DIV/0!</v>
          </cell>
          <cell r="AQ347" t="e">
            <v>#VALUE!</v>
          </cell>
          <cell r="AR347">
            <v>0</v>
          </cell>
          <cell r="AS347">
            <v>2.1141382949614984</v>
          </cell>
          <cell r="AT347" t="e">
            <v>#N/A</v>
          </cell>
          <cell r="AU347" t="e">
            <v>#DIV/0!</v>
          </cell>
          <cell r="AV347">
            <v>0.55786835927749412</v>
          </cell>
          <cell r="AW347" t="e">
            <v>#VALUE!</v>
          </cell>
          <cell r="AX347" t="e">
            <v>#VALUE!</v>
          </cell>
          <cell r="AY347" t="e">
            <v>#VALUE!</v>
          </cell>
          <cell r="AZ347" t="e">
            <v>#VALUE!</v>
          </cell>
          <cell r="BA347" t="e">
            <v>#VALUE!</v>
          </cell>
          <cell r="BB347" t="e">
            <v>#VALUE!</v>
          </cell>
          <cell r="BC347" t="e">
            <v>#VALUE!</v>
          </cell>
          <cell r="BD347" t="e">
            <v>#VALUE!</v>
          </cell>
          <cell r="BE347" t="e">
            <v>#VALUE!</v>
          </cell>
        </row>
        <row r="348">
          <cell r="H348" t="e">
            <v>#DIV/0!</v>
          </cell>
          <cell r="I348" t="e">
            <v>#DIV/0!</v>
          </cell>
          <cell r="J348" t="e">
            <v>#DIV/0!</v>
          </cell>
          <cell r="K348" t="e">
            <v>#DIV/0!</v>
          </cell>
          <cell r="L348" t="e">
            <v>#DIV/0!</v>
          </cell>
          <cell r="M348" t="e">
            <v>#DIV/0!</v>
          </cell>
          <cell r="N348" t="e">
            <v>#DIV/0!</v>
          </cell>
          <cell r="O348" t="e">
            <v>#DIV/0!</v>
          </cell>
          <cell r="P348" t="e">
            <v>#DIV/0!</v>
          </cell>
          <cell r="Q348" t="e">
            <v>#DIV/0!</v>
          </cell>
          <cell r="R348" t="e">
            <v>#DIV/0!</v>
          </cell>
          <cell r="S348" t="e">
            <v>#DIV/0!</v>
          </cell>
          <cell r="T348" t="e">
            <v>#VALUE!</v>
          </cell>
          <cell r="U348">
            <v>3.2009810139963631E-2</v>
          </cell>
          <cell r="V348">
            <v>0.32294729942996109</v>
          </cell>
          <cell r="W348">
            <v>1.1152102788711038E-2</v>
          </cell>
          <cell r="X348">
            <v>0.50134096690421948</v>
          </cell>
          <cell r="Y348">
            <v>0</v>
          </cell>
          <cell r="Z348" t="e">
            <v>#N/A</v>
          </cell>
          <cell r="AA348">
            <v>0.3266092451183541</v>
          </cell>
          <cell r="AB348">
            <v>0.26999192566820268</v>
          </cell>
          <cell r="AC348">
            <v>0.39004857576626906</v>
          </cell>
          <cell r="AD348" t="e">
            <v>#N/A</v>
          </cell>
          <cell r="AE348">
            <v>0.27791488245312129</v>
          </cell>
          <cell r="AF348">
            <v>0.26628983327715405</v>
          </cell>
          <cell r="AG348">
            <v>0.4684433435245412</v>
          </cell>
          <cell r="AH348" t="e">
            <v>#DIV/0!</v>
          </cell>
          <cell r="AI348" t="e">
            <v>#DIV/0!</v>
          </cell>
          <cell r="AJ348" t="e">
            <v>#VALUE!</v>
          </cell>
          <cell r="AK348">
            <v>0.95473127929005885</v>
          </cell>
          <cell r="AL348">
            <v>0.25005653976630232</v>
          </cell>
          <cell r="AM348">
            <v>0.35741855520958149</v>
          </cell>
          <cell r="AN348">
            <v>0.12106396600896339</v>
          </cell>
          <cell r="AO348" t="e">
            <v>#N/A</v>
          </cell>
          <cell r="AP348" t="e">
            <v>#DIV/0!</v>
          </cell>
          <cell r="AQ348" t="e">
            <v>#VALUE!</v>
          </cell>
          <cell r="AR348">
            <v>0</v>
          </cell>
          <cell r="AS348">
            <v>0.4684433435245412</v>
          </cell>
          <cell r="AT348" t="e">
            <v>#N/A</v>
          </cell>
          <cell r="AU348" t="e">
            <v>#DIV/0!</v>
          </cell>
          <cell r="AV348">
            <v>0.30287213536473856</v>
          </cell>
          <cell r="AW348" t="e">
            <v>#VALUE!</v>
          </cell>
          <cell r="AX348" t="e">
            <v>#VALUE!</v>
          </cell>
          <cell r="AY348" t="e">
            <v>#VALUE!</v>
          </cell>
          <cell r="AZ348" t="e">
            <v>#VALUE!</v>
          </cell>
          <cell r="BA348" t="e">
            <v>#VALUE!</v>
          </cell>
          <cell r="BB348" t="e">
            <v>#VALUE!</v>
          </cell>
          <cell r="BC348" t="e">
            <v>#VALUE!</v>
          </cell>
          <cell r="BD348" t="e">
            <v>#VALUE!</v>
          </cell>
          <cell r="BE348" t="e">
            <v>#VALUE!</v>
          </cell>
        </row>
        <row r="349">
          <cell r="H349" t="e">
            <v>#DIV/0!</v>
          </cell>
          <cell r="I349" t="e">
            <v>#DIV/0!</v>
          </cell>
          <cell r="J349" t="e">
            <v>#DIV/0!</v>
          </cell>
          <cell r="K349" t="e">
            <v>#DIV/0!</v>
          </cell>
          <cell r="L349" t="e">
            <v>#DIV/0!</v>
          </cell>
          <cell r="M349" t="e">
            <v>#DIV/0!</v>
          </cell>
          <cell r="N349" t="e">
            <v>#DIV/0!</v>
          </cell>
          <cell r="O349" t="e">
            <v>#DIV/0!</v>
          </cell>
          <cell r="P349" t="e">
            <v>#DIV/0!</v>
          </cell>
          <cell r="Q349" t="e">
            <v>#DIV/0!</v>
          </cell>
          <cell r="R349" t="e">
            <v>#DIV/0!</v>
          </cell>
          <cell r="S349" t="e">
            <v>#DIV/0!</v>
          </cell>
          <cell r="T349" t="e">
            <v>#VALUE!</v>
          </cell>
          <cell r="U349" t="e">
            <v>#DIV/0!</v>
          </cell>
          <cell r="V349" t="e">
            <v>#DIV/0!</v>
          </cell>
          <cell r="W349" t="e">
            <v>#DIV/0!</v>
          </cell>
          <cell r="X349" t="e">
            <v>#DIV/0!</v>
          </cell>
          <cell r="Y349" t="e">
            <v>#DIV/0!</v>
          </cell>
          <cell r="Z349" t="e">
            <v>#N/A</v>
          </cell>
          <cell r="AA349" t="e">
            <v>#DIV/0!</v>
          </cell>
          <cell r="AB349" t="e">
            <v>#DIV/0!</v>
          </cell>
          <cell r="AC349" t="e">
            <v>#DIV/0!</v>
          </cell>
          <cell r="AD349" t="e">
            <v>#N/A</v>
          </cell>
          <cell r="AE349" t="e">
            <v>#DIV/0!</v>
          </cell>
          <cell r="AF349" t="e">
            <v>#DIV/0!</v>
          </cell>
          <cell r="AG349" t="e">
            <v>#DIV/0!</v>
          </cell>
          <cell r="AH349" t="e">
            <v>#DIV/0!</v>
          </cell>
          <cell r="AI349" t="e">
            <v>#DIV/0!</v>
          </cell>
          <cell r="AJ349" t="e">
            <v>#VALUE!</v>
          </cell>
          <cell r="AK349" t="e">
            <v>#DIV/0!</v>
          </cell>
          <cell r="AL349" t="e">
            <v>#DIV/0!</v>
          </cell>
          <cell r="AM349" t="e">
            <v>#DIV/0!</v>
          </cell>
          <cell r="AN349" t="e">
            <v>#DIV/0!</v>
          </cell>
          <cell r="AO349" t="e">
            <v>#N/A</v>
          </cell>
          <cell r="AP349" t="e">
            <v>#DIV/0!</v>
          </cell>
          <cell r="AQ349" t="e">
            <v>#VALUE!</v>
          </cell>
          <cell r="AR349" t="e">
            <v>#DIV/0!</v>
          </cell>
          <cell r="AS349" t="e">
            <v>#DIV/0!</v>
          </cell>
          <cell r="AT349" t="e">
            <v>#N/A</v>
          </cell>
          <cell r="AU349" t="e">
            <v>#DIV/0!</v>
          </cell>
          <cell r="AV349" t="e">
            <v>#DIV/0!</v>
          </cell>
          <cell r="AW349" t="e">
            <v>#VALUE!</v>
          </cell>
          <cell r="AX349" t="e">
            <v>#VALUE!</v>
          </cell>
          <cell r="AY349" t="e">
            <v>#VALUE!</v>
          </cell>
          <cell r="AZ349" t="e">
            <v>#VALUE!</v>
          </cell>
          <cell r="BA349" t="e">
            <v>#VALUE!</v>
          </cell>
          <cell r="BB349" t="e">
            <v>#VALUE!</v>
          </cell>
          <cell r="BC349" t="e">
            <v>#VALUE!</v>
          </cell>
          <cell r="BD349" t="e">
            <v>#VALUE!</v>
          </cell>
          <cell r="BE349" t="e">
            <v>#VALUE!</v>
          </cell>
        </row>
        <row r="350">
          <cell r="H350" t="e">
            <v>#DIV/0!</v>
          </cell>
          <cell r="I350" t="e">
            <v>#DIV/0!</v>
          </cell>
          <cell r="J350" t="e">
            <v>#DIV/0!</v>
          </cell>
          <cell r="K350" t="e">
            <v>#DIV/0!</v>
          </cell>
          <cell r="L350" t="e">
            <v>#DIV/0!</v>
          </cell>
          <cell r="M350" t="e">
            <v>#DIV/0!</v>
          </cell>
          <cell r="N350" t="e">
            <v>#DIV/0!</v>
          </cell>
          <cell r="O350" t="e">
            <v>#DIV/0!</v>
          </cell>
          <cell r="P350" t="e">
            <v>#DIV/0!</v>
          </cell>
          <cell r="Q350" t="e">
            <v>#DIV/0!</v>
          </cell>
          <cell r="R350" t="e">
            <v>#DIV/0!</v>
          </cell>
          <cell r="S350" t="e">
            <v>#DIV/0!</v>
          </cell>
          <cell r="T350" t="e">
            <v>#VALUE!</v>
          </cell>
          <cell r="U350" t="e">
            <v>#DIV/0!</v>
          </cell>
          <cell r="V350" t="e">
            <v>#DIV/0!</v>
          </cell>
          <cell r="W350" t="e">
            <v>#DIV/0!</v>
          </cell>
          <cell r="X350" t="e">
            <v>#DIV/0!</v>
          </cell>
          <cell r="Y350">
            <v>0</v>
          </cell>
          <cell r="Z350" t="e">
            <v>#N/A</v>
          </cell>
          <cell r="AA350" t="e">
            <v>#DIV/0!</v>
          </cell>
          <cell r="AB350" t="e">
            <v>#DIV/0!</v>
          </cell>
          <cell r="AC350" t="e">
            <v>#DIV/0!</v>
          </cell>
          <cell r="AD350" t="e">
            <v>#N/A</v>
          </cell>
          <cell r="AE350" t="e">
            <v>#DIV/0!</v>
          </cell>
          <cell r="AF350" t="e">
            <v>#DIV/0!</v>
          </cell>
          <cell r="AG350" t="e">
            <v>#DIV/0!</v>
          </cell>
          <cell r="AH350" t="e">
            <v>#DIV/0!</v>
          </cell>
          <cell r="AI350" t="e">
            <v>#DIV/0!</v>
          </cell>
          <cell r="AJ350" t="e">
            <v>#VALUE!</v>
          </cell>
          <cell r="AK350" t="e">
            <v>#DIV/0!</v>
          </cell>
          <cell r="AL350" t="e">
            <v>#DIV/0!</v>
          </cell>
          <cell r="AM350" t="e">
            <v>#DIV/0!</v>
          </cell>
          <cell r="AN350" t="e">
            <v>#DIV/0!</v>
          </cell>
          <cell r="AO350" t="e">
            <v>#N/A</v>
          </cell>
          <cell r="AP350" t="e">
            <v>#DIV/0!</v>
          </cell>
          <cell r="AQ350" t="e">
            <v>#VALUE!</v>
          </cell>
          <cell r="AR350" t="e">
            <v>#DIV/0!</v>
          </cell>
          <cell r="AS350" t="e">
            <v>#DIV/0!</v>
          </cell>
          <cell r="AT350" t="e">
            <v>#N/A</v>
          </cell>
          <cell r="AU350" t="e">
            <v>#DIV/0!</v>
          </cell>
          <cell r="AV350" t="e">
            <v>#DIV/0!</v>
          </cell>
          <cell r="AW350" t="e">
            <v>#VALUE!</v>
          </cell>
          <cell r="AX350" t="e">
            <v>#VALUE!</v>
          </cell>
          <cell r="AY350" t="e">
            <v>#VALUE!</v>
          </cell>
          <cell r="AZ350" t="e">
            <v>#VALUE!</v>
          </cell>
          <cell r="BA350" t="e">
            <v>#VALUE!</v>
          </cell>
          <cell r="BB350" t="e">
            <v>#VALUE!</v>
          </cell>
          <cell r="BC350" t="e">
            <v>#VALUE!</v>
          </cell>
          <cell r="BD350" t="e">
            <v>#VALUE!</v>
          </cell>
          <cell r="BE350" t="e">
            <v>#VALUE!</v>
          </cell>
        </row>
        <row r="351">
          <cell r="H351" t="e">
            <v>#DIV/0!</v>
          </cell>
          <cell r="I351" t="e">
            <v>#DIV/0!</v>
          </cell>
          <cell r="J351" t="e">
            <v>#DIV/0!</v>
          </cell>
          <cell r="K351" t="e">
            <v>#DIV/0!</v>
          </cell>
          <cell r="L351" t="e">
            <v>#DIV/0!</v>
          </cell>
          <cell r="M351" t="e">
            <v>#DIV/0!</v>
          </cell>
          <cell r="N351" t="e">
            <v>#DIV/0!</v>
          </cell>
          <cell r="O351" t="e">
            <v>#DIV/0!</v>
          </cell>
          <cell r="P351" t="e">
            <v>#DIV/0!</v>
          </cell>
          <cell r="Q351" t="e">
            <v>#DIV/0!</v>
          </cell>
          <cell r="R351" t="e">
            <v>#DIV/0!</v>
          </cell>
          <cell r="S351" t="e">
            <v>#DIV/0!</v>
          </cell>
          <cell r="T351" t="e">
            <v>#VALUE!</v>
          </cell>
          <cell r="U351">
            <v>0</v>
          </cell>
          <cell r="V351">
            <v>0</v>
          </cell>
          <cell r="W351">
            <v>0</v>
          </cell>
          <cell r="X351">
            <v>0</v>
          </cell>
          <cell r="Y351" t="e">
            <v>#DIV/0!</v>
          </cell>
          <cell r="Z351" t="e">
            <v>#N/A</v>
          </cell>
          <cell r="AA351">
            <v>0</v>
          </cell>
          <cell r="AB351">
            <v>0</v>
          </cell>
          <cell r="AC351">
            <v>0</v>
          </cell>
          <cell r="AD351" t="e">
            <v>#N/A</v>
          </cell>
          <cell r="AE351">
            <v>0</v>
          </cell>
          <cell r="AF351">
            <v>0</v>
          </cell>
          <cell r="AG351">
            <v>0</v>
          </cell>
          <cell r="AH351" t="e">
            <v>#DIV/0!</v>
          </cell>
          <cell r="AI351" t="e">
            <v>#DIV/0!</v>
          </cell>
          <cell r="AJ351" t="e">
            <v>#VALUE!</v>
          </cell>
          <cell r="AK351">
            <v>0</v>
          </cell>
          <cell r="AL351">
            <v>0</v>
          </cell>
          <cell r="AM351">
            <v>0</v>
          </cell>
          <cell r="AN351">
            <v>0</v>
          </cell>
          <cell r="AO351" t="e">
            <v>#N/A</v>
          </cell>
          <cell r="AP351" t="e">
            <v>#DIV/0!</v>
          </cell>
          <cell r="AQ351" t="e">
            <v>#VALUE!</v>
          </cell>
          <cell r="AR351" t="e">
            <v>#DIV/0!</v>
          </cell>
          <cell r="AS351">
            <v>0</v>
          </cell>
          <cell r="AT351" t="e">
            <v>#N/A</v>
          </cell>
          <cell r="AU351" t="e">
            <v>#DIV/0!</v>
          </cell>
          <cell r="AV351">
            <v>0</v>
          </cell>
          <cell r="AW351" t="e">
            <v>#VALUE!</v>
          </cell>
          <cell r="AX351" t="e">
            <v>#VALUE!</v>
          </cell>
          <cell r="AY351" t="e">
            <v>#VALUE!</v>
          </cell>
          <cell r="AZ351" t="e">
            <v>#VALUE!</v>
          </cell>
          <cell r="BA351" t="e">
            <v>#VALUE!</v>
          </cell>
          <cell r="BB351" t="e">
            <v>#VALUE!</v>
          </cell>
          <cell r="BC351" t="e">
            <v>#VALUE!</v>
          </cell>
          <cell r="BD351" t="e">
            <v>#VALUE!</v>
          </cell>
          <cell r="BE351" t="e">
            <v>#VALUE!</v>
          </cell>
        </row>
        <row r="352">
          <cell r="H352" t="e">
            <v>#DIV/0!</v>
          </cell>
          <cell r="I352" t="e">
            <v>#DIV/0!</v>
          </cell>
          <cell r="J352" t="e">
            <v>#DIV/0!</v>
          </cell>
          <cell r="K352" t="e">
            <v>#DIV/0!</v>
          </cell>
          <cell r="L352" t="e">
            <v>#DIV/0!</v>
          </cell>
          <cell r="M352" t="e">
            <v>#DIV/0!</v>
          </cell>
          <cell r="N352" t="e">
            <v>#DIV/0!</v>
          </cell>
          <cell r="O352" t="e">
            <v>#DIV/0!</v>
          </cell>
          <cell r="P352" t="e">
            <v>#DIV/0!</v>
          </cell>
          <cell r="Q352" t="e">
            <v>#DIV/0!</v>
          </cell>
          <cell r="R352" t="e">
            <v>#DIV/0!</v>
          </cell>
          <cell r="S352" t="e">
            <v>#DIV/0!</v>
          </cell>
          <cell r="T352" t="e">
            <v>#VALUE!</v>
          </cell>
          <cell r="U352" t="e">
            <v>#DIV/0!</v>
          </cell>
          <cell r="V352" t="e">
            <v>#DIV/0!</v>
          </cell>
          <cell r="W352" t="e">
            <v>#DIV/0!</v>
          </cell>
          <cell r="X352" t="e">
            <v>#DIV/0!</v>
          </cell>
          <cell r="Y352">
            <v>0</v>
          </cell>
          <cell r="Z352" t="e">
            <v>#N/A</v>
          </cell>
          <cell r="AA352" t="e">
            <v>#DIV/0!</v>
          </cell>
          <cell r="AB352" t="e">
            <v>#DIV/0!</v>
          </cell>
          <cell r="AC352" t="e">
            <v>#DIV/0!</v>
          </cell>
          <cell r="AD352" t="e">
            <v>#N/A</v>
          </cell>
          <cell r="AE352" t="e">
            <v>#DIV/0!</v>
          </cell>
          <cell r="AF352" t="e">
            <v>#DIV/0!</v>
          </cell>
          <cell r="AG352" t="e">
            <v>#DIV/0!</v>
          </cell>
          <cell r="AH352" t="e">
            <v>#DIV/0!</v>
          </cell>
          <cell r="AI352" t="e">
            <v>#DIV/0!</v>
          </cell>
          <cell r="AJ352" t="e">
            <v>#VALUE!</v>
          </cell>
          <cell r="AK352" t="e">
            <v>#DIV/0!</v>
          </cell>
          <cell r="AL352" t="e">
            <v>#DIV/0!</v>
          </cell>
          <cell r="AM352" t="e">
            <v>#DIV/0!</v>
          </cell>
          <cell r="AN352" t="e">
            <v>#DIV/0!</v>
          </cell>
          <cell r="AO352" t="e">
            <v>#N/A</v>
          </cell>
          <cell r="AP352" t="e">
            <v>#DIV/0!</v>
          </cell>
          <cell r="AQ352" t="e">
            <v>#VALUE!</v>
          </cell>
          <cell r="AR352" t="e">
            <v>#DIV/0!</v>
          </cell>
          <cell r="AS352" t="e">
            <v>#DIV/0!</v>
          </cell>
          <cell r="AT352" t="e">
            <v>#N/A</v>
          </cell>
          <cell r="AU352" t="e">
            <v>#DIV/0!</v>
          </cell>
          <cell r="AV352" t="e">
            <v>#DIV/0!</v>
          </cell>
          <cell r="AW352" t="e">
            <v>#VALUE!</v>
          </cell>
          <cell r="AX352" t="e">
            <v>#VALUE!</v>
          </cell>
          <cell r="AY352" t="e">
            <v>#VALUE!</v>
          </cell>
          <cell r="AZ352" t="e">
            <v>#VALUE!</v>
          </cell>
          <cell r="BA352" t="e">
            <v>#VALUE!</v>
          </cell>
          <cell r="BB352" t="e">
            <v>#VALUE!</v>
          </cell>
          <cell r="BC352" t="e">
            <v>#VALUE!</v>
          </cell>
          <cell r="BD352" t="e">
            <v>#VALUE!</v>
          </cell>
          <cell r="BE352" t="e">
            <v>#VALUE!</v>
          </cell>
        </row>
        <row r="355">
          <cell r="H355" t="str">
            <v>NA</v>
          </cell>
          <cell r="I355" t="str">
            <v>NA</v>
          </cell>
          <cell r="J355" t="str">
            <v>NA</v>
          </cell>
          <cell r="K355" t="str">
            <v>NA</v>
          </cell>
          <cell r="L355" t="str">
            <v>NA</v>
          </cell>
          <cell r="M355" t="str">
            <v>NA</v>
          </cell>
          <cell r="N355" t="str">
            <v>NA</v>
          </cell>
          <cell r="O355" t="str">
            <v>NA</v>
          </cell>
          <cell r="P355" t="str">
            <v>NA</v>
          </cell>
          <cell r="Q355" t="str">
            <v>NA</v>
          </cell>
          <cell r="R355" t="str">
            <v>NA</v>
          </cell>
          <cell r="S355" t="str">
            <v>NA</v>
          </cell>
          <cell r="T355" t="str">
            <v>NA</v>
          </cell>
          <cell r="U355">
            <v>0.20995586345605899</v>
          </cell>
          <cell r="V355">
            <v>0.10275023502492142</v>
          </cell>
          <cell r="W355">
            <v>0.10056437389770712</v>
          </cell>
          <cell r="X355">
            <v>6.3399138041506209E-2</v>
          </cell>
          <cell r="Y355">
            <v>0.58279376997374444</v>
          </cell>
          <cell r="Z355">
            <v>0.13959607886307257</v>
          </cell>
          <cell r="AA355">
            <v>0.20449890190537223</v>
          </cell>
          <cell r="AB355">
            <v>0.17130811424123071</v>
          </cell>
          <cell r="AC355">
            <v>4.5618858895758452E-2</v>
          </cell>
          <cell r="AD355" t="str">
            <v>NA</v>
          </cell>
          <cell r="AE355">
            <v>1.3168845155921094E-2</v>
          </cell>
          <cell r="AF355">
            <v>8.957475648052271E-2</v>
          </cell>
          <cell r="AG355">
            <v>0.18778939013096974</v>
          </cell>
          <cell r="AH355">
            <v>0.43624879304795638</v>
          </cell>
          <cell r="AI355">
            <v>-1.1964360020419562E-2</v>
          </cell>
          <cell r="AJ355">
            <v>0.17426680830826613</v>
          </cell>
          <cell r="AK355">
            <v>0.14263544018058694</v>
          </cell>
          <cell r="AL355">
            <v>0.20321891361665445</v>
          </cell>
          <cell r="AM355">
            <v>0.11318642402641155</v>
          </cell>
          <cell r="AN355">
            <v>0.48666539367322259</v>
          </cell>
          <cell r="AO355" t="str">
            <v>NA</v>
          </cell>
          <cell r="AP355">
            <v>0.12990297733669087</v>
          </cell>
          <cell r="AQ355">
            <v>0.12461481215605752</v>
          </cell>
          <cell r="AR355">
            <v>9.600139839123667E-2</v>
          </cell>
          <cell r="AS355">
            <v>0.18778939013096974</v>
          </cell>
          <cell r="AT355">
            <v>8.9152755768771463E-2</v>
          </cell>
          <cell r="AU355">
            <v>0.11680633237212357</v>
          </cell>
          <cell r="AV355">
            <v>0.11790497783355192</v>
          </cell>
          <cell r="AW355" t="str">
            <v>NA</v>
          </cell>
          <cell r="AX355" t="str">
            <v>NA</v>
          </cell>
          <cell r="AY355" t="str">
            <v>NA</v>
          </cell>
          <cell r="AZ355" t="str">
            <v>NA</v>
          </cell>
          <cell r="BA355" t="str">
            <v>NA</v>
          </cell>
          <cell r="BB355" t="str">
            <v>NA</v>
          </cell>
          <cell r="BC355" t="str">
            <v>NA</v>
          </cell>
          <cell r="BD355" t="str">
            <v>NA</v>
          </cell>
          <cell r="BE355" t="str">
            <v>NA</v>
          </cell>
        </row>
        <row r="356">
          <cell r="H356" t="str">
            <v>NA</v>
          </cell>
          <cell r="I356" t="str">
            <v>NA</v>
          </cell>
          <cell r="J356" t="str">
            <v>NA</v>
          </cell>
          <cell r="K356" t="str">
            <v>NA</v>
          </cell>
          <cell r="L356" t="str">
            <v>NA</v>
          </cell>
          <cell r="M356" t="str">
            <v>NA</v>
          </cell>
          <cell r="N356" t="str">
            <v>NA</v>
          </cell>
          <cell r="O356" t="str">
            <v>NA</v>
          </cell>
          <cell r="P356" t="str">
            <v>NA</v>
          </cell>
          <cell r="Q356" t="str">
            <v>NA</v>
          </cell>
          <cell r="R356" t="str">
            <v>NA</v>
          </cell>
          <cell r="S356" t="str">
            <v>NA</v>
          </cell>
          <cell r="T356" t="str">
            <v>NA</v>
          </cell>
          <cell r="U356" t="str">
            <v>NM</v>
          </cell>
          <cell r="V356">
            <v>0.15825544253408919</v>
          </cell>
          <cell r="W356">
            <v>0.10056437389770712</v>
          </cell>
          <cell r="X356">
            <v>9.0451419029002889E-3</v>
          </cell>
          <cell r="Y356">
            <v>8.5606160047799751E-2</v>
          </cell>
          <cell r="Z356">
            <v>0.64688017921677488</v>
          </cell>
          <cell r="AA356">
            <v>0.2096406524266361</v>
          </cell>
          <cell r="AB356">
            <v>-2.7622055860919703E-2</v>
          </cell>
          <cell r="AC356">
            <v>0.1512625224898354</v>
          </cell>
          <cell r="AD356" t="str">
            <v>NA</v>
          </cell>
          <cell r="AE356" t="str">
            <v>NM</v>
          </cell>
          <cell r="AF356">
            <v>0.21062712675200901</v>
          </cell>
          <cell r="AG356">
            <v>-5.9426053346557373E-3</v>
          </cell>
          <cell r="AH356" t="str">
            <v>NA</v>
          </cell>
          <cell r="AI356" t="str">
            <v>NA</v>
          </cell>
          <cell r="AJ356">
            <v>0.65257109552308123</v>
          </cell>
          <cell r="AK356">
            <v>0.5193474392623767</v>
          </cell>
          <cell r="AL356">
            <v>0.58974533339506641</v>
          </cell>
          <cell r="AM356">
            <v>9.7560975609756184E-2</v>
          </cell>
          <cell r="AN356" t="str">
            <v>NM</v>
          </cell>
          <cell r="AO356" t="str">
            <v>NA</v>
          </cell>
          <cell r="AP356">
            <v>0.16269030049301803</v>
          </cell>
          <cell r="AQ356">
            <v>0.21516485718497758</v>
          </cell>
          <cell r="AR356">
            <v>0.17410371280984438</v>
          </cell>
          <cell r="AS356">
            <v>-1.9477426139478782E-2</v>
          </cell>
          <cell r="AT356">
            <v>0.35565154787616993</v>
          </cell>
          <cell r="AU356" t="str">
            <v>NA</v>
          </cell>
          <cell r="AV356">
            <v>0.20532727299434717</v>
          </cell>
          <cell r="AW356" t="str">
            <v>NA</v>
          </cell>
          <cell r="AX356" t="str">
            <v>NA</v>
          </cell>
          <cell r="AY356" t="str">
            <v>NA</v>
          </cell>
          <cell r="AZ356" t="str">
            <v>NA</v>
          </cell>
          <cell r="BA356" t="str">
            <v>NA</v>
          </cell>
          <cell r="BB356" t="str">
            <v>NA</v>
          </cell>
          <cell r="BC356" t="str">
            <v>NA</v>
          </cell>
          <cell r="BD356" t="str">
            <v>NA</v>
          </cell>
          <cell r="BE356" t="str">
            <v>NA</v>
          </cell>
        </row>
        <row r="360">
          <cell r="H360">
            <v>0.10465116279069764</v>
          </cell>
          <cell r="I360">
            <v>-7.999999999999996E-2</v>
          </cell>
          <cell r="J360">
            <v>9.375E-2</v>
          </cell>
          <cell r="K360">
            <v>0.27064220183486221</v>
          </cell>
          <cell r="L360">
            <v>-1.5</v>
          </cell>
          <cell r="M360">
            <v>-8.7912087912087933E-2</v>
          </cell>
          <cell r="N360">
            <v>6.9306930693069368E-2</v>
          </cell>
          <cell r="O360">
            <v>0.1333333333333333</v>
          </cell>
          <cell r="P360">
            <v>-0.69724770642201839</v>
          </cell>
          <cell r="Q360">
            <v>4.39560439560438E-2</v>
          </cell>
          <cell r="R360">
            <v>5.6994818652849721E-2</v>
          </cell>
          <cell r="S360">
            <v>5.5118110236220597E-2</v>
          </cell>
          <cell r="T360" t="e">
            <v>#VALUE!</v>
          </cell>
          <cell r="U360">
            <v>2.5555555555555558</v>
          </cell>
          <cell r="V360">
            <v>0.75</v>
          </cell>
          <cell r="W360">
            <v>9.3023255813953432E-2</v>
          </cell>
          <cell r="X360">
            <v>0.14102564102564097</v>
          </cell>
          <cell r="Y360">
            <v>0.4027777777777779</v>
          </cell>
          <cell r="Z360" t="e">
            <v>#N/A</v>
          </cell>
          <cell r="AA360">
            <v>0.35586481113320079</v>
          </cell>
          <cell r="AB360">
            <v>0.35586481113320079</v>
          </cell>
          <cell r="AC360">
            <v>0.24271844660194164</v>
          </cell>
          <cell r="AD360" t="e">
            <v>#N/A</v>
          </cell>
          <cell r="AE360">
            <v>-0.35582822085889565</v>
          </cell>
          <cell r="AF360">
            <v>0.2736318407960201</v>
          </cell>
          <cell r="AG360">
            <v>0.30000000000000004</v>
          </cell>
          <cell r="AH360">
            <v>0.43577981651376141</v>
          </cell>
          <cell r="AI360">
            <v>-0.7303370786516854</v>
          </cell>
          <cell r="AJ360" t="e">
            <v>#VALUE!</v>
          </cell>
          <cell r="AK360">
            <v>0.34351145038167941</v>
          </cell>
          <cell r="AL360">
            <v>0.30347349177330907</v>
          </cell>
          <cell r="AM360">
            <v>0.21276595744680837</v>
          </cell>
          <cell r="AN360">
            <v>-0.48062015503875966</v>
          </cell>
          <cell r="AO360" t="e">
            <v>#N/A</v>
          </cell>
          <cell r="AP360">
            <v>0.25789473684210518</v>
          </cell>
          <cell r="AQ360" t="e">
            <v>#VALUE!</v>
          </cell>
          <cell r="AR360">
            <v>0.25789473684210518</v>
          </cell>
          <cell r="AS360">
            <v>0.30000000000000004</v>
          </cell>
          <cell r="AT360" t="e">
            <v>#N/A</v>
          </cell>
          <cell r="AU360">
            <v>0.59890109890109899</v>
          </cell>
          <cell r="AV360">
            <v>0.59890109890109899</v>
          </cell>
          <cell r="AW360" t="e">
            <v>#VALUE!</v>
          </cell>
          <cell r="AX360" t="e">
            <v>#VALUE!</v>
          </cell>
          <cell r="AY360" t="e">
            <v>#VALUE!</v>
          </cell>
          <cell r="AZ360" t="e">
            <v>#VALUE!</v>
          </cell>
          <cell r="BA360" t="e">
            <v>#VALUE!</v>
          </cell>
          <cell r="BB360" t="e">
            <v>#VALUE!</v>
          </cell>
          <cell r="BC360" t="e">
            <v>#VALUE!</v>
          </cell>
          <cell r="BD360" t="e">
            <v>#VALUE!</v>
          </cell>
          <cell r="BE360" t="e">
            <v>#VALUE!</v>
          </cell>
        </row>
        <row r="361">
          <cell r="H361">
            <v>0.12631578947368438</v>
          </cell>
          <cell r="I361">
            <v>0.47826086956521752</v>
          </cell>
          <cell r="J361">
            <v>0.1333333333333333</v>
          </cell>
          <cell r="K361">
            <v>0.12635379061371843</v>
          </cell>
          <cell r="L361">
            <v>3.5</v>
          </cell>
          <cell r="M361">
            <v>0.22891566265060259</v>
          </cell>
          <cell r="N361">
            <v>0.1064814814814814</v>
          </cell>
          <cell r="O361">
            <v>0.43137254901960786</v>
          </cell>
          <cell r="P361">
            <v>1.1212121212121211</v>
          </cell>
          <cell r="Q361">
            <v>0.16842105263157903</v>
          </cell>
          <cell r="R361">
            <v>0.16394558823529404</v>
          </cell>
          <cell r="S361">
            <v>0.15671641791044766</v>
          </cell>
          <cell r="T361">
            <v>0.15340909090909083</v>
          </cell>
          <cell r="U361">
            <v>1.03125</v>
          </cell>
          <cell r="V361">
            <v>0.48051948051948035</v>
          </cell>
          <cell r="W361">
            <v>0.13829787234042556</v>
          </cell>
          <cell r="X361">
            <v>0.15730337078651679</v>
          </cell>
          <cell r="Y361">
            <v>0.25742574257425743</v>
          </cell>
          <cell r="Z361" t="e">
            <v>#N/A</v>
          </cell>
          <cell r="AA361">
            <v>0.19648093841642233</v>
          </cell>
          <cell r="AB361">
            <v>0.19648093841642233</v>
          </cell>
          <cell r="AC361">
            <v>0.109375</v>
          </cell>
          <cell r="AD361" t="e">
            <v>#N/A</v>
          </cell>
          <cell r="AE361">
            <v>0.4095238095238094</v>
          </cell>
          <cell r="AF361">
            <v>0.15625</v>
          </cell>
          <cell r="AG361">
            <v>0.19780219780219777</v>
          </cell>
          <cell r="AH361">
            <v>0.41533546325878601</v>
          </cell>
          <cell r="AI361">
            <v>1</v>
          </cell>
          <cell r="AJ361" t="e">
            <v>#VALUE!</v>
          </cell>
          <cell r="AK361">
            <v>0.15340909090909083</v>
          </cell>
          <cell r="AL361">
            <v>0.21879382889200549</v>
          </cell>
          <cell r="AM361">
            <v>0.11403508771929838</v>
          </cell>
          <cell r="AN361">
            <v>0.49731343283582086</v>
          </cell>
          <cell r="AO361" t="e">
            <v>#N/A</v>
          </cell>
          <cell r="AP361">
            <v>0.19874476987447709</v>
          </cell>
          <cell r="AQ361" t="e">
            <v>#VALUE!</v>
          </cell>
          <cell r="AR361">
            <v>0.19874476987447709</v>
          </cell>
          <cell r="AS361">
            <v>0.19780219780219777</v>
          </cell>
          <cell r="AT361" t="e">
            <v>#N/A</v>
          </cell>
          <cell r="AU361">
            <v>0.20274914089347074</v>
          </cell>
          <cell r="AV361">
            <v>0.20274914089347074</v>
          </cell>
          <cell r="AW361" t="e">
            <v>#VALUE!</v>
          </cell>
          <cell r="AX361" t="e">
            <v>#VALUE!</v>
          </cell>
          <cell r="AY361" t="e">
            <v>#VALUE!</v>
          </cell>
          <cell r="AZ361" t="e">
            <v>#VALUE!</v>
          </cell>
          <cell r="BA361" t="e">
            <v>#VALUE!</v>
          </cell>
          <cell r="BB361" t="e">
            <v>#VALUE!</v>
          </cell>
          <cell r="BC361" t="e">
            <v>#VALUE!</v>
          </cell>
          <cell r="BD361" t="e">
            <v>#VALUE!</v>
          </cell>
          <cell r="BE361" t="e">
            <v>#VALUE!</v>
          </cell>
        </row>
        <row r="362">
          <cell r="H362">
            <v>-0.50345323741007197</v>
          </cell>
          <cell r="I362">
            <v>-0.68642659279778395</v>
          </cell>
          <cell r="J362">
            <v>-2.8714524207011705E-2</v>
          </cell>
          <cell r="K362">
            <v>0.63133640552995396</v>
          </cell>
          <cell r="L362">
            <v>-9.5238095238095122E-2</v>
          </cell>
          <cell r="M362">
            <v>-0.21292460646230327</v>
          </cell>
          <cell r="N362">
            <v>-0.34760869565217389</v>
          </cell>
          <cell r="O362">
            <v>-0.48140321217244297</v>
          </cell>
          <cell r="P362">
            <v>-0.81860006572461386</v>
          </cell>
          <cell r="Q362">
            <v>-0.18022705771050151</v>
          </cell>
          <cell r="R362">
            <v>0.18976545842217463</v>
          </cell>
          <cell r="S362">
            <v>-0.3235708251196846</v>
          </cell>
          <cell r="T362" t="e">
            <v>#VALUE!</v>
          </cell>
          <cell r="U362">
            <v>-0.20848845867460897</v>
          </cell>
          <cell r="V362">
            <v>0.51308139534883712</v>
          </cell>
          <cell r="W362">
            <v>-0.50345323741007197</v>
          </cell>
          <cell r="X362">
            <v>-0.41168478260869568</v>
          </cell>
          <cell r="Y362">
            <v>-8.5178236397748575E-2</v>
          </cell>
          <cell r="Z362" t="str">
            <v>NA</v>
          </cell>
          <cell r="AA362">
            <v>8.9791635436966111E-2</v>
          </cell>
          <cell r="AB362">
            <v>8.9791635436966111E-2</v>
          </cell>
          <cell r="AC362">
            <v>-0.27339901477832518</v>
          </cell>
          <cell r="AD362" t="str">
            <v>NA</v>
          </cell>
          <cell r="AE362">
            <v>-4.5066991473812545E-2</v>
          </cell>
          <cell r="AF362">
            <v>0.50169204737732653</v>
          </cell>
          <cell r="AG362">
            <v>-1.9562043795620543E-2</v>
          </cell>
          <cell r="AH362">
            <v>0.51308139534883712</v>
          </cell>
          <cell r="AI362">
            <v>-0.57641025641025645</v>
          </cell>
          <cell r="AJ362" t="e">
            <v>#VALUE!</v>
          </cell>
          <cell r="AK362">
            <v>0.14455445544554446</v>
          </cell>
          <cell r="AL362">
            <v>-0.20732618988288076</v>
          </cell>
          <cell r="AM362">
            <v>9.5517841601392428E-2</v>
          </cell>
          <cell r="AN362">
            <v>7.0815450643776812E-2</v>
          </cell>
          <cell r="AO362" t="str">
            <v>NA</v>
          </cell>
          <cell r="AP362">
            <v>0.35375886524822686</v>
          </cell>
          <cell r="AQ362" t="e">
            <v>#VALUE!</v>
          </cell>
          <cell r="AR362">
            <v>0.35375886524822686</v>
          </cell>
          <cell r="AS362">
            <v>-1.9562043795620543E-2</v>
          </cell>
          <cell r="AT362" t="str">
            <v>NA</v>
          </cell>
          <cell r="AU362">
            <v>-0.11770321876704848</v>
          </cell>
          <cell r="AV362">
            <v>-0.11770321876704848</v>
          </cell>
          <cell r="AW362" t="e">
            <v>#VALUE!</v>
          </cell>
          <cell r="AX362" t="e">
            <v>#VALUE!</v>
          </cell>
          <cell r="AY362" t="e">
            <v>#VALUE!</v>
          </cell>
          <cell r="AZ362" t="e">
            <v>#VALUE!</v>
          </cell>
          <cell r="BA362" t="e">
            <v>#VALUE!</v>
          </cell>
          <cell r="BB362" t="e">
            <v>#VALUE!</v>
          </cell>
          <cell r="BC362" t="e">
            <v>#VALUE!</v>
          </cell>
          <cell r="BD362" t="e">
            <v>#VALUE!</v>
          </cell>
          <cell r="BE362" t="e">
            <v>#VALUE!</v>
          </cell>
        </row>
        <row r="363">
          <cell r="H363">
            <v>2.8985507246370723E-4</v>
          </cell>
          <cell r="I363">
            <v>-0.17971014492753623</v>
          </cell>
          <cell r="J363">
            <v>8.788332086761419E-2</v>
          </cell>
          <cell r="K363">
            <v>9.2322883238706632E-2</v>
          </cell>
          <cell r="L363">
            <v>8.8004822182037534E-2</v>
          </cell>
          <cell r="M363">
            <v>0.1124121779859486</v>
          </cell>
          <cell r="N363">
            <v>9.6055514974433986E-2</v>
          </cell>
          <cell r="O363">
            <v>-0.11343930635838151</v>
          </cell>
          <cell r="P363">
            <v>-0.24487004103967169</v>
          </cell>
          <cell r="Q363">
            <v>4.5235223160434268E-2</v>
          </cell>
          <cell r="R363">
            <v>3.4930448222565635E-2</v>
          </cell>
          <cell r="S363">
            <v>0.11203703703703694</v>
          </cell>
          <cell r="T363" t="e">
            <v>#VALUE!</v>
          </cell>
          <cell r="U363">
            <v>-3.3636363636363575E-2</v>
          </cell>
          <cell r="V363">
            <v>0.15950100245043441</v>
          </cell>
          <cell r="W363">
            <v>2.8985507246370723E-4</v>
          </cell>
          <cell r="X363">
            <v>6.7488443759630146E-2</v>
          </cell>
          <cell r="Y363">
            <v>0.16372315035799523</v>
          </cell>
          <cell r="Z363" t="str">
            <v>NA</v>
          </cell>
          <cell r="AA363">
            <v>0.14236329352608434</v>
          </cell>
          <cell r="AB363">
            <v>0.14236329352608434</v>
          </cell>
          <cell r="AC363">
            <v>1.7241379310344751E-2</v>
          </cell>
          <cell r="AD363" t="str">
            <v>NA</v>
          </cell>
          <cell r="AE363">
            <v>9.3444909344490901E-2</v>
          </cell>
          <cell r="AF363">
            <v>0.24068033550792167</v>
          </cell>
          <cell r="AG363">
            <v>0.16395147313691494</v>
          </cell>
          <cell r="AH363">
            <v>0.15950100245043441</v>
          </cell>
          <cell r="AI363">
            <v>0</v>
          </cell>
          <cell r="AJ363" t="e">
            <v>#VALUE!</v>
          </cell>
          <cell r="AK363">
            <v>8.0373831775700788E-2</v>
          </cell>
          <cell r="AL363">
            <v>2.1515735388567769E-2</v>
          </cell>
          <cell r="AM363">
            <v>4.2011589403973426E-2</v>
          </cell>
          <cell r="AN363">
            <v>7.3118279569892364E-2</v>
          </cell>
          <cell r="AO363" t="str">
            <v>NA</v>
          </cell>
          <cell r="AP363">
            <v>5.5985837574684671E-2</v>
          </cell>
          <cell r="AQ363" t="e">
            <v>#VALUE!</v>
          </cell>
          <cell r="AR363">
            <v>5.5985837574684671E-2</v>
          </cell>
          <cell r="AS363">
            <v>0.16395147313691494</v>
          </cell>
          <cell r="AT363" t="str">
            <v>NA</v>
          </cell>
          <cell r="AU363">
            <v>0.16119188655537608</v>
          </cell>
          <cell r="AV363">
            <v>0.16119188655537608</v>
          </cell>
          <cell r="AW363" t="e">
            <v>#VALUE!</v>
          </cell>
          <cell r="AX363" t="e">
            <v>#VALUE!</v>
          </cell>
          <cell r="AY363" t="e">
            <v>#VALUE!</v>
          </cell>
          <cell r="AZ363" t="e">
            <v>#VALUE!</v>
          </cell>
          <cell r="BA363" t="e">
            <v>#VALUE!</v>
          </cell>
          <cell r="BB363" t="e">
            <v>#VALUE!</v>
          </cell>
          <cell r="BC363" t="e">
            <v>#VALUE!</v>
          </cell>
          <cell r="BD363" t="e">
            <v>#VALUE!</v>
          </cell>
          <cell r="BE363" t="e">
            <v>#VALUE!</v>
          </cell>
        </row>
        <row r="364">
          <cell r="H364">
            <v>7.4408468244084647E-2</v>
          </cell>
          <cell r="I364">
            <v>-0.59015206372194062</v>
          </cell>
          <cell r="J364">
            <v>3.1034482758620641E-3</v>
          </cell>
          <cell r="K364">
            <v>0.10184262948207179</v>
          </cell>
          <cell r="L364">
            <v>-0.21041119860017488</v>
          </cell>
          <cell r="M364">
            <v>3.4858387799564294E-2</v>
          </cell>
          <cell r="N364">
            <v>-0.22932717000513603</v>
          </cell>
          <cell r="O364">
            <v>-0.34664536741214069</v>
          </cell>
          <cell r="P364">
            <v>-0.58651685393258424</v>
          </cell>
          <cell r="Q364">
            <v>-2.0903954802259928E-2</v>
          </cell>
          <cell r="R364">
            <v>5.1507537688442184E-2</v>
          </cell>
          <cell r="S364">
            <v>-1.1115685467270486E-2</v>
          </cell>
          <cell r="T364" t="e">
            <v>#VALUE!</v>
          </cell>
          <cell r="U364">
            <v>4.4717444717444765E-2</v>
          </cell>
          <cell r="V364">
            <v>5.2152819890842972E-2</v>
          </cell>
          <cell r="W364">
            <v>7.4408468244084647E-2</v>
          </cell>
          <cell r="X364">
            <v>-8.5533262935586163E-2</v>
          </cell>
          <cell r="Y364">
            <v>8.6884567645841848E-3</v>
          </cell>
          <cell r="Z364" t="str">
            <v>NA</v>
          </cell>
          <cell r="AA364">
            <v>-4.6557377049180282E-2</v>
          </cell>
          <cell r="AB364">
            <v>-4.6557377049180282E-2</v>
          </cell>
          <cell r="AC364">
            <v>-0.19089413055403182</v>
          </cell>
          <cell r="AD364" t="str">
            <v>NA</v>
          </cell>
          <cell r="AE364">
            <v>-1.0101010101010055E-2</v>
          </cell>
          <cell r="AF364">
            <v>0.11262014208106974</v>
          </cell>
          <cell r="AG364">
            <v>0.11896034655114951</v>
          </cell>
          <cell r="AH364">
            <v>5.2152819890842972E-2</v>
          </cell>
          <cell r="AI364">
            <v>-0.66368078175895762</v>
          </cell>
          <cell r="AJ364" t="e">
            <v>#VALUE!</v>
          </cell>
          <cell r="AK364">
            <v>-1.7006802721088454E-2</v>
          </cell>
          <cell r="AL364">
            <v>-0.12344998622209979</v>
          </cell>
          <cell r="AM364">
            <v>4.939558149228862E-2</v>
          </cell>
          <cell r="AN364">
            <v>3.9583333333333526E-2</v>
          </cell>
          <cell r="AO364" t="str">
            <v>NA</v>
          </cell>
          <cell r="AP364">
            <v>-3.1065989847715803E-2</v>
          </cell>
          <cell r="AQ364" t="e">
            <v>#VALUE!</v>
          </cell>
          <cell r="AR364">
            <v>-3.1065989847715803E-2</v>
          </cell>
          <cell r="AS364">
            <v>0.11896034655114951</v>
          </cell>
          <cell r="AT364" t="str">
            <v>NA</v>
          </cell>
          <cell r="AU364">
            <v>2.6336665080120447E-2</v>
          </cell>
          <cell r="AV364">
            <v>2.6336665080120447E-2</v>
          </cell>
          <cell r="AW364" t="e">
            <v>#VALUE!</v>
          </cell>
          <cell r="AX364" t="e">
            <v>#VALUE!</v>
          </cell>
          <cell r="AY364" t="e">
            <v>#VALUE!</v>
          </cell>
          <cell r="AZ364" t="e">
            <v>#VALUE!</v>
          </cell>
          <cell r="BA364" t="e">
            <v>#VALUE!</v>
          </cell>
          <cell r="BB364" t="e">
            <v>#VALUE!</v>
          </cell>
          <cell r="BC364" t="e">
            <v>#VALUE!</v>
          </cell>
          <cell r="BD364" t="e">
            <v>#VALUE!</v>
          </cell>
          <cell r="BE364" t="e">
            <v>#VALUE!</v>
          </cell>
        </row>
        <row r="365">
          <cell r="H365">
            <v>-6.7297297297297387E-2</v>
          </cell>
          <cell r="I365">
            <v>-0.63717948717948714</v>
          </cell>
          <cell r="J365">
            <v>6.0904449307074948E-2</v>
          </cell>
          <cell r="K365">
            <v>0.32089552238805963</v>
          </cell>
          <cell r="L365">
            <v>-0.33123379029270095</v>
          </cell>
          <cell r="M365">
            <v>-0.20634920634920639</v>
          </cell>
          <cell r="N365">
            <v>-0.33664898320070735</v>
          </cell>
          <cell r="O365">
            <v>-0.39076464746772599</v>
          </cell>
          <cell r="P365">
            <v>-0.67529411764705882</v>
          </cell>
          <cell r="Q365">
            <v>-0.17001915708812265</v>
          </cell>
          <cell r="R365">
            <v>4.4617784711388442E-2</v>
          </cell>
          <cell r="S365">
            <v>-0.20986842105263159</v>
          </cell>
          <cell r="T365" t="e">
            <v>#VALUE!</v>
          </cell>
          <cell r="U365">
            <v>0.16174863387978156</v>
          </cell>
          <cell r="V365">
            <v>-3.0545725460979667E-2</v>
          </cell>
          <cell r="W365">
            <v>-6.7297297297297387E-2</v>
          </cell>
          <cell r="X365">
            <v>-0.26297872340425532</v>
          </cell>
          <cell r="Y365">
            <v>-8.9430894308943909E-3</v>
          </cell>
          <cell r="Z365" t="str">
            <v>NA</v>
          </cell>
          <cell r="AA365">
            <v>9.7192876546936313E-2</v>
          </cell>
          <cell r="AB365">
            <v>9.7192876546936313E-2</v>
          </cell>
          <cell r="AC365">
            <v>-0.22895974908520644</v>
          </cell>
          <cell r="AD365" t="str">
            <v>NA</v>
          </cell>
          <cell r="AE365">
            <v>-0.15969989281886388</v>
          </cell>
          <cell r="AF365">
            <v>0.24068033550792167</v>
          </cell>
          <cell r="AG365">
            <v>0.23365172667156497</v>
          </cell>
          <cell r="AH365">
            <v>-3.0545725460979667E-2</v>
          </cell>
          <cell r="AI365">
            <v>-0.65938144329896908</v>
          </cell>
          <cell r="AJ365" t="e">
            <v>#VALUE!</v>
          </cell>
          <cell r="AK365">
            <v>6.25E-2</v>
          </cell>
          <cell r="AL365">
            <v>-8.1072653570315456E-3</v>
          </cell>
          <cell r="AM365">
            <v>8.0008580008580132E-2</v>
          </cell>
          <cell r="AN365">
            <v>-0.25522388059701495</v>
          </cell>
          <cell r="AO365" t="str">
            <v>NA</v>
          </cell>
          <cell r="AP365">
            <v>0.19569030318215996</v>
          </cell>
          <cell r="AQ365" t="e">
            <v>#VALUE!</v>
          </cell>
          <cell r="AR365">
            <v>0.19569030318215996</v>
          </cell>
          <cell r="AS365">
            <v>0.23365172667156497</v>
          </cell>
          <cell r="AT365" t="str">
            <v>NA</v>
          </cell>
          <cell r="AU365">
            <v>-1.4623000761614713E-2</v>
          </cell>
          <cell r="AV365">
            <v>-1.4623000761614713E-2</v>
          </cell>
          <cell r="AW365" t="e">
            <v>#VALUE!</v>
          </cell>
          <cell r="AX365" t="e">
            <v>#VALUE!</v>
          </cell>
          <cell r="AY365" t="e">
            <v>#VALUE!</v>
          </cell>
          <cell r="AZ365" t="e">
            <v>#VALUE!</v>
          </cell>
          <cell r="BA365" t="e">
            <v>#VALUE!</v>
          </cell>
          <cell r="BB365" t="e">
            <v>#VALUE!</v>
          </cell>
          <cell r="BC365" t="e">
            <v>#VALUE!</v>
          </cell>
          <cell r="BD365" t="e">
            <v>#VALUE!</v>
          </cell>
          <cell r="BE365" t="e">
            <v>#VALUE!</v>
          </cell>
        </row>
        <row r="368">
          <cell r="H368" t="str">
            <v>NA</v>
          </cell>
          <cell r="I368" t="str">
            <v>NA</v>
          </cell>
          <cell r="J368" t="str">
            <v>NA</v>
          </cell>
          <cell r="K368" t="str">
            <v>NA</v>
          </cell>
          <cell r="L368" t="str">
            <v>NA</v>
          </cell>
          <cell r="M368" t="str">
            <v>NA</v>
          </cell>
          <cell r="N368" t="str">
            <v>NA</v>
          </cell>
          <cell r="O368" t="str">
            <v>NA</v>
          </cell>
          <cell r="P368" t="str">
            <v>NA</v>
          </cell>
          <cell r="Q368" t="str">
            <v>NA</v>
          </cell>
          <cell r="R368" t="str">
            <v>NA</v>
          </cell>
          <cell r="S368" t="str">
            <v>NA</v>
          </cell>
          <cell r="T368" t="str">
            <v>NA</v>
          </cell>
          <cell r="U368">
            <v>1.0693307896982774E-2</v>
          </cell>
          <cell r="V368">
            <v>0.26962970549622445</v>
          </cell>
          <cell r="W368">
            <v>0.18696819790456437</v>
          </cell>
          <cell r="X368">
            <v>0.19380520277577651</v>
          </cell>
          <cell r="Y368">
            <v>5.2594519010087125E-2</v>
          </cell>
          <cell r="Z368">
            <v>1.6443183851760568E-2</v>
          </cell>
          <cell r="AA368">
            <v>1.7640908278226348E-2</v>
          </cell>
          <cell r="AB368">
            <v>1.8085483627143288E-2</v>
          </cell>
          <cell r="AC368">
            <v>2.3776764772298026E-2</v>
          </cell>
          <cell r="AD368" t="str">
            <v>NA</v>
          </cell>
          <cell r="AE368">
            <v>9.4951978503645881E-3</v>
          </cell>
          <cell r="AF368">
            <v>6.1589367709245585E-2</v>
          </cell>
          <cell r="AG368">
            <v>9.1801786875638308E-2</v>
          </cell>
          <cell r="AH368">
            <v>0.12840506567192247</v>
          </cell>
          <cell r="AI368">
            <v>-0.3762399904386326</v>
          </cell>
          <cell r="AJ368">
            <v>5.7014234155848866E-2</v>
          </cell>
          <cell r="AK368">
            <v>7.4016158457127973E-2</v>
          </cell>
          <cell r="AL368">
            <v>2.0259684636452783E-2</v>
          </cell>
          <cell r="AM368">
            <v>0.18599818389465572</v>
          </cell>
          <cell r="AN368">
            <v>-1.0550700285228106E-2</v>
          </cell>
          <cell r="AO368" t="str">
            <v>NA</v>
          </cell>
          <cell r="AP368">
            <v>0.10256708201011942</v>
          </cell>
          <cell r="AQ368">
            <v>7.0224324920313538E-2</v>
          </cell>
          <cell r="AR368">
            <v>9.8081181987959801E-2</v>
          </cell>
          <cell r="AS368">
            <v>9.1801786875638308E-2</v>
          </cell>
          <cell r="AT368">
            <v>5.6732938030461574E-2</v>
          </cell>
          <cell r="AU368">
            <v>4.2896086300536124E-2</v>
          </cell>
          <cell r="AV368">
            <v>4.3864724300229654E-2</v>
          </cell>
          <cell r="AW368" t="str">
            <v>NA</v>
          </cell>
          <cell r="AX368" t="str">
            <v>NA</v>
          </cell>
          <cell r="AY368" t="str">
            <v>NA</v>
          </cell>
          <cell r="AZ368" t="str">
            <v>NA</v>
          </cell>
          <cell r="BA368" t="str">
            <v>NA</v>
          </cell>
          <cell r="BB368" t="str">
            <v>NA</v>
          </cell>
          <cell r="BC368" t="str">
            <v>NA</v>
          </cell>
          <cell r="BD368" t="str">
            <v>NA</v>
          </cell>
          <cell r="BE368" t="str">
            <v>NA</v>
          </cell>
        </row>
        <row r="369">
          <cell r="H369" t="str">
            <v>NA</v>
          </cell>
          <cell r="I369" t="str">
            <v>NA</v>
          </cell>
          <cell r="J369" t="str">
            <v>NA</v>
          </cell>
          <cell r="K369" t="str">
            <v>NA</v>
          </cell>
          <cell r="L369" t="str">
            <v>NA</v>
          </cell>
          <cell r="M369" t="str">
            <v>NA</v>
          </cell>
          <cell r="N369" t="str">
            <v>NA</v>
          </cell>
          <cell r="O369" t="str">
            <v>NA</v>
          </cell>
          <cell r="P369" t="str">
            <v>NA</v>
          </cell>
          <cell r="Q369" t="str">
            <v>NA</v>
          </cell>
          <cell r="R369" t="str">
            <v>NA</v>
          </cell>
          <cell r="S369" t="str">
            <v>NA</v>
          </cell>
          <cell r="T369" t="str">
            <v>NA</v>
          </cell>
          <cell r="U369">
            <v>9.1144133741653657E-2</v>
          </cell>
          <cell r="V369">
            <v>0.30463519892738433</v>
          </cell>
          <cell r="W369">
            <v>0.22234099810657673</v>
          </cell>
          <cell r="X369">
            <v>0.24490529491447746</v>
          </cell>
          <cell r="Y369">
            <v>5.6626710110702583E-2</v>
          </cell>
          <cell r="Z369">
            <v>2.0562085830529934E-2</v>
          </cell>
          <cell r="AA369">
            <v>1.8947336685949608E-2</v>
          </cell>
          <cell r="AB369">
            <v>1.9779493010378759E-2</v>
          </cell>
          <cell r="AC369">
            <v>2.9526577653195909E-2</v>
          </cell>
          <cell r="AD369" t="str">
            <v>NA</v>
          </cell>
          <cell r="AE369">
            <v>2.1632449686811436E-2</v>
          </cell>
          <cell r="AF369">
            <v>7.1737787681207435E-2</v>
          </cell>
          <cell r="AG369">
            <v>0.14368201229991615</v>
          </cell>
          <cell r="AH369">
            <v>0.13140653897996923</v>
          </cell>
          <cell r="AI369">
            <v>-0.10923867574997122</v>
          </cell>
          <cell r="AJ369">
            <v>6.8400569678198769E-2</v>
          </cell>
          <cell r="AK369">
            <v>0.10027365129007038</v>
          </cell>
          <cell r="AL369">
            <v>2.6509473304554627E-2</v>
          </cell>
          <cell r="AM369">
            <v>0.24651213661995836</v>
          </cell>
          <cell r="AN369">
            <v>1.8903591682419645E-3</v>
          </cell>
          <cell r="AO369" t="str">
            <v>NA</v>
          </cell>
          <cell r="AP369">
            <v>0.1109593136397737</v>
          </cell>
          <cell r="AQ369">
            <v>7.4231050658540979E-2</v>
          </cell>
          <cell r="AR369">
            <v>0.10599003507698727</v>
          </cell>
          <cell r="AS369">
            <v>0.1436820122999162</v>
          </cell>
          <cell r="AT369">
            <v>8.5055226136495757E-2</v>
          </cell>
          <cell r="AU369">
            <v>4.9586429958934496E-2</v>
          </cell>
          <cell r="AV369">
            <v>5.1493433399889148E-2</v>
          </cell>
          <cell r="AW369" t="str">
            <v>NA</v>
          </cell>
          <cell r="AX369" t="str">
            <v>NA</v>
          </cell>
          <cell r="AY369" t="str">
            <v>NA</v>
          </cell>
          <cell r="AZ369" t="str">
            <v>NA</v>
          </cell>
          <cell r="BA369" t="str">
            <v>NA</v>
          </cell>
          <cell r="BB369" t="str">
            <v>NA</v>
          </cell>
          <cell r="BC369" t="str">
            <v>NA</v>
          </cell>
          <cell r="BD369" t="str">
            <v>NA</v>
          </cell>
          <cell r="BE369" t="str">
            <v>NA</v>
          </cell>
        </row>
        <row r="370">
          <cell r="H370" t="str">
            <v>NA</v>
          </cell>
          <cell r="I370" t="str">
            <v>NA</v>
          </cell>
          <cell r="J370" t="str">
            <v>NA</v>
          </cell>
          <cell r="K370" t="str">
            <v>NA</v>
          </cell>
          <cell r="L370" t="str">
            <v>NA</v>
          </cell>
          <cell r="M370" t="str">
            <v>NA</v>
          </cell>
          <cell r="N370" t="str">
            <v>NA</v>
          </cell>
          <cell r="O370" t="str">
            <v>NA</v>
          </cell>
          <cell r="P370" t="str">
            <v>NA</v>
          </cell>
          <cell r="Q370" t="str">
            <v>NA</v>
          </cell>
          <cell r="R370" t="str">
            <v>NA</v>
          </cell>
          <cell r="S370" t="str">
            <v>NA</v>
          </cell>
          <cell r="T370" t="str">
            <v>NA</v>
          </cell>
          <cell r="U370" t="str">
            <v>NA</v>
          </cell>
          <cell r="V370" t="str">
            <v>NA</v>
          </cell>
          <cell r="W370" t="str">
            <v>NA</v>
          </cell>
          <cell r="X370" t="str">
            <v>NA</v>
          </cell>
          <cell r="Y370" t="str">
            <v>NA</v>
          </cell>
          <cell r="Z370" t="str">
            <v>NA</v>
          </cell>
          <cell r="AA370" t="str">
            <v>NA</v>
          </cell>
          <cell r="AB370" t="str">
            <v>NA</v>
          </cell>
          <cell r="AC370" t="str">
            <v>NA</v>
          </cell>
          <cell r="AD370" t="str">
            <v>NA</v>
          </cell>
          <cell r="AE370" t="str">
            <v>NA</v>
          </cell>
          <cell r="AF370" t="str">
            <v>NA</v>
          </cell>
          <cell r="AG370" t="str">
            <v>NA</v>
          </cell>
          <cell r="AH370" t="str">
            <v>NA</v>
          </cell>
          <cell r="AI370" t="str">
            <v>NA</v>
          </cell>
          <cell r="AJ370" t="str">
            <v>NA</v>
          </cell>
          <cell r="AK370" t="str">
            <v>NA</v>
          </cell>
          <cell r="AL370" t="str">
            <v>NA</v>
          </cell>
          <cell r="AM370" t="str">
            <v>NA</v>
          </cell>
          <cell r="AN370" t="str">
            <v>NA</v>
          </cell>
          <cell r="AO370" t="str">
            <v>NA</v>
          </cell>
          <cell r="AP370" t="str">
            <v>NA</v>
          </cell>
          <cell r="AQ370" t="str">
            <v>NA</v>
          </cell>
          <cell r="AR370" t="str">
            <v>NA</v>
          </cell>
          <cell r="AS370" t="str">
            <v>NA</v>
          </cell>
          <cell r="AT370" t="str">
            <v>NA</v>
          </cell>
          <cell r="AU370" t="str">
            <v>NA</v>
          </cell>
          <cell r="AV370" t="str">
            <v>NA</v>
          </cell>
          <cell r="AW370" t="str">
            <v>NA</v>
          </cell>
          <cell r="AX370" t="str">
            <v>NA</v>
          </cell>
          <cell r="AY370" t="str">
            <v>NA</v>
          </cell>
          <cell r="AZ370" t="str">
            <v>NA</v>
          </cell>
          <cell r="BA370" t="str">
            <v>NA</v>
          </cell>
          <cell r="BB370" t="str">
            <v>NA</v>
          </cell>
          <cell r="BC370" t="str">
            <v>NA</v>
          </cell>
          <cell r="BD370" t="str">
            <v>NA</v>
          </cell>
          <cell r="BE370" t="str">
            <v>NA</v>
          </cell>
        </row>
        <row r="371">
          <cell r="H371" t="str">
            <v>NA</v>
          </cell>
          <cell r="I371" t="str">
            <v>NA</v>
          </cell>
          <cell r="J371" t="str">
            <v>NA</v>
          </cell>
          <cell r="K371" t="str">
            <v>NA</v>
          </cell>
          <cell r="L371" t="str">
            <v>NA</v>
          </cell>
          <cell r="M371" t="str">
            <v>NA</v>
          </cell>
          <cell r="N371" t="str">
            <v>NA</v>
          </cell>
          <cell r="O371" t="str">
            <v>NA</v>
          </cell>
          <cell r="P371" t="str">
            <v>NA</v>
          </cell>
          <cell r="Q371" t="str">
            <v>NA</v>
          </cell>
          <cell r="R371" t="str">
            <v>NA</v>
          </cell>
          <cell r="S371" t="str">
            <v>NA</v>
          </cell>
          <cell r="T371" t="str">
            <v>NA</v>
          </cell>
          <cell r="U371">
            <v>2.5678999949796662E-2</v>
          </cell>
          <cell r="V371">
            <v>0.27540828297688108</v>
          </cell>
          <cell r="W371">
            <v>0.20063708001654312</v>
          </cell>
          <cell r="X371">
            <v>0.15859158068885848</v>
          </cell>
          <cell r="Y371">
            <v>5.809255882492962E-2</v>
          </cell>
          <cell r="Z371">
            <v>7.4723437100795318E-3</v>
          </cell>
          <cell r="AA371">
            <v>1.5289612129255312E-2</v>
          </cell>
          <cell r="AB371">
            <v>1.317572296661065E-2</v>
          </cell>
          <cell r="AC371">
            <v>1.9621385529127709E-2</v>
          </cell>
          <cell r="AD371" t="str">
            <v>NA</v>
          </cell>
          <cell r="AE371">
            <v>1.7287513736093773E-3</v>
          </cell>
          <cell r="AF371">
            <v>5.9480187375475835E-2</v>
          </cell>
          <cell r="AG371">
            <v>7.8066385916670172E-2</v>
          </cell>
          <cell r="AH371">
            <v>0.11831133820256415</v>
          </cell>
          <cell r="AI371">
            <v>-1.1728616389785422</v>
          </cell>
          <cell r="AJ371">
            <v>4.9451750360423978E-2</v>
          </cell>
          <cell r="AK371">
            <v>4.2839457909825393E-2</v>
          </cell>
          <cell r="AL371">
            <v>1.7205234268453502E-2</v>
          </cell>
          <cell r="AM371">
            <v>0.17197296699215819</v>
          </cell>
          <cell r="AN371">
            <v>-8.7516628159350282E-3</v>
          </cell>
          <cell r="AO371" t="str">
            <v>NA</v>
          </cell>
          <cell r="AP371">
            <v>9.4578724412380202E-2</v>
          </cell>
          <cell r="AQ371">
            <v>6.934894319374002E-2</v>
          </cell>
          <cell r="AR371">
            <v>9.4715979021457106E-2</v>
          </cell>
          <cell r="AS371">
            <v>7.8066385916670186E-2</v>
          </cell>
          <cell r="AT371">
            <v>5.864899430298802E-2</v>
          </cell>
          <cell r="AU371">
            <v>3.9514769359205469E-2</v>
          </cell>
          <cell r="AV371">
            <v>4.0318621536564375E-2</v>
          </cell>
          <cell r="AW371" t="str">
            <v>NA</v>
          </cell>
          <cell r="AX371" t="str">
            <v>NA</v>
          </cell>
          <cell r="AY371" t="str">
            <v>NA</v>
          </cell>
          <cell r="AZ371" t="str">
            <v>NA</v>
          </cell>
          <cell r="BA371" t="str">
            <v>NA</v>
          </cell>
          <cell r="BB371" t="str">
            <v>NA</v>
          </cell>
          <cell r="BC371" t="str">
            <v>NA</v>
          </cell>
          <cell r="BD371" t="str">
            <v>NA</v>
          </cell>
          <cell r="BE371" t="str">
            <v>NA</v>
          </cell>
        </row>
        <row r="372">
          <cell r="H372" t="str">
            <v>NA</v>
          </cell>
          <cell r="I372" t="str">
            <v>NA</v>
          </cell>
          <cell r="J372" t="str">
            <v>NA</v>
          </cell>
          <cell r="K372" t="str">
            <v>NA</v>
          </cell>
          <cell r="L372" t="str">
            <v>NA</v>
          </cell>
          <cell r="M372" t="str">
            <v>NA</v>
          </cell>
          <cell r="N372" t="str">
            <v>NA</v>
          </cell>
          <cell r="O372" t="str">
            <v>NA</v>
          </cell>
          <cell r="P372" t="str">
            <v>NA</v>
          </cell>
          <cell r="Q372" t="str">
            <v>NA</v>
          </cell>
          <cell r="R372" t="str">
            <v>NA</v>
          </cell>
          <cell r="S372" t="str">
            <v>NA</v>
          </cell>
          <cell r="T372" t="str">
            <v>NA</v>
          </cell>
          <cell r="U372">
            <v>-4.3927908027512038E-3</v>
          </cell>
          <cell r="V372">
            <v>0.20653206128125329</v>
          </cell>
          <cell r="W372">
            <v>0.12526303691905261</v>
          </cell>
          <cell r="X372">
            <v>0.1468841579511618</v>
          </cell>
          <cell r="Y372">
            <v>3.6255398674314765E-2</v>
          </cell>
          <cell r="Z372">
            <v>3.9994658745698764E-3</v>
          </cell>
          <cell r="AA372">
            <v>7.3751108439257503E-3</v>
          </cell>
          <cell r="AB372">
            <v>8.028278223140747E-3</v>
          </cell>
          <cell r="AC372">
            <v>9.3050110067772526E-3</v>
          </cell>
          <cell r="AD372" t="str">
            <v>NA</v>
          </cell>
          <cell r="AE372">
            <v>6.0696381994441457E-3</v>
          </cell>
          <cell r="AF372">
            <v>3.7696811836836451E-2</v>
          </cell>
          <cell r="AG372">
            <v>4.6554960150150961E-2</v>
          </cell>
          <cell r="AH372">
            <v>6.8077803203661316E-2</v>
          </cell>
          <cell r="AI372">
            <v>-0.83697860643003408</v>
          </cell>
          <cell r="AJ372">
            <v>3.2146262804111009E-2</v>
          </cell>
          <cell r="AK372">
            <v>2.8448788115715409E-2</v>
          </cell>
          <cell r="AL372">
            <v>1.1051249394181891E-2</v>
          </cell>
          <cell r="AM372">
            <v>0.11997147815883208</v>
          </cell>
          <cell r="AN372">
            <v>-9.3482979157344243E-3</v>
          </cell>
          <cell r="AO372" t="str">
            <v>NA</v>
          </cell>
          <cell r="AP372">
            <v>7.5426295809524882E-2</v>
          </cell>
          <cell r="AQ372">
            <v>5.1325100735721586E-2</v>
          </cell>
          <cell r="AR372">
            <v>5.7305606632530051E-2</v>
          </cell>
          <cell r="AS372">
            <v>4.6554960150150967E-2</v>
          </cell>
          <cell r="AT372">
            <v>3.3876991047552617E-2</v>
          </cell>
          <cell r="AU372">
            <v>3.0233637340932366E-2</v>
          </cell>
          <cell r="AV372">
            <v>3.0552129273036521E-2</v>
          </cell>
          <cell r="AW372" t="str">
            <v>NA</v>
          </cell>
          <cell r="AX372" t="str">
            <v>NA</v>
          </cell>
          <cell r="AY372" t="str">
            <v>NA</v>
          </cell>
          <cell r="AZ372" t="str">
            <v>NA</v>
          </cell>
          <cell r="BA372" t="str">
            <v>NA</v>
          </cell>
          <cell r="BB372" t="str">
            <v>NA</v>
          </cell>
          <cell r="BC372" t="str">
            <v>NA</v>
          </cell>
          <cell r="BD372" t="str">
            <v>NA</v>
          </cell>
          <cell r="BE372" t="str">
            <v>NA</v>
          </cell>
        </row>
        <row r="373">
          <cell r="H373" t="str">
            <v>NA</v>
          </cell>
          <cell r="I373" t="str">
            <v>NA</v>
          </cell>
          <cell r="J373" t="str">
            <v>NA</v>
          </cell>
          <cell r="K373" t="str">
            <v>NA</v>
          </cell>
          <cell r="L373" t="str">
            <v>NA</v>
          </cell>
          <cell r="M373" t="str">
            <v>NA</v>
          </cell>
          <cell r="N373" t="str">
            <v>NA</v>
          </cell>
          <cell r="O373" t="str">
            <v>NA</v>
          </cell>
          <cell r="P373" t="str">
            <v>NA</v>
          </cell>
          <cell r="Q373" t="str">
            <v>NA</v>
          </cell>
          <cell r="R373" t="str">
            <v>NA</v>
          </cell>
          <cell r="S373" t="str">
            <v>NA</v>
          </cell>
          <cell r="T373" t="str">
            <v>NA</v>
          </cell>
          <cell r="U373">
            <v>0.67948943220041169</v>
          </cell>
          <cell r="V373">
            <v>0.63776873585907012</v>
          </cell>
          <cell r="W373">
            <v>0.55173963082656829</v>
          </cell>
          <cell r="X373">
            <v>0.5541208916263658</v>
          </cell>
          <cell r="Y373">
            <v>0.11112218247602222</v>
          </cell>
          <cell r="Z373">
            <v>6.3213027440768607E-2</v>
          </cell>
          <cell r="AA373">
            <v>4.2909573555369403E-2</v>
          </cell>
          <cell r="AB373">
            <v>5.1639957459606381E-2</v>
          </cell>
          <cell r="AC373">
            <v>0.10691364573343819</v>
          </cell>
          <cell r="AD373" t="str">
            <v>NA</v>
          </cell>
          <cell r="AE373">
            <v>0.2260176519349755</v>
          </cell>
          <cell r="AF373">
            <v>0.27508069299670168</v>
          </cell>
          <cell r="AG373">
            <v>0.38174374927360266</v>
          </cell>
          <cell r="AH373">
            <v>0.19715682893953174</v>
          </cell>
          <cell r="AI373">
            <v>9.2147723198266154E-2</v>
          </cell>
          <cell r="AJ373">
            <v>0.23024886993596916</v>
          </cell>
          <cell r="AK373">
            <v>0.26081574146468567</v>
          </cell>
          <cell r="AL373">
            <v>7.61893759228158E-2</v>
          </cell>
          <cell r="AM373">
            <v>0.48022929389790292</v>
          </cell>
          <cell r="AN373">
            <v>0.11898912967376826</v>
          </cell>
          <cell r="AO373" t="str">
            <v>NA</v>
          </cell>
          <cell r="AP373">
            <v>0.35655872249454262</v>
          </cell>
          <cell r="AQ373">
            <v>0.25830443237174988</v>
          </cell>
          <cell r="AR373">
            <v>0.3461197772604111</v>
          </cell>
          <cell r="AS373">
            <v>0.38174374927360272</v>
          </cell>
          <cell r="AT373">
            <v>0.30281595163353076</v>
          </cell>
          <cell r="AU373">
            <v>9.2319280269199513E-2</v>
          </cell>
          <cell r="AV373">
            <v>9.8681537232598676E-2</v>
          </cell>
          <cell r="AW373" t="str">
            <v>NA</v>
          </cell>
          <cell r="AX373" t="str">
            <v>NA</v>
          </cell>
          <cell r="AY373" t="str">
            <v>NA</v>
          </cell>
          <cell r="AZ373" t="str">
            <v>NA</v>
          </cell>
          <cell r="BA373" t="str">
            <v>NA</v>
          </cell>
          <cell r="BB373" t="str">
            <v>NA</v>
          </cell>
          <cell r="BC373" t="str">
            <v>NA</v>
          </cell>
          <cell r="BD373" t="str">
            <v>NA</v>
          </cell>
          <cell r="BE373" t="str">
            <v>NA</v>
          </cell>
        </row>
        <row r="374">
          <cell r="H374" t="e">
            <v>#DIV/0!</v>
          </cell>
          <cell r="I374" t="e">
            <v>#DIV/0!</v>
          </cell>
          <cell r="J374" t="e">
            <v>#DIV/0!</v>
          </cell>
          <cell r="K374" t="e">
            <v>#DIV/0!</v>
          </cell>
          <cell r="L374" t="e">
            <v>#DIV/0!</v>
          </cell>
          <cell r="M374" t="e">
            <v>#DIV/0!</v>
          </cell>
          <cell r="N374" t="e">
            <v>#DIV/0!</v>
          </cell>
          <cell r="O374" t="e">
            <v>#DIV/0!</v>
          </cell>
          <cell r="P374" t="e">
            <v>#DIV/0!</v>
          </cell>
          <cell r="Q374" t="e">
            <v>#DIV/0!</v>
          </cell>
          <cell r="R374" t="e">
            <v>#DIV/0!</v>
          </cell>
          <cell r="S374" t="e">
            <v>#DIV/0!</v>
          </cell>
          <cell r="T374" t="e">
            <v>#VALUE!</v>
          </cell>
          <cell r="U374">
            <v>-3.822295998602186E-3</v>
          </cell>
          <cell r="V374">
            <v>0.37671689298751965</v>
          </cell>
          <cell r="W374">
            <v>4.1256688141224546E-2</v>
          </cell>
          <cell r="X374">
            <v>0.24927516928699672</v>
          </cell>
          <cell r="Y374">
            <v>0.12074273725816977</v>
          </cell>
          <cell r="Z374" t="e">
            <v>#N/A</v>
          </cell>
          <cell r="AA374">
            <v>0.13990141195717892</v>
          </cell>
          <cell r="AB374">
            <v>9.0242074426385918E-2</v>
          </cell>
          <cell r="AC374">
            <v>9.4834579175022929E-2</v>
          </cell>
          <cell r="AD374" t="e">
            <v>#N/A</v>
          </cell>
          <cell r="AE374">
            <v>3.3231314928966874E-2</v>
          </cell>
          <cell r="AF374">
            <v>0.13915680107431885</v>
          </cell>
          <cell r="AG374">
            <v>0.1533777068091832</v>
          </cell>
          <cell r="AH374" t="e">
            <v>#DIV/0!</v>
          </cell>
          <cell r="AI374" t="e">
            <v>#DIV/0!</v>
          </cell>
          <cell r="AJ374" t="e">
            <v>#VALUE!</v>
          </cell>
          <cell r="AK374">
            <v>1.9234889867841412</v>
          </cell>
          <cell r="AL374">
            <v>9.8562525130679521E-2</v>
          </cell>
          <cell r="AM374">
            <v>0.17564987941666813</v>
          </cell>
          <cell r="AN374">
            <v>-4.0672803125620827E-2</v>
          </cell>
          <cell r="AO374" t="e">
            <v>#N/A</v>
          </cell>
          <cell r="AP374" t="e">
            <v>#DIV/0!</v>
          </cell>
          <cell r="AQ374" t="e">
            <v>#VALUE!</v>
          </cell>
          <cell r="AR374">
            <v>0.14656633835404384</v>
          </cell>
          <cell r="AS374">
            <v>0.1533777068091832</v>
          </cell>
          <cell r="AT374" t="e">
            <v>#N/A</v>
          </cell>
          <cell r="AU374" t="e">
            <v>#DIV/0!</v>
          </cell>
          <cell r="AV374">
            <v>0.2160472539861491</v>
          </cell>
          <cell r="AW374" t="e">
            <v>#VALUE!</v>
          </cell>
          <cell r="AX374" t="e">
            <v>#VALUE!</v>
          </cell>
          <cell r="AY374" t="e">
            <v>#VALUE!</v>
          </cell>
          <cell r="AZ374" t="e">
            <v>#VALUE!</v>
          </cell>
          <cell r="BA374" t="e">
            <v>#VALUE!</v>
          </cell>
          <cell r="BB374" t="e">
            <v>#VALUE!</v>
          </cell>
          <cell r="BC374" t="e">
            <v>#VALUE!</v>
          </cell>
          <cell r="BD374" t="e">
            <v>#VALUE!</v>
          </cell>
          <cell r="BE374" t="e">
            <v>#VALUE!</v>
          </cell>
        </row>
        <row r="375">
          <cell r="H375" t="e">
            <v>#DIV/0!</v>
          </cell>
          <cell r="I375" t="e">
            <v>#DIV/0!</v>
          </cell>
          <cell r="J375" t="e">
            <v>#DIV/0!</v>
          </cell>
          <cell r="K375" t="e">
            <v>#DIV/0!</v>
          </cell>
          <cell r="L375" t="e">
            <v>#DIV/0!</v>
          </cell>
          <cell r="M375" t="e">
            <v>#DIV/0!</v>
          </cell>
          <cell r="N375" t="e">
            <v>#DIV/0!</v>
          </cell>
          <cell r="O375" t="e">
            <v>#DIV/0!</v>
          </cell>
          <cell r="P375" t="e">
            <v>#DIV/0!</v>
          </cell>
          <cell r="Q375" t="e">
            <v>#DIV/0!</v>
          </cell>
          <cell r="R375" t="e">
            <v>#DIV/0!</v>
          </cell>
          <cell r="S375" t="e">
            <v>#DIV/0!</v>
          </cell>
          <cell r="T375" t="e">
            <v>#DIV/0!</v>
          </cell>
          <cell r="U375">
            <v>-3.2447064931212686E-3</v>
          </cell>
          <cell r="V375">
            <v>0.19187763284817308</v>
          </cell>
          <cell r="W375">
            <v>3.4765921754830974E-2</v>
          </cell>
          <cell r="X375">
            <v>0.10140055415349639</v>
          </cell>
          <cell r="Y375">
            <v>8.0003029399836806E-2</v>
          </cell>
          <cell r="Z375">
            <v>1.5008299421367445E-2</v>
          </cell>
          <cell r="AA375">
            <v>3.405197607709845E-2</v>
          </cell>
          <cell r="AB375">
            <v>2.8516979035999163E-2</v>
          </cell>
          <cell r="AC375">
            <v>3.5983188930038768E-2</v>
          </cell>
          <cell r="AD375" t="e">
            <v>#DIV/0!</v>
          </cell>
          <cell r="AE375">
            <v>1.6104089884958001E-2</v>
          </cell>
          <cell r="AF375">
            <v>7.5174930642472548E-2</v>
          </cell>
          <cell r="AG375">
            <v>6.3349322224671129E-2</v>
          </cell>
          <cell r="AH375" t="e">
            <v>#DIV/0!</v>
          </cell>
          <cell r="AI375" t="e">
            <v>#DIV/0!</v>
          </cell>
          <cell r="AJ375">
            <v>5.3267346331524482E-2</v>
          </cell>
          <cell r="AK375" t="e">
            <v>#DIV/0!</v>
          </cell>
          <cell r="AL375">
            <v>3.0429284112686104E-2</v>
          </cell>
          <cell r="AM375">
            <v>9.8277402031668251E-2</v>
          </cell>
          <cell r="AN375">
            <v>-2.9025916334284797E-2</v>
          </cell>
          <cell r="AO375" t="e">
            <v>#DIV/0!</v>
          </cell>
          <cell r="AP375" t="e">
            <v>#DIV/0!</v>
          </cell>
          <cell r="AQ375" t="e">
            <v>#DIV/0!</v>
          </cell>
          <cell r="AR375">
            <v>0.11046693913337828</v>
          </cell>
          <cell r="AS375">
            <v>6.3349322224671129E-2</v>
          </cell>
          <cell r="AT375">
            <v>4.7456920420860617E-2</v>
          </cell>
          <cell r="AU375">
            <v>7.9752714298895841E-2</v>
          </cell>
          <cell r="AV375">
            <v>7.88878221040408E-2</v>
          </cell>
          <cell r="AW375" t="e">
            <v>#DIV/0!</v>
          </cell>
          <cell r="AX375" t="e">
            <v>#DIV/0!</v>
          </cell>
          <cell r="AY375" t="e">
            <v>#DIV/0!</v>
          </cell>
          <cell r="AZ375" t="e">
            <v>#DIV/0!</v>
          </cell>
          <cell r="BA375" t="e">
            <v>#DIV/0!</v>
          </cell>
          <cell r="BB375" t="e">
            <v>#DIV/0!</v>
          </cell>
          <cell r="BC375" t="e">
            <v>#DIV/0!</v>
          </cell>
          <cell r="BD375" t="e">
            <v>#DIV/0!</v>
          </cell>
          <cell r="BE375" t="e">
            <v>#DIV/0!</v>
          </cell>
        </row>
        <row r="376">
          <cell r="H376">
            <v>0.46767854722862168</v>
          </cell>
          <cell r="I376">
            <v>0.26498127340823974</v>
          </cell>
          <cell r="J376">
            <v>0.76431949553336831</v>
          </cell>
          <cell r="K376">
            <v>0.86764705882352944</v>
          </cell>
          <cell r="L376">
            <v>0.43027413587604291</v>
          </cell>
          <cell r="M376">
            <v>0.47006432459178621</v>
          </cell>
          <cell r="N376">
            <v>0.57733743747595234</v>
          </cell>
          <cell r="O376">
            <v>0.51018711018711016</v>
          </cell>
          <cell r="P376">
            <v>0.15206611570247933</v>
          </cell>
          <cell r="Q376">
            <v>0.70447154471544704</v>
          </cell>
          <cell r="R376">
            <v>0.84545454545454535</v>
          </cell>
          <cell r="S376">
            <v>0.58656898656898648</v>
          </cell>
          <cell r="T376" t="e">
            <v>#VALUE!</v>
          </cell>
          <cell r="U376">
            <v>0.79151154132539103</v>
          </cell>
          <cell r="V376">
            <v>0.80299290342486895</v>
          </cell>
          <cell r="W376">
            <v>0.46767854722862168</v>
          </cell>
          <cell r="X376">
            <v>0.61584225762367029</v>
          </cell>
          <cell r="Y376">
            <v>0.67797552836484976</v>
          </cell>
          <cell r="Z376" t="e">
            <v>#N/A</v>
          </cell>
          <cell r="AA376">
            <v>0.87748943874471952</v>
          </cell>
          <cell r="AB376">
            <v>0.87748943874471952</v>
          </cell>
          <cell r="AC376">
            <v>0.70574162679425845</v>
          </cell>
          <cell r="AD376" t="e">
            <v>#N/A</v>
          </cell>
          <cell r="AE376">
            <v>0.74809160305343503</v>
          </cell>
          <cell r="AF376">
            <v>0.99812558575445176</v>
          </cell>
          <cell r="AG376">
            <v>0.93798882681564244</v>
          </cell>
          <cell r="AH376">
            <v>0.80299290342486895</v>
          </cell>
          <cell r="AI376">
            <v>0.86938217029786347</v>
          </cell>
          <cell r="AJ376" t="e">
            <v>#VALUE!</v>
          </cell>
          <cell r="AK376">
            <v>0.86449297038588091</v>
          </cell>
          <cell r="AL376">
            <v>0.75576146353052975</v>
          </cell>
          <cell r="AM376">
            <v>0.95359848484848497</v>
          </cell>
          <cell r="AN376">
            <v>0.61226993865030677</v>
          </cell>
          <cell r="AO376" t="e">
            <v>#N/A</v>
          </cell>
          <cell r="AP376">
            <v>0.89246306340003745</v>
          </cell>
          <cell r="AQ376" t="e">
            <v>#VALUE!</v>
          </cell>
          <cell r="AR376">
            <v>0.89246306340003745</v>
          </cell>
          <cell r="AS376">
            <v>0.93798882681564244</v>
          </cell>
          <cell r="AT376" t="e">
            <v>#N/A</v>
          </cell>
          <cell r="AU376">
            <v>0.84451697127937342</v>
          </cell>
          <cell r="AV376">
            <v>0.84451697127937342</v>
          </cell>
          <cell r="AW376" t="e">
            <v>#VALUE!</v>
          </cell>
          <cell r="AX376" t="e">
            <v>#VALUE!</v>
          </cell>
          <cell r="AY376" t="e">
            <v>#VALUE!</v>
          </cell>
          <cell r="AZ376" t="e">
            <v>#VALUE!</v>
          </cell>
          <cell r="BA376" t="e">
            <v>#VALUE!</v>
          </cell>
          <cell r="BB376" t="e">
            <v>#VALUE!</v>
          </cell>
          <cell r="BC376" t="e">
            <v>#VALUE!</v>
          </cell>
          <cell r="BD376" t="e">
            <v>#VALUE!</v>
          </cell>
          <cell r="BE376" t="e">
            <v>#VALUE!</v>
          </cell>
        </row>
        <row r="377">
          <cell r="H377">
            <v>1.298344620015049</v>
          </cell>
          <cell r="I377">
            <v>1.0884615384615384</v>
          </cell>
          <cell r="J377">
            <v>1.3344036697247705</v>
          </cell>
          <cell r="K377">
            <v>2.1071428571428572</v>
          </cell>
          <cell r="L377">
            <v>1.3079710144927537</v>
          </cell>
          <cell r="M377">
            <v>1.4615384615384615</v>
          </cell>
          <cell r="N377">
            <v>1.2076458752515091</v>
          </cell>
          <cell r="O377">
            <v>1.2331658291457286</v>
          </cell>
          <cell r="P377">
            <v>1.2897196261682242</v>
          </cell>
          <cell r="Q377">
            <v>1.2093510118632238</v>
          </cell>
          <cell r="R377">
            <v>1.4993282579489475</v>
          </cell>
          <cell r="S377">
            <v>1.3449048152295633</v>
          </cell>
          <cell r="T377" t="e">
            <v>#VALUE!</v>
          </cell>
          <cell r="U377">
            <v>1.1811111111111112</v>
          </cell>
          <cell r="V377">
            <v>1.7794871794871794</v>
          </cell>
          <cell r="W377">
            <v>1.298344620015049</v>
          </cell>
          <cell r="X377">
            <v>1.2711926605504587</v>
          </cell>
          <cell r="Y377">
            <v>1.3425110132158589</v>
          </cell>
          <cell r="Z377" t="e">
            <v>#N/A</v>
          </cell>
          <cell r="AA377">
            <v>1.3500213552208873</v>
          </cell>
          <cell r="AB377">
            <v>1.3500213552208873</v>
          </cell>
          <cell r="AC377">
            <v>1.1115297663903543</v>
          </cell>
          <cell r="AD377" t="e">
            <v>#N/A</v>
          </cell>
          <cell r="AE377">
            <v>1.7230769230769232</v>
          </cell>
          <cell r="AF377">
            <v>1.6692789968652038</v>
          </cell>
          <cell r="AG377">
            <v>1.6380487804878048</v>
          </cell>
          <cell r="AH377">
            <v>1.7794871794871794</v>
          </cell>
          <cell r="AI377">
            <v>1.6920612419647574</v>
          </cell>
          <cell r="AJ377" t="e">
            <v>#VALUE!</v>
          </cell>
          <cell r="AK377">
            <v>1.3761904761904762</v>
          </cell>
          <cell r="AL377">
            <v>1.2003773584905659</v>
          </cell>
          <cell r="AM377">
            <v>1.3889655172413793</v>
          </cell>
          <cell r="AN377">
            <v>2.8514285714285714</v>
          </cell>
          <cell r="AO377" t="e">
            <v>#N/A</v>
          </cell>
          <cell r="AP377">
            <v>1.454878048780488</v>
          </cell>
          <cell r="AQ377" t="e">
            <v>#VALUE!</v>
          </cell>
          <cell r="AR377">
            <v>1.454878048780488</v>
          </cell>
          <cell r="AS377">
            <v>1.6380487804878048</v>
          </cell>
          <cell r="AT377" t="e">
            <v>#N/A</v>
          </cell>
          <cell r="AU377">
            <v>1.3881974248927038</v>
          </cell>
          <cell r="AV377">
            <v>1.3881974248927038</v>
          </cell>
          <cell r="AW377" t="e">
            <v>#VALUE!</v>
          </cell>
          <cell r="AX377" t="e">
            <v>#VALUE!</v>
          </cell>
          <cell r="AY377" t="e">
            <v>#VALUE!</v>
          </cell>
          <cell r="AZ377" t="e">
            <v>#VALUE!</v>
          </cell>
          <cell r="BA377" t="e">
            <v>#VALUE!</v>
          </cell>
          <cell r="BB377" t="e">
            <v>#VALUE!</v>
          </cell>
          <cell r="BC377" t="e">
            <v>#VALUE!</v>
          </cell>
          <cell r="BD377" t="e">
            <v>#VALUE!</v>
          </cell>
          <cell r="BE377" t="e">
            <v>#VALUE!</v>
          </cell>
        </row>
        <row r="378">
          <cell r="H378">
            <v>0.29834462001504902</v>
          </cell>
          <cell r="I378">
            <v>8.8461538461538369E-2</v>
          </cell>
          <cell r="J378">
            <v>0.33440366972477054</v>
          </cell>
          <cell r="K378">
            <v>1.1071428571428572</v>
          </cell>
          <cell r="L378">
            <v>0.30797101449275366</v>
          </cell>
          <cell r="M378">
            <v>0.46153846153846145</v>
          </cell>
          <cell r="N378">
            <v>0.20764587525150913</v>
          </cell>
          <cell r="O378">
            <v>0.23316582914572859</v>
          </cell>
          <cell r="P378">
            <v>0.28971962616822422</v>
          </cell>
          <cell r="Q378">
            <v>0.2093510118632238</v>
          </cell>
          <cell r="R378">
            <v>0.49932825794894753</v>
          </cell>
          <cell r="S378">
            <v>0.34490481522956329</v>
          </cell>
          <cell r="T378" t="e">
            <v>#VALUE!</v>
          </cell>
          <cell r="U378">
            <v>0.18111111111111122</v>
          </cell>
          <cell r="V378">
            <v>0.77948717948717938</v>
          </cell>
          <cell r="W378">
            <v>0.29834462001504902</v>
          </cell>
          <cell r="X378">
            <v>0.27119266055045865</v>
          </cell>
          <cell r="Y378">
            <v>0.34251101321585886</v>
          </cell>
          <cell r="Z378" t="e">
            <v>#N/A</v>
          </cell>
          <cell r="AA378">
            <v>0.35002135522088729</v>
          </cell>
          <cell r="AB378">
            <v>0.35002135522088729</v>
          </cell>
          <cell r="AC378">
            <v>0.11152976639035428</v>
          </cell>
          <cell r="AD378" t="e">
            <v>#N/A</v>
          </cell>
          <cell r="AE378">
            <v>0.72307692307692317</v>
          </cell>
          <cell r="AF378">
            <v>0.66927899686520376</v>
          </cell>
          <cell r="AG378">
            <v>0.63804878048780478</v>
          </cell>
          <cell r="AH378">
            <v>0.77948717948717938</v>
          </cell>
          <cell r="AI378">
            <v>0.69206124196475738</v>
          </cell>
          <cell r="AJ378" t="e">
            <v>#VALUE!</v>
          </cell>
          <cell r="AK378">
            <v>0.37619047619047619</v>
          </cell>
          <cell r="AL378">
            <v>0.20037735849056593</v>
          </cell>
          <cell r="AM378">
            <v>0.38896551724137929</v>
          </cell>
          <cell r="AN378">
            <v>1.8514285714285714</v>
          </cell>
          <cell r="AO378" t="e">
            <v>#N/A</v>
          </cell>
          <cell r="AP378">
            <v>0.45487804878048799</v>
          </cell>
          <cell r="AQ378" t="e">
            <v>#VALUE!</v>
          </cell>
          <cell r="AR378">
            <v>0.45487804878048799</v>
          </cell>
          <cell r="AS378">
            <v>0.63804878048780478</v>
          </cell>
          <cell r="AT378" t="e">
            <v>#N/A</v>
          </cell>
          <cell r="AU378">
            <v>0.38819742489270381</v>
          </cell>
          <cell r="AV378">
            <v>0.38819742489270381</v>
          </cell>
          <cell r="AW378" t="e">
            <v>#VALUE!</v>
          </cell>
          <cell r="AX378" t="e">
            <v>#VALUE!</v>
          </cell>
          <cell r="AY378" t="e">
            <v>#VALUE!</v>
          </cell>
          <cell r="AZ378" t="e">
            <v>#VALUE!</v>
          </cell>
          <cell r="BA378" t="e">
            <v>#VALUE!</v>
          </cell>
          <cell r="BB378" t="e">
            <v>#VALUE!</v>
          </cell>
          <cell r="BC378" t="e">
            <v>#VALUE!</v>
          </cell>
          <cell r="BD378" t="e">
            <v>#VALUE!</v>
          </cell>
          <cell r="BE378" t="e">
            <v>#VALUE!</v>
          </cell>
        </row>
        <row r="379">
          <cell r="H379" t="e">
            <v>#DIV/0!</v>
          </cell>
          <cell r="I379" t="e">
            <v>#DIV/0!</v>
          </cell>
          <cell r="J379" t="e">
            <v>#DIV/0!</v>
          </cell>
          <cell r="K379" t="e">
            <v>#DIV/0!</v>
          </cell>
          <cell r="L379" t="e">
            <v>#DIV/0!</v>
          </cell>
          <cell r="M379" t="e">
            <v>#DIV/0!</v>
          </cell>
          <cell r="N379" t="e">
            <v>#DIV/0!</v>
          </cell>
          <cell r="O379" t="e">
            <v>#DIV/0!</v>
          </cell>
          <cell r="P379" t="e">
            <v>#DIV/0!</v>
          </cell>
          <cell r="Q379" t="e">
            <v>#DIV/0!</v>
          </cell>
          <cell r="R379" t="e">
            <v>#DIV/0!</v>
          </cell>
          <cell r="S379" t="e">
            <v>#DIV/0!</v>
          </cell>
          <cell r="T379" t="e">
            <v>#DIV/0!</v>
          </cell>
          <cell r="U379" t="e">
            <v>#DIV/0!</v>
          </cell>
          <cell r="V379" t="e">
            <v>#DIV/0!</v>
          </cell>
          <cell r="W379" t="e">
            <v>#DIV/0!</v>
          </cell>
          <cell r="X379" t="e">
            <v>#DIV/0!</v>
          </cell>
          <cell r="Y379">
            <v>9.6752147494687746E-2</v>
          </cell>
          <cell r="Z379" t="e">
            <v>#DIV/0!</v>
          </cell>
          <cell r="AA379" t="e">
            <v>#DIV/0!</v>
          </cell>
          <cell r="AB379" t="e">
            <v>#DIV/0!</v>
          </cell>
          <cell r="AC379" t="e">
            <v>#DIV/0!</v>
          </cell>
          <cell r="AD379" t="e">
            <v>#DIV/0!</v>
          </cell>
          <cell r="AE379" t="e">
            <v>#DIV/0!</v>
          </cell>
          <cell r="AF379" t="e">
            <v>#DIV/0!</v>
          </cell>
          <cell r="AG379" t="e">
            <v>#DIV/0!</v>
          </cell>
          <cell r="AH379" t="e">
            <v>#DIV/0!</v>
          </cell>
          <cell r="AI379" t="e">
            <v>#DIV/0!</v>
          </cell>
          <cell r="AJ379" t="e">
            <v>#DIV/0!</v>
          </cell>
          <cell r="AK379" t="e">
            <v>#DIV/0!</v>
          </cell>
          <cell r="AL379" t="e">
            <v>#DIV/0!</v>
          </cell>
          <cell r="AM379" t="e">
            <v>#DIV/0!</v>
          </cell>
          <cell r="AN379" t="e">
            <v>#DIV/0!</v>
          </cell>
          <cell r="AO379" t="e">
            <v>#DIV/0!</v>
          </cell>
          <cell r="AP379" t="e">
            <v>#DIV/0!</v>
          </cell>
          <cell r="AQ379" t="e">
            <v>#DIV/0!</v>
          </cell>
          <cell r="AR379" t="e">
            <v>#DIV/0!</v>
          </cell>
          <cell r="AS379" t="e">
            <v>#DIV/0!</v>
          </cell>
          <cell r="AT379" t="e">
            <v>#DIV/0!</v>
          </cell>
          <cell r="AU379" t="e">
            <v>#DIV/0!</v>
          </cell>
          <cell r="AV379" t="e">
            <v>#DIV/0!</v>
          </cell>
          <cell r="AW379" t="e">
            <v>#DIV/0!</v>
          </cell>
          <cell r="AX379" t="e">
            <v>#DIV/0!</v>
          </cell>
          <cell r="AY379" t="e">
            <v>#DIV/0!</v>
          </cell>
          <cell r="AZ379" t="e">
            <v>#DIV/0!</v>
          </cell>
          <cell r="BA379" t="e">
            <v>#DIV/0!</v>
          </cell>
          <cell r="BB379" t="e">
            <v>#DIV/0!</v>
          </cell>
          <cell r="BC379" t="e">
            <v>#DIV/0!</v>
          </cell>
          <cell r="BD379" t="e">
            <v>#DIV/0!</v>
          </cell>
          <cell r="BE379" t="e">
            <v>#DIV/0!</v>
          </cell>
        </row>
        <row r="380">
          <cell r="H380" t="e">
            <v>#DIV/0!</v>
          </cell>
          <cell r="I380" t="e">
            <v>#DIV/0!</v>
          </cell>
          <cell r="J380" t="e">
            <v>#DIV/0!</v>
          </cell>
          <cell r="K380" t="e">
            <v>#DIV/0!</v>
          </cell>
          <cell r="L380" t="e">
            <v>#DIV/0!</v>
          </cell>
          <cell r="M380" t="e">
            <v>#DIV/0!</v>
          </cell>
          <cell r="N380" t="e">
            <v>#DIV/0!</v>
          </cell>
          <cell r="O380" t="e">
            <v>#DIV/0!</v>
          </cell>
          <cell r="P380" t="e">
            <v>#DIV/0!</v>
          </cell>
          <cell r="Q380" t="e">
            <v>#DIV/0!</v>
          </cell>
          <cell r="R380" t="e">
            <v>#DIV/0!</v>
          </cell>
          <cell r="S380" t="e">
            <v>#DIV/0!</v>
          </cell>
          <cell r="T380" t="e">
            <v>#DIV/0!</v>
          </cell>
          <cell r="U380" t="e">
            <v>#DIV/0!</v>
          </cell>
          <cell r="V380" t="e">
            <v>#DIV/0!</v>
          </cell>
          <cell r="W380" t="e">
            <v>#DIV/0!</v>
          </cell>
          <cell r="X380" t="e">
            <v>#DIV/0!</v>
          </cell>
          <cell r="Y380">
            <v>9.6752147494687746E-2</v>
          </cell>
          <cell r="Z380" t="e">
            <v>#DIV/0!</v>
          </cell>
          <cell r="AA380" t="e">
            <v>#DIV/0!</v>
          </cell>
          <cell r="AB380" t="e">
            <v>#DIV/0!</v>
          </cell>
          <cell r="AC380" t="e">
            <v>#DIV/0!</v>
          </cell>
          <cell r="AD380" t="e">
            <v>#DIV/0!</v>
          </cell>
          <cell r="AE380" t="e">
            <v>#DIV/0!</v>
          </cell>
          <cell r="AF380" t="e">
            <v>#DIV/0!</v>
          </cell>
          <cell r="AG380" t="e">
            <v>#DIV/0!</v>
          </cell>
          <cell r="AH380" t="e">
            <v>#DIV/0!</v>
          </cell>
          <cell r="AI380" t="e">
            <v>#DIV/0!</v>
          </cell>
          <cell r="AJ380" t="e">
            <v>#DIV/0!</v>
          </cell>
          <cell r="AK380" t="e">
            <v>#DIV/0!</v>
          </cell>
          <cell r="AL380" t="e">
            <v>#DIV/0!</v>
          </cell>
          <cell r="AM380" t="e">
            <v>#DIV/0!</v>
          </cell>
          <cell r="AN380" t="e">
            <v>#DIV/0!</v>
          </cell>
          <cell r="AO380" t="e">
            <v>#DIV/0!</v>
          </cell>
          <cell r="AP380" t="e">
            <v>#DIV/0!</v>
          </cell>
          <cell r="AQ380" t="e">
            <v>#DIV/0!</v>
          </cell>
          <cell r="AR380" t="e">
            <v>#DIV/0!</v>
          </cell>
          <cell r="AS380" t="e">
            <v>#DIV/0!</v>
          </cell>
          <cell r="AT380" t="e">
            <v>#DIV/0!</v>
          </cell>
          <cell r="AU380" t="e">
            <v>#DIV/0!</v>
          </cell>
          <cell r="AV380" t="e">
            <v>#DIV/0!</v>
          </cell>
          <cell r="AW380" t="e">
            <v>#DIV/0!</v>
          </cell>
          <cell r="AX380" t="e">
            <v>#DIV/0!</v>
          </cell>
          <cell r="AY380" t="e">
            <v>#DIV/0!</v>
          </cell>
          <cell r="AZ380" t="e">
            <v>#DIV/0!</v>
          </cell>
          <cell r="BA380" t="e">
            <v>#DIV/0!</v>
          </cell>
          <cell r="BB380" t="e">
            <v>#DIV/0!</v>
          </cell>
          <cell r="BC380" t="e">
            <v>#DIV/0!</v>
          </cell>
          <cell r="BD380" t="e">
            <v>#DIV/0!</v>
          </cell>
          <cell r="BE380" t="e">
            <v>#DIV/0!</v>
          </cell>
        </row>
        <row r="381">
          <cell r="H381" t="e">
            <v>#DIV/0!</v>
          </cell>
          <cell r="I381" t="e">
            <v>#DIV/0!</v>
          </cell>
          <cell r="J381" t="e">
            <v>#DIV/0!</v>
          </cell>
          <cell r="K381" t="e">
            <v>#DIV/0!</v>
          </cell>
          <cell r="L381" t="e">
            <v>#DIV/0!</v>
          </cell>
          <cell r="M381" t="e">
            <v>#DIV/0!</v>
          </cell>
          <cell r="N381" t="e">
            <v>#DIV/0!</v>
          </cell>
          <cell r="O381" t="e">
            <v>#DIV/0!</v>
          </cell>
          <cell r="P381" t="e">
            <v>#DIV/0!</v>
          </cell>
          <cell r="Q381" t="e">
            <v>#DIV/0!</v>
          </cell>
          <cell r="R381" t="e">
            <v>#DIV/0!</v>
          </cell>
          <cell r="S381" t="e">
            <v>#DIV/0!</v>
          </cell>
          <cell r="T381" t="e">
            <v>#DIV/0!</v>
          </cell>
          <cell r="U381" t="e">
            <v>#DIV/0!</v>
          </cell>
          <cell r="V381" t="e">
            <v>#DIV/0!</v>
          </cell>
          <cell r="W381" t="e">
            <v>#DIV/0!</v>
          </cell>
          <cell r="X381" t="e">
            <v>#DIV/0!</v>
          </cell>
          <cell r="Y381">
            <v>9.6752147494687746E-2</v>
          </cell>
          <cell r="Z381" t="e">
            <v>#DIV/0!</v>
          </cell>
          <cell r="AA381" t="e">
            <v>#DIV/0!</v>
          </cell>
          <cell r="AB381" t="e">
            <v>#DIV/0!</v>
          </cell>
          <cell r="AC381" t="e">
            <v>#DIV/0!</v>
          </cell>
          <cell r="AD381" t="e">
            <v>#DIV/0!</v>
          </cell>
          <cell r="AE381" t="e">
            <v>#DIV/0!</v>
          </cell>
          <cell r="AF381" t="e">
            <v>#DIV/0!</v>
          </cell>
          <cell r="AG381" t="e">
            <v>#DIV/0!</v>
          </cell>
          <cell r="AH381" t="e">
            <v>#DIV/0!</v>
          </cell>
          <cell r="AI381" t="e">
            <v>#DIV/0!</v>
          </cell>
          <cell r="AJ381" t="e">
            <v>#DIV/0!</v>
          </cell>
          <cell r="AK381" t="e">
            <v>#DIV/0!</v>
          </cell>
          <cell r="AL381" t="e">
            <v>#DIV/0!</v>
          </cell>
          <cell r="AM381" t="e">
            <v>#DIV/0!</v>
          </cell>
          <cell r="AN381" t="e">
            <v>#DIV/0!</v>
          </cell>
          <cell r="AO381" t="e">
            <v>#DIV/0!</v>
          </cell>
          <cell r="AP381" t="e">
            <v>#DIV/0!</v>
          </cell>
          <cell r="AQ381" t="e">
            <v>#DIV/0!</v>
          </cell>
          <cell r="AR381" t="e">
            <v>#DIV/0!</v>
          </cell>
          <cell r="AS381" t="e">
            <v>#DIV/0!</v>
          </cell>
          <cell r="AT381" t="e">
            <v>#DIV/0!</v>
          </cell>
          <cell r="AU381" t="e">
            <v>#DIV/0!</v>
          </cell>
          <cell r="AV381" t="e">
            <v>#DIV/0!</v>
          </cell>
          <cell r="AW381" t="e">
            <v>#DIV/0!</v>
          </cell>
          <cell r="AX381" t="e">
            <v>#DIV/0!</v>
          </cell>
          <cell r="AY381" t="e">
            <v>#DIV/0!</v>
          </cell>
          <cell r="AZ381" t="e">
            <v>#DIV/0!</v>
          </cell>
          <cell r="BA381" t="e">
            <v>#DIV/0!</v>
          </cell>
          <cell r="BB381" t="e">
            <v>#DIV/0!</v>
          </cell>
          <cell r="BC381" t="e">
            <v>#DIV/0!</v>
          </cell>
          <cell r="BD381" t="e">
            <v>#DIV/0!</v>
          </cell>
          <cell r="BE381" t="e">
            <v>#DIV/0!</v>
          </cell>
        </row>
        <row r="382">
          <cell r="H382" t="e">
            <v>#DIV/0!</v>
          </cell>
          <cell r="I382" t="e">
            <v>#DIV/0!</v>
          </cell>
          <cell r="J382" t="e">
            <v>#DIV/0!</v>
          </cell>
          <cell r="K382" t="e">
            <v>#DIV/0!</v>
          </cell>
          <cell r="L382" t="e">
            <v>#DIV/0!</v>
          </cell>
          <cell r="M382" t="e">
            <v>#DIV/0!</v>
          </cell>
          <cell r="N382" t="e">
            <v>#DIV/0!</v>
          </cell>
          <cell r="O382" t="e">
            <v>#DIV/0!</v>
          </cell>
          <cell r="P382" t="e">
            <v>#DIV/0!</v>
          </cell>
          <cell r="Q382" t="e">
            <v>#DIV/0!</v>
          </cell>
          <cell r="R382" t="e">
            <v>#DIV/0!</v>
          </cell>
          <cell r="S382" t="e">
            <v>#DIV/0!</v>
          </cell>
          <cell r="T382" t="e">
            <v>#DIV/0!</v>
          </cell>
          <cell r="U382" t="e">
            <v>#DIV/0!</v>
          </cell>
          <cell r="V382" t="e">
            <v>#DIV/0!</v>
          </cell>
          <cell r="W382" t="e">
            <v>#DIV/0!</v>
          </cell>
          <cell r="X382" t="e">
            <v>#DIV/0!</v>
          </cell>
          <cell r="Y382">
            <v>8.6972061948397295E-2</v>
          </cell>
          <cell r="Z382" t="e">
            <v>#DIV/0!</v>
          </cell>
          <cell r="AA382" t="e">
            <v>#DIV/0!</v>
          </cell>
          <cell r="AB382" t="e">
            <v>#DIV/0!</v>
          </cell>
          <cell r="AC382" t="e">
            <v>#DIV/0!</v>
          </cell>
          <cell r="AD382" t="e">
            <v>#DIV/0!</v>
          </cell>
          <cell r="AE382" t="e">
            <v>#DIV/0!</v>
          </cell>
          <cell r="AF382" t="e">
            <v>#DIV/0!</v>
          </cell>
          <cell r="AG382" t="e">
            <v>#DIV/0!</v>
          </cell>
          <cell r="AH382" t="e">
            <v>#DIV/0!</v>
          </cell>
          <cell r="AI382" t="e">
            <v>#DIV/0!</v>
          </cell>
          <cell r="AJ382" t="e">
            <v>#DIV/0!</v>
          </cell>
          <cell r="AK382" t="e">
            <v>#DIV/0!</v>
          </cell>
          <cell r="AL382" t="e">
            <v>#DIV/0!</v>
          </cell>
          <cell r="AM382" t="e">
            <v>#DIV/0!</v>
          </cell>
          <cell r="AN382" t="e">
            <v>#DIV/0!</v>
          </cell>
          <cell r="AO382" t="e">
            <v>#DIV/0!</v>
          </cell>
          <cell r="AP382" t="e">
            <v>#DIV/0!</v>
          </cell>
          <cell r="AQ382" t="e">
            <v>#DIV/0!</v>
          </cell>
          <cell r="AR382" t="e">
            <v>#DIV/0!</v>
          </cell>
          <cell r="AS382" t="e">
            <v>#DIV/0!</v>
          </cell>
          <cell r="AT382" t="e">
            <v>#DIV/0!</v>
          </cell>
          <cell r="AU382" t="e">
            <v>#DIV/0!</v>
          </cell>
          <cell r="AV382" t="e">
            <v>#DIV/0!</v>
          </cell>
          <cell r="AW382" t="e">
            <v>#DIV/0!</v>
          </cell>
          <cell r="AX382" t="e">
            <v>#DIV/0!</v>
          </cell>
          <cell r="AY382" t="e">
            <v>#DIV/0!</v>
          </cell>
          <cell r="AZ382" t="e">
            <v>#DIV/0!</v>
          </cell>
          <cell r="BA382" t="e">
            <v>#DIV/0!</v>
          </cell>
          <cell r="BB382" t="e">
            <v>#DIV/0!</v>
          </cell>
          <cell r="BC382" t="e">
            <v>#DIV/0!</v>
          </cell>
          <cell r="BD382" t="e">
            <v>#DIV/0!</v>
          </cell>
          <cell r="BE382" t="e">
            <v>#DIV/0!</v>
          </cell>
        </row>
        <row r="383">
          <cell r="H383" t="e">
            <v>#DIV/0!</v>
          </cell>
          <cell r="I383" t="e">
            <v>#DIV/0!</v>
          </cell>
          <cell r="J383" t="e">
            <v>#DIV/0!</v>
          </cell>
          <cell r="K383" t="e">
            <v>#DIV/0!</v>
          </cell>
          <cell r="L383" t="e">
            <v>#DIV/0!</v>
          </cell>
          <cell r="M383" t="e">
            <v>#DIV/0!</v>
          </cell>
          <cell r="N383" t="e">
            <v>#DIV/0!</v>
          </cell>
          <cell r="O383" t="e">
            <v>#DIV/0!</v>
          </cell>
          <cell r="P383" t="e">
            <v>#DIV/0!</v>
          </cell>
          <cell r="Q383" t="e">
            <v>#DIV/0!</v>
          </cell>
          <cell r="R383" t="e">
            <v>#DIV/0!</v>
          </cell>
          <cell r="S383" t="e">
            <v>#DIV/0!</v>
          </cell>
          <cell r="T383" t="e">
            <v>#DIV/0!</v>
          </cell>
          <cell r="U383" t="e">
            <v>#DIV/0!</v>
          </cell>
          <cell r="V383" t="e">
            <v>#DIV/0!</v>
          </cell>
          <cell r="W383" t="e">
            <v>#DIV/0!</v>
          </cell>
          <cell r="X383" t="e">
            <v>#DIV/0!</v>
          </cell>
          <cell r="Y383">
            <v>5.6909100192852294E-2</v>
          </cell>
          <cell r="Z383" t="e">
            <v>#DIV/0!</v>
          </cell>
          <cell r="AA383" t="e">
            <v>#DIV/0!</v>
          </cell>
          <cell r="AB383" t="e">
            <v>#DIV/0!</v>
          </cell>
          <cell r="AC383" t="e">
            <v>#DIV/0!</v>
          </cell>
          <cell r="AD383" t="e">
            <v>#DIV/0!</v>
          </cell>
          <cell r="AE383" t="e">
            <v>#DIV/0!</v>
          </cell>
          <cell r="AF383" t="e">
            <v>#DIV/0!</v>
          </cell>
          <cell r="AG383" t="e">
            <v>#DIV/0!</v>
          </cell>
          <cell r="AH383" t="e">
            <v>#DIV/0!</v>
          </cell>
          <cell r="AI383" t="e">
            <v>#DIV/0!</v>
          </cell>
          <cell r="AJ383" t="e">
            <v>#DIV/0!</v>
          </cell>
          <cell r="AK383" t="e">
            <v>#DIV/0!</v>
          </cell>
          <cell r="AL383" t="e">
            <v>#DIV/0!</v>
          </cell>
          <cell r="AM383" t="e">
            <v>#DIV/0!</v>
          </cell>
          <cell r="AN383" t="e">
            <v>#DIV/0!</v>
          </cell>
          <cell r="AO383" t="e">
            <v>#DIV/0!</v>
          </cell>
          <cell r="AP383" t="e">
            <v>#DIV/0!</v>
          </cell>
          <cell r="AQ383" t="e">
            <v>#DIV/0!</v>
          </cell>
          <cell r="AR383" t="e">
            <v>#DIV/0!</v>
          </cell>
          <cell r="AS383" t="e">
            <v>#DIV/0!</v>
          </cell>
          <cell r="AT383" t="e">
            <v>#DIV/0!</v>
          </cell>
          <cell r="AU383" t="e">
            <v>#DIV/0!</v>
          </cell>
          <cell r="AV383" t="e">
            <v>#DIV/0!</v>
          </cell>
          <cell r="AW383" t="e">
            <v>#DIV/0!</v>
          </cell>
          <cell r="AX383" t="e">
            <v>#DIV/0!</v>
          </cell>
          <cell r="AY383" t="e">
            <v>#DIV/0!</v>
          </cell>
          <cell r="AZ383" t="e">
            <v>#DIV/0!</v>
          </cell>
          <cell r="BA383" t="e">
            <v>#DIV/0!</v>
          </cell>
          <cell r="BB383" t="e">
            <v>#DIV/0!</v>
          </cell>
          <cell r="BC383" t="e">
            <v>#DIV/0!</v>
          </cell>
          <cell r="BD383" t="e">
            <v>#DIV/0!</v>
          </cell>
          <cell r="BE383" t="e">
            <v>#DIV/0!</v>
          </cell>
        </row>
        <row r="389">
          <cell r="H389">
            <v>34.51</v>
          </cell>
          <cell r="I389">
            <v>5.66</v>
          </cell>
          <cell r="J389">
            <v>29.09</v>
          </cell>
          <cell r="K389">
            <v>44.25</v>
          </cell>
          <cell r="L389">
            <v>18.05</v>
          </cell>
          <cell r="M389">
            <v>19</v>
          </cell>
          <cell r="N389">
            <v>30.01</v>
          </cell>
          <cell r="O389">
            <v>12.27</v>
          </cell>
          <cell r="P389">
            <v>5.52</v>
          </cell>
          <cell r="Q389">
            <v>17.329999999999998</v>
          </cell>
          <cell r="R389">
            <v>33.479999999999997</v>
          </cell>
          <cell r="S389">
            <v>24.02</v>
          </cell>
          <cell r="T389" t="e">
            <v>#VALUE!</v>
          </cell>
          <cell r="U389">
            <v>21.26</v>
          </cell>
          <cell r="V389">
            <v>52.05</v>
          </cell>
          <cell r="W389">
            <v>34.51</v>
          </cell>
          <cell r="X389">
            <v>34.64</v>
          </cell>
          <cell r="Y389">
            <v>24.38</v>
          </cell>
          <cell r="Z389" t="e">
            <v>#N/A</v>
          </cell>
          <cell r="AA389">
            <v>72.7</v>
          </cell>
          <cell r="AB389">
            <v>72.7</v>
          </cell>
          <cell r="AC389">
            <v>14.75</v>
          </cell>
          <cell r="AD389" t="e">
            <v>#N/A</v>
          </cell>
          <cell r="AE389">
            <v>7.84</v>
          </cell>
          <cell r="AF389">
            <v>53.25</v>
          </cell>
          <cell r="AG389">
            <v>33.58</v>
          </cell>
          <cell r="AH389">
            <v>52.05</v>
          </cell>
          <cell r="AI389">
            <v>8.26</v>
          </cell>
          <cell r="AJ389" t="e">
            <v>#VALUE!</v>
          </cell>
          <cell r="AK389">
            <v>28.9</v>
          </cell>
          <cell r="AL389">
            <v>31.81</v>
          </cell>
          <cell r="AM389">
            <v>50.35</v>
          </cell>
          <cell r="AN389">
            <v>4.99</v>
          </cell>
          <cell r="AO389" t="e">
            <v>#N/A</v>
          </cell>
          <cell r="AP389">
            <v>47.72</v>
          </cell>
          <cell r="AQ389" t="e">
            <v>#VALUE!</v>
          </cell>
          <cell r="AR389">
            <v>47.72</v>
          </cell>
          <cell r="AS389">
            <v>33.58</v>
          </cell>
          <cell r="AT389" t="e">
            <v>#N/A</v>
          </cell>
          <cell r="AU389">
            <v>64.69</v>
          </cell>
          <cell r="AV389">
            <v>64.69</v>
          </cell>
          <cell r="AW389" t="e">
            <v>#VALUE!</v>
          </cell>
          <cell r="AX389" t="e">
            <v>#VALUE!</v>
          </cell>
          <cell r="AY389" t="e">
            <v>#VALUE!</v>
          </cell>
          <cell r="AZ389" t="e">
            <v>#VALUE!</v>
          </cell>
          <cell r="BA389" t="e">
            <v>#VALUE!</v>
          </cell>
          <cell r="BB389" t="e">
            <v>#VALUE!</v>
          </cell>
          <cell r="BC389" t="e">
            <v>#VALUE!</v>
          </cell>
          <cell r="BD389" t="e">
            <v>#VALUE!</v>
          </cell>
          <cell r="BE389" t="e">
            <v>#VALUE!</v>
          </cell>
        </row>
        <row r="390">
          <cell r="H390">
            <v>59.207999999999998</v>
          </cell>
          <cell r="I390">
            <v>145.916</v>
          </cell>
          <cell r="J390">
            <v>42.494525000000003</v>
          </cell>
          <cell r="K390">
            <v>26.085000000000001</v>
          </cell>
          <cell r="L390">
            <v>60.100999999999999</v>
          </cell>
          <cell r="M390">
            <v>213.28299999999999</v>
          </cell>
          <cell r="N390">
            <v>45.409689999999998</v>
          </cell>
          <cell r="O390">
            <v>15.414</v>
          </cell>
          <cell r="P390">
            <v>125.556</v>
          </cell>
          <cell r="Q390">
            <v>186.74</v>
          </cell>
          <cell r="R390">
            <v>35.048999999999999</v>
          </cell>
          <cell r="S390">
            <v>136.77799999999999</v>
          </cell>
          <cell r="T390">
            <v>57.9</v>
          </cell>
          <cell r="U390">
            <v>16.077313</v>
          </cell>
          <cell r="V390">
            <v>28.199946000000001</v>
          </cell>
          <cell r="W390">
            <v>52.961227999999998</v>
          </cell>
          <cell r="X390">
            <v>47.744526999999998</v>
          </cell>
          <cell r="Y390">
            <v>44.61</v>
          </cell>
          <cell r="Z390">
            <v>135.58958899999999</v>
          </cell>
          <cell r="AA390">
            <v>53.001061999999997</v>
          </cell>
          <cell r="AB390">
            <v>112.89100000000001</v>
          </cell>
          <cell r="AC390">
            <v>40.850999999999999</v>
          </cell>
          <cell r="AD390">
            <v>0</v>
          </cell>
          <cell r="AE390">
            <v>71.217195000000004</v>
          </cell>
          <cell r="AF390">
            <v>44.747</v>
          </cell>
          <cell r="AG390">
            <v>24.778272999999999</v>
          </cell>
          <cell r="AH390">
            <v>26.098680000000002</v>
          </cell>
          <cell r="AI390">
            <v>0</v>
          </cell>
          <cell r="AJ390">
            <v>31.284690000000001</v>
          </cell>
          <cell r="AK390">
            <v>57.9</v>
          </cell>
          <cell r="AL390">
            <v>301</v>
          </cell>
          <cell r="AM390">
            <v>73.771000000000001</v>
          </cell>
          <cell r="AN390">
            <v>12.315314000000001</v>
          </cell>
          <cell r="AO390">
            <v>0</v>
          </cell>
          <cell r="AP390">
            <v>0</v>
          </cell>
          <cell r="AQ390">
            <v>0</v>
          </cell>
          <cell r="AR390">
            <v>68.506</v>
          </cell>
          <cell r="AS390">
            <v>12.884701959999999</v>
          </cell>
          <cell r="AT390">
            <v>0</v>
          </cell>
          <cell r="AU390">
            <v>0</v>
          </cell>
          <cell r="AV390">
            <v>460</v>
          </cell>
          <cell r="AW390">
            <v>0</v>
          </cell>
          <cell r="AX390">
            <v>0</v>
          </cell>
          <cell r="AY390">
            <v>0</v>
          </cell>
          <cell r="AZ390">
            <v>0</v>
          </cell>
          <cell r="BA390">
            <v>0</v>
          </cell>
          <cell r="BB390">
            <v>0</v>
          </cell>
          <cell r="BC390">
            <v>0</v>
          </cell>
          <cell r="BD390">
            <v>0</v>
          </cell>
          <cell r="BE390">
            <v>0</v>
          </cell>
        </row>
        <row r="393">
          <cell r="H393">
            <v>0</v>
          </cell>
          <cell r="I393">
            <v>0</v>
          </cell>
          <cell r="J393">
            <v>0</v>
          </cell>
          <cell r="K393">
            <v>0</v>
          </cell>
          <cell r="L393">
            <v>0</v>
          </cell>
          <cell r="M393">
            <v>0</v>
          </cell>
          <cell r="N393">
            <v>0</v>
          </cell>
          <cell r="O393">
            <v>0</v>
          </cell>
          <cell r="P393">
            <v>0</v>
          </cell>
          <cell r="Q393">
            <v>0</v>
          </cell>
          <cell r="R393">
            <v>0</v>
          </cell>
          <cell r="S393">
            <v>0</v>
          </cell>
          <cell r="T393">
            <v>0</v>
          </cell>
          <cell r="U393">
            <v>2.5030000000000001</v>
          </cell>
          <cell r="V393">
            <v>0</v>
          </cell>
          <cell r="W393">
            <v>5.6609999999999996</v>
          </cell>
          <cell r="X393">
            <v>5.0519999999999996</v>
          </cell>
          <cell r="Y393">
            <v>5.1552319999999998</v>
          </cell>
          <cell r="Z393">
            <v>8.721584</v>
          </cell>
          <cell r="AA393">
            <v>3.6339999999999999</v>
          </cell>
          <cell r="AB393">
            <v>0</v>
          </cell>
          <cell r="AC393">
            <v>2.2189999999999999</v>
          </cell>
          <cell r="AD393">
            <v>0</v>
          </cell>
          <cell r="AE393">
            <v>6.3520000000000012</v>
          </cell>
          <cell r="AF393">
            <v>0</v>
          </cell>
          <cell r="AG393">
            <v>7.7510000000000003</v>
          </cell>
          <cell r="AH393">
            <v>1.796775</v>
          </cell>
          <cell r="AI393">
            <v>0</v>
          </cell>
          <cell r="AJ393">
            <v>1.796775</v>
          </cell>
          <cell r="AK393">
            <v>0</v>
          </cell>
          <cell r="AL393">
            <v>60.732304999999997</v>
          </cell>
          <cell r="AM393">
            <v>3.5651830000000002</v>
          </cell>
          <cell r="AN393">
            <v>2.4042520000000001</v>
          </cell>
          <cell r="AO393">
            <v>0</v>
          </cell>
          <cell r="AP393">
            <v>0</v>
          </cell>
          <cell r="AQ393">
            <v>0</v>
          </cell>
          <cell r="AR393">
            <v>0.95021299999999997</v>
          </cell>
          <cell r="AS393">
            <v>4.0305200000000001</v>
          </cell>
          <cell r="AT393">
            <v>0</v>
          </cell>
          <cell r="AU393">
            <v>0</v>
          </cell>
          <cell r="AV393">
            <v>0</v>
          </cell>
          <cell r="AW393">
            <v>0</v>
          </cell>
          <cell r="AX393">
            <v>0</v>
          </cell>
          <cell r="AY393">
            <v>0</v>
          </cell>
          <cell r="AZ393">
            <v>0</v>
          </cell>
          <cell r="BA393">
            <v>0</v>
          </cell>
          <cell r="BB393">
            <v>0</v>
          </cell>
          <cell r="BC393">
            <v>0</v>
          </cell>
          <cell r="BD393">
            <v>0</v>
          </cell>
          <cell r="BE393">
            <v>0</v>
          </cell>
        </row>
        <row r="394">
          <cell r="H394">
            <v>0</v>
          </cell>
          <cell r="I394">
            <v>0</v>
          </cell>
          <cell r="J394">
            <v>0</v>
          </cell>
          <cell r="K394">
            <v>0</v>
          </cell>
          <cell r="L394">
            <v>0</v>
          </cell>
          <cell r="M394">
            <v>0</v>
          </cell>
          <cell r="N394">
            <v>0</v>
          </cell>
          <cell r="O394">
            <v>0</v>
          </cell>
          <cell r="P394">
            <v>0</v>
          </cell>
          <cell r="Q394">
            <v>0</v>
          </cell>
          <cell r="R394">
            <v>0</v>
          </cell>
          <cell r="S394">
            <v>0</v>
          </cell>
          <cell r="T394">
            <v>0</v>
          </cell>
          <cell r="U394">
            <v>18.14</v>
          </cell>
          <cell r="V394">
            <v>0</v>
          </cell>
          <cell r="W394">
            <v>46.72</v>
          </cell>
          <cell r="X394">
            <v>36.450000000000003</v>
          </cell>
          <cell r="Y394">
            <v>22.4</v>
          </cell>
          <cell r="Z394">
            <v>13.83</v>
          </cell>
          <cell r="AA394">
            <v>24</v>
          </cell>
          <cell r="AB394">
            <v>42</v>
          </cell>
          <cell r="AC394">
            <v>13.46</v>
          </cell>
          <cell r="AD394">
            <v>0</v>
          </cell>
          <cell r="AE394">
            <v>10.304480478589419</v>
          </cell>
          <cell r="AF394">
            <v>26.04</v>
          </cell>
          <cell r="AG394">
            <v>18.55</v>
          </cell>
          <cell r="AH394">
            <v>13.52</v>
          </cell>
          <cell r="AI394">
            <v>0</v>
          </cell>
          <cell r="AJ394">
            <v>13.52</v>
          </cell>
          <cell r="AK394">
            <v>0</v>
          </cell>
          <cell r="AL394">
            <v>39.36</v>
          </cell>
          <cell r="AM394">
            <v>32.39</v>
          </cell>
          <cell r="AN394">
            <v>9.9</v>
          </cell>
          <cell r="AO394">
            <v>0</v>
          </cell>
          <cell r="AP394">
            <v>0</v>
          </cell>
          <cell r="AQ394">
            <v>0</v>
          </cell>
          <cell r="AR394">
            <v>20.514070571545538</v>
          </cell>
          <cell r="AS394">
            <v>9.6460000000000008</v>
          </cell>
          <cell r="AT394">
            <v>0</v>
          </cell>
          <cell r="AU394">
            <v>0</v>
          </cell>
          <cell r="AV394">
            <v>34.83</v>
          </cell>
          <cell r="AW394">
            <v>0</v>
          </cell>
          <cell r="AX394">
            <v>0</v>
          </cell>
          <cell r="AY394">
            <v>0</v>
          </cell>
          <cell r="AZ394">
            <v>0</v>
          </cell>
          <cell r="BA394">
            <v>0</v>
          </cell>
          <cell r="BB394">
            <v>0</v>
          </cell>
          <cell r="BC394">
            <v>0</v>
          </cell>
          <cell r="BD394">
            <v>0</v>
          </cell>
          <cell r="BE394">
            <v>0</v>
          </cell>
        </row>
        <row r="395">
          <cell r="H395">
            <v>0</v>
          </cell>
          <cell r="I395">
            <v>0</v>
          </cell>
          <cell r="J395">
            <v>0</v>
          </cell>
          <cell r="K395">
            <v>0</v>
          </cell>
          <cell r="L395">
            <v>0</v>
          </cell>
          <cell r="M395">
            <v>0</v>
          </cell>
          <cell r="N395">
            <v>0</v>
          </cell>
          <cell r="O395">
            <v>0</v>
          </cell>
          <cell r="P395">
            <v>0</v>
          </cell>
          <cell r="Q395">
            <v>0</v>
          </cell>
          <cell r="R395">
            <v>0</v>
          </cell>
          <cell r="S395">
            <v>0</v>
          </cell>
          <cell r="T395" t="e">
            <v>#VALUE!</v>
          </cell>
          <cell r="U395">
            <v>0.36732643461900283</v>
          </cell>
          <cell r="V395">
            <v>0</v>
          </cell>
          <cell r="W395">
            <v>0</v>
          </cell>
          <cell r="X395">
            <v>0</v>
          </cell>
          <cell r="Y395">
            <v>0.41867757834290398</v>
          </cell>
          <cell r="Z395" t="e">
            <v>#N/A</v>
          </cell>
          <cell r="AA395">
            <v>2.4343301237964239</v>
          </cell>
          <cell r="AB395">
            <v>0</v>
          </cell>
          <cell r="AC395">
            <v>0.19406847457627086</v>
          </cell>
          <cell r="AD395" t="e">
            <v>#N/A</v>
          </cell>
          <cell r="AE395">
            <v>0</v>
          </cell>
          <cell r="AF395">
            <v>0</v>
          </cell>
          <cell r="AG395">
            <v>3.4692534246575333</v>
          </cell>
          <cell r="AH395">
            <v>1.3300622622478386</v>
          </cell>
          <cell r="AI395">
            <v>0</v>
          </cell>
          <cell r="AJ395" t="e">
            <v>#VALUE!</v>
          </cell>
          <cell r="AK395">
            <v>0</v>
          </cell>
          <cell r="AL395">
            <v>0</v>
          </cell>
          <cell r="AM395">
            <v>1.2717117513406158</v>
          </cell>
          <cell r="AN395">
            <v>0</v>
          </cell>
          <cell r="AO395" t="e">
            <v>#N/A</v>
          </cell>
          <cell r="AP395">
            <v>0</v>
          </cell>
          <cell r="AQ395" t="e">
            <v>#VALUE!</v>
          </cell>
          <cell r="AR395">
            <v>0.54173151341156744</v>
          </cell>
          <cell r="AS395">
            <v>2.8727357260273969</v>
          </cell>
          <cell r="AT395" t="e">
            <v>#N/A</v>
          </cell>
          <cell r="AU395">
            <v>0</v>
          </cell>
          <cell r="AV395">
            <v>0</v>
          </cell>
          <cell r="AW395" t="e">
            <v>#VALUE!</v>
          </cell>
          <cell r="AX395" t="e">
            <v>#VALUE!</v>
          </cell>
          <cell r="AY395" t="e">
            <v>#VALUE!</v>
          </cell>
          <cell r="AZ395" t="e">
            <v>#VALUE!</v>
          </cell>
          <cell r="BA395" t="e">
            <v>#VALUE!</v>
          </cell>
          <cell r="BB395" t="e">
            <v>#VALUE!</v>
          </cell>
          <cell r="BC395" t="e">
            <v>#VALUE!</v>
          </cell>
          <cell r="BD395" t="e">
            <v>#VALUE!</v>
          </cell>
          <cell r="BE395" t="e">
            <v>#VALUE!</v>
          </cell>
        </row>
        <row r="398">
          <cell r="H398">
            <v>0</v>
          </cell>
          <cell r="I398">
            <v>0</v>
          </cell>
          <cell r="J398">
            <v>0</v>
          </cell>
          <cell r="K398">
            <v>0</v>
          </cell>
          <cell r="L398">
            <v>0</v>
          </cell>
          <cell r="M398">
            <v>0</v>
          </cell>
          <cell r="N398">
            <v>0</v>
          </cell>
          <cell r="O398">
            <v>0</v>
          </cell>
          <cell r="P398">
            <v>0</v>
          </cell>
          <cell r="Q398">
            <v>0</v>
          </cell>
          <cell r="R398">
            <v>0</v>
          </cell>
          <cell r="S398">
            <v>0</v>
          </cell>
          <cell r="T398">
            <v>0</v>
          </cell>
          <cell r="U398">
            <v>0.44</v>
          </cell>
          <cell r="V398">
            <v>0</v>
          </cell>
          <cell r="W398">
            <v>0</v>
          </cell>
          <cell r="X398">
            <v>0</v>
          </cell>
          <cell r="Y398">
            <v>0</v>
          </cell>
          <cell r="Z398">
            <v>0</v>
          </cell>
          <cell r="AA398">
            <v>0</v>
          </cell>
          <cell r="AB398">
            <v>0</v>
          </cell>
          <cell r="AC398">
            <v>0</v>
          </cell>
          <cell r="AD398">
            <v>0</v>
          </cell>
          <cell r="AE398">
            <v>0.78749999999999998</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row>
        <row r="399">
          <cell r="H399">
            <v>0</v>
          </cell>
          <cell r="I399">
            <v>0</v>
          </cell>
          <cell r="J399">
            <v>0</v>
          </cell>
          <cell r="K399">
            <v>0</v>
          </cell>
          <cell r="L399">
            <v>0</v>
          </cell>
          <cell r="M399">
            <v>0</v>
          </cell>
          <cell r="N399">
            <v>0</v>
          </cell>
          <cell r="O399">
            <v>0</v>
          </cell>
          <cell r="P399">
            <v>0</v>
          </cell>
          <cell r="Q399">
            <v>0</v>
          </cell>
          <cell r="R399">
            <v>0</v>
          </cell>
          <cell r="S399">
            <v>0</v>
          </cell>
          <cell r="T399">
            <v>0</v>
          </cell>
          <cell r="U399">
            <v>5.82</v>
          </cell>
          <cell r="V399">
            <v>0</v>
          </cell>
          <cell r="W399">
            <v>0</v>
          </cell>
          <cell r="X399">
            <v>0</v>
          </cell>
          <cell r="Y399">
            <v>0</v>
          </cell>
          <cell r="Z399">
            <v>0</v>
          </cell>
          <cell r="AA399">
            <v>0</v>
          </cell>
          <cell r="AB399">
            <v>0</v>
          </cell>
          <cell r="AC399">
            <v>0</v>
          </cell>
          <cell r="AD399">
            <v>0</v>
          </cell>
          <cell r="AE399">
            <v>14.8</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row>
        <row r="400">
          <cell r="H400">
            <v>0</v>
          </cell>
          <cell r="I400">
            <v>0</v>
          </cell>
          <cell r="J400">
            <v>0</v>
          </cell>
          <cell r="K400">
            <v>0</v>
          </cell>
          <cell r="L400">
            <v>0</v>
          </cell>
          <cell r="M400">
            <v>0</v>
          </cell>
          <cell r="N400">
            <v>0</v>
          </cell>
          <cell r="O400">
            <v>0</v>
          </cell>
          <cell r="P400">
            <v>0</v>
          </cell>
          <cell r="Q400">
            <v>0</v>
          </cell>
          <cell r="R400">
            <v>0</v>
          </cell>
          <cell r="S400">
            <v>0</v>
          </cell>
          <cell r="T400" t="e">
            <v>#VALUE!</v>
          </cell>
          <cell r="U400">
            <v>0.31954844778927566</v>
          </cell>
          <cell r="V400">
            <v>0</v>
          </cell>
          <cell r="W400">
            <v>0</v>
          </cell>
          <cell r="X400">
            <v>0</v>
          </cell>
          <cell r="Y400">
            <v>0</v>
          </cell>
          <cell r="Z400" t="e">
            <v>#N/A</v>
          </cell>
          <cell r="AA400">
            <v>0</v>
          </cell>
          <cell r="AB400">
            <v>0</v>
          </cell>
          <cell r="AC400">
            <v>0</v>
          </cell>
          <cell r="AD400" t="e">
            <v>#N/A</v>
          </cell>
          <cell r="AE400">
            <v>0</v>
          </cell>
          <cell r="AF400">
            <v>0</v>
          </cell>
          <cell r="AG400">
            <v>0</v>
          </cell>
          <cell r="AH400">
            <v>0</v>
          </cell>
          <cell r="AI400">
            <v>0</v>
          </cell>
          <cell r="AJ400" t="e">
            <v>#VALUE!</v>
          </cell>
          <cell r="AK400">
            <v>0</v>
          </cell>
          <cell r="AL400">
            <v>0</v>
          </cell>
          <cell r="AM400">
            <v>0</v>
          </cell>
          <cell r="AN400">
            <v>0</v>
          </cell>
          <cell r="AO400" t="e">
            <v>#N/A</v>
          </cell>
          <cell r="AP400">
            <v>0</v>
          </cell>
          <cell r="AQ400" t="e">
            <v>#VALUE!</v>
          </cell>
          <cell r="AR400">
            <v>0</v>
          </cell>
          <cell r="AS400">
            <v>0</v>
          </cell>
          <cell r="AT400" t="e">
            <v>#N/A</v>
          </cell>
          <cell r="AU400">
            <v>0</v>
          </cell>
          <cell r="AV400">
            <v>0</v>
          </cell>
          <cell r="AW400" t="e">
            <v>#VALUE!</v>
          </cell>
          <cell r="AX400" t="e">
            <v>#VALUE!</v>
          </cell>
          <cell r="AY400" t="e">
            <v>#VALUE!</v>
          </cell>
          <cell r="AZ400" t="e">
            <v>#VALUE!</v>
          </cell>
          <cell r="BA400" t="e">
            <v>#VALUE!</v>
          </cell>
          <cell r="BB400" t="e">
            <v>#VALUE!</v>
          </cell>
          <cell r="BC400" t="e">
            <v>#VALUE!</v>
          </cell>
          <cell r="BD400" t="e">
            <v>#VALUE!</v>
          </cell>
          <cell r="BE400" t="e">
            <v>#VALUE!</v>
          </cell>
        </row>
        <row r="403">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172.5</v>
          </cell>
          <cell r="X403">
            <v>0</v>
          </cell>
          <cell r="Y403">
            <v>0</v>
          </cell>
          <cell r="Z403">
            <v>0</v>
          </cell>
          <cell r="AA403">
            <v>300</v>
          </cell>
          <cell r="AB403">
            <v>300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row>
        <row r="404">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5.5E-2</v>
          </cell>
          <cell r="X404">
            <v>0</v>
          </cell>
          <cell r="Y404">
            <v>0</v>
          </cell>
          <cell r="Z404">
            <v>0</v>
          </cell>
          <cell r="AA404">
            <v>0.05</v>
          </cell>
          <cell r="AB404">
            <v>0.05</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row>
        <row r="405">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85.2</v>
          </cell>
          <cell r="X405">
            <v>0</v>
          </cell>
          <cell r="Y405">
            <v>0</v>
          </cell>
          <cell r="Z405">
            <v>0</v>
          </cell>
          <cell r="AA405">
            <v>52.968800000000002</v>
          </cell>
          <cell r="AB405">
            <v>52.97</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row>
        <row r="406">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2.0246478873239435</v>
          </cell>
          <cell r="X406">
            <v>0</v>
          </cell>
          <cell r="Y406">
            <v>0</v>
          </cell>
          <cell r="Z406">
            <v>0</v>
          </cell>
          <cell r="AA406">
            <v>5.6637114678829796</v>
          </cell>
          <cell r="AB406">
            <v>5.6635831602794031</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row>
        <row r="407">
          <cell r="H407">
            <v>0</v>
          </cell>
          <cell r="I407">
            <v>0</v>
          </cell>
          <cell r="J407">
            <v>0</v>
          </cell>
          <cell r="K407">
            <v>0</v>
          </cell>
          <cell r="L407">
            <v>0</v>
          </cell>
          <cell r="M407">
            <v>0</v>
          </cell>
          <cell r="N407">
            <v>0</v>
          </cell>
          <cell r="O407">
            <v>0</v>
          </cell>
          <cell r="P407">
            <v>0</v>
          </cell>
          <cell r="Q407">
            <v>0</v>
          </cell>
          <cell r="R407">
            <v>0</v>
          </cell>
          <cell r="S407">
            <v>0</v>
          </cell>
          <cell r="T407" t="e">
            <v>#VALUE!</v>
          </cell>
          <cell r="U407">
            <v>-2.0877838070956129E-2</v>
          </cell>
          <cell r="V407">
            <v>6.2927070608341964</v>
          </cell>
          <cell r="W407">
            <v>1.4611726903311231</v>
          </cell>
          <cell r="X407">
            <v>1.959960772048281</v>
          </cell>
          <cell r="Y407">
            <v>0.7272476510780338</v>
          </cell>
          <cell r="Z407" t="e">
            <v>#N/A</v>
          </cell>
          <cell r="AA407">
            <v>1.7739605734255479</v>
          </cell>
          <cell r="AB407">
            <v>2.6776822155884878</v>
          </cell>
          <cell r="AC407">
            <v>0.87442904431335655</v>
          </cell>
          <cell r="AD407" t="e">
            <v>#N/A</v>
          </cell>
          <cell r="AE407">
            <v>0.15154767047480602</v>
          </cell>
          <cell r="AF407">
            <v>2.1999910608532418</v>
          </cell>
          <cell r="AG407">
            <v>1.3329662723010089</v>
          </cell>
          <cell r="AH407">
            <v>0.31671156908847936</v>
          </cell>
          <cell r="AI407" t="e">
            <v>#DIV/0!</v>
          </cell>
          <cell r="AJ407" t="e">
            <v>#VALUE!</v>
          </cell>
          <cell r="AK407">
            <v>1.5082279792746116</v>
          </cell>
          <cell r="AL407">
            <v>1.3029900332225912</v>
          </cell>
          <cell r="AM407">
            <v>1.8855928403663016</v>
          </cell>
          <cell r="AN407">
            <v>-0.24936432802281777</v>
          </cell>
          <cell r="AO407" t="e">
            <v>#N/A</v>
          </cell>
          <cell r="AP407" t="e">
            <v>#DIV/0!</v>
          </cell>
          <cell r="AQ407" t="e">
            <v>#VALUE!</v>
          </cell>
          <cell r="AR407">
            <v>1.1532167423130122</v>
          </cell>
          <cell r="AS407">
            <v>2.3895382453828815</v>
          </cell>
          <cell r="AT407" t="e">
            <v>#N/A</v>
          </cell>
          <cell r="AU407" t="e">
            <v>#DIV/0!</v>
          </cell>
          <cell r="AV407">
            <v>2.9161682608695649</v>
          </cell>
          <cell r="AW407" t="e">
            <v>#VALUE!</v>
          </cell>
          <cell r="AX407" t="e">
            <v>#VALUE!</v>
          </cell>
          <cell r="AY407" t="e">
            <v>#VALUE!</v>
          </cell>
          <cell r="AZ407" t="e">
            <v>#VALUE!</v>
          </cell>
          <cell r="BA407" t="e">
            <v>#VALUE!</v>
          </cell>
          <cell r="BB407" t="e">
            <v>#VALUE!</v>
          </cell>
          <cell r="BC407" t="e">
            <v>#VALUE!</v>
          </cell>
          <cell r="BD407" t="e">
            <v>#VALUE!</v>
          </cell>
          <cell r="BE407" t="e">
            <v>#VALUE!</v>
          </cell>
        </row>
        <row r="408">
          <cell r="H408">
            <v>0</v>
          </cell>
          <cell r="I408">
            <v>0</v>
          </cell>
          <cell r="J408">
            <v>0</v>
          </cell>
          <cell r="K408">
            <v>0</v>
          </cell>
          <cell r="L408">
            <v>0</v>
          </cell>
          <cell r="M408">
            <v>0</v>
          </cell>
          <cell r="N408">
            <v>0</v>
          </cell>
          <cell r="O408">
            <v>0</v>
          </cell>
          <cell r="P408">
            <v>0</v>
          </cell>
          <cell r="Q408">
            <v>0</v>
          </cell>
          <cell r="R408">
            <v>0</v>
          </cell>
          <cell r="S408">
            <v>0</v>
          </cell>
          <cell r="T408" t="e">
            <v>#VALUE!</v>
          </cell>
          <cell r="U408">
            <v>-2.0877838070956129E-2</v>
          </cell>
          <cell r="V408">
            <v>6.2927070608341964</v>
          </cell>
          <cell r="W408">
            <v>1.4073705065383875</v>
          </cell>
          <cell r="X408">
            <v>1.959960772048281</v>
          </cell>
          <cell r="Y408">
            <v>0.7272476510780338</v>
          </cell>
          <cell r="Z408" t="e">
            <v>#N/A</v>
          </cell>
          <cell r="AA408">
            <v>1.6095195218771126</v>
          </cell>
          <cell r="AB408">
            <v>2.5878253171566397</v>
          </cell>
          <cell r="AC408">
            <v>0.87442904431335655</v>
          </cell>
          <cell r="AD408" t="e">
            <v>#N/A</v>
          </cell>
          <cell r="AE408">
            <v>0.15154767047480602</v>
          </cell>
          <cell r="AF408">
            <v>2.1999910608532418</v>
          </cell>
          <cell r="AG408">
            <v>1.3329662723010089</v>
          </cell>
          <cell r="AH408">
            <v>0.31671156908847936</v>
          </cell>
          <cell r="AI408" t="e">
            <v>#DIV/0!</v>
          </cell>
          <cell r="AJ408" t="e">
            <v>#VALUE!</v>
          </cell>
          <cell r="AK408">
            <v>1.5082279792746116</v>
          </cell>
          <cell r="AL408">
            <v>1.3029900332225912</v>
          </cell>
          <cell r="AM408">
            <v>1.8855928403663016</v>
          </cell>
          <cell r="AN408">
            <v>-0.24936432802281777</v>
          </cell>
          <cell r="AO408" t="e">
            <v>#N/A</v>
          </cell>
          <cell r="AP408" t="e">
            <v>#DIV/0!</v>
          </cell>
          <cell r="AQ408" t="e">
            <v>#VALUE!</v>
          </cell>
          <cell r="AR408">
            <v>1.1532167423130122</v>
          </cell>
          <cell r="AS408">
            <v>2.3895382453828815</v>
          </cell>
          <cell r="AT408" t="e">
            <v>#N/A</v>
          </cell>
          <cell r="AU408" t="e">
            <v>#DIV/0!</v>
          </cell>
          <cell r="AV408">
            <v>2.9161682608695649</v>
          </cell>
          <cell r="AW408" t="e">
            <v>#VALUE!</v>
          </cell>
          <cell r="AX408" t="e">
            <v>#VALUE!</v>
          </cell>
          <cell r="AY408" t="e">
            <v>#VALUE!</v>
          </cell>
          <cell r="AZ408" t="e">
            <v>#VALUE!</v>
          </cell>
          <cell r="BA408" t="e">
            <v>#VALUE!</v>
          </cell>
          <cell r="BB408" t="e">
            <v>#VALUE!</v>
          </cell>
          <cell r="BC408" t="e">
            <v>#VALUE!</v>
          </cell>
          <cell r="BD408" t="e">
            <v>#VALUE!</v>
          </cell>
          <cell r="BE408" t="e">
            <v>#VALUE!</v>
          </cell>
        </row>
        <row r="409">
          <cell r="H409" t="str">
            <v>No</v>
          </cell>
          <cell r="I409" t="str">
            <v>No</v>
          </cell>
          <cell r="J409" t="str">
            <v>No</v>
          </cell>
          <cell r="K409" t="str">
            <v>No</v>
          </cell>
          <cell r="L409" t="str">
            <v>No</v>
          </cell>
          <cell r="M409" t="str">
            <v>No</v>
          </cell>
          <cell r="N409" t="str">
            <v>No</v>
          </cell>
          <cell r="O409" t="str">
            <v>No</v>
          </cell>
          <cell r="P409" t="str">
            <v>No</v>
          </cell>
          <cell r="Q409" t="str">
            <v>No</v>
          </cell>
          <cell r="R409" t="str">
            <v>No</v>
          </cell>
          <cell r="S409" t="str">
            <v>No</v>
          </cell>
          <cell r="T409" t="e">
            <v>#VALUE!</v>
          </cell>
          <cell r="U409" t="str">
            <v>No</v>
          </cell>
          <cell r="V409" t="str">
            <v>No</v>
          </cell>
          <cell r="W409" t="str">
            <v>Yes</v>
          </cell>
          <cell r="X409" t="str">
            <v>No</v>
          </cell>
          <cell r="Y409" t="str">
            <v>No</v>
          </cell>
          <cell r="Z409" t="e">
            <v>#N/A</v>
          </cell>
          <cell r="AA409" t="str">
            <v>Yes</v>
          </cell>
          <cell r="AB409" t="str">
            <v>Yes</v>
          </cell>
          <cell r="AC409" t="str">
            <v>No</v>
          </cell>
          <cell r="AD409" t="e">
            <v>#N/A</v>
          </cell>
          <cell r="AE409" t="str">
            <v>No</v>
          </cell>
          <cell r="AF409" t="str">
            <v>No</v>
          </cell>
          <cell r="AG409" t="str">
            <v>No</v>
          </cell>
          <cell r="AH409" t="str">
            <v>No</v>
          </cell>
          <cell r="AI409" t="e">
            <v>#DIV/0!</v>
          </cell>
          <cell r="AJ409" t="e">
            <v>#VALUE!</v>
          </cell>
          <cell r="AK409" t="str">
            <v>No</v>
          </cell>
          <cell r="AL409" t="str">
            <v>No</v>
          </cell>
          <cell r="AM409" t="str">
            <v>No</v>
          </cell>
          <cell r="AN409" t="str">
            <v>No</v>
          </cell>
          <cell r="AO409" t="e">
            <v>#N/A</v>
          </cell>
          <cell r="AP409" t="e">
            <v>#DIV/0!</v>
          </cell>
          <cell r="AQ409" t="e">
            <v>#VALUE!</v>
          </cell>
          <cell r="AR409" t="str">
            <v>No</v>
          </cell>
          <cell r="AS409" t="str">
            <v>No</v>
          </cell>
          <cell r="AT409" t="e">
            <v>#N/A</v>
          </cell>
          <cell r="AU409" t="e">
            <v>#DIV/0!</v>
          </cell>
          <cell r="AV409" t="str">
            <v>No</v>
          </cell>
          <cell r="AW409" t="e">
            <v>#VALUE!</v>
          </cell>
          <cell r="AX409" t="e">
            <v>#VALUE!</v>
          </cell>
          <cell r="AY409" t="e">
            <v>#VALUE!</v>
          </cell>
          <cell r="AZ409" t="e">
            <v>#VALUE!</v>
          </cell>
          <cell r="BA409" t="e">
            <v>#VALUE!</v>
          </cell>
          <cell r="BB409" t="e">
            <v>#VALUE!</v>
          </cell>
          <cell r="BC409" t="e">
            <v>#VALUE!</v>
          </cell>
          <cell r="BD409" t="e">
            <v>#VALUE!</v>
          </cell>
          <cell r="BE409" t="e">
            <v>#VALUE!</v>
          </cell>
        </row>
        <row r="410">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4.5123287671232877</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row>
        <row r="411">
          <cell r="H411">
            <v>0</v>
          </cell>
          <cell r="I411">
            <v>0</v>
          </cell>
          <cell r="J411">
            <v>0</v>
          </cell>
          <cell r="K411">
            <v>0</v>
          </cell>
          <cell r="L411">
            <v>0</v>
          </cell>
          <cell r="M411">
            <v>0</v>
          </cell>
          <cell r="N411">
            <v>0</v>
          </cell>
          <cell r="O411">
            <v>0</v>
          </cell>
          <cell r="P411">
            <v>0</v>
          </cell>
          <cell r="Q411">
            <v>0</v>
          </cell>
          <cell r="R411">
            <v>0</v>
          </cell>
          <cell r="S411">
            <v>0</v>
          </cell>
          <cell r="T411" t="e">
            <v>#VALUE!</v>
          </cell>
          <cell r="U411">
            <v>0</v>
          </cell>
          <cell r="V411">
            <v>0</v>
          </cell>
          <cell r="W411">
            <v>2.0246478873239435</v>
          </cell>
          <cell r="X411">
            <v>0</v>
          </cell>
          <cell r="Y411">
            <v>0</v>
          </cell>
          <cell r="Z411" t="e">
            <v>#N/A</v>
          </cell>
          <cell r="AA411">
            <v>5.6637114678829796</v>
          </cell>
          <cell r="AB411">
            <v>5.6635831602794031</v>
          </cell>
          <cell r="AC411">
            <v>0</v>
          </cell>
          <cell r="AD411" t="e">
            <v>#N/A</v>
          </cell>
          <cell r="AE411">
            <v>0</v>
          </cell>
          <cell r="AF411">
            <v>0</v>
          </cell>
          <cell r="AG411">
            <v>0</v>
          </cell>
          <cell r="AH411">
            <v>0</v>
          </cell>
          <cell r="AI411" t="e">
            <v>#DIV/0!</v>
          </cell>
          <cell r="AJ411" t="e">
            <v>#VALUE!</v>
          </cell>
          <cell r="AK411">
            <v>0</v>
          </cell>
          <cell r="AL411">
            <v>0</v>
          </cell>
          <cell r="AM411">
            <v>0</v>
          </cell>
          <cell r="AN411">
            <v>0</v>
          </cell>
          <cell r="AO411" t="e">
            <v>#N/A</v>
          </cell>
          <cell r="AP411" t="e">
            <v>#DIV/0!</v>
          </cell>
          <cell r="AQ411" t="e">
            <v>#VALUE!</v>
          </cell>
          <cell r="AR411">
            <v>0</v>
          </cell>
          <cell r="AS411">
            <v>0</v>
          </cell>
          <cell r="AT411" t="e">
            <v>#N/A</v>
          </cell>
          <cell r="AU411" t="e">
            <v>#DIV/0!</v>
          </cell>
          <cell r="AV411">
            <v>0</v>
          </cell>
          <cell r="AW411" t="e">
            <v>#VALUE!</v>
          </cell>
          <cell r="AX411" t="e">
            <v>#VALUE!</v>
          </cell>
          <cell r="AY411" t="e">
            <v>#VALUE!</v>
          </cell>
          <cell r="AZ411" t="e">
            <v>#VALUE!</v>
          </cell>
          <cell r="BA411" t="e">
            <v>#VALUE!</v>
          </cell>
          <cell r="BB411" t="e">
            <v>#VALUE!</v>
          </cell>
          <cell r="BC411" t="e">
            <v>#VALUE!</v>
          </cell>
          <cell r="BD411" t="e">
            <v>#VALUE!</v>
          </cell>
          <cell r="BE411" t="e">
            <v>#VALUE!</v>
          </cell>
        </row>
        <row r="412">
          <cell r="H412">
            <v>0</v>
          </cell>
          <cell r="I412">
            <v>0</v>
          </cell>
          <cell r="J412">
            <v>0</v>
          </cell>
          <cell r="K412">
            <v>0</v>
          </cell>
          <cell r="L412">
            <v>0</v>
          </cell>
          <cell r="M412">
            <v>0</v>
          </cell>
          <cell r="N412">
            <v>0</v>
          </cell>
          <cell r="O412">
            <v>0</v>
          </cell>
          <cell r="P412">
            <v>0</v>
          </cell>
          <cell r="Q412">
            <v>0</v>
          </cell>
          <cell r="R412">
            <v>0</v>
          </cell>
          <cell r="S412">
            <v>0</v>
          </cell>
          <cell r="T412" t="e">
            <v>#VALUE!</v>
          </cell>
          <cell r="U412">
            <v>0</v>
          </cell>
          <cell r="V412">
            <v>0</v>
          </cell>
          <cell r="W412">
            <v>172.5</v>
          </cell>
          <cell r="X412">
            <v>0</v>
          </cell>
          <cell r="Y412">
            <v>0</v>
          </cell>
          <cell r="Z412" t="e">
            <v>#N/A</v>
          </cell>
          <cell r="AA412">
            <v>300</v>
          </cell>
          <cell r="AB412">
            <v>300</v>
          </cell>
          <cell r="AC412">
            <v>0</v>
          </cell>
          <cell r="AD412" t="e">
            <v>#N/A</v>
          </cell>
          <cell r="AE412">
            <v>0</v>
          </cell>
          <cell r="AF412">
            <v>0</v>
          </cell>
          <cell r="AG412">
            <v>0</v>
          </cell>
          <cell r="AH412">
            <v>0</v>
          </cell>
          <cell r="AI412" t="e">
            <v>#DIV/0!</v>
          </cell>
          <cell r="AJ412" t="e">
            <v>#VALUE!</v>
          </cell>
          <cell r="AK412">
            <v>0</v>
          </cell>
          <cell r="AL412">
            <v>0</v>
          </cell>
          <cell r="AM412">
            <v>0</v>
          </cell>
          <cell r="AN412">
            <v>0</v>
          </cell>
          <cell r="AO412" t="e">
            <v>#N/A</v>
          </cell>
          <cell r="AP412" t="e">
            <v>#DIV/0!</v>
          </cell>
          <cell r="AQ412" t="e">
            <v>#VALUE!</v>
          </cell>
          <cell r="AR412">
            <v>0</v>
          </cell>
          <cell r="AS412">
            <v>0</v>
          </cell>
          <cell r="AT412" t="e">
            <v>#N/A</v>
          </cell>
          <cell r="AU412" t="e">
            <v>#DIV/0!</v>
          </cell>
          <cell r="AV412">
            <v>0</v>
          </cell>
          <cell r="AW412" t="e">
            <v>#VALUE!</v>
          </cell>
          <cell r="AX412" t="e">
            <v>#VALUE!</v>
          </cell>
          <cell r="AY412" t="e">
            <v>#VALUE!</v>
          </cell>
          <cell r="AZ412" t="e">
            <v>#VALUE!</v>
          </cell>
          <cell r="BA412" t="e">
            <v>#VALUE!</v>
          </cell>
          <cell r="BB412" t="e">
            <v>#VALUE!</v>
          </cell>
          <cell r="BC412" t="e">
            <v>#VALUE!</v>
          </cell>
          <cell r="BD412" t="e">
            <v>#VALUE!</v>
          </cell>
          <cell r="BE412" t="e">
            <v>#VALUE!</v>
          </cell>
        </row>
        <row r="413">
          <cell r="H413">
            <v>0</v>
          </cell>
          <cell r="I413">
            <v>0</v>
          </cell>
          <cell r="J413">
            <v>1</v>
          </cell>
          <cell r="K413">
            <v>0</v>
          </cell>
          <cell r="L413">
            <v>0</v>
          </cell>
          <cell r="M413">
            <v>0</v>
          </cell>
          <cell r="N413">
            <v>0</v>
          </cell>
          <cell r="O413">
            <v>0</v>
          </cell>
          <cell r="P413">
            <v>0</v>
          </cell>
          <cell r="Q413">
            <v>0</v>
          </cell>
          <cell r="R413">
            <v>0</v>
          </cell>
          <cell r="S413">
            <v>0</v>
          </cell>
          <cell r="T413">
            <v>0</v>
          </cell>
          <cell r="U413">
            <v>0</v>
          </cell>
          <cell r="V413">
            <v>1</v>
          </cell>
          <cell r="W413">
            <v>0</v>
          </cell>
          <cell r="X413">
            <v>1</v>
          </cell>
          <cell r="Y413">
            <v>0.75068493150684934</v>
          </cell>
          <cell r="Z413">
            <v>0</v>
          </cell>
          <cell r="AA413">
            <v>0</v>
          </cell>
          <cell r="AB413">
            <v>0.50136986301369868</v>
          </cell>
          <cell r="AC413">
            <v>0.75342465753424659</v>
          </cell>
          <cell r="AD413">
            <v>0</v>
          </cell>
          <cell r="AE413">
            <v>0.25205479452054791</v>
          </cell>
          <cell r="AF413">
            <v>0.75068493150684934</v>
          </cell>
          <cell r="AG413">
            <v>0.75342465753424659</v>
          </cell>
          <cell r="AH413">
            <v>0</v>
          </cell>
          <cell r="AI413">
            <v>0</v>
          </cell>
          <cell r="AJ413">
            <v>0.49589041095890407</v>
          </cell>
          <cell r="AK413">
            <v>0.50410958904109582</v>
          </cell>
          <cell r="AL413">
            <v>0.24657534246575341</v>
          </cell>
          <cell r="AM413">
            <v>0</v>
          </cell>
          <cell r="AN413">
            <v>0.75068493150684934</v>
          </cell>
          <cell r="AO413">
            <v>0</v>
          </cell>
          <cell r="AP413">
            <v>0</v>
          </cell>
          <cell r="AQ413">
            <v>0</v>
          </cell>
          <cell r="AR413">
            <v>1</v>
          </cell>
          <cell r="AS413">
            <v>0</v>
          </cell>
          <cell r="AT413">
            <v>0</v>
          </cell>
          <cell r="AU413">
            <v>0</v>
          </cell>
          <cell r="AV413">
            <v>0.24931506849315066</v>
          </cell>
          <cell r="AW413">
            <v>0</v>
          </cell>
          <cell r="AX413">
            <v>0</v>
          </cell>
          <cell r="AY413">
            <v>0</v>
          </cell>
          <cell r="AZ413">
            <v>0</v>
          </cell>
          <cell r="BA413">
            <v>0</v>
          </cell>
          <cell r="BB413">
            <v>0</v>
          </cell>
          <cell r="BC413">
            <v>0</v>
          </cell>
          <cell r="BD413">
            <v>0</v>
          </cell>
          <cell r="BE413">
            <v>0</v>
          </cell>
        </row>
        <row r="416">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300</v>
          </cell>
          <cell r="AA416">
            <v>0</v>
          </cell>
          <cell r="AB416">
            <v>0</v>
          </cell>
          <cell r="AC416">
            <v>132</v>
          </cell>
          <cell r="AD416">
            <v>0</v>
          </cell>
          <cell r="AE416">
            <v>0</v>
          </cell>
          <cell r="AF416">
            <v>0</v>
          </cell>
          <cell r="AG416">
            <v>0</v>
          </cell>
          <cell r="AH416">
            <v>0</v>
          </cell>
          <cell r="AI416">
            <v>0</v>
          </cell>
          <cell r="AJ416">
            <v>0</v>
          </cell>
          <cell r="AK416">
            <v>0</v>
          </cell>
          <cell r="AL416">
            <v>196.1</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row>
        <row r="417">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7.8E-2</v>
          </cell>
          <cell r="AA417">
            <v>0</v>
          </cell>
          <cell r="AB417">
            <v>0</v>
          </cell>
          <cell r="AC417">
            <v>5.3749999999999999E-2</v>
          </cell>
          <cell r="AD417">
            <v>0</v>
          </cell>
          <cell r="AE417">
            <v>0</v>
          </cell>
          <cell r="AF417">
            <v>0</v>
          </cell>
          <cell r="AG417">
            <v>0</v>
          </cell>
          <cell r="AH417">
            <v>0</v>
          </cell>
          <cell r="AI417">
            <v>0</v>
          </cell>
          <cell r="AJ417">
            <v>0</v>
          </cell>
          <cell r="AK417">
            <v>0</v>
          </cell>
          <cell r="AL417">
            <v>0.05</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row>
        <row r="418">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25</v>
          </cell>
          <cell r="AA418">
            <v>0</v>
          </cell>
          <cell r="AB418">
            <v>0</v>
          </cell>
          <cell r="AC418">
            <v>20.625360943816517</v>
          </cell>
          <cell r="AD418">
            <v>0</v>
          </cell>
          <cell r="AE418">
            <v>0</v>
          </cell>
          <cell r="AF418">
            <v>0</v>
          </cell>
          <cell r="AG418">
            <v>0</v>
          </cell>
          <cell r="AH418">
            <v>0</v>
          </cell>
          <cell r="AI418">
            <v>0</v>
          </cell>
          <cell r="AJ418">
            <v>0</v>
          </cell>
          <cell r="AK418">
            <v>0</v>
          </cell>
          <cell r="AL418">
            <v>36.536741690266801</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row>
        <row r="419">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12</v>
          </cell>
          <cell r="AA419">
            <v>0</v>
          </cell>
          <cell r="AB419">
            <v>0</v>
          </cell>
          <cell r="AC419">
            <v>6.3998879999999998</v>
          </cell>
          <cell r="AD419">
            <v>0</v>
          </cell>
          <cell r="AE419">
            <v>0</v>
          </cell>
          <cell r="AF419">
            <v>0</v>
          </cell>
          <cell r="AG419">
            <v>0</v>
          </cell>
          <cell r="AH419">
            <v>0</v>
          </cell>
          <cell r="AI419">
            <v>0</v>
          </cell>
          <cell r="AJ419">
            <v>0</v>
          </cell>
          <cell r="AK419">
            <v>0</v>
          </cell>
          <cell r="AL419">
            <v>5.3672000000000004</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row>
        <row r="420">
          <cell r="H420">
            <v>0</v>
          </cell>
          <cell r="I420">
            <v>0</v>
          </cell>
          <cell r="J420">
            <v>0</v>
          </cell>
          <cell r="K420">
            <v>0</v>
          </cell>
          <cell r="L420">
            <v>0</v>
          </cell>
          <cell r="M420">
            <v>0</v>
          </cell>
          <cell r="N420">
            <v>0</v>
          </cell>
          <cell r="O420">
            <v>0</v>
          </cell>
          <cell r="P420">
            <v>0</v>
          </cell>
          <cell r="Q420">
            <v>0</v>
          </cell>
          <cell r="R420">
            <v>0</v>
          </cell>
          <cell r="S420">
            <v>0</v>
          </cell>
          <cell r="T420" t="e">
            <v>#VALUE!</v>
          </cell>
          <cell r="U420">
            <v>-2.0877838070956129E-2</v>
          </cell>
          <cell r="V420">
            <v>6.2927070608341964</v>
          </cell>
          <cell r="W420">
            <v>1.4611726903311231</v>
          </cell>
          <cell r="X420">
            <v>1.959960772048281</v>
          </cell>
          <cell r="Y420">
            <v>0.7272476510780338</v>
          </cell>
          <cell r="Z420" t="e">
            <v>#N/A</v>
          </cell>
          <cell r="AA420">
            <v>1.7739605734255479</v>
          </cell>
          <cell r="AB420">
            <v>2.6776822155884878</v>
          </cell>
          <cell r="AC420">
            <v>0.87442904431335655</v>
          </cell>
          <cell r="AD420" t="e">
            <v>#N/A</v>
          </cell>
          <cell r="AE420">
            <v>0.15154767047480602</v>
          </cell>
          <cell r="AF420">
            <v>2.1999910608532418</v>
          </cell>
          <cell r="AG420">
            <v>1.3329662723010089</v>
          </cell>
          <cell r="AH420">
            <v>0.31671156908847936</v>
          </cell>
          <cell r="AI420" t="e">
            <v>#DIV/0!</v>
          </cell>
          <cell r="AJ420" t="e">
            <v>#VALUE!</v>
          </cell>
          <cell r="AK420">
            <v>1.5082279792746116</v>
          </cell>
          <cell r="AL420">
            <v>1.3029900332225912</v>
          </cell>
          <cell r="AM420">
            <v>1.8855928403663016</v>
          </cell>
          <cell r="AN420">
            <v>-0.24936432802281777</v>
          </cell>
          <cell r="AO420" t="e">
            <v>#N/A</v>
          </cell>
          <cell r="AP420" t="e">
            <v>#DIV/0!</v>
          </cell>
          <cell r="AQ420" t="e">
            <v>#VALUE!</v>
          </cell>
          <cell r="AR420">
            <v>1.1532167423130122</v>
          </cell>
          <cell r="AS420">
            <v>2.3895382453828815</v>
          </cell>
          <cell r="AT420" t="e">
            <v>#N/A</v>
          </cell>
          <cell r="AU420" t="e">
            <v>#DIV/0!</v>
          </cell>
          <cell r="AV420">
            <v>2.9161682608695649</v>
          </cell>
          <cell r="AW420" t="e">
            <v>#VALUE!</v>
          </cell>
          <cell r="AX420" t="e">
            <v>#VALUE!</v>
          </cell>
          <cell r="AY420" t="e">
            <v>#VALUE!</v>
          </cell>
          <cell r="AZ420" t="e">
            <v>#VALUE!</v>
          </cell>
          <cell r="BA420" t="e">
            <v>#VALUE!</v>
          </cell>
          <cell r="BB420" t="e">
            <v>#VALUE!</v>
          </cell>
          <cell r="BC420" t="e">
            <v>#VALUE!</v>
          </cell>
          <cell r="BD420" t="e">
            <v>#VALUE!</v>
          </cell>
          <cell r="BE420" t="e">
            <v>#VALUE!</v>
          </cell>
        </row>
        <row r="421">
          <cell r="H421">
            <v>0</v>
          </cell>
          <cell r="I421">
            <v>0</v>
          </cell>
          <cell r="J421">
            <v>0</v>
          </cell>
          <cell r="K421">
            <v>0</v>
          </cell>
          <cell r="L421">
            <v>0</v>
          </cell>
          <cell r="M421">
            <v>0</v>
          </cell>
          <cell r="N421">
            <v>0</v>
          </cell>
          <cell r="O421">
            <v>0</v>
          </cell>
          <cell r="P421">
            <v>0</v>
          </cell>
          <cell r="Q421">
            <v>0</v>
          </cell>
          <cell r="R421">
            <v>0</v>
          </cell>
          <cell r="S421">
            <v>0</v>
          </cell>
          <cell r="T421" t="e">
            <v>#VALUE!</v>
          </cell>
          <cell r="U421">
            <v>-2.0877838070956129E-2</v>
          </cell>
          <cell r="V421">
            <v>6.2927070608341964</v>
          </cell>
          <cell r="W421">
            <v>1.4611726903311231</v>
          </cell>
          <cell r="X421">
            <v>1.959960772048281</v>
          </cell>
          <cell r="Y421">
            <v>0.7272476510780338</v>
          </cell>
          <cell r="Z421" t="e">
            <v>#N/A</v>
          </cell>
          <cell r="AA421">
            <v>1.7739605734255479</v>
          </cell>
          <cell r="AB421">
            <v>2.6776822155884878</v>
          </cell>
          <cell r="AC421">
            <v>0.82407766119617842</v>
          </cell>
          <cell r="AD421" t="e">
            <v>#N/A</v>
          </cell>
          <cell r="AE421">
            <v>0.15154767047480602</v>
          </cell>
          <cell r="AF421">
            <v>2.1999910608532418</v>
          </cell>
          <cell r="AG421">
            <v>1.3329662723010089</v>
          </cell>
          <cell r="AH421">
            <v>0.31671156908847936</v>
          </cell>
          <cell r="AI421" t="e">
            <v>#DIV/0!</v>
          </cell>
          <cell r="AJ421" t="e">
            <v>#VALUE!</v>
          </cell>
          <cell r="AK421">
            <v>1.5082279792746116</v>
          </cell>
          <cell r="AL421">
            <v>1.2848980006336381</v>
          </cell>
          <cell r="AM421">
            <v>1.8855928403663016</v>
          </cell>
          <cell r="AN421">
            <v>-0.24936432802281777</v>
          </cell>
          <cell r="AO421" t="e">
            <v>#N/A</v>
          </cell>
          <cell r="AP421" t="e">
            <v>#DIV/0!</v>
          </cell>
          <cell r="AQ421" t="e">
            <v>#VALUE!</v>
          </cell>
          <cell r="AR421">
            <v>1.1532167423130122</v>
          </cell>
          <cell r="AS421">
            <v>2.3895382453828815</v>
          </cell>
          <cell r="AT421" t="e">
            <v>#N/A</v>
          </cell>
          <cell r="AU421" t="e">
            <v>#DIV/0!</v>
          </cell>
          <cell r="AV421">
            <v>2.9161682608695649</v>
          </cell>
          <cell r="AW421" t="e">
            <v>#VALUE!</v>
          </cell>
          <cell r="AX421" t="e">
            <v>#VALUE!</v>
          </cell>
          <cell r="AY421" t="e">
            <v>#VALUE!</v>
          </cell>
          <cell r="AZ421" t="e">
            <v>#VALUE!</v>
          </cell>
          <cell r="BA421" t="e">
            <v>#VALUE!</v>
          </cell>
          <cell r="BB421" t="e">
            <v>#VALUE!</v>
          </cell>
          <cell r="BC421" t="e">
            <v>#VALUE!</v>
          </cell>
          <cell r="BD421" t="e">
            <v>#VALUE!</v>
          </cell>
          <cell r="BE421" t="e">
            <v>#VALUE!</v>
          </cell>
        </row>
        <row r="422">
          <cell r="H422" t="str">
            <v>No</v>
          </cell>
          <cell r="I422" t="str">
            <v>No</v>
          </cell>
          <cell r="J422" t="str">
            <v>No</v>
          </cell>
          <cell r="K422" t="str">
            <v>No</v>
          </cell>
          <cell r="L422" t="str">
            <v>No</v>
          </cell>
          <cell r="M422" t="str">
            <v>No</v>
          </cell>
          <cell r="N422" t="str">
            <v>No</v>
          </cell>
          <cell r="O422" t="str">
            <v>No</v>
          </cell>
          <cell r="P422" t="str">
            <v>No</v>
          </cell>
          <cell r="Q422" t="str">
            <v>No</v>
          </cell>
          <cell r="R422" t="str">
            <v>No</v>
          </cell>
          <cell r="S422" t="str">
            <v>No</v>
          </cell>
          <cell r="T422" t="e">
            <v>#VALUE!</v>
          </cell>
          <cell r="U422" t="str">
            <v>No</v>
          </cell>
          <cell r="V422" t="str">
            <v>No</v>
          </cell>
          <cell r="W422" t="str">
            <v>No</v>
          </cell>
          <cell r="X422" t="str">
            <v>No</v>
          </cell>
          <cell r="Y422" t="str">
            <v>No</v>
          </cell>
          <cell r="Z422" t="e">
            <v>#N/A</v>
          </cell>
          <cell r="AA422" t="str">
            <v>No</v>
          </cell>
          <cell r="AB422" t="str">
            <v>No</v>
          </cell>
          <cell r="AC422" t="str">
            <v>Yes</v>
          </cell>
          <cell r="AD422" t="e">
            <v>#N/A</v>
          </cell>
          <cell r="AE422" t="str">
            <v>No</v>
          </cell>
          <cell r="AF422" t="str">
            <v>No</v>
          </cell>
          <cell r="AG422" t="str">
            <v>No</v>
          </cell>
          <cell r="AH422" t="str">
            <v>No</v>
          </cell>
          <cell r="AI422" t="e">
            <v>#DIV/0!</v>
          </cell>
          <cell r="AJ422" t="e">
            <v>#VALUE!</v>
          </cell>
          <cell r="AK422" t="str">
            <v>No</v>
          </cell>
          <cell r="AL422" t="str">
            <v>Yes</v>
          </cell>
          <cell r="AM422" t="str">
            <v>No</v>
          </cell>
          <cell r="AN422" t="str">
            <v>No</v>
          </cell>
          <cell r="AO422" t="e">
            <v>#N/A</v>
          </cell>
          <cell r="AP422" t="e">
            <v>#DIV/0!</v>
          </cell>
          <cell r="AQ422" t="e">
            <v>#VALUE!</v>
          </cell>
          <cell r="AR422" t="str">
            <v>No</v>
          </cell>
          <cell r="AS422" t="str">
            <v>No</v>
          </cell>
          <cell r="AT422" t="e">
            <v>#N/A</v>
          </cell>
          <cell r="AU422" t="e">
            <v>#DIV/0!</v>
          </cell>
          <cell r="AV422" t="str">
            <v>No</v>
          </cell>
          <cell r="AW422" t="e">
            <v>#VALUE!</v>
          </cell>
          <cell r="AX422" t="e">
            <v>#VALUE!</v>
          </cell>
          <cell r="AY422" t="e">
            <v>#VALUE!</v>
          </cell>
          <cell r="AZ422" t="e">
            <v>#VALUE!</v>
          </cell>
          <cell r="BA422" t="e">
            <v>#VALUE!</v>
          </cell>
          <cell r="BB422" t="e">
            <v>#VALUE!</v>
          </cell>
          <cell r="BC422" t="e">
            <v>#VALUE!</v>
          </cell>
          <cell r="BD422" t="e">
            <v>#VALUE!</v>
          </cell>
          <cell r="BE422" t="e">
            <v>#VALUE!</v>
          </cell>
        </row>
        <row r="423">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3.2073287671232875</v>
          </cell>
          <cell r="AD423">
            <v>0</v>
          </cell>
          <cell r="AE423">
            <v>0</v>
          </cell>
          <cell r="AF423">
            <v>0</v>
          </cell>
          <cell r="AG423">
            <v>0</v>
          </cell>
          <cell r="AH423">
            <v>0</v>
          </cell>
          <cell r="AI423">
            <v>0</v>
          </cell>
          <cell r="AJ423">
            <v>0</v>
          </cell>
          <cell r="AK423">
            <v>0</v>
          </cell>
          <cell r="AL423">
            <v>1.4506027397260273</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row>
        <row r="424">
          <cell r="H424">
            <v>0</v>
          </cell>
          <cell r="I424">
            <v>0</v>
          </cell>
          <cell r="J424">
            <v>0</v>
          </cell>
          <cell r="K424">
            <v>0</v>
          </cell>
          <cell r="L424">
            <v>0</v>
          </cell>
          <cell r="M424">
            <v>0</v>
          </cell>
          <cell r="N424">
            <v>0</v>
          </cell>
          <cell r="O424">
            <v>0</v>
          </cell>
          <cell r="P424">
            <v>0</v>
          </cell>
          <cell r="Q424">
            <v>0</v>
          </cell>
          <cell r="R424">
            <v>0</v>
          </cell>
          <cell r="S424">
            <v>0</v>
          </cell>
          <cell r="T424" t="e">
            <v>#VALUE!</v>
          </cell>
          <cell r="U424">
            <v>0</v>
          </cell>
          <cell r="V424">
            <v>0</v>
          </cell>
          <cell r="W424">
            <v>0</v>
          </cell>
          <cell r="X424">
            <v>0</v>
          </cell>
          <cell r="Y424">
            <v>0</v>
          </cell>
          <cell r="Z424" t="e">
            <v>#N/A</v>
          </cell>
          <cell r="AA424">
            <v>0</v>
          </cell>
          <cell r="AB424">
            <v>0</v>
          </cell>
          <cell r="AC424">
            <v>6.3998879999999998</v>
          </cell>
          <cell r="AD424" t="e">
            <v>#N/A</v>
          </cell>
          <cell r="AE424">
            <v>0</v>
          </cell>
          <cell r="AF424">
            <v>0</v>
          </cell>
          <cell r="AG424">
            <v>0</v>
          </cell>
          <cell r="AH424">
            <v>0</v>
          </cell>
          <cell r="AI424" t="e">
            <v>#DIV/0!</v>
          </cell>
          <cell r="AJ424" t="e">
            <v>#VALUE!</v>
          </cell>
          <cell r="AK424">
            <v>0</v>
          </cell>
          <cell r="AL424">
            <v>5.3672000000000004</v>
          </cell>
          <cell r="AM424">
            <v>0</v>
          </cell>
          <cell r="AN424">
            <v>0</v>
          </cell>
          <cell r="AO424" t="e">
            <v>#N/A</v>
          </cell>
          <cell r="AP424" t="e">
            <v>#DIV/0!</v>
          </cell>
          <cell r="AQ424" t="e">
            <v>#VALUE!</v>
          </cell>
          <cell r="AR424">
            <v>0</v>
          </cell>
          <cell r="AS424">
            <v>0</v>
          </cell>
          <cell r="AT424" t="e">
            <v>#N/A</v>
          </cell>
          <cell r="AU424" t="e">
            <v>#DIV/0!</v>
          </cell>
          <cell r="AV424">
            <v>0</v>
          </cell>
          <cell r="AW424" t="e">
            <v>#VALUE!</v>
          </cell>
          <cell r="AX424" t="e">
            <v>#VALUE!</v>
          </cell>
          <cell r="AY424" t="e">
            <v>#VALUE!</v>
          </cell>
          <cell r="AZ424" t="e">
            <v>#VALUE!</v>
          </cell>
          <cell r="BA424" t="e">
            <v>#VALUE!</v>
          </cell>
          <cell r="BB424" t="e">
            <v>#VALUE!</v>
          </cell>
          <cell r="BC424" t="e">
            <v>#VALUE!</v>
          </cell>
          <cell r="BD424" t="e">
            <v>#VALUE!</v>
          </cell>
          <cell r="BE424" t="e">
            <v>#VALUE!</v>
          </cell>
        </row>
        <row r="425">
          <cell r="H425">
            <v>0</v>
          </cell>
          <cell r="I425">
            <v>0</v>
          </cell>
          <cell r="J425">
            <v>0</v>
          </cell>
          <cell r="K425">
            <v>0</v>
          </cell>
          <cell r="L425">
            <v>0</v>
          </cell>
          <cell r="M425">
            <v>0</v>
          </cell>
          <cell r="N425">
            <v>0</v>
          </cell>
          <cell r="O425">
            <v>0</v>
          </cell>
          <cell r="P425">
            <v>0</v>
          </cell>
          <cell r="Q425">
            <v>0</v>
          </cell>
          <cell r="R425">
            <v>0</v>
          </cell>
          <cell r="S425">
            <v>0</v>
          </cell>
          <cell r="T425" t="e">
            <v>#VALUE!</v>
          </cell>
          <cell r="U425">
            <v>0</v>
          </cell>
          <cell r="V425">
            <v>0</v>
          </cell>
          <cell r="W425">
            <v>0</v>
          </cell>
          <cell r="X425">
            <v>0</v>
          </cell>
          <cell r="Y425">
            <v>0</v>
          </cell>
          <cell r="Z425" t="e">
            <v>#N/A</v>
          </cell>
          <cell r="AA425">
            <v>0</v>
          </cell>
          <cell r="AB425">
            <v>0</v>
          </cell>
          <cell r="AC425">
            <v>132</v>
          </cell>
          <cell r="AD425" t="e">
            <v>#N/A</v>
          </cell>
          <cell r="AE425">
            <v>0</v>
          </cell>
          <cell r="AF425">
            <v>0</v>
          </cell>
          <cell r="AG425">
            <v>0</v>
          </cell>
          <cell r="AH425">
            <v>0</v>
          </cell>
          <cell r="AI425" t="e">
            <v>#DIV/0!</v>
          </cell>
          <cell r="AJ425" t="e">
            <v>#VALUE!</v>
          </cell>
          <cell r="AK425">
            <v>0</v>
          </cell>
          <cell r="AL425">
            <v>196.1</v>
          </cell>
          <cell r="AM425">
            <v>0</v>
          </cell>
          <cell r="AN425">
            <v>0</v>
          </cell>
          <cell r="AO425" t="e">
            <v>#N/A</v>
          </cell>
          <cell r="AP425" t="e">
            <v>#DIV/0!</v>
          </cell>
          <cell r="AQ425" t="e">
            <v>#VALUE!</v>
          </cell>
          <cell r="AR425">
            <v>0</v>
          </cell>
          <cell r="AS425">
            <v>0</v>
          </cell>
          <cell r="AT425" t="e">
            <v>#N/A</v>
          </cell>
          <cell r="AU425" t="e">
            <v>#DIV/0!</v>
          </cell>
          <cell r="AV425">
            <v>0</v>
          </cell>
          <cell r="AW425" t="e">
            <v>#VALUE!</v>
          </cell>
          <cell r="AX425" t="e">
            <v>#VALUE!</v>
          </cell>
          <cell r="AY425" t="e">
            <v>#VALUE!</v>
          </cell>
          <cell r="AZ425" t="e">
            <v>#VALUE!</v>
          </cell>
          <cell r="BA425" t="e">
            <v>#VALUE!</v>
          </cell>
          <cell r="BB425" t="e">
            <v>#VALUE!</v>
          </cell>
          <cell r="BC425" t="e">
            <v>#VALUE!</v>
          </cell>
          <cell r="BD425" t="e">
            <v>#VALUE!</v>
          </cell>
          <cell r="BE425" t="e">
            <v>#VALUE!</v>
          </cell>
        </row>
        <row r="426">
          <cell r="H426">
            <v>0</v>
          </cell>
          <cell r="I426">
            <v>0</v>
          </cell>
          <cell r="J426">
            <v>1</v>
          </cell>
          <cell r="K426">
            <v>0</v>
          </cell>
          <cell r="L426">
            <v>0</v>
          </cell>
          <cell r="M426">
            <v>0</v>
          </cell>
          <cell r="N426">
            <v>0</v>
          </cell>
          <cell r="O426">
            <v>0</v>
          </cell>
          <cell r="P426">
            <v>0</v>
          </cell>
          <cell r="Q426">
            <v>0</v>
          </cell>
          <cell r="R426">
            <v>0</v>
          </cell>
          <cell r="S426">
            <v>0</v>
          </cell>
          <cell r="T426">
            <v>0</v>
          </cell>
          <cell r="U426">
            <v>0</v>
          </cell>
          <cell r="V426">
            <v>1</v>
          </cell>
          <cell r="W426">
            <v>0</v>
          </cell>
          <cell r="X426">
            <v>1</v>
          </cell>
          <cell r="Y426">
            <v>0.75068493150684934</v>
          </cell>
          <cell r="Z426">
            <v>0</v>
          </cell>
          <cell r="AA426">
            <v>0</v>
          </cell>
          <cell r="AB426">
            <v>0.50136986301369868</v>
          </cell>
          <cell r="AC426">
            <v>0.75342465753424659</v>
          </cell>
          <cell r="AD426">
            <v>0</v>
          </cell>
          <cell r="AE426">
            <v>0.25205479452054791</v>
          </cell>
          <cell r="AF426">
            <v>0.75068493150684934</v>
          </cell>
          <cell r="AG426">
            <v>0.75342465753424659</v>
          </cell>
          <cell r="AH426">
            <v>0</v>
          </cell>
          <cell r="AI426">
            <v>0</v>
          </cell>
          <cell r="AJ426">
            <v>0.49589041095890407</v>
          </cell>
          <cell r="AK426">
            <v>0.50410958904109582</v>
          </cell>
          <cell r="AL426">
            <v>0.24657534246575341</v>
          </cell>
          <cell r="AM426">
            <v>0</v>
          </cell>
          <cell r="AN426">
            <v>0.75068493150684934</v>
          </cell>
          <cell r="AO426">
            <v>0</v>
          </cell>
          <cell r="AP426">
            <v>0</v>
          </cell>
          <cell r="AQ426">
            <v>0</v>
          </cell>
          <cell r="AR426">
            <v>1</v>
          </cell>
          <cell r="AS426">
            <v>0</v>
          </cell>
          <cell r="AT426">
            <v>0</v>
          </cell>
          <cell r="AU426">
            <v>0</v>
          </cell>
          <cell r="AV426">
            <v>0.24931506849315066</v>
          </cell>
          <cell r="AW426">
            <v>0</v>
          </cell>
          <cell r="AX426">
            <v>0</v>
          </cell>
          <cell r="AY426">
            <v>0</v>
          </cell>
          <cell r="AZ426">
            <v>0</v>
          </cell>
          <cell r="BA426">
            <v>0</v>
          </cell>
          <cell r="BB426">
            <v>0</v>
          </cell>
          <cell r="BC426">
            <v>0</v>
          </cell>
          <cell r="BD426">
            <v>0</v>
          </cell>
          <cell r="BE426">
            <v>0</v>
          </cell>
        </row>
        <row r="427">
          <cell r="H427">
            <v>59.207999999999998</v>
          </cell>
          <cell r="I427">
            <v>145.916</v>
          </cell>
          <cell r="J427">
            <v>42.494525000000003</v>
          </cell>
          <cell r="K427">
            <v>26.085000000000001</v>
          </cell>
          <cell r="L427">
            <v>60.100999999999999</v>
          </cell>
          <cell r="M427">
            <v>213.28299999999999</v>
          </cell>
          <cell r="N427">
            <v>45.409689999999998</v>
          </cell>
          <cell r="O427">
            <v>15.414</v>
          </cell>
          <cell r="P427">
            <v>125.556</v>
          </cell>
          <cell r="Q427">
            <v>186.74</v>
          </cell>
          <cell r="R427">
            <v>35.048999999999999</v>
          </cell>
          <cell r="S427">
            <v>136.77799999999999</v>
          </cell>
          <cell r="T427">
            <v>57.9</v>
          </cell>
          <cell r="U427">
            <v>16.077313</v>
          </cell>
          <cell r="V427">
            <v>28.199946000000001</v>
          </cell>
          <cell r="W427">
            <v>52.961227999999998</v>
          </cell>
          <cell r="X427">
            <v>47.744526999999998</v>
          </cell>
          <cell r="Y427">
            <v>44.61</v>
          </cell>
          <cell r="Z427">
            <v>135.58958899999999</v>
          </cell>
          <cell r="AA427">
            <v>53.001061999999997</v>
          </cell>
          <cell r="AB427">
            <v>112.89100000000001</v>
          </cell>
          <cell r="AC427">
            <v>40.850999999999999</v>
          </cell>
          <cell r="AD427">
            <v>0</v>
          </cell>
          <cell r="AE427">
            <v>71.217195000000004</v>
          </cell>
          <cell r="AF427">
            <v>44.747</v>
          </cell>
          <cell r="AG427">
            <v>24.778272999999999</v>
          </cell>
          <cell r="AH427">
            <v>26.098680000000002</v>
          </cell>
          <cell r="AI427">
            <v>0</v>
          </cell>
          <cell r="AJ427">
            <v>31.284690000000001</v>
          </cell>
          <cell r="AK427">
            <v>57.9</v>
          </cell>
          <cell r="AL427">
            <v>301</v>
          </cell>
          <cell r="AM427">
            <v>73.771000000000001</v>
          </cell>
          <cell r="AN427">
            <v>12.315314000000001</v>
          </cell>
          <cell r="AO427">
            <v>0</v>
          </cell>
          <cell r="AP427">
            <v>0</v>
          </cell>
          <cell r="AQ427">
            <v>0</v>
          </cell>
          <cell r="AR427">
            <v>68.506</v>
          </cell>
          <cell r="AS427">
            <v>12.884701959999999</v>
          </cell>
          <cell r="AT427">
            <v>0</v>
          </cell>
          <cell r="AU427">
            <v>0</v>
          </cell>
          <cell r="AV427">
            <v>460</v>
          </cell>
          <cell r="AW427">
            <v>0</v>
          </cell>
          <cell r="AX427">
            <v>0</v>
          </cell>
          <cell r="AY427">
            <v>0</v>
          </cell>
          <cell r="AZ427">
            <v>0</v>
          </cell>
          <cell r="BA427">
            <v>0</v>
          </cell>
          <cell r="BB427">
            <v>0</v>
          </cell>
          <cell r="BC427">
            <v>0</v>
          </cell>
          <cell r="BD427">
            <v>0</v>
          </cell>
          <cell r="BE427">
            <v>0</v>
          </cell>
        </row>
        <row r="428">
          <cell r="H428">
            <v>59.207999999999998</v>
          </cell>
          <cell r="I428">
            <v>145.916</v>
          </cell>
          <cell r="J428">
            <v>42.494525000000003</v>
          </cell>
          <cell r="K428">
            <v>26.085000000000001</v>
          </cell>
          <cell r="L428">
            <v>60.100999999999999</v>
          </cell>
          <cell r="M428">
            <v>213.28299999999999</v>
          </cell>
          <cell r="N428">
            <v>45.409689999999998</v>
          </cell>
          <cell r="O428">
            <v>15.414</v>
          </cell>
          <cell r="P428">
            <v>125.556</v>
          </cell>
          <cell r="Q428">
            <v>186.74</v>
          </cell>
          <cell r="R428">
            <v>35.048999999999999</v>
          </cell>
          <cell r="S428">
            <v>136.77799999999999</v>
          </cell>
          <cell r="T428" t="e">
            <v>#VALUE!</v>
          </cell>
          <cell r="U428">
            <v>16.76418788240828</v>
          </cell>
          <cell r="V428">
            <v>28.199946000000001</v>
          </cell>
          <cell r="W428">
            <v>52.961227999999998</v>
          </cell>
          <cell r="X428">
            <v>47.744526999999998</v>
          </cell>
          <cell r="Y428">
            <v>45.028677578342901</v>
          </cell>
          <cell r="Z428" t="e">
            <v>#N/A</v>
          </cell>
          <cell r="AA428">
            <v>55.435392123796419</v>
          </cell>
          <cell r="AB428">
            <v>112.89100000000001</v>
          </cell>
          <cell r="AC428">
            <v>41.045068474576269</v>
          </cell>
          <cell r="AD428" t="e">
            <v>#N/A</v>
          </cell>
          <cell r="AE428">
            <v>71.217195000000004</v>
          </cell>
          <cell r="AF428">
            <v>44.747</v>
          </cell>
          <cell r="AG428">
            <v>28.247526424657533</v>
          </cell>
          <cell r="AH428">
            <v>27.428742262247841</v>
          </cell>
          <cell r="AI428">
            <v>0</v>
          </cell>
          <cell r="AJ428" t="e">
            <v>#VALUE!</v>
          </cell>
          <cell r="AK428">
            <v>57.9</v>
          </cell>
          <cell r="AL428">
            <v>301</v>
          </cell>
          <cell r="AM428">
            <v>75.042711751340619</v>
          </cell>
          <cell r="AN428">
            <v>12.315314000000001</v>
          </cell>
          <cell r="AO428" t="e">
            <v>#N/A</v>
          </cell>
          <cell r="AP428">
            <v>0</v>
          </cell>
          <cell r="AQ428" t="e">
            <v>#VALUE!</v>
          </cell>
          <cell r="AR428">
            <v>69.047731513411563</v>
          </cell>
          <cell r="AS428">
            <v>15.757437686027396</v>
          </cell>
          <cell r="AT428" t="e">
            <v>#N/A</v>
          </cell>
          <cell r="AU428">
            <v>0</v>
          </cell>
          <cell r="AV428">
            <v>460</v>
          </cell>
          <cell r="AW428" t="e">
            <v>#VALUE!</v>
          </cell>
          <cell r="AX428" t="e">
            <v>#VALUE!</v>
          </cell>
          <cell r="AY428" t="e">
            <v>#VALUE!</v>
          </cell>
          <cell r="AZ428" t="e">
            <v>#VALUE!</v>
          </cell>
          <cell r="BA428" t="e">
            <v>#VALUE!</v>
          </cell>
          <cell r="BB428" t="e">
            <v>#VALUE!</v>
          </cell>
          <cell r="BC428" t="e">
            <v>#VALUE!</v>
          </cell>
          <cell r="BD428" t="e">
            <v>#VALUE!</v>
          </cell>
          <cell r="BE428" t="e">
            <v>#VALUE!</v>
          </cell>
        </row>
        <row r="429">
          <cell r="H429">
            <v>59.207999999999998</v>
          </cell>
          <cell r="I429">
            <v>145.916</v>
          </cell>
          <cell r="J429">
            <v>42.494525000000003</v>
          </cell>
          <cell r="K429">
            <v>26.085000000000001</v>
          </cell>
          <cell r="L429">
            <v>60.100999999999999</v>
          </cell>
          <cell r="M429">
            <v>213.28299999999999</v>
          </cell>
          <cell r="N429">
            <v>45.409689999999998</v>
          </cell>
          <cell r="O429">
            <v>15.414</v>
          </cell>
          <cell r="P429">
            <v>125.556</v>
          </cell>
          <cell r="Q429">
            <v>186.74</v>
          </cell>
          <cell r="R429">
            <v>35.048999999999999</v>
          </cell>
          <cell r="S429">
            <v>136.77799999999999</v>
          </cell>
          <cell r="T429">
            <v>57.9</v>
          </cell>
          <cell r="U429">
            <v>16.077313</v>
          </cell>
          <cell r="V429">
            <v>28.199946000000001</v>
          </cell>
          <cell r="W429">
            <v>52.961227999999998</v>
          </cell>
          <cell r="X429">
            <v>47.744526999999998</v>
          </cell>
          <cell r="Y429">
            <v>44.61</v>
          </cell>
          <cell r="Z429">
            <v>135.58958899999999</v>
          </cell>
          <cell r="AA429">
            <v>53.001061999999997</v>
          </cell>
          <cell r="AB429">
            <v>112.89100000000001</v>
          </cell>
          <cell r="AC429">
            <v>40.850999999999999</v>
          </cell>
          <cell r="AD429">
            <v>0</v>
          </cell>
          <cell r="AE429">
            <v>71.217195000000004</v>
          </cell>
          <cell r="AF429">
            <v>44.747</v>
          </cell>
          <cell r="AG429">
            <v>24.778272999999999</v>
          </cell>
          <cell r="AH429">
            <v>26.098680000000002</v>
          </cell>
          <cell r="AI429">
            <v>0</v>
          </cell>
          <cell r="AJ429">
            <v>31.284690000000001</v>
          </cell>
          <cell r="AK429">
            <v>57.9</v>
          </cell>
          <cell r="AL429">
            <v>301</v>
          </cell>
          <cell r="AM429">
            <v>73.771000000000001</v>
          </cell>
          <cell r="AN429">
            <v>12.315314000000001</v>
          </cell>
          <cell r="AO429">
            <v>0</v>
          </cell>
          <cell r="AP429">
            <v>0</v>
          </cell>
          <cell r="AQ429">
            <v>0</v>
          </cell>
          <cell r="AR429">
            <v>68.506</v>
          </cell>
          <cell r="AS429">
            <v>12.884701959999999</v>
          </cell>
          <cell r="AT429">
            <v>0</v>
          </cell>
          <cell r="AU429">
            <v>0</v>
          </cell>
          <cell r="AV429">
            <v>460</v>
          </cell>
          <cell r="AW429">
            <v>0</v>
          </cell>
          <cell r="AX429">
            <v>0</v>
          </cell>
          <cell r="AY429">
            <v>0</v>
          </cell>
          <cell r="AZ429">
            <v>0</v>
          </cell>
          <cell r="BA429">
            <v>0</v>
          </cell>
          <cell r="BB429">
            <v>0</v>
          </cell>
          <cell r="BC429">
            <v>0</v>
          </cell>
          <cell r="BD429">
            <v>0</v>
          </cell>
          <cell r="BE429">
            <v>0</v>
          </cell>
        </row>
        <row r="431">
          <cell r="H431">
            <v>2043.2680799999998</v>
          </cell>
          <cell r="I431">
            <v>825.88455999999996</v>
          </cell>
          <cell r="J431">
            <v>1236.16573225</v>
          </cell>
          <cell r="K431">
            <v>1154.26125</v>
          </cell>
          <cell r="L431">
            <v>1084.82305</v>
          </cell>
          <cell r="M431">
            <v>4052.377</v>
          </cell>
          <cell r="N431">
            <v>1362.7447969</v>
          </cell>
          <cell r="O431">
            <v>189.12977999999998</v>
          </cell>
          <cell r="P431">
            <v>693.06911999999988</v>
          </cell>
          <cell r="Q431">
            <v>3236.2041999999997</v>
          </cell>
          <cell r="R431">
            <v>1173.4405199999999</v>
          </cell>
          <cell r="S431">
            <v>3285.4075599999996</v>
          </cell>
          <cell r="T431" t="e">
            <v>#VALUE!</v>
          </cell>
          <cell r="U431">
            <v>341.80367438000002</v>
          </cell>
          <cell r="V431">
            <v>1467.8071892999999</v>
          </cell>
          <cell r="W431">
            <v>1827.6919782799998</v>
          </cell>
          <cell r="X431">
            <v>1653.8704152799999</v>
          </cell>
          <cell r="Y431">
            <v>1087.5917999999999</v>
          </cell>
          <cell r="Z431" t="e">
            <v>#N/A</v>
          </cell>
          <cell r="AA431">
            <v>3853.1772074</v>
          </cell>
          <cell r="AB431">
            <v>8207.1757000000016</v>
          </cell>
          <cell r="AC431">
            <v>602.55224999999996</v>
          </cell>
          <cell r="AD431" t="e">
            <v>#N/A</v>
          </cell>
          <cell r="AE431">
            <v>558.34280880000006</v>
          </cell>
          <cell r="AF431">
            <v>2382.7777500000002</v>
          </cell>
          <cell r="AG431">
            <v>832.0544073399999</v>
          </cell>
          <cell r="AH431">
            <v>1358.4362940000001</v>
          </cell>
          <cell r="AI431">
            <v>0</v>
          </cell>
          <cell r="AJ431" t="e">
            <v>#VALUE!</v>
          </cell>
          <cell r="AK431">
            <v>1673.31</v>
          </cell>
          <cell r="AL431">
            <v>9574.81</v>
          </cell>
          <cell r="AM431">
            <v>3714.36985</v>
          </cell>
          <cell r="AN431">
            <v>61.453416860000004</v>
          </cell>
          <cell r="AO431" t="e">
            <v>#N/A</v>
          </cell>
          <cell r="AP431">
            <v>0</v>
          </cell>
          <cell r="AQ431" t="e">
            <v>#VALUE!</v>
          </cell>
          <cell r="AR431">
            <v>3269.1063199999999</v>
          </cell>
          <cell r="AS431">
            <v>432.66829181679998</v>
          </cell>
          <cell r="AT431" t="e">
            <v>#N/A</v>
          </cell>
          <cell r="AU431">
            <v>0</v>
          </cell>
          <cell r="AV431">
            <v>29757.399999999998</v>
          </cell>
          <cell r="AW431" t="e">
            <v>#VALUE!</v>
          </cell>
          <cell r="AX431" t="e">
            <v>#VALUE!</v>
          </cell>
          <cell r="AY431" t="e">
            <v>#VALUE!</v>
          </cell>
          <cell r="AZ431" t="e">
            <v>#VALUE!</v>
          </cell>
          <cell r="BA431" t="e">
            <v>#VALUE!</v>
          </cell>
          <cell r="BB431" t="e">
            <v>#VALUE!</v>
          </cell>
          <cell r="BC431" t="e">
            <v>#VALUE!</v>
          </cell>
          <cell r="BD431" t="e">
            <v>#VALUE!</v>
          </cell>
          <cell r="BE431" t="e">
            <v>#VALUE!</v>
          </cell>
        </row>
        <row r="432">
          <cell r="H432">
            <v>2043.2680799999998</v>
          </cell>
          <cell r="I432">
            <v>825.88455999999996</v>
          </cell>
          <cell r="J432">
            <v>1236.16573225</v>
          </cell>
          <cell r="K432">
            <v>1154.26125</v>
          </cell>
          <cell r="L432">
            <v>1084.82305</v>
          </cell>
          <cell r="M432">
            <v>4052.377</v>
          </cell>
          <cell r="N432">
            <v>1362.7447969</v>
          </cell>
          <cell r="O432">
            <v>189.12977999999998</v>
          </cell>
          <cell r="P432">
            <v>549.72611999999992</v>
          </cell>
          <cell r="Q432">
            <v>3236.2041999999997</v>
          </cell>
          <cell r="R432">
            <v>1173.4405199999999</v>
          </cell>
          <cell r="S432">
            <v>3285.4075599999996</v>
          </cell>
          <cell r="T432" t="e">
            <v>#VALUE!</v>
          </cell>
          <cell r="U432">
            <v>324.06467438000004</v>
          </cell>
          <cell r="V432">
            <v>1649.5821892999998</v>
          </cell>
          <cell r="W432">
            <v>1275.9429782799998</v>
          </cell>
          <cell r="X432">
            <v>1961.02941528</v>
          </cell>
          <cell r="Y432">
            <v>996.24379999999996</v>
          </cell>
          <cell r="Z432" t="e">
            <v>#N/A</v>
          </cell>
          <cell r="AA432">
            <v>4099.8132074000005</v>
          </cell>
          <cell r="AB432">
            <v>8982.2497000000003</v>
          </cell>
          <cell r="AC432">
            <v>843.87924999999996</v>
          </cell>
          <cell r="AD432" t="e">
            <v>#N/A</v>
          </cell>
          <cell r="AE432">
            <v>643.13680880000004</v>
          </cell>
          <cell r="AF432">
            <v>2546.1067500000004</v>
          </cell>
          <cell r="AG432">
            <v>1024.3234073399999</v>
          </cell>
          <cell r="AH432">
            <v>1358.4362940000001</v>
          </cell>
          <cell r="AI432" t="e">
            <v>#DIV/0!</v>
          </cell>
          <cell r="AJ432" t="e">
            <v>#VALUE!</v>
          </cell>
          <cell r="AK432">
            <v>2585.61</v>
          </cell>
          <cell r="AL432">
            <v>10516.11</v>
          </cell>
          <cell r="AM432">
            <v>4128.9500200000002</v>
          </cell>
          <cell r="AN432">
            <v>68.246416860000011</v>
          </cell>
          <cell r="AO432" t="e">
            <v>#N/A</v>
          </cell>
          <cell r="AP432" t="e">
            <v>#DIV/0!</v>
          </cell>
          <cell r="AQ432" t="e">
            <v>#VALUE!</v>
          </cell>
          <cell r="AR432">
            <v>3136.66932</v>
          </cell>
          <cell r="AS432">
            <v>624.93729181679998</v>
          </cell>
          <cell r="AT432" t="e">
            <v>#N/A</v>
          </cell>
          <cell r="AU432" t="e">
            <v>#DIV/0!</v>
          </cell>
          <cell r="AV432">
            <v>31751.616999999995</v>
          </cell>
          <cell r="AW432" t="e">
            <v>#VALUE!</v>
          </cell>
          <cell r="AX432" t="e">
            <v>#VALUE!</v>
          </cell>
          <cell r="AY432" t="e">
            <v>#VALUE!</v>
          </cell>
          <cell r="AZ432" t="e">
            <v>#VALUE!</v>
          </cell>
          <cell r="BA432" t="e">
            <v>#VALUE!</v>
          </cell>
          <cell r="BB432" t="e">
            <v>#VALUE!</v>
          </cell>
          <cell r="BC432" t="e">
            <v>#VALUE!</v>
          </cell>
          <cell r="BD432" t="e">
            <v>#VALUE!</v>
          </cell>
          <cell r="BE432" t="e">
            <v>#VALUE!</v>
          </cell>
        </row>
        <row r="438">
          <cell r="H438" t="str">
            <v xml:space="preserve">NA </v>
          </cell>
          <cell r="I438" t="str">
            <v xml:space="preserve">NA </v>
          </cell>
          <cell r="J438" t="str">
            <v xml:space="preserve">NA </v>
          </cell>
          <cell r="K438" t="str">
            <v xml:space="preserve">NA </v>
          </cell>
          <cell r="L438" t="str">
            <v xml:space="preserve">NA </v>
          </cell>
          <cell r="M438" t="str">
            <v xml:space="preserve">NA </v>
          </cell>
          <cell r="N438" t="str">
            <v xml:space="preserve">NA </v>
          </cell>
          <cell r="O438" t="str">
            <v xml:space="preserve">NA </v>
          </cell>
          <cell r="P438" t="str">
            <v xml:space="preserve">NA </v>
          </cell>
          <cell r="Q438" t="str">
            <v xml:space="preserve">NA </v>
          </cell>
          <cell r="R438" t="str">
            <v xml:space="preserve">NA </v>
          </cell>
          <cell r="S438" t="str">
            <v xml:space="preserve">NA </v>
          </cell>
          <cell r="T438" t="str">
            <v xml:space="preserve">NA </v>
          </cell>
          <cell r="U438">
            <v>4.0672809174657356</v>
          </cell>
          <cell r="V438">
            <v>1.9198869066628801</v>
          </cell>
          <cell r="W438">
            <v>2.0653545224220755</v>
          </cell>
          <cell r="X438">
            <v>3.0781380373985812</v>
          </cell>
          <cell r="Y438">
            <v>1.1029778650201332</v>
          </cell>
          <cell r="Z438" t="str">
            <v xml:space="preserve">NA </v>
          </cell>
          <cell r="AA438">
            <v>0.30746914124605967</v>
          </cell>
          <cell r="AB438">
            <v>0.23855536301210298</v>
          </cell>
          <cell r="AC438">
            <v>0.21878202640330252</v>
          </cell>
          <cell r="AD438" t="str">
            <v xml:space="preserve">NA </v>
          </cell>
          <cell r="AE438">
            <v>0.36168628550154597</v>
          </cell>
          <cell r="AF438">
            <v>0.97498153318416947</v>
          </cell>
          <cell r="AG438">
            <v>1.2664949780782553</v>
          </cell>
          <cell r="AH438">
            <v>10.645718739224472</v>
          </cell>
          <cell r="AI438" t="str">
            <v xml:space="preserve">NA </v>
          </cell>
          <cell r="AJ438" t="str">
            <v xml:space="preserve">NA </v>
          </cell>
          <cell r="AK438">
            <v>0.84232799061767027</v>
          </cell>
          <cell r="AL438">
            <v>0.29631859833414115</v>
          </cell>
          <cell r="AM438">
            <v>3.500750792532433</v>
          </cell>
          <cell r="AN438">
            <v>0.20774595782763944</v>
          </cell>
          <cell r="AO438" t="str">
            <v xml:space="preserve">NA </v>
          </cell>
          <cell r="AP438" t="str">
            <v xml:space="preserve">NA </v>
          </cell>
          <cell r="AQ438" t="str">
            <v xml:space="preserve">NA </v>
          </cell>
          <cell r="AR438">
            <v>2.2573842815658698</v>
          </cell>
          <cell r="AS438">
            <v>0.77268559522148017</v>
          </cell>
          <cell r="AT438" t="str">
            <v xml:space="preserve">NA </v>
          </cell>
          <cell r="AU438" t="str">
            <v xml:space="preserve">NA </v>
          </cell>
          <cell r="AV438">
            <v>0.72316420222959643</v>
          </cell>
          <cell r="AW438" t="str">
            <v xml:space="preserve">NA </v>
          </cell>
          <cell r="AX438" t="str">
            <v xml:space="preserve">NA </v>
          </cell>
          <cell r="AY438" t="str">
            <v xml:space="preserve">NA </v>
          </cell>
          <cell r="AZ438" t="str">
            <v xml:space="preserve">NA </v>
          </cell>
          <cell r="BA438" t="str">
            <v xml:space="preserve">NA </v>
          </cell>
          <cell r="BB438" t="str">
            <v xml:space="preserve">NA </v>
          </cell>
          <cell r="BC438" t="str">
            <v xml:space="preserve">NA </v>
          </cell>
          <cell r="BD438" t="str">
            <v xml:space="preserve">NA </v>
          </cell>
          <cell r="BE438" t="str">
            <v xml:space="preserve">NA </v>
          </cell>
        </row>
        <row r="439">
          <cell r="H439" t="str">
            <v xml:space="preserve">NA </v>
          </cell>
          <cell r="I439" t="str">
            <v xml:space="preserve">NA </v>
          </cell>
          <cell r="J439" t="str">
            <v xml:space="preserve">NA </v>
          </cell>
          <cell r="K439" t="str">
            <v xml:space="preserve">NA </v>
          </cell>
          <cell r="L439" t="str">
            <v xml:space="preserve">NA </v>
          </cell>
          <cell r="M439" t="str">
            <v xml:space="preserve">NA </v>
          </cell>
          <cell r="N439" t="str">
            <v xml:space="preserve">NA </v>
          </cell>
          <cell r="O439" t="str">
            <v xml:space="preserve">NA </v>
          </cell>
          <cell r="P439" t="str">
            <v xml:space="preserve">NA </v>
          </cell>
          <cell r="Q439" t="str">
            <v xml:space="preserve">NA </v>
          </cell>
          <cell r="R439" t="str">
            <v xml:space="preserve">NA </v>
          </cell>
          <cell r="S439" t="str">
            <v xml:space="preserve">NA </v>
          </cell>
          <cell r="T439" t="str">
            <v xml:space="preserve">NA </v>
          </cell>
          <cell r="U439">
            <v>380.35759903755888</v>
          </cell>
          <cell r="V439">
            <v>7.1204576777975364</v>
          </cell>
          <cell r="W439">
            <v>11.046555219387152</v>
          </cell>
          <cell r="X439">
            <v>15.882638821414108</v>
          </cell>
          <cell r="Y439">
            <v>20.971346174086936</v>
          </cell>
          <cell r="Z439" t="str">
            <v xml:space="preserve">NA </v>
          </cell>
          <cell r="AA439">
            <v>17.429325995961314</v>
          </cell>
          <cell r="AB439">
            <v>13.19043316342789</v>
          </cell>
          <cell r="AC439">
            <v>9.2015052719957247</v>
          </cell>
          <cell r="AD439" t="str">
            <v xml:space="preserve">NA </v>
          </cell>
          <cell r="AE439">
            <v>38.091495427623791</v>
          </cell>
          <cell r="AF439">
            <v>15.830354644764579</v>
          </cell>
          <cell r="AG439">
            <v>13.795973054358365</v>
          </cell>
          <cell r="AH439">
            <v>82.907311199267625</v>
          </cell>
          <cell r="AI439" t="str">
            <v xml:space="preserve">NA </v>
          </cell>
          <cell r="AJ439" t="str">
            <v xml:space="preserve">NA </v>
          </cell>
          <cell r="AK439">
            <v>11.380325704225353</v>
          </cell>
          <cell r="AL439">
            <v>14.626022253129348</v>
          </cell>
          <cell r="AM439">
            <v>18.821424592592592</v>
          </cell>
          <cell r="AN439">
            <v>-19.690252989036356</v>
          </cell>
          <cell r="AO439" t="str">
            <v xml:space="preserve">NA </v>
          </cell>
          <cell r="AP439" t="str">
            <v xml:space="preserve">NA </v>
          </cell>
          <cell r="AQ439" t="str">
            <v xml:space="preserve">NA </v>
          </cell>
          <cell r="AR439">
            <v>23.015467756526228</v>
          </cell>
          <cell r="AS439">
            <v>8.4168905804439174</v>
          </cell>
          <cell r="AT439" t="str">
            <v xml:space="preserve">NA </v>
          </cell>
          <cell r="AU439" t="str">
            <v xml:space="preserve">NA </v>
          </cell>
          <cell r="AV439">
            <v>16.486236121762435</v>
          </cell>
          <cell r="AW439" t="str">
            <v xml:space="preserve">NA </v>
          </cell>
          <cell r="AX439" t="str">
            <v xml:space="preserve">NA </v>
          </cell>
          <cell r="AY439" t="str">
            <v xml:space="preserve">NA </v>
          </cell>
          <cell r="AZ439" t="str">
            <v xml:space="preserve">NA </v>
          </cell>
          <cell r="BA439" t="str">
            <v xml:space="preserve">NA </v>
          </cell>
          <cell r="BB439" t="str">
            <v xml:space="preserve">NA </v>
          </cell>
          <cell r="BC439" t="str">
            <v xml:space="preserve">NA </v>
          </cell>
          <cell r="BD439" t="str">
            <v xml:space="preserve">NA </v>
          </cell>
          <cell r="BE439" t="str">
            <v xml:space="preserve">NA </v>
          </cell>
        </row>
        <row r="440">
          <cell r="H440" t="str">
            <v xml:space="preserve">NA </v>
          </cell>
          <cell r="I440" t="str">
            <v xml:space="preserve">NA </v>
          </cell>
          <cell r="J440" t="str">
            <v xml:space="preserve">NA </v>
          </cell>
          <cell r="K440" t="str">
            <v xml:space="preserve">NA </v>
          </cell>
          <cell r="L440" t="str">
            <v xml:space="preserve">NA </v>
          </cell>
          <cell r="M440" t="str">
            <v xml:space="preserve">NA </v>
          </cell>
          <cell r="N440" t="str">
            <v xml:space="preserve">NA </v>
          </cell>
          <cell r="O440" t="str">
            <v xml:space="preserve">NA </v>
          </cell>
          <cell r="P440" t="str">
            <v xml:space="preserve">NA </v>
          </cell>
          <cell r="Q440" t="str">
            <v xml:space="preserve">NA </v>
          </cell>
          <cell r="R440" t="str">
            <v xml:space="preserve">NA </v>
          </cell>
          <cell r="S440" t="str">
            <v xml:space="preserve">NA </v>
          </cell>
          <cell r="T440" t="str">
            <v xml:space="preserve">NA </v>
          </cell>
          <cell r="U440">
            <v>44.624714180666494</v>
          </cell>
          <cell r="V440">
            <v>6.3022490947296026</v>
          </cell>
          <cell r="W440">
            <v>9.2891303898531135</v>
          </cell>
          <cell r="X440">
            <v>12.56868716731293</v>
          </cell>
          <cell r="Y440">
            <v>19.478049543472732</v>
          </cell>
          <cell r="Z440" t="str">
            <v xml:space="preserve">NA </v>
          </cell>
          <cell r="AA440">
            <v>16.227565189890953</v>
          </cell>
          <cell r="AB440">
            <v>12.060742046670633</v>
          </cell>
          <cell r="AC440">
            <v>7.409664234473917</v>
          </cell>
          <cell r="AD440" t="str">
            <v xml:space="preserve">NA </v>
          </cell>
          <cell r="AE440">
            <v>16.719617553163832</v>
          </cell>
          <cell r="AF440">
            <v>13.590906058001806</v>
          </cell>
          <cell r="AG440">
            <v>8.8145687675547286</v>
          </cell>
          <cell r="AH440">
            <v>81.01361486164123</v>
          </cell>
          <cell r="AI440" t="str">
            <v xml:space="preserve">NA </v>
          </cell>
          <cell r="AJ440" t="str">
            <v xml:space="preserve">NA </v>
          </cell>
          <cell r="AK440">
            <v>8.4002923976608201</v>
          </cell>
          <cell r="AL440">
            <v>11.177838010204082</v>
          </cell>
          <cell r="AM440">
            <v>14.201129569248973</v>
          </cell>
          <cell r="AN440">
            <v>109.89761169082135</v>
          </cell>
          <cell r="AO440" t="str">
            <v xml:space="preserve">NA </v>
          </cell>
          <cell r="AP440" t="str">
            <v xml:space="preserve">NA </v>
          </cell>
          <cell r="AQ440" t="str">
            <v xml:space="preserve">NA </v>
          </cell>
          <cell r="AR440">
            <v>21.298080332987801</v>
          </cell>
          <cell r="AS440">
            <v>5.3777475889508457</v>
          </cell>
          <cell r="AT440" t="str">
            <v xml:space="preserve">NA </v>
          </cell>
          <cell r="AU440" t="str">
            <v xml:space="preserve">NA </v>
          </cell>
          <cell r="AV440">
            <v>14.043814026025952</v>
          </cell>
          <cell r="AW440" t="str">
            <v xml:space="preserve">NA </v>
          </cell>
          <cell r="AX440" t="str">
            <v xml:space="preserve">NA </v>
          </cell>
          <cell r="AY440" t="str">
            <v xml:space="preserve">NA </v>
          </cell>
          <cell r="AZ440" t="str">
            <v xml:space="preserve">NA </v>
          </cell>
          <cell r="BA440" t="str">
            <v xml:space="preserve">NA </v>
          </cell>
          <cell r="BB440" t="str">
            <v xml:space="preserve">NA </v>
          </cell>
          <cell r="BC440" t="str">
            <v xml:space="preserve">NA </v>
          </cell>
          <cell r="BD440" t="str">
            <v xml:space="preserve">NA </v>
          </cell>
          <cell r="BE440" t="str">
            <v xml:space="preserve">NA </v>
          </cell>
        </row>
        <row r="441">
          <cell r="H441" t="str">
            <v xml:space="preserve">NA </v>
          </cell>
          <cell r="I441" t="str">
            <v xml:space="preserve">NA </v>
          </cell>
          <cell r="J441">
            <v>2472.3314645</v>
          </cell>
          <cell r="K441" t="str">
            <v xml:space="preserve">NA </v>
          </cell>
          <cell r="L441" t="str">
            <v xml:space="preserve">NA </v>
          </cell>
          <cell r="M441">
            <v>8104.7539999999999</v>
          </cell>
          <cell r="N441" t="str">
            <v xml:space="preserve">NA </v>
          </cell>
          <cell r="O441" t="str">
            <v xml:space="preserve">NA </v>
          </cell>
          <cell r="P441" t="str">
            <v xml:space="preserve">NA </v>
          </cell>
          <cell r="Q441" t="str">
            <v xml:space="preserve">NA </v>
          </cell>
          <cell r="R441">
            <v>6.0576396463831701</v>
          </cell>
          <cell r="S441" t="str">
            <v xml:space="preserve">NA </v>
          </cell>
          <cell r="T441" t="str">
            <v xml:space="preserve">NA </v>
          </cell>
          <cell r="U441">
            <v>4.5547326649706958</v>
          </cell>
          <cell r="V441">
            <v>3.835310039664825</v>
          </cell>
          <cell r="W441" t="str">
            <v xml:space="preserve">NA </v>
          </cell>
          <cell r="X441">
            <v>3.2780471344346918</v>
          </cell>
          <cell r="Y441">
            <v>1.23738548290938</v>
          </cell>
          <cell r="Z441" t="str">
            <v xml:space="preserve">NA </v>
          </cell>
          <cell r="AA441" t="str">
            <v xml:space="preserve">NA </v>
          </cell>
          <cell r="AB441">
            <v>0.24924085419086975</v>
          </cell>
          <cell r="AC441">
            <v>0.22120067554496808</v>
          </cell>
          <cell r="AD441" t="str">
            <v xml:space="preserve">NA </v>
          </cell>
          <cell r="AE441">
            <v>0.47765404319064442</v>
          </cell>
          <cell r="AF441">
            <v>0.99525602141782488</v>
          </cell>
          <cell r="AG441">
            <v>1.322188728466358</v>
          </cell>
          <cell r="AH441">
            <v>3.1583902823503154</v>
          </cell>
          <cell r="AI441" t="str">
            <v xml:space="preserve">NA </v>
          </cell>
          <cell r="AJ441" t="str">
            <v xml:space="preserve">NA </v>
          </cell>
          <cell r="AK441">
            <v>0.89778125000000009</v>
          </cell>
          <cell r="AL441">
            <v>0.44824939046222573</v>
          </cell>
          <cell r="AM441">
            <v>3.500750792532433</v>
          </cell>
          <cell r="AN441">
            <v>0.4566123064982856</v>
          </cell>
          <cell r="AO441" t="str">
            <v xml:space="preserve">NA </v>
          </cell>
          <cell r="AP441" t="str">
            <v xml:space="preserve">NA </v>
          </cell>
          <cell r="AQ441" t="str">
            <v xml:space="preserve">NA </v>
          </cell>
          <cell r="AR441">
            <v>3.600941050234042</v>
          </cell>
          <cell r="AS441">
            <v>0.80666422080912026</v>
          </cell>
          <cell r="AT441" t="str">
            <v xml:space="preserve">NA </v>
          </cell>
          <cell r="AU441" t="str">
            <v xml:space="preserve">NA </v>
          </cell>
          <cell r="AV441">
            <v>1.605833557127085</v>
          </cell>
          <cell r="AW441" t="str">
            <v xml:space="preserve">NA </v>
          </cell>
          <cell r="AX441" t="str">
            <v xml:space="preserve">NA </v>
          </cell>
          <cell r="AY441" t="str">
            <v xml:space="preserve">NA </v>
          </cell>
          <cell r="AZ441" t="str">
            <v xml:space="preserve">NA </v>
          </cell>
          <cell r="BA441" t="str">
            <v xml:space="preserve">NA </v>
          </cell>
          <cell r="BB441" t="str">
            <v xml:space="preserve">NA </v>
          </cell>
          <cell r="BC441" t="str">
            <v xml:space="preserve">NA </v>
          </cell>
          <cell r="BD441" t="str">
            <v xml:space="preserve">NA </v>
          </cell>
          <cell r="BE441" t="str">
            <v xml:space="preserve">NA </v>
          </cell>
        </row>
        <row r="442">
          <cell r="H442">
            <v>3.1343947868185542</v>
          </cell>
          <cell r="I442">
            <v>2.7735281119238078</v>
          </cell>
          <cell r="J442">
            <v>16.659017468734838</v>
          </cell>
          <cell r="K442">
            <v>1.333173076923077</v>
          </cell>
          <cell r="L442">
            <v>3.7851070993674174</v>
          </cell>
          <cell r="M442">
            <v>4.6941085846007713</v>
          </cell>
          <cell r="N442">
            <v>1.1558283972282064</v>
          </cell>
          <cell r="O442">
            <v>1.813324832214765</v>
          </cell>
          <cell r="P442">
            <v>0.42344604150298093</v>
          </cell>
          <cell r="Q442">
            <v>1.5742589872063044</v>
          </cell>
          <cell r="R442">
            <v>1.4800517382187395</v>
          </cell>
          <cell r="S442">
            <v>3.6413050769123343</v>
          </cell>
          <cell r="T442" t="str">
            <v xml:space="preserve">NA </v>
          </cell>
          <cell r="U442">
            <v>3.0833936667935307</v>
          </cell>
          <cell r="V442">
            <v>1.4088516994200893</v>
          </cell>
          <cell r="W442">
            <v>1.9573099871449915</v>
          </cell>
          <cell r="X442">
            <v>2.7744199982739715</v>
          </cell>
          <cell r="Y442">
            <v>0.84301631209694683</v>
          </cell>
          <cell r="Z442" t="str">
            <v xml:space="preserve">NA </v>
          </cell>
          <cell r="AA442">
            <v>9.8123827798239124E-2</v>
          </cell>
          <cell r="AB442">
            <v>0.21497875103498429</v>
          </cell>
          <cell r="AC442">
            <v>0.21055486150668568</v>
          </cell>
          <cell r="AD442" t="str">
            <v xml:space="preserve">NA </v>
          </cell>
          <cell r="AE442">
            <v>0.34332756106981177</v>
          </cell>
          <cell r="AF442">
            <v>0.90750882164242963</v>
          </cell>
          <cell r="AG442">
            <v>1.0995313518033489</v>
          </cell>
          <cell r="AH442">
            <v>1.1601939532142767</v>
          </cell>
          <cell r="AI442" t="str">
            <v xml:space="preserve">NA </v>
          </cell>
          <cell r="AJ442" t="str">
            <v xml:space="preserve">NA </v>
          </cell>
          <cell r="AK442">
            <v>0.80721104915801378</v>
          </cell>
          <cell r="AL442">
            <v>0.26756786257597787</v>
          </cell>
          <cell r="AM442">
            <v>3.3825830663990497</v>
          </cell>
          <cell r="AN442">
            <v>0.18620920060899745</v>
          </cell>
          <cell r="AO442" t="str">
            <v xml:space="preserve">NA </v>
          </cell>
          <cell r="AP442" t="str">
            <v xml:space="preserve">NA </v>
          </cell>
          <cell r="AQ442" t="str">
            <v xml:space="preserve">NA </v>
          </cell>
          <cell r="AR442">
            <v>2.05007761530642</v>
          </cell>
          <cell r="AS442">
            <v>0.67082148112580509</v>
          </cell>
          <cell r="AT442" t="str">
            <v xml:space="preserve">NA </v>
          </cell>
          <cell r="AU442" t="str">
            <v xml:space="preserve">NA </v>
          </cell>
          <cell r="AV442">
            <v>0.70029338041417755</v>
          </cell>
          <cell r="AW442" t="str">
            <v xml:space="preserve">NA </v>
          </cell>
          <cell r="AX442" t="str">
            <v xml:space="preserve">NA </v>
          </cell>
          <cell r="AY442" t="str">
            <v xml:space="preserve">NA </v>
          </cell>
          <cell r="AZ442" t="str">
            <v xml:space="preserve">NA </v>
          </cell>
          <cell r="BA442" t="str">
            <v xml:space="preserve">NA </v>
          </cell>
          <cell r="BB442" t="str">
            <v xml:space="preserve">NA </v>
          </cell>
          <cell r="BC442" t="str">
            <v xml:space="preserve">NA </v>
          </cell>
          <cell r="BD442" t="str">
            <v xml:space="preserve">NA </v>
          </cell>
          <cell r="BE442" t="str">
            <v xml:space="preserve">NA </v>
          </cell>
        </row>
        <row r="443">
          <cell r="H443">
            <v>2.7616097139682894</v>
          </cell>
          <cell r="I443">
            <v>2.3841933025404156</v>
          </cell>
          <cell r="J443">
            <v>7.7646650351121824</v>
          </cell>
          <cell r="K443">
            <v>1.2318689967982925</v>
          </cell>
          <cell r="L443">
            <v>3.1328458099655183</v>
          </cell>
          <cell r="M443">
            <v>2.2405348696414205</v>
          </cell>
          <cell r="N443">
            <v>1.0977041337951587</v>
          </cell>
          <cell r="O443">
            <v>1.5420283734203015</v>
          </cell>
          <cell r="P443">
            <v>0.39355826490360174</v>
          </cell>
          <cell r="Q443">
            <v>1.4761146334120907</v>
          </cell>
          <cell r="R443">
            <v>1.3306144408592069</v>
          </cell>
          <cell r="S443">
            <v>3.2977179410740289</v>
          </cell>
          <cell r="T443" t="str">
            <v xml:space="preserve">NA </v>
          </cell>
          <cell r="U443">
            <v>2.4568966973464748</v>
          </cell>
          <cell r="V443">
            <v>0.99069572520628946</v>
          </cell>
          <cell r="W443">
            <v>1.7245199285292401</v>
          </cell>
          <cell r="X443">
            <v>2.4873723230770399</v>
          </cell>
          <cell r="Y443">
            <v>0.68130600934446495</v>
          </cell>
          <cell r="Z443" t="str">
            <v xml:space="preserve">NA </v>
          </cell>
          <cell r="AA443">
            <v>8.6263735454101167E-2</v>
          </cell>
          <cell r="AB443">
            <v>0.18899456455843397</v>
          </cell>
          <cell r="AC443">
            <v>0.20248323395678622</v>
          </cell>
          <cell r="AD443" t="str">
            <v xml:space="preserve">NA </v>
          </cell>
          <cell r="AE443">
            <v>0.26062876935731583</v>
          </cell>
          <cell r="AF443">
            <v>0.8487022500000001</v>
          </cell>
          <cell r="AG443">
            <v>0.95494654112711497</v>
          </cell>
          <cell r="AH443">
            <v>0.81584114945006969</v>
          </cell>
          <cell r="AI443" t="str">
            <v xml:space="preserve">NA </v>
          </cell>
          <cell r="AJ443" t="str">
            <v xml:space="preserve">NA </v>
          </cell>
          <cell r="AK443">
            <v>0.76108575574763826</v>
          </cell>
          <cell r="AL443">
            <v>0.22773570309387392</v>
          </cell>
          <cell r="AM443">
            <v>3.1526884993051629</v>
          </cell>
          <cell r="AN443">
            <v>0.11883211009059297</v>
          </cell>
          <cell r="AO443" t="str">
            <v xml:space="preserve">NA </v>
          </cell>
          <cell r="AP443" t="str">
            <v xml:space="preserve">NA </v>
          </cell>
          <cell r="AQ443" t="str">
            <v xml:space="preserve">NA </v>
          </cell>
          <cell r="AR443">
            <v>1.7781891322690033</v>
          </cell>
          <cell r="AS443">
            <v>0.58261062957796106</v>
          </cell>
          <cell r="AT443" t="str">
            <v xml:space="preserve">NA </v>
          </cell>
          <cell r="AU443" t="str">
            <v xml:space="preserve">NA </v>
          </cell>
          <cell r="AV443">
            <v>0.58066204903829877</v>
          </cell>
          <cell r="AW443" t="str">
            <v xml:space="preserve">NA </v>
          </cell>
          <cell r="AX443" t="str">
            <v xml:space="preserve">NA </v>
          </cell>
          <cell r="AY443" t="str">
            <v xml:space="preserve">NA </v>
          </cell>
          <cell r="AZ443" t="str">
            <v xml:space="preserve">NA </v>
          </cell>
          <cell r="BA443" t="str">
            <v xml:space="preserve">NA </v>
          </cell>
          <cell r="BB443" t="str">
            <v xml:space="preserve">NA </v>
          </cell>
          <cell r="BC443" t="str">
            <v xml:space="preserve">NA </v>
          </cell>
          <cell r="BD443" t="str">
            <v xml:space="preserve">NA </v>
          </cell>
          <cell r="BE443" t="str">
            <v xml:space="preserve">NA </v>
          </cell>
        </row>
        <row r="444">
          <cell r="H444">
            <v>2.325370254267674</v>
          </cell>
          <cell r="I444">
            <v>1.9758003827751196</v>
          </cell>
          <cell r="J444">
            <v>6.6204426010673769</v>
          </cell>
          <cell r="K444">
            <v>1.0439567769477054</v>
          </cell>
          <cell r="L444">
            <v>2.6590950983780552</v>
          </cell>
          <cell r="M444">
            <v>1.9804697034774217</v>
          </cell>
          <cell r="N444">
            <v>1.0301971552010887</v>
          </cell>
          <cell r="O444">
            <v>1.2598271024675665</v>
          </cell>
          <cell r="P444">
            <v>0.34000714030548751</v>
          </cell>
          <cell r="Q444">
            <v>1.2670511874781893</v>
          </cell>
          <cell r="R444">
            <v>1.3306144408592069</v>
          </cell>
          <cell r="S444">
            <v>2.7894755042074344</v>
          </cell>
          <cell r="T444" t="str">
            <v xml:space="preserve">NA </v>
          </cell>
          <cell r="U444">
            <v>1.9853710685628081</v>
          </cell>
          <cell r="V444">
            <v>0.78676074367053062</v>
          </cell>
          <cell r="W444">
            <v>1.452105025706669</v>
          </cell>
          <cell r="X444">
            <v>2.1504040140719631</v>
          </cell>
          <cell r="Y444">
            <v>0.5417078868923153</v>
          </cell>
          <cell r="Z444" t="str">
            <v xml:space="preserve">NA </v>
          </cell>
          <cell r="AA444" t="str">
            <v xml:space="preserve">NA </v>
          </cell>
          <cell r="AB444" t="str">
            <v xml:space="preserve">NA </v>
          </cell>
          <cell r="AC444">
            <v>0.17918870261662501</v>
          </cell>
          <cell r="AD444" t="str">
            <v xml:space="preserve">NA </v>
          </cell>
          <cell r="AE444">
            <v>0.26062876935731583</v>
          </cell>
          <cell r="AF444">
            <v>0.73800195652173928</v>
          </cell>
          <cell r="AG444">
            <v>0.78512418081650492</v>
          </cell>
          <cell r="AH444">
            <v>0.64790002937047342</v>
          </cell>
          <cell r="AI444" t="str">
            <v xml:space="preserve">NA </v>
          </cell>
          <cell r="AJ444" t="str">
            <v xml:space="preserve">NA </v>
          </cell>
          <cell r="AK444">
            <v>0.65707135953348716</v>
          </cell>
          <cell r="AL444">
            <v>0.2020964209503727</v>
          </cell>
          <cell r="AM444">
            <v>2.8290456741790768</v>
          </cell>
          <cell r="AN444">
            <v>0.11883211009059297</v>
          </cell>
          <cell r="AO444" t="str">
            <v xml:space="preserve">NA </v>
          </cell>
          <cell r="AP444" t="str">
            <v xml:space="preserve">NA </v>
          </cell>
          <cell r="AQ444" t="str">
            <v xml:space="preserve">NA </v>
          </cell>
          <cell r="AR444">
            <v>1.5285118158535038</v>
          </cell>
          <cell r="AS444">
            <v>0.47900240859817567</v>
          </cell>
          <cell r="AT444" t="str">
            <v xml:space="preserve">NA </v>
          </cell>
          <cell r="AU444" t="str">
            <v xml:space="preserve">NA </v>
          </cell>
          <cell r="AV444">
            <v>0.50993572406863974</v>
          </cell>
          <cell r="AW444" t="str">
            <v xml:space="preserve">NA </v>
          </cell>
          <cell r="AX444" t="str">
            <v xml:space="preserve">NA </v>
          </cell>
          <cell r="AY444" t="str">
            <v xml:space="preserve">NA </v>
          </cell>
          <cell r="AZ444" t="str">
            <v xml:space="preserve">NA </v>
          </cell>
          <cell r="BA444" t="str">
            <v xml:space="preserve">NA </v>
          </cell>
          <cell r="BB444" t="str">
            <v xml:space="preserve">NA </v>
          </cell>
          <cell r="BC444" t="str">
            <v xml:space="preserve">NA </v>
          </cell>
          <cell r="BD444" t="str">
            <v xml:space="preserve">NA </v>
          </cell>
          <cell r="BE444" t="str">
            <v xml:space="preserve">NA </v>
          </cell>
        </row>
        <row r="453">
          <cell r="H453" t="str">
            <v>NA</v>
          </cell>
          <cell r="I453" t="str">
            <v>NA</v>
          </cell>
          <cell r="J453" t="str">
            <v>NA</v>
          </cell>
          <cell r="K453" t="str">
            <v>NA</v>
          </cell>
          <cell r="L453" t="str">
            <v>NA</v>
          </cell>
          <cell r="M453" t="str">
            <v>NA</v>
          </cell>
          <cell r="N453" t="str">
            <v>NA</v>
          </cell>
          <cell r="O453" t="str">
            <v>NA</v>
          </cell>
          <cell r="P453" t="str">
            <v>NA</v>
          </cell>
          <cell r="Q453" t="str">
            <v>NA</v>
          </cell>
          <cell r="R453" t="str">
            <v>NA</v>
          </cell>
          <cell r="S453" t="str">
            <v>NA</v>
          </cell>
          <cell r="T453" t="str">
            <v>NA</v>
          </cell>
          <cell r="U453">
            <v>-1979.8164170195391</v>
          </cell>
          <cell r="V453">
            <v>40.291767243951924</v>
          </cell>
          <cell r="W453">
            <v>23.993849493768213</v>
          </cell>
          <cell r="X453">
            <v>17.585320079918652</v>
          </cell>
          <cell r="Y453">
            <v>33.174915801349037</v>
          </cell>
          <cell r="Z453" t="str">
            <v>NA</v>
          </cell>
          <cell r="AA453">
            <v>75.247732829504116</v>
          </cell>
          <cell r="AB453">
            <v>26.349617831207272</v>
          </cell>
          <cell r="AC453">
            <v>16.703121415305308</v>
          </cell>
          <cell r="AD453" t="str">
            <v>NA</v>
          </cell>
          <cell r="AE453">
            <v>52.216996413843695</v>
          </cell>
          <cell r="AF453">
            <v>23.646249770215494</v>
          </cell>
          <cell r="AG453">
            <v>24.009089690505899</v>
          </cell>
          <cell r="AH453" t="str">
            <v>NA</v>
          </cell>
          <cell r="AI453" t="str">
            <v>NA</v>
          </cell>
          <cell r="AJ453" t="str">
            <v>NA</v>
          </cell>
          <cell r="AK453">
            <v>18.933171398463799</v>
          </cell>
          <cell r="AL453">
            <v>24.160690875182929</v>
          </cell>
          <cell r="AM453">
            <v>24.801378091872788</v>
          </cell>
          <cell r="AN453">
            <v>-19.550976779420537</v>
          </cell>
          <cell r="AO453" t="str">
            <v>NA</v>
          </cell>
          <cell r="AP453" t="str">
            <v>NA</v>
          </cell>
          <cell r="AQ453" t="str">
            <v>NA</v>
          </cell>
          <cell r="AR453">
            <v>40.819726474688231</v>
          </cell>
          <cell r="AS453" t="str">
            <v>NA</v>
          </cell>
          <cell r="AT453" t="str">
            <v>NA</v>
          </cell>
          <cell r="AU453" t="str">
            <v>NA</v>
          </cell>
          <cell r="AV453">
            <v>22.897173451607394</v>
          </cell>
          <cell r="AW453" t="str">
            <v>NA</v>
          </cell>
          <cell r="AX453" t="str">
            <v>NA</v>
          </cell>
          <cell r="AY453" t="str">
            <v>NA</v>
          </cell>
          <cell r="AZ453" t="str">
            <v>NA</v>
          </cell>
          <cell r="BA453" t="str">
            <v>NA</v>
          </cell>
          <cell r="BB453" t="str">
            <v>NA</v>
          </cell>
          <cell r="BC453" t="str">
            <v>NA</v>
          </cell>
          <cell r="BD453" t="str">
            <v>NA</v>
          </cell>
          <cell r="BE453" t="str">
            <v>NA</v>
          </cell>
        </row>
        <row r="454">
          <cell r="H454" t="e">
            <v>#DIV/0!</v>
          </cell>
          <cell r="I454" t="e">
            <v>#DIV/0!</v>
          </cell>
          <cell r="J454" t="e">
            <v>#DIV/0!</v>
          </cell>
          <cell r="K454" t="e">
            <v>#DIV/0!</v>
          </cell>
          <cell r="L454" t="e">
            <v>#DIV/0!</v>
          </cell>
          <cell r="M454" t="e">
            <v>#DIV/0!</v>
          </cell>
          <cell r="N454" t="e">
            <v>#DIV/0!</v>
          </cell>
          <cell r="O454" t="e">
            <v>#DIV/0!</v>
          </cell>
          <cell r="P454" t="e">
            <v>#DIV/0!</v>
          </cell>
          <cell r="Q454" t="e">
            <v>#DIV/0!</v>
          </cell>
          <cell r="R454" t="e">
            <v>#DIV/0!</v>
          </cell>
          <cell r="S454" t="e">
            <v>#DIV/0!</v>
          </cell>
          <cell r="T454" t="e">
            <v>#VALUE!</v>
          </cell>
          <cell r="U454">
            <v>3.7327851911148002</v>
          </cell>
          <cell r="V454">
            <v>3.1160062101160375</v>
          </cell>
          <cell r="W454">
            <v>1.0730879483187019</v>
          </cell>
          <cell r="X454">
            <v>4.4056452492554561</v>
          </cell>
          <cell r="Y454">
            <v>4.0101020231331086</v>
          </cell>
          <cell r="Z454" t="e">
            <v>#N/A</v>
          </cell>
          <cell r="AA454">
            <v>9.5630134824098771</v>
          </cell>
          <cell r="AB454">
            <v>2.6911190382349108</v>
          </cell>
          <cell r="AC454">
            <v>2.4448376809124435</v>
          </cell>
          <cell r="AD454" t="e">
            <v>#N/A</v>
          </cell>
          <cell r="AE454">
            <v>1.7191521864165678</v>
          </cell>
          <cell r="AF454">
            <v>3.3682408029119699</v>
          </cell>
          <cell r="AG454">
            <v>3.3893341018851935</v>
          </cell>
          <cell r="AH454" t="e">
            <v>#DIV/0!</v>
          </cell>
          <cell r="AI454" t="e">
            <v>#DIV/0!</v>
          </cell>
          <cell r="AJ454" t="e">
            <v>#VALUE!</v>
          </cell>
          <cell r="AK454">
            <v>36.857048458149777</v>
          </cell>
          <cell r="AL454">
            <v>2.5309428775342973</v>
          </cell>
          <cell r="AM454">
            <v>4.6108029417767327</v>
          </cell>
          <cell r="AN454">
            <v>0.81389864061982664</v>
          </cell>
          <cell r="AO454" t="e">
            <v>#N/A</v>
          </cell>
          <cell r="AP454" t="e">
            <v>#DIV/0!</v>
          </cell>
          <cell r="AQ454" t="e">
            <v>#VALUE!</v>
          </cell>
          <cell r="AR454">
            <v>6.0173175306424085</v>
          </cell>
          <cell r="AS454">
            <v>1.7624537329803007</v>
          </cell>
          <cell r="AT454" t="e">
            <v>#N/A</v>
          </cell>
          <cell r="AU454">
            <v>0</v>
          </cell>
          <cell r="AV454">
            <v>4.7926236108874214</v>
          </cell>
          <cell r="AW454" t="e">
            <v>#VALUE!</v>
          </cell>
          <cell r="AX454" t="e">
            <v>#VALUE!</v>
          </cell>
          <cell r="AY454" t="e">
            <v>#VALUE!</v>
          </cell>
          <cell r="AZ454" t="e">
            <v>#VALUE!</v>
          </cell>
          <cell r="BA454" t="e">
            <v>#VALUE!</v>
          </cell>
          <cell r="BB454" t="e">
            <v>#VALUE!</v>
          </cell>
          <cell r="BC454" t="e">
            <v>#VALUE!</v>
          </cell>
          <cell r="BD454" t="e">
            <v>#VALUE!</v>
          </cell>
          <cell r="BE454" t="e">
            <v>#VALUE!</v>
          </cell>
        </row>
        <row r="455">
          <cell r="H455" t="e">
            <v>#DIV/0!</v>
          </cell>
          <cell r="I455" t="e">
            <v>#DIV/0!</v>
          </cell>
          <cell r="J455" t="e">
            <v>#DIV/0!</v>
          </cell>
          <cell r="K455" t="e">
            <v>#DIV/0!</v>
          </cell>
          <cell r="L455" t="e">
            <v>#DIV/0!</v>
          </cell>
          <cell r="M455" t="e">
            <v>#DIV/0!</v>
          </cell>
          <cell r="N455" t="e">
            <v>#DIV/0!</v>
          </cell>
          <cell r="O455" t="e">
            <v>#DIV/0!</v>
          </cell>
          <cell r="P455" t="e">
            <v>#DIV/0!</v>
          </cell>
          <cell r="Q455" t="e">
            <v>#DIV/0!</v>
          </cell>
          <cell r="R455" t="e">
            <v>#DIV/0!</v>
          </cell>
          <cell r="S455" t="e">
            <v>#DIV/0!</v>
          </cell>
          <cell r="T455" t="e">
            <v>#VALUE!</v>
          </cell>
          <cell r="U455">
            <v>4.2254845950723823</v>
          </cell>
          <cell r="V455">
            <v>3.1160062101160375</v>
          </cell>
          <cell r="W455">
            <v>2.880545911756593</v>
          </cell>
          <cell r="X455">
            <v>4.7641926315728824</v>
          </cell>
          <cell r="Y455">
            <v>5.795852917665866</v>
          </cell>
          <cell r="Z455" t="e">
            <v>#N/A</v>
          </cell>
          <cell r="AA455">
            <v>6.2438155483788389</v>
          </cell>
          <cell r="AB455">
            <v>6.7073734579378161</v>
          </cell>
          <cell r="AC455">
            <v>3.3450037471896077</v>
          </cell>
          <cell r="AD455" t="e">
            <v>#N/A</v>
          </cell>
          <cell r="AE455">
            <v>2.2545095164260105</v>
          </cell>
          <cell r="AF455">
            <v>5.7510704312377667</v>
          </cell>
          <cell r="AG455">
            <v>8.1309307678927407</v>
          </cell>
          <cell r="AH455" t="e">
            <v>#DIV/0!</v>
          </cell>
          <cell r="AI455" t="e">
            <v>#DIV/0!</v>
          </cell>
          <cell r="AJ455" t="e">
            <v>#VALUE!</v>
          </cell>
          <cell r="AK455">
            <v>36.857048458149777</v>
          </cell>
          <cell r="AL455">
            <v>3.1863988818263507</v>
          </cell>
          <cell r="AM455">
            <v>5.4786007530659226</v>
          </cell>
          <cell r="AN455">
            <v>1.3574265961300587</v>
          </cell>
          <cell r="AO455" t="e">
            <v>#N/A</v>
          </cell>
          <cell r="AP455" t="e">
            <v>#DIV/0!</v>
          </cell>
          <cell r="AQ455" t="e">
            <v>#VALUE!</v>
          </cell>
          <cell r="AR455">
            <v>7.9295083088550973</v>
          </cell>
          <cell r="AS455">
            <v>4.2280839993042258</v>
          </cell>
          <cell r="AT455" t="e">
            <v>#N/A</v>
          </cell>
          <cell r="AU455" t="e">
            <v>#DIV/0!</v>
          </cell>
          <cell r="AV455">
            <v>6.1540096896896221</v>
          </cell>
          <cell r="AW455" t="e">
            <v>#VALUE!</v>
          </cell>
          <cell r="AX455" t="e">
            <v>#VALUE!</v>
          </cell>
          <cell r="AY455" t="e">
            <v>#VALUE!</v>
          </cell>
          <cell r="AZ455" t="e">
            <v>#VALUE!</v>
          </cell>
          <cell r="BA455" t="e">
            <v>#VALUE!</v>
          </cell>
          <cell r="BB455" t="e">
            <v>#VALUE!</v>
          </cell>
          <cell r="BC455" t="e">
            <v>#VALUE!</v>
          </cell>
          <cell r="BD455" t="e">
            <v>#VALUE!</v>
          </cell>
          <cell r="BE455" t="e">
            <v>#VALUE!</v>
          </cell>
        </row>
        <row r="456">
          <cell r="H456">
            <v>18.163157894736841</v>
          </cell>
          <cell r="I456">
            <v>24.608695652173914</v>
          </cell>
          <cell r="J456">
            <v>27.704761904761902</v>
          </cell>
          <cell r="K456">
            <v>15.974729241877258</v>
          </cell>
          <cell r="L456">
            <v>180.49999999999997</v>
          </cell>
          <cell r="M456">
            <v>22.891566265060245</v>
          </cell>
          <cell r="N456">
            <v>13.893518518518517</v>
          </cell>
          <cell r="O456">
            <v>24.058823529411764</v>
          </cell>
          <cell r="P456">
            <v>16.727272727272723</v>
          </cell>
          <cell r="Q456">
            <v>18.242105263157892</v>
          </cell>
          <cell r="R456">
            <v>21.882352941176471</v>
          </cell>
          <cell r="S456">
            <v>17.925373134328357</v>
          </cell>
          <cell r="T456" t="e">
            <v>#VALUE!</v>
          </cell>
          <cell r="U456">
            <v>66.4375</v>
          </cell>
          <cell r="V456">
            <v>33.798701298701296</v>
          </cell>
          <cell r="W456">
            <v>18.356382978723406</v>
          </cell>
          <cell r="X456">
            <v>19.460674157303369</v>
          </cell>
          <cell r="Y456">
            <v>24.138613861386137</v>
          </cell>
          <cell r="Z456" t="str">
            <v>NA</v>
          </cell>
          <cell r="AA456">
            <v>21.319648093841643</v>
          </cell>
          <cell r="AB456">
            <v>21.319648093841643</v>
          </cell>
          <cell r="AC456">
            <v>11.5234375</v>
          </cell>
          <cell r="AD456" t="str">
            <v>NA</v>
          </cell>
          <cell r="AE456">
            <v>29.866666666666667</v>
          </cell>
          <cell r="AF456">
            <v>20.80078125</v>
          </cell>
          <cell r="AG456">
            <v>18.450549450549449</v>
          </cell>
          <cell r="AH456">
            <v>33.258785942492011</v>
          </cell>
          <cell r="AI456" t="e">
            <v>#DIV/0!</v>
          </cell>
          <cell r="AJ456" t="e">
            <v>#VALUE!</v>
          </cell>
          <cell r="AK456">
            <v>16.420454545454547</v>
          </cell>
          <cell r="AL456">
            <v>17.845722300140249</v>
          </cell>
          <cell r="AM456">
            <v>22.083333333333332</v>
          </cell>
          <cell r="AN456">
            <v>14.8955223880597</v>
          </cell>
          <cell r="AO456" t="str">
            <v>NA</v>
          </cell>
          <cell r="AP456" t="e">
            <v>#DIV/0!</v>
          </cell>
          <cell r="AQ456" t="e">
            <v>#VALUE!</v>
          </cell>
          <cell r="AR456">
            <v>29.94979079497908</v>
          </cell>
          <cell r="AS456">
            <v>18.450549450549453</v>
          </cell>
          <cell r="AT456" t="str">
            <v>NA</v>
          </cell>
          <cell r="AU456" t="e">
            <v>#DIV/0!</v>
          </cell>
          <cell r="AV456">
            <v>22.230240549828174</v>
          </cell>
          <cell r="AW456" t="e">
            <v>#VALUE!</v>
          </cell>
          <cell r="AX456" t="e">
            <v>#VALUE!</v>
          </cell>
          <cell r="AY456" t="e">
            <v>#VALUE!</v>
          </cell>
          <cell r="AZ456" t="e">
            <v>#VALUE!</v>
          </cell>
          <cell r="BA456" t="e">
            <v>#VALUE!</v>
          </cell>
          <cell r="BB456" t="e">
            <v>#VALUE!</v>
          </cell>
          <cell r="BC456" t="e">
            <v>#VALUE!</v>
          </cell>
          <cell r="BD456" t="e">
            <v>#VALUE!</v>
          </cell>
          <cell r="BE456" t="e">
            <v>#VALUE!</v>
          </cell>
        </row>
        <row r="457">
          <cell r="H457">
            <v>16.126168224299064</v>
          </cell>
          <cell r="I457">
            <v>16.647058823529409</v>
          </cell>
          <cell r="J457">
            <v>24.445378151260503</v>
          </cell>
          <cell r="K457">
            <v>14.182692307692307</v>
          </cell>
          <cell r="L457">
            <v>40.111111111111114</v>
          </cell>
          <cell r="M457">
            <v>18.627450980392158</v>
          </cell>
          <cell r="N457">
            <v>12.556485355648535</v>
          </cell>
          <cell r="O457">
            <v>16.80821917808219</v>
          </cell>
          <cell r="P457">
            <v>7.8857142857142852</v>
          </cell>
          <cell r="Q457">
            <v>15.61261261261261</v>
          </cell>
          <cell r="R457">
            <v>18.800151108741435</v>
          </cell>
          <cell r="S457">
            <v>15.496774193548386</v>
          </cell>
          <cell r="T457" t="e">
            <v>#VALUE!</v>
          </cell>
          <cell r="U457">
            <v>32.707692307692312</v>
          </cell>
          <cell r="V457">
            <v>22.828947368421051</v>
          </cell>
          <cell r="W457">
            <v>16.126168224299064</v>
          </cell>
          <cell r="X457">
            <v>16.815533980582526</v>
          </cell>
          <cell r="Y457">
            <v>19.196850393700785</v>
          </cell>
          <cell r="Z457" t="str">
            <v>NA</v>
          </cell>
          <cell r="AA457">
            <v>17.818627450980394</v>
          </cell>
          <cell r="AB457">
            <v>17.818627450980397</v>
          </cell>
          <cell r="AC457">
            <v>10.387323943661972</v>
          </cell>
          <cell r="AD457" t="str">
            <v>NA</v>
          </cell>
          <cell r="AE457">
            <v>21.189189189189189</v>
          </cell>
          <cell r="AF457">
            <v>17.989864864864867</v>
          </cell>
          <cell r="AG457">
            <v>15.403669724770641</v>
          </cell>
          <cell r="AH457">
            <v>23.498871331828447</v>
          </cell>
          <cell r="AI457" t="e">
            <v>#DIV/0!</v>
          </cell>
          <cell r="AJ457" t="e">
            <v>#VALUE!</v>
          </cell>
          <cell r="AK457">
            <v>14.236453201970443</v>
          </cell>
          <cell r="AL457">
            <v>14.642117376294591</v>
          </cell>
          <cell r="AM457">
            <v>19.822834645669289</v>
          </cell>
          <cell r="AN457">
            <v>9.9481658692184993</v>
          </cell>
          <cell r="AO457" t="str">
            <v>NA</v>
          </cell>
          <cell r="AP457" t="e">
            <v>#DIV/0!</v>
          </cell>
          <cell r="AQ457" t="e">
            <v>#VALUE!</v>
          </cell>
          <cell r="AR457">
            <v>24.984293193717274</v>
          </cell>
          <cell r="AS457">
            <v>15.403669724770642</v>
          </cell>
          <cell r="AT457" t="str">
            <v>NA</v>
          </cell>
          <cell r="AU457" t="e">
            <v>#DIV/0!</v>
          </cell>
          <cell r="AV457">
            <v>18.482857142857142</v>
          </cell>
          <cell r="AW457" t="e">
            <v>#VALUE!</v>
          </cell>
          <cell r="AX457" t="e">
            <v>#VALUE!</v>
          </cell>
          <cell r="AY457" t="e">
            <v>#VALUE!</v>
          </cell>
          <cell r="AZ457" t="e">
            <v>#VALUE!</v>
          </cell>
          <cell r="BA457" t="e">
            <v>#VALUE!</v>
          </cell>
          <cell r="BB457" t="e">
            <v>#VALUE!</v>
          </cell>
          <cell r="BC457" t="e">
            <v>#VALUE!</v>
          </cell>
          <cell r="BD457" t="e">
            <v>#VALUE!</v>
          </cell>
          <cell r="BE457" t="e">
            <v>#VALUE!</v>
          </cell>
        </row>
        <row r="458">
          <cell r="H458">
            <v>13.273076923076923</v>
          </cell>
          <cell r="I458">
            <v>12.304347826086957</v>
          </cell>
          <cell r="J458">
            <v>21.188145855146356</v>
          </cell>
          <cell r="K458">
            <v>12.019230769230768</v>
          </cell>
          <cell r="L458">
            <v>25.785714285714288</v>
          </cell>
          <cell r="M458">
            <v>15.200000000000001</v>
          </cell>
          <cell r="N458">
            <v>11.324528301886794</v>
          </cell>
          <cell r="O458">
            <v>14.11902789284728</v>
          </cell>
          <cell r="P458">
            <v>6.81271212588707</v>
          </cell>
          <cell r="Q458">
            <v>13.401384216834856</v>
          </cell>
          <cell r="R458">
            <v>18.800151108741435</v>
          </cell>
          <cell r="S458">
            <v>13.725714285714286</v>
          </cell>
          <cell r="T458" t="e">
            <v>#VALUE!</v>
          </cell>
          <cell r="U458">
            <v>26.430458430458433</v>
          </cell>
          <cell r="V458">
            <v>18.494803688585165</v>
          </cell>
          <cell r="W458">
            <v>13.273076923076923</v>
          </cell>
          <cell r="X458">
            <v>14.554621848739496</v>
          </cell>
          <cell r="Y458">
            <v>15.263457417270242</v>
          </cell>
          <cell r="Z458" t="str">
            <v>NA</v>
          </cell>
          <cell r="AA458" t="str">
            <v>NA</v>
          </cell>
          <cell r="AB458" t="str">
            <v>NA</v>
          </cell>
          <cell r="AC458">
            <v>9.1923220740371434</v>
          </cell>
          <cell r="AD458" t="str">
            <v>NA</v>
          </cell>
          <cell r="AE458">
            <v>17.5</v>
          </cell>
          <cell r="AF458">
            <v>15.643360752056408</v>
          </cell>
          <cell r="AG458">
            <v>12.664367117298891</v>
          </cell>
          <cell r="AH458">
            <v>18.494803688585169</v>
          </cell>
          <cell r="AI458" t="e">
            <v>#DIV/0!</v>
          </cell>
          <cell r="AJ458" t="e">
            <v>#VALUE!</v>
          </cell>
          <cell r="AK458">
            <v>12.844444444444443</v>
          </cell>
          <cell r="AL458">
            <v>12.523622047244094</v>
          </cell>
          <cell r="AM458">
            <v>17.787899000062176</v>
          </cell>
          <cell r="AN458">
            <v>9.9481658692184993</v>
          </cell>
          <cell r="AO458" t="str">
            <v>NA</v>
          </cell>
          <cell r="AP458" t="e">
            <v>#DIV/0!</v>
          </cell>
          <cell r="AQ458" t="e">
            <v>#VALUE!</v>
          </cell>
          <cell r="AR458">
            <v>21.008859645672867</v>
          </cell>
          <cell r="AS458">
            <v>12.664367117298893</v>
          </cell>
          <cell r="AT458" t="str">
            <v>NA</v>
          </cell>
          <cell r="AU458" t="e">
            <v>#DIV/0!</v>
          </cell>
          <cell r="AV458">
            <v>15.409058210939023</v>
          </cell>
          <cell r="AW458" t="e">
            <v>#VALUE!</v>
          </cell>
          <cell r="AX458" t="e">
            <v>#VALUE!</v>
          </cell>
          <cell r="AY458" t="e">
            <v>#VALUE!</v>
          </cell>
          <cell r="AZ458" t="e">
            <v>#VALUE!</v>
          </cell>
          <cell r="BA458" t="e">
            <v>#VALUE!</v>
          </cell>
          <cell r="BB458" t="e">
            <v>#VALUE!</v>
          </cell>
          <cell r="BC458" t="e">
            <v>#VALUE!</v>
          </cell>
          <cell r="BD458" t="e">
            <v>#VALUE!</v>
          </cell>
          <cell r="BE458" t="e">
            <v>#VALUE!</v>
          </cell>
        </row>
        <row r="460">
          <cell r="H460">
            <v>0.94859813084112132</v>
          </cell>
          <cell r="I460">
            <v>0.83235294117647041</v>
          </cell>
          <cell r="J460">
            <v>1.2865988500663426</v>
          </cell>
          <cell r="K460">
            <v>0.78792735042735051</v>
          </cell>
          <cell r="L460">
            <v>1.035125448028674</v>
          </cell>
          <cell r="M460">
            <v>1.0957324106113033</v>
          </cell>
          <cell r="N460">
            <v>0.96588348889604103</v>
          </cell>
          <cell r="O460">
            <v>0.84041095890410944</v>
          </cell>
          <cell r="P460">
            <v>0.50068027210884347</v>
          </cell>
          <cell r="Q460">
            <v>0.94621894621894598</v>
          </cell>
          <cell r="R460">
            <v>1.134589686707389</v>
          </cell>
          <cell r="S460">
            <v>0.91157495256166965</v>
          </cell>
          <cell r="T460" t="e">
            <v>#VALUE!</v>
          </cell>
          <cell r="U460">
            <v>1.3771659919028343</v>
          </cell>
          <cell r="V460">
            <v>0.76096491228070196</v>
          </cell>
          <cell r="W460">
            <v>0.85960384990933181</v>
          </cell>
          <cell r="X460">
            <v>1.0731036362847814</v>
          </cell>
          <cell r="Y460">
            <v>0.74493016661625089</v>
          </cell>
          <cell r="Z460" t="e">
            <v>#N/A</v>
          </cell>
          <cell r="AA460">
            <v>0.92228920553728744</v>
          </cell>
          <cell r="AB460">
            <v>0.92228920553728744</v>
          </cell>
          <cell r="AC460">
            <v>0.79902491874322867</v>
          </cell>
          <cell r="AD460" t="e">
            <v>#N/A</v>
          </cell>
          <cell r="AE460">
            <v>1.3243243243243241</v>
          </cell>
          <cell r="AF460">
            <v>1.1993243243243246</v>
          </cell>
          <cell r="AG460">
            <v>0.71214376906013133</v>
          </cell>
          <cell r="AH460">
            <v>0.8716198565218265</v>
          </cell>
          <cell r="AI460">
            <v>1.7208333333333332</v>
          </cell>
          <cell r="AJ460" t="e">
            <v>#VALUE!</v>
          </cell>
          <cell r="AK460">
            <v>0.88977832512315269</v>
          </cell>
          <cell r="AL460">
            <v>0.7804966618493917</v>
          </cell>
          <cell r="AM460">
            <v>1.7327652662298332</v>
          </cell>
          <cell r="AN460">
            <v>0.49740829346092502</v>
          </cell>
          <cell r="AO460" t="e">
            <v>#N/A</v>
          </cell>
          <cell r="AP460">
            <v>1.3382053130003897</v>
          </cell>
          <cell r="AQ460" t="e">
            <v>#VALUE!</v>
          </cell>
          <cell r="AR460">
            <v>1.3382053130003897</v>
          </cell>
          <cell r="AS460">
            <v>0.71214376906013133</v>
          </cell>
          <cell r="AT460" t="e">
            <v>#N/A</v>
          </cell>
          <cell r="AU460">
            <v>0.93347763347763335</v>
          </cell>
          <cell r="AV460">
            <v>0.93347763347763335</v>
          </cell>
          <cell r="AW460" t="e">
            <v>#VALUE!</v>
          </cell>
          <cell r="AX460" t="e">
            <v>#VALUE!</v>
          </cell>
          <cell r="AY460" t="e">
            <v>#VALUE!</v>
          </cell>
          <cell r="AZ460" t="e">
            <v>#VALUE!</v>
          </cell>
          <cell r="BA460" t="e">
            <v>#VALUE!</v>
          </cell>
          <cell r="BB460" t="e">
            <v>#VALUE!</v>
          </cell>
          <cell r="BC460" t="e">
            <v>#VALUE!</v>
          </cell>
          <cell r="BD460" t="e">
            <v>#VALUE!</v>
          </cell>
          <cell r="BE460" t="e">
            <v>#VALUE!</v>
          </cell>
        </row>
        <row r="461">
          <cell r="H461">
            <v>1.0684210526315787</v>
          </cell>
          <cell r="I461">
            <v>1.2304347826086957</v>
          </cell>
          <cell r="J461">
            <v>1.4581453634085213</v>
          </cell>
          <cell r="K461">
            <v>0.88748495788206982</v>
          </cell>
          <cell r="L461">
            <v>4.6580645161290324</v>
          </cell>
          <cell r="M461">
            <v>1.3465627214741318</v>
          </cell>
          <cell r="N461">
            <v>1.0687321937321936</v>
          </cell>
          <cell r="O461">
            <v>1.2029411764705882</v>
          </cell>
          <cell r="P461">
            <v>1.0620490620490619</v>
          </cell>
          <cell r="Q461">
            <v>1.1055821371610843</v>
          </cell>
          <cell r="R461">
            <v>1.32060066030033</v>
          </cell>
          <cell r="S461">
            <v>1.054433713784021</v>
          </cell>
          <cell r="T461" t="e">
            <v>#VALUE!</v>
          </cell>
          <cell r="U461">
            <v>2.7973684210526319</v>
          </cell>
          <cell r="V461">
            <v>1.1266233766233766</v>
          </cell>
          <cell r="W461">
            <v>0.97848523340743077</v>
          </cell>
          <cell r="X461">
            <v>1.2419064554756458</v>
          </cell>
          <cell r="Y461">
            <v>0.93669436792340466</v>
          </cell>
          <cell r="Z461" t="e">
            <v>#N/A</v>
          </cell>
          <cell r="AA461">
            <v>1.10350145413259</v>
          </cell>
          <cell r="AB461">
            <v>1.10350145413259</v>
          </cell>
          <cell r="AC461">
            <v>0.88641826923076916</v>
          </cell>
          <cell r="AD461" t="e">
            <v>#N/A</v>
          </cell>
          <cell r="AE461">
            <v>1.8666666666666665</v>
          </cell>
          <cell r="AF461">
            <v>1.38671875</v>
          </cell>
          <cell r="AG461">
            <v>0.85300737173136609</v>
          </cell>
          <cell r="AH461">
            <v>1.2336344934158758</v>
          </cell>
          <cell r="AI461">
            <v>3.4416666666666664</v>
          </cell>
          <cell r="AJ461" t="e">
            <v>#VALUE!</v>
          </cell>
          <cell r="AK461">
            <v>1.0262784090909089</v>
          </cell>
          <cell r="AL461">
            <v>0.95126451493284914</v>
          </cell>
          <cell r="AM461">
            <v>1.9303613053613053</v>
          </cell>
          <cell r="AN461">
            <v>0.74477611940298505</v>
          </cell>
          <cell r="AO461" t="e">
            <v>#N/A</v>
          </cell>
          <cell r="AP461">
            <v>1.6041666199774547</v>
          </cell>
          <cell r="AQ461" t="e">
            <v>#VALUE!</v>
          </cell>
          <cell r="AR461">
            <v>1.6041666199774547</v>
          </cell>
          <cell r="AS461">
            <v>0.85300737173136609</v>
          </cell>
          <cell r="AT461" t="e">
            <v>#N/A</v>
          </cell>
          <cell r="AU461">
            <v>1.1227394217084938</v>
          </cell>
          <cell r="AV461">
            <v>1.1227394217084938</v>
          </cell>
          <cell r="AW461" t="e">
            <v>#VALUE!</v>
          </cell>
          <cell r="AX461" t="e">
            <v>#VALUE!</v>
          </cell>
          <cell r="AY461" t="e">
            <v>#VALUE!</v>
          </cell>
          <cell r="AZ461" t="e">
            <v>#VALUE!</v>
          </cell>
          <cell r="BA461" t="e">
            <v>#VALUE!</v>
          </cell>
          <cell r="BB461" t="e">
            <v>#VALUE!</v>
          </cell>
          <cell r="BC461" t="e">
            <v>#VALUE!</v>
          </cell>
          <cell r="BD461" t="e">
            <v>#VALUE!</v>
          </cell>
          <cell r="BE461" t="e">
            <v>#VALUE!</v>
          </cell>
        </row>
        <row r="464">
          <cell r="H464" t="e">
            <v>#NAME?</v>
          </cell>
          <cell r="I464" t="e">
            <v>#NAME?</v>
          </cell>
          <cell r="J464" t="e">
            <v>#NAME?</v>
          </cell>
          <cell r="K464" t="e">
            <v>#NAME?</v>
          </cell>
          <cell r="L464" t="e">
            <v>#NAME?</v>
          </cell>
          <cell r="M464" t="e">
            <v>#NAME?</v>
          </cell>
          <cell r="N464" t="e">
            <v>#NAME?</v>
          </cell>
          <cell r="O464" t="e">
            <v>#NAME?</v>
          </cell>
          <cell r="P464" t="e">
            <v>#NAME?</v>
          </cell>
          <cell r="Q464" t="e">
            <v>#NAME?</v>
          </cell>
          <cell r="R464" t="e">
            <v>#NAME?</v>
          </cell>
          <cell r="S464" t="e">
            <v>#NAME?</v>
          </cell>
          <cell r="T464" t="e">
            <v>#NAME?</v>
          </cell>
          <cell r="U464" t="e">
            <v>#NAME?</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t="e">
            <v>#NAME?</v>
          </cell>
          <cell r="AG464" t="e">
            <v>#NAME?</v>
          </cell>
          <cell r="AH464" t="e">
            <v>#NAME?</v>
          </cell>
          <cell r="AI464" t="e">
            <v>#NAME?</v>
          </cell>
          <cell r="AJ464" t="e">
            <v>#NAME?</v>
          </cell>
          <cell r="AK464" t="e">
            <v>#NAME?</v>
          </cell>
          <cell r="AL464" t="e">
            <v>#NAME?</v>
          </cell>
          <cell r="AM464" t="e">
            <v>#NAME?</v>
          </cell>
          <cell r="AN464" t="e">
            <v>#NAME?</v>
          </cell>
          <cell r="AO464" t="e">
            <v>#NAME?</v>
          </cell>
          <cell r="AP464" t="e">
            <v>#NAME?</v>
          </cell>
          <cell r="AQ464" t="e">
            <v>#NAME?</v>
          </cell>
          <cell r="AR464" t="e">
            <v>#NAME?</v>
          </cell>
          <cell r="AS464" t="e">
            <v>#NAME?</v>
          </cell>
          <cell r="AT464" t="e">
            <v>#NAME?</v>
          </cell>
          <cell r="AU464" t="e">
            <v>#NAME?</v>
          </cell>
          <cell r="AV464" t="e">
            <v>#NAME?</v>
          </cell>
          <cell r="AW464" t="e">
            <v>#NAME?</v>
          </cell>
          <cell r="AX464" t="e">
            <v>#NAME?</v>
          </cell>
          <cell r="AY464" t="e">
            <v>#NAME?</v>
          </cell>
          <cell r="AZ464" t="e">
            <v>#NAME?</v>
          </cell>
          <cell r="BA464" t="e">
            <v>#NAME?</v>
          </cell>
          <cell r="BB464" t="e">
            <v>#NAME?</v>
          </cell>
          <cell r="BC464" t="e">
            <v>#NAME?</v>
          </cell>
          <cell r="BD464" t="e">
            <v>#NAME?</v>
          </cell>
          <cell r="BE464" t="e">
            <v>#NAME?</v>
          </cell>
        </row>
        <row r="465">
          <cell r="H465" t="e">
            <v>#NAME?</v>
          </cell>
          <cell r="I465" t="e">
            <v>#NAME?</v>
          </cell>
          <cell r="J465" t="e">
            <v>#NAME?</v>
          </cell>
          <cell r="K465" t="e">
            <v>#NAME?</v>
          </cell>
          <cell r="L465" t="e">
            <v>#NAME?</v>
          </cell>
          <cell r="M465" t="e">
            <v>#NAME?</v>
          </cell>
          <cell r="N465" t="e">
            <v>#NAME?</v>
          </cell>
          <cell r="O465" t="e">
            <v>#NAME?</v>
          </cell>
          <cell r="P465" t="e">
            <v>#NAME?</v>
          </cell>
          <cell r="Q465" t="e">
            <v>#NAME?</v>
          </cell>
          <cell r="R465" t="e">
            <v>#NAME?</v>
          </cell>
          <cell r="S465" t="e">
            <v>#NAME?</v>
          </cell>
          <cell r="T465" t="e">
            <v>#NAME?</v>
          </cell>
          <cell r="U465" t="e">
            <v>#NAME?</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t="e">
            <v>#NAME?</v>
          </cell>
          <cell r="AG465" t="e">
            <v>#NAME?</v>
          </cell>
          <cell r="AH465" t="e">
            <v>#NAME?</v>
          </cell>
          <cell r="AI465" t="e">
            <v>#NAME?</v>
          </cell>
          <cell r="AJ465" t="e">
            <v>#NAME?</v>
          </cell>
          <cell r="AK465" t="e">
            <v>#NAME?</v>
          </cell>
          <cell r="AL465" t="e">
            <v>#NAME?</v>
          </cell>
          <cell r="AM465" t="e">
            <v>#NAME?</v>
          </cell>
          <cell r="AN465" t="e">
            <v>#NAME?</v>
          </cell>
          <cell r="AO465" t="e">
            <v>#NAME?</v>
          </cell>
          <cell r="AP465" t="e">
            <v>#NAME?</v>
          </cell>
          <cell r="AQ465" t="e">
            <v>#NAME?</v>
          </cell>
          <cell r="AR465" t="e">
            <v>#NAME?</v>
          </cell>
          <cell r="AS465" t="e">
            <v>#NAME?</v>
          </cell>
          <cell r="AT465" t="e">
            <v>#NAME?</v>
          </cell>
          <cell r="AU465" t="e">
            <v>#NAME?</v>
          </cell>
          <cell r="AV465" t="e">
            <v>#NAME?</v>
          </cell>
          <cell r="AW465" t="e">
            <v>#NAME?</v>
          </cell>
          <cell r="AX465" t="e">
            <v>#NAME?</v>
          </cell>
          <cell r="AY465" t="e">
            <v>#NAME?</v>
          </cell>
          <cell r="AZ465" t="e">
            <v>#NAME?</v>
          </cell>
          <cell r="BA465" t="e">
            <v>#NAME?</v>
          </cell>
          <cell r="BB465" t="e">
            <v>#NAME?</v>
          </cell>
          <cell r="BC465" t="e">
            <v>#NAME?</v>
          </cell>
          <cell r="BD465" t="e">
            <v>#NAME?</v>
          </cell>
          <cell r="BE465" t="e">
            <v>#NAME?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_Large"/>
      <sheetName val="Comparison"/>
      <sheetName val="Historical Financial Statements"/>
      <sheetName val="Calculations"/>
      <sheetName val="Ratio Analysis"/>
      <sheetName val="Charts"/>
      <sheetName val="#REF"/>
      <sheetName val="Data_Download"/>
      <sheetName val="IS"/>
      <sheetName val="Security_Comparable_Large"/>
      <sheetName val="Invested capital_VDF"/>
      <sheetName val="Forecasts_VDF"/>
      <sheetName val="Summary Page_VDF"/>
      <sheetName val="NOPAT_VDF"/>
      <sheetName val="DCF_VDF"/>
      <sheetName val="PV of Op Leases_VDF"/>
      <sheetName val="Income Statement_VDF"/>
      <sheetName val="WACC_VDF"/>
      <sheetName val="Charts_VDF"/>
    </sheetNames>
    <sheetDataSet>
      <sheetData sheetId="0"/>
      <sheetData sheetId="1" refreshError="1">
        <row r="5">
          <cell r="E5">
            <v>0.35523561630796929</v>
          </cell>
        </row>
        <row r="6">
          <cell r="E6">
            <v>-0.78947368421052633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Y UPLOAD"/>
      <sheetName val="Valuations"/>
      <sheetName val="Five Year Sales &amp; Earnings"/>
      <sheetName val="Qtr Income"/>
      <sheetName val="Qtr Margin"/>
      <sheetName val="Q Preview"/>
      <sheetName val="Qtr Sales"/>
      <sheetName val="Annual Product Sales"/>
      <sheetName val="Annual Prod Sales"/>
      <sheetName val="CF2"/>
      <sheetName val="BS2"/>
      <sheetName val="P&amp;L"/>
      <sheetName val="QTR"/>
      <sheetName val="blank"/>
      <sheetName val="Balance"/>
      <sheetName val="Cash flow"/>
      <sheetName val="IS-COMPS"/>
      <sheetName val="Paul - SEGS-MARGIN"/>
      <sheetName val="CF"/>
      <sheetName val="Qtr Link"/>
      <sheetName val="JV"/>
      <sheetName val="Stat SHeet"/>
      <sheetName val="Qtr detail"/>
      <sheetName val="Rx Data"/>
      <sheetName val="Celexa"/>
      <sheetName val="Disclaimer"/>
      <sheetName val="IndexInformation"/>
      <sheetName val="MainCode"/>
      <sheetName val="NY UPLOAD shadow"/>
      <sheetName val="Module1"/>
      <sheetName val="Module2"/>
      <sheetName val="Module3"/>
      <sheetName val="Key Charts"/>
      <sheetName val="Qrt Sales"/>
      <sheetName val="WLAwork1"/>
      <sheetName val="Enbrel Assumptions"/>
    </sheetNames>
    <sheetDataSet>
      <sheetData sheetId="0" refreshError="1"/>
      <sheetData sheetId="1" refreshError="1"/>
      <sheetData sheetId="2" refreshError="1"/>
      <sheetData sheetId="3" refreshError="1">
        <row r="1">
          <cell r="A1" t="str">
            <v>Table 3</v>
          </cell>
          <cell r="C1" t="e">
            <v>#REF!</v>
          </cell>
          <cell r="D1">
            <v>36698.77703784722</v>
          </cell>
        </row>
        <row r="2">
          <cell r="A2" t="str">
            <v>Warner Lambert</v>
          </cell>
        </row>
        <row r="3">
          <cell r="A3" t="str">
            <v>Quarterly Income Statement Comparisons 1998 - 2005E</v>
          </cell>
        </row>
        <row r="4">
          <cell r="A4" t="str">
            <v>($ Millions Except Per Share Data)</v>
          </cell>
        </row>
        <row r="5">
          <cell r="H5" t="str">
            <v>Non-Operating Items</v>
          </cell>
          <cell r="Q5" t="str">
            <v>Tax</v>
          </cell>
          <cell r="T5" t="str">
            <v xml:space="preserve">  Shares</v>
          </cell>
        </row>
        <row r="6">
          <cell r="C6" t="str">
            <v>Cost of</v>
          </cell>
          <cell r="D6" t="str">
            <v xml:space="preserve">  Gross</v>
          </cell>
          <cell r="G6" t="str">
            <v xml:space="preserve">  Oper.</v>
          </cell>
          <cell r="H6" t="str">
            <v>Interest</v>
          </cell>
          <cell r="I6" t="str">
            <v>Interest</v>
          </cell>
          <cell r="J6" t="str">
            <v>Intang.</v>
          </cell>
          <cell r="K6" t="str">
            <v>Celexa</v>
          </cell>
          <cell r="L6" t="str">
            <v>Other</v>
          </cell>
          <cell r="N6" t="str">
            <v>Min.</v>
          </cell>
          <cell r="O6" t="str">
            <v xml:space="preserve">  Pretax </v>
          </cell>
          <cell r="Q6" t="str">
            <v>Rate</v>
          </cell>
          <cell r="R6" t="str">
            <v>Agouron</v>
          </cell>
          <cell r="S6" t="str">
            <v xml:space="preserve">  Net </v>
          </cell>
          <cell r="T6" t="str">
            <v xml:space="preserve">  Out.</v>
          </cell>
          <cell r="U6" t="str">
            <v>WLA</v>
          </cell>
          <cell r="W6" t="str">
            <v>(a)</v>
          </cell>
        </row>
        <row r="7">
          <cell r="B7" t="str">
            <v>Sales</v>
          </cell>
          <cell r="C7" t="str">
            <v xml:space="preserve"> Goods</v>
          </cell>
          <cell r="D7" t="str">
            <v xml:space="preserve">  Profit</v>
          </cell>
          <cell r="E7" t="str">
            <v>SG&amp;A</v>
          </cell>
          <cell r="F7" t="str">
            <v>R&amp;D</v>
          </cell>
          <cell r="G7" t="str">
            <v>Income</v>
          </cell>
          <cell r="H7" t="str">
            <v>Income</v>
          </cell>
          <cell r="I7" t="str">
            <v>Expense</v>
          </cell>
          <cell r="J7" t="str">
            <v>Amort.</v>
          </cell>
          <cell r="K7" t="str">
            <v>Inc.</v>
          </cell>
          <cell r="L7" t="str">
            <v>Inc</v>
          </cell>
          <cell r="M7" t="str">
            <v>Total</v>
          </cell>
          <cell r="N7" t="str">
            <v xml:space="preserve">Int. </v>
          </cell>
          <cell r="O7" t="str">
            <v xml:space="preserve">  Income</v>
          </cell>
          <cell r="P7" t="str">
            <v>Taxes</v>
          </cell>
          <cell r="Q7" t="str">
            <v xml:space="preserve">  (%)</v>
          </cell>
          <cell r="R7" t="str">
            <v>Net</v>
          </cell>
          <cell r="S7" t="str">
            <v>Inc.</v>
          </cell>
          <cell r="T7" t="str">
            <v>(MM)</v>
          </cell>
          <cell r="U7" t="str">
            <v xml:space="preserve">  EPS</v>
          </cell>
          <cell r="V7" t="str">
            <v>DPS</v>
          </cell>
          <cell r="W7" t="str">
            <v>EPS</v>
          </cell>
        </row>
        <row r="9">
          <cell r="A9" t="str">
            <v>1989</v>
          </cell>
          <cell r="B9">
            <v>4195.8999999999996</v>
          </cell>
          <cell r="C9">
            <v>1383.4</v>
          </cell>
          <cell r="D9">
            <v>2812.4999999999995</v>
          </cell>
          <cell r="E9">
            <v>1932.6</v>
          </cell>
          <cell r="F9">
            <v>308.8</v>
          </cell>
          <cell r="G9">
            <v>571.09999999999968</v>
          </cell>
          <cell r="H9">
            <v>0</v>
          </cell>
          <cell r="I9">
            <v>-55.6</v>
          </cell>
          <cell r="J9">
            <v>0</v>
          </cell>
          <cell r="L9">
            <v>76.2</v>
          </cell>
          <cell r="M9">
            <v>20.6</v>
          </cell>
          <cell r="N9">
            <v>0</v>
          </cell>
          <cell r="O9">
            <v>591.6999999999997</v>
          </cell>
          <cell r="P9">
            <v>179</v>
          </cell>
          <cell r="Q9">
            <v>0.30251816799053588</v>
          </cell>
          <cell r="S9">
            <v>412.6999999999997</v>
          </cell>
          <cell r="T9">
            <v>812.40000000000009</v>
          </cell>
          <cell r="U9">
            <v>0.50800098473658251</v>
          </cell>
          <cell r="W9">
            <v>0.32666666666666666</v>
          </cell>
        </row>
        <row r="11">
          <cell r="A11" t="str">
            <v>1990</v>
          </cell>
          <cell r="B11">
            <v>1100</v>
          </cell>
          <cell r="C11">
            <v>356.4</v>
          </cell>
          <cell r="D11">
            <v>743.6</v>
          </cell>
          <cell r="E11">
            <v>487.7</v>
          </cell>
          <cell r="F11">
            <v>81.3</v>
          </cell>
          <cell r="G11">
            <v>174.60000000000002</v>
          </cell>
          <cell r="H11">
            <v>0</v>
          </cell>
          <cell r="I11">
            <v>-20.7</v>
          </cell>
          <cell r="J11">
            <v>0</v>
          </cell>
          <cell r="L11">
            <v>17.899999999999999</v>
          </cell>
          <cell r="M11">
            <v>-2.8000000000000007</v>
          </cell>
          <cell r="N11">
            <v>0</v>
          </cell>
          <cell r="O11">
            <v>171.8</v>
          </cell>
          <cell r="P11">
            <v>51.5</v>
          </cell>
          <cell r="Q11">
            <v>0.29976717112922002</v>
          </cell>
          <cell r="S11">
            <v>120.30000000000001</v>
          </cell>
          <cell r="T11">
            <v>403.5</v>
          </cell>
          <cell r="U11">
            <v>0.29814126394052048</v>
          </cell>
          <cell r="W11">
            <v>0.29666666666666669</v>
          </cell>
        </row>
        <row r="12">
          <cell r="B12">
            <v>1154.8</v>
          </cell>
          <cell r="C12">
            <v>363.6</v>
          </cell>
          <cell r="D12">
            <v>791.19999999999993</v>
          </cell>
          <cell r="E12">
            <v>519.1</v>
          </cell>
          <cell r="F12">
            <v>85.9</v>
          </cell>
          <cell r="G12">
            <v>186.1999999999999</v>
          </cell>
          <cell r="H12">
            <v>0</v>
          </cell>
          <cell r="I12">
            <v>-16.7</v>
          </cell>
          <cell r="J12">
            <v>0</v>
          </cell>
          <cell r="L12">
            <v>19.600000000000001</v>
          </cell>
          <cell r="M12">
            <v>2.9000000000000021</v>
          </cell>
          <cell r="N12">
            <v>0</v>
          </cell>
          <cell r="O12">
            <v>189.09999999999991</v>
          </cell>
          <cell r="P12">
            <v>54.6</v>
          </cell>
          <cell r="Q12">
            <v>0.28873611845584363</v>
          </cell>
          <cell r="S12">
            <v>134.49999999999991</v>
          </cell>
          <cell r="T12">
            <v>402.59999999999997</v>
          </cell>
          <cell r="U12">
            <v>0.33407848981619453</v>
          </cell>
          <cell r="W12">
            <v>0.42796820665673002</v>
          </cell>
        </row>
        <row r="13">
          <cell r="B13">
            <v>1186.7</v>
          </cell>
          <cell r="C13">
            <v>389.7</v>
          </cell>
          <cell r="D13">
            <v>797</v>
          </cell>
          <cell r="E13">
            <v>519.1</v>
          </cell>
          <cell r="F13">
            <v>101.6</v>
          </cell>
          <cell r="G13">
            <v>176.29999999999998</v>
          </cell>
          <cell r="H13">
            <v>0</v>
          </cell>
          <cell r="I13">
            <v>-15.1</v>
          </cell>
          <cell r="J13">
            <v>0</v>
          </cell>
          <cell r="L13">
            <v>15.5</v>
          </cell>
          <cell r="M13">
            <v>0.40000000000000036</v>
          </cell>
          <cell r="N13">
            <v>0</v>
          </cell>
          <cell r="O13">
            <v>176.7</v>
          </cell>
          <cell r="P13">
            <v>52</v>
          </cell>
          <cell r="Q13">
            <v>0.29428409734012451</v>
          </cell>
          <cell r="S13">
            <v>124.69999999999999</v>
          </cell>
          <cell r="T13">
            <v>402.90000000000003</v>
          </cell>
          <cell r="U13">
            <v>0.30950608091337795</v>
          </cell>
          <cell r="W13">
            <v>0.29511044924298835</v>
          </cell>
        </row>
        <row r="14">
          <cell r="B14">
            <v>1245.5</v>
          </cell>
          <cell r="C14">
            <v>405.7</v>
          </cell>
          <cell r="D14">
            <v>839.8</v>
          </cell>
          <cell r="E14">
            <v>603.79999999999995</v>
          </cell>
          <cell r="F14">
            <v>110.5</v>
          </cell>
          <cell r="G14">
            <v>125.5</v>
          </cell>
          <cell r="H14">
            <v>0</v>
          </cell>
          <cell r="I14">
            <v>-16.2</v>
          </cell>
          <cell r="J14">
            <v>0</v>
          </cell>
          <cell r="L14">
            <v>33.9</v>
          </cell>
          <cell r="M14">
            <v>17.7</v>
          </cell>
          <cell r="N14">
            <v>0</v>
          </cell>
          <cell r="O14">
            <v>143.19999999999999</v>
          </cell>
          <cell r="P14">
            <v>37.700000000000003</v>
          </cell>
          <cell r="Q14">
            <v>0.26326815642458107</v>
          </cell>
          <cell r="S14">
            <v>105.49999999999999</v>
          </cell>
          <cell r="T14">
            <v>402.90000000000003</v>
          </cell>
          <cell r="U14">
            <v>0.26185157607346732</v>
          </cell>
          <cell r="W14">
            <v>0.27450980392156865</v>
          </cell>
        </row>
        <row r="16">
          <cell r="A16" t="str">
            <v>1990</v>
          </cell>
          <cell r="B16">
            <v>4687</v>
          </cell>
          <cell r="C16">
            <v>1515.4</v>
          </cell>
          <cell r="D16">
            <v>3171.6</v>
          </cell>
          <cell r="E16">
            <v>2129.6999999999998</v>
          </cell>
          <cell r="F16">
            <v>379.29999999999995</v>
          </cell>
          <cell r="G16">
            <v>662.59999999999991</v>
          </cell>
          <cell r="H16">
            <v>0</v>
          </cell>
          <cell r="I16">
            <v>-68.7</v>
          </cell>
          <cell r="J16">
            <v>0</v>
          </cell>
          <cell r="L16">
            <v>86.9</v>
          </cell>
          <cell r="M16">
            <v>18.200000000000003</v>
          </cell>
          <cell r="N16">
            <v>0</v>
          </cell>
          <cell r="O16">
            <v>680.8</v>
          </cell>
          <cell r="P16">
            <v>195.8</v>
          </cell>
          <cell r="Q16">
            <v>0.2876028202115159</v>
          </cell>
          <cell r="S16">
            <v>484.99999999999989</v>
          </cell>
          <cell r="T16">
            <v>402.90000000000003</v>
          </cell>
          <cell r="U16">
            <v>1.2037726482998259</v>
          </cell>
          <cell r="W16">
            <v>1.2966666666666666</v>
          </cell>
        </row>
        <row r="18">
          <cell r="A18" t="str">
            <v>1991</v>
          </cell>
          <cell r="B18">
            <v>1217.2</v>
          </cell>
          <cell r="C18">
            <v>379.7</v>
          </cell>
          <cell r="D18">
            <v>837.5</v>
          </cell>
          <cell r="E18">
            <v>555.79999999999995</v>
          </cell>
          <cell r="F18">
            <v>94.7</v>
          </cell>
          <cell r="G18">
            <v>187.00000000000006</v>
          </cell>
          <cell r="H18">
            <v>0</v>
          </cell>
          <cell r="I18">
            <v>-16.399999999999999</v>
          </cell>
          <cell r="J18">
            <v>0</v>
          </cell>
          <cell r="L18">
            <v>21.8</v>
          </cell>
          <cell r="M18">
            <v>5.4000000000000021</v>
          </cell>
          <cell r="N18">
            <v>0</v>
          </cell>
          <cell r="O18">
            <v>192.40000000000006</v>
          </cell>
          <cell r="P18">
            <v>52.9</v>
          </cell>
          <cell r="Q18">
            <v>0.27494802494802484</v>
          </cell>
          <cell r="S18">
            <v>139.50000000000006</v>
          </cell>
          <cell r="T18">
            <v>806.40000000000009</v>
          </cell>
          <cell r="U18">
            <v>0.17299107142857148</v>
          </cell>
          <cell r="W18">
            <v>0.17299107142857131</v>
          </cell>
        </row>
        <row r="19">
          <cell r="B19">
            <v>1238.2</v>
          </cell>
          <cell r="C19">
            <v>394.8</v>
          </cell>
          <cell r="D19">
            <v>843.40000000000009</v>
          </cell>
          <cell r="E19">
            <v>544.6</v>
          </cell>
          <cell r="F19">
            <v>101.4</v>
          </cell>
          <cell r="G19">
            <v>197.40000000000006</v>
          </cell>
          <cell r="H19">
            <v>0</v>
          </cell>
          <cell r="I19">
            <v>-14.4</v>
          </cell>
          <cell r="J19">
            <v>0</v>
          </cell>
          <cell r="L19">
            <v>27.5</v>
          </cell>
          <cell r="M19">
            <v>13.1</v>
          </cell>
          <cell r="N19">
            <v>0</v>
          </cell>
          <cell r="O19">
            <v>210.50000000000006</v>
          </cell>
          <cell r="P19">
            <v>55.9</v>
          </cell>
          <cell r="Q19">
            <v>0.26555819477434672</v>
          </cell>
          <cell r="S19">
            <v>154.60000000000005</v>
          </cell>
          <cell r="T19">
            <v>806.40000000000009</v>
          </cell>
          <cell r="U19">
            <v>0.19171626984126988</v>
          </cell>
          <cell r="W19">
            <v>0.19171626984126999</v>
          </cell>
        </row>
        <row r="20">
          <cell r="B20">
            <v>1266.5</v>
          </cell>
          <cell r="C20">
            <v>410.6</v>
          </cell>
          <cell r="D20">
            <v>855.9</v>
          </cell>
          <cell r="E20">
            <v>562.29999999999995</v>
          </cell>
          <cell r="F20">
            <v>106.1</v>
          </cell>
          <cell r="G20">
            <v>187.50000000000003</v>
          </cell>
          <cell r="H20">
            <v>0</v>
          </cell>
          <cell r="I20">
            <v>-12.9</v>
          </cell>
          <cell r="J20">
            <v>0</v>
          </cell>
          <cell r="L20">
            <v>22.4</v>
          </cell>
          <cell r="M20">
            <v>9.4999999999999982</v>
          </cell>
          <cell r="N20">
            <v>0</v>
          </cell>
          <cell r="O20">
            <v>197.00000000000003</v>
          </cell>
          <cell r="P20">
            <v>53.2</v>
          </cell>
          <cell r="Q20">
            <v>0.27005076142131978</v>
          </cell>
          <cell r="S20">
            <v>143.80000000000001</v>
          </cell>
          <cell r="T20">
            <v>806.40000000000009</v>
          </cell>
          <cell r="U20">
            <v>0.1783234126984127</v>
          </cell>
          <cell r="W20">
            <v>0.17212301587301601</v>
          </cell>
        </row>
        <row r="21">
          <cell r="B21">
            <v>1337.8</v>
          </cell>
          <cell r="C21">
            <v>441.3</v>
          </cell>
          <cell r="D21">
            <v>896.5</v>
          </cell>
          <cell r="E21">
            <v>630.6</v>
          </cell>
          <cell r="F21">
            <v>121</v>
          </cell>
          <cell r="G21">
            <v>144.89999999999998</v>
          </cell>
          <cell r="H21">
            <v>0</v>
          </cell>
          <cell r="I21">
            <v>-14.5</v>
          </cell>
          <cell r="J21">
            <v>0</v>
          </cell>
          <cell r="L21">
            <v>35.9</v>
          </cell>
          <cell r="M21">
            <v>21.4</v>
          </cell>
          <cell r="N21">
            <v>0</v>
          </cell>
          <cell r="O21">
            <v>166.29999999999998</v>
          </cell>
          <cell r="P21">
            <v>44.7</v>
          </cell>
          <cell r="Q21">
            <v>0.26879134095009022</v>
          </cell>
          <cell r="S21">
            <v>121.59999999999998</v>
          </cell>
          <cell r="T21">
            <v>807</v>
          </cell>
          <cell r="U21">
            <v>0.15068153655514246</v>
          </cell>
          <cell r="W21">
            <v>0.15068153655514266</v>
          </cell>
        </row>
        <row r="23">
          <cell r="A23" t="str">
            <v>1991</v>
          </cell>
          <cell r="B23">
            <v>5059.7</v>
          </cell>
          <cell r="C23">
            <v>1626.3999999999999</v>
          </cell>
          <cell r="D23">
            <v>3433.3</v>
          </cell>
          <cell r="E23">
            <v>2293.3000000000002</v>
          </cell>
          <cell r="F23">
            <v>423.20000000000005</v>
          </cell>
          <cell r="G23">
            <v>716.80000000000007</v>
          </cell>
          <cell r="H23">
            <v>0</v>
          </cell>
          <cell r="I23">
            <v>-58.199999999999996</v>
          </cell>
          <cell r="J23">
            <v>0</v>
          </cell>
          <cell r="L23">
            <v>107.6</v>
          </cell>
          <cell r="M23">
            <v>49.4</v>
          </cell>
          <cell r="N23">
            <v>0</v>
          </cell>
          <cell r="O23">
            <v>766.2</v>
          </cell>
          <cell r="P23">
            <v>206.7</v>
          </cell>
          <cell r="Q23">
            <v>0.26977290524667186</v>
          </cell>
          <cell r="S23">
            <v>559.50000000000011</v>
          </cell>
          <cell r="T23">
            <v>806.40000000000009</v>
          </cell>
          <cell r="U23">
            <v>0.69382440476190488</v>
          </cell>
          <cell r="W23">
            <v>0.68666666666666665</v>
          </cell>
        </row>
        <row r="24">
          <cell r="E24">
            <v>2292.4</v>
          </cell>
        </row>
        <row r="25">
          <cell r="A25" t="str">
            <v>1992</v>
          </cell>
          <cell r="B25">
            <v>1311.5</v>
          </cell>
          <cell r="C25">
            <v>400.9</v>
          </cell>
          <cell r="D25">
            <v>910.6</v>
          </cell>
          <cell r="E25">
            <v>586.9</v>
          </cell>
          <cell r="F25">
            <v>115.1</v>
          </cell>
          <cell r="G25">
            <v>208.60000000000005</v>
          </cell>
          <cell r="H25">
            <v>0</v>
          </cell>
          <cell r="I25">
            <v>-18.899999999999999</v>
          </cell>
          <cell r="J25">
            <v>0</v>
          </cell>
          <cell r="L25">
            <v>32.9</v>
          </cell>
          <cell r="M25">
            <v>14</v>
          </cell>
          <cell r="N25">
            <v>0</v>
          </cell>
          <cell r="O25">
            <v>222.60000000000005</v>
          </cell>
          <cell r="P25">
            <v>59</v>
          </cell>
          <cell r="Q25">
            <v>0.26504941599281218</v>
          </cell>
          <cell r="S25">
            <v>163.60000000000005</v>
          </cell>
          <cell r="T25">
            <v>807.59999999999991</v>
          </cell>
          <cell r="U25">
            <v>0.20257553244180296</v>
          </cell>
          <cell r="W25">
            <v>0.20333333333333334</v>
          </cell>
        </row>
        <row r="26">
          <cell r="B26">
            <v>1373.3</v>
          </cell>
          <cell r="C26">
            <v>434.2</v>
          </cell>
          <cell r="D26">
            <v>939.09999999999991</v>
          </cell>
          <cell r="E26">
            <v>596.70000000000005</v>
          </cell>
          <cell r="F26">
            <v>105.8</v>
          </cell>
          <cell r="G26">
            <v>236.59999999999985</v>
          </cell>
          <cell r="H26">
            <v>0</v>
          </cell>
          <cell r="I26">
            <v>-18</v>
          </cell>
          <cell r="J26">
            <v>0</v>
          </cell>
          <cell r="L26">
            <v>20</v>
          </cell>
          <cell r="M26">
            <v>2</v>
          </cell>
          <cell r="N26">
            <v>0</v>
          </cell>
          <cell r="O26">
            <v>238.59999999999985</v>
          </cell>
          <cell r="P26">
            <v>61</v>
          </cell>
          <cell r="Q26">
            <v>0.25565800502933794</v>
          </cell>
          <cell r="S26">
            <v>177.59999999999985</v>
          </cell>
          <cell r="T26">
            <v>807.59999999999991</v>
          </cell>
          <cell r="U26">
            <v>0.21991084695393742</v>
          </cell>
          <cell r="W26">
            <v>0.23333333333333331</v>
          </cell>
        </row>
        <row r="27">
          <cell r="B27">
            <v>1438.3</v>
          </cell>
          <cell r="C27">
            <v>481.2</v>
          </cell>
          <cell r="D27">
            <v>957.09999999999991</v>
          </cell>
          <cell r="E27">
            <v>619.6</v>
          </cell>
          <cell r="F27">
            <v>116.03</v>
          </cell>
          <cell r="G27">
            <v>221.46999999999989</v>
          </cell>
          <cell r="H27">
            <v>0</v>
          </cell>
          <cell r="I27">
            <v>-21</v>
          </cell>
          <cell r="J27">
            <v>0</v>
          </cell>
          <cell r="L27">
            <v>22.1</v>
          </cell>
          <cell r="M27">
            <v>1.1000000000000014</v>
          </cell>
          <cell r="N27">
            <v>0</v>
          </cell>
          <cell r="O27">
            <v>222.56999999999988</v>
          </cell>
          <cell r="P27">
            <v>57.85</v>
          </cell>
          <cell r="Q27">
            <v>0.25991822797322206</v>
          </cell>
          <cell r="S27">
            <v>164.71999999999989</v>
          </cell>
          <cell r="T27">
            <v>807.93600000000004</v>
          </cell>
          <cell r="U27">
            <v>0.20387753485424573</v>
          </cell>
          <cell r="W27">
            <v>0.20333333333333334</v>
          </cell>
        </row>
        <row r="28">
          <cell r="B28">
            <v>1474.412</v>
          </cell>
          <cell r="C28">
            <v>498</v>
          </cell>
          <cell r="D28">
            <v>976.41200000000003</v>
          </cell>
          <cell r="E28">
            <v>677.6</v>
          </cell>
          <cell r="F28">
            <v>136.5</v>
          </cell>
          <cell r="G28">
            <v>162.31200000000001</v>
          </cell>
          <cell r="H28">
            <v>0</v>
          </cell>
          <cell r="I28">
            <v>-18</v>
          </cell>
          <cell r="J28">
            <v>0</v>
          </cell>
          <cell r="L28">
            <v>30.5</v>
          </cell>
          <cell r="M28">
            <v>12.5</v>
          </cell>
          <cell r="N28">
            <v>0</v>
          </cell>
          <cell r="O28">
            <v>174.81200000000001</v>
          </cell>
          <cell r="P28">
            <v>36.765000000000001</v>
          </cell>
          <cell r="Q28">
            <v>0.2103116490858751</v>
          </cell>
          <cell r="S28">
            <v>138.04700000000003</v>
          </cell>
          <cell r="T28">
            <v>808.30200000000013</v>
          </cell>
          <cell r="U28">
            <v>0.1707864139888309</v>
          </cell>
          <cell r="W28">
            <v>0.17</v>
          </cell>
        </row>
        <row r="30">
          <cell r="A30" t="str">
            <v>1992</v>
          </cell>
          <cell r="B30">
            <v>5597.5120000000006</v>
          </cell>
          <cell r="C30">
            <v>1814.3</v>
          </cell>
          <cell r="D30">
            <v>3783.2120000000004</v>
          </cell>
          <cell r="E30">
            <v>2480.7999999999997</v>
          </cell>
          <cell r="F30">
            <v>473.42999999999995</v>
          </cell>
          <cell r="G30">
            <v>828.98199999999986</v>
          </cell>
          <cell r="H30">
            <v>0</v>
          </cell>
          <cell r="I30">
            <v>-75.900000000000006</v>
          </cell>
          <cell r="J30">
            <v>0</v>
          </cell>
          <cell r="L30">
            <v>105.5</v>
          </cell>
          <cell r="M30">
            <v>29.6</v>
          </cell>
          <cell r="N30">
            <v>0</v>
          </cell>
          <cell r="O30">
            <v>858.58199999999977</v>
          </cell>
          <cell r="P30">
            <v>214.61500000000001</v>
          </cell>
          <cell r="Q30">
            <v>0.24996447631094068</v>
          </cell>
          <cell r="S30">
            <v>643.96699999999987</v>
          </cell>
          <cell r="T30">
            <v>808.19999999999993</v>
          </cell>
          <cell r="U30">
            <v>0.79679163573372913</v>
          </cell>
          <cell r="W30">
            <v>0.81</v>
          </cell>
        </row>
        <row r="32">
          <cell r="A32" t="str">
            <v>1993</v>
          </cell>
          <cell r="B32">
            <v>1331.7</v>
          </cell>
          <cell r="C32">
            <v>410.9</v>
          </cell>
          <cell r="D32">
            <v>920.80000000000007</v>
          </cell>
          <cell r="E32">
            <v>588</v>
          </cell>
          <cell r="F32">
            <v>110.7</v>
          </cell>
          <cell r="G32">
            <v>222.10000000000008</v>
          </cell>
          <cell r="H32">
            <v>9.5</v>
          </cell>
          <cell r="I32">
            <v>-14</v>
          </cell>
          <cell r="J32">
            <v>-2.8</v>
          </cell>
          <cell r="L32">
            <v>30.099999999999998</v>
          </cell>
          <cell r="M32">
            <v>22.799999999999997</v>
          </cell>
          <cell r="N32">
            <v>0.1</v>
          </cell>
          <cell r="O32">
            <v>245.00000000000009</v>
          </cell>
          <cell r="P32">
            <v>63.7</v>
          </cell>
          <cell r="Q32">
            <v>0.2599999999999999</v>
          </cell>
          <cell r="S32">
            <v>181.30000000000007</v>
          </cell>
          <cell r="T32">
            <v>812.178</v>
          </cell>
          <cell r="U32">
            <v>0.2232269280871928</v>
          </cell>
          <cell r="W32">
            <v>0.22333333333333336</v>
          </cell>
        </row>
        <row r="33">
          <cell r="B33">
            <v>1449.7</v>
          </cell>
          <cell r="C33">
            <v>471.9</v>
          </cell>
          <cell r="D33">
            <v>977.80000000000007</v>
          </cell>
          <cell r="E33">
            <v>630</v>
          </cell>
          <cell r="F33">
            <v>107.7</v>
          </cell>
          <cell r="G33">
            <v>240.10000000000008</v>
          </cell>
          <cell r="H33">
            <v>9.5</v>
          </cell>
          <cell r="I33">
            <v>-16</v>
          </cell>
          <cell r="J33">
            <v>-2.8</v>
          </cell>
          <cell r="L33">
            <v>19.399999999999999</v>
          </cell>
          <cell r="M33">
            <v>10.099999999999998</v>
          </cell>
          <cell r="N33">
            <v>0.1</v>
          </cell>
          <cell r="O33">
            <v>250.30000000000007</v>
          </cell>
          <cell r="P33">
            <v>60.1</v>
          </cell>
          <cell r="Q33">
            <v>0.24011186576108665</v>
          </cell>
          <cell r="S33">
            <v>190.20000000000007</v>
          </cell>
          <cell r="T33">
            <v>811.19999999999993</v>
          </cell>
          <cell r="U33">
            <v>0.23446745562130189</v>
          </cell>
          <cell r="W33">
            <v>0.23333333333333331</v>
          </cell>
        </row>
        <row r="34">
          <cell r="B34">
            <v>1478.5</v>
          </cell>
          <cell r="C34">
            <v>498.3</v>
          </cell>
          <cell r="D34">
            <v>980.2</v>
          </cell>
          <cell r="E34">
            <v>665.3</v>
          </cell>
          <cell r="F34">
            <v>118.5</v>
          </cell>
          <cell r="G34">
            <v>196.40000000000009</v>
          </cell>
          <cell r="H34">
            <v>10.4</v>
          </cell>
          <cell r="I34">
            <v>-18</v>
          </cell>
          <cell r="J34">
            <v>-2.9</v>
          </cell>
          <cell r="L34">
            <v>8.0999999999999979</v>
          </cell>
          <cell r="M34">
            <v>-2.4000000000000021</v>
          </cell>
          <cell r="N34">
            <v>0.1</v>
          </cell>
          <cell r="O34">
            <v>194.10000000000008</v>
          </cell>
          <cell r="P34">
            <v>38.1</v>
          </cell>
          <cell r="Q34">
            <v>0.19629057187016993</v>
          </cell>
          <cell r="S34">
            <v>156.00000000000009</v>
          </cell>
          <cell r="T34">
            <v>809.40000000000009</v>
          </cell>
          <cell r="U34">
            <v>0.19273535952557458</v>
          </cell>
          <cell r="W34">
            <v>0.19333333333333333</v>
          </cell>
        </row>
        <row r="35">
          <cell r="B35">
            <v>1533.8</v>
          </cell>
          <cell r="C35">
            <v>537</v>
          </cell>
          <cell r="D35">
            <v>996.8</v>
          </cell>
          <cell r="E35">
            <v>712.8</v>
          </cell>
          <cell r="F35">
            <v>128</v>
          </cell>
          <cell r="G35">
            <v>156</v>
          </cell>
          <cell r="H35">
            <v>10.3</v>
          </cell>
          <cell r="I35">
            <v>-16.2</v>
          </cell>
          <cell r="J35">
            <v>-2.9</v>
          </cell>
          <cell r="L35">
            <v>6.9000000000000448</v>
          </cell>
          <cell r="M35">
            <v>-1.8999999999999542</v>
          </cell>
          <cell r="N35">
            <v>0.2</v>
          </cell>
          <cell r="O35">
            <v>154.30000000000004</v>
          </cell>
          <cell r="P35">
            <v>36.399999999999977</v>
          </cell>
          <cell r="Q35">
            <v>0.2359040829552817</v>
          </cell>
          <cell r="S35">
            <v>117.90000000000006</v>
          </cell>
          <cell r="T35">
            <v>806.40000000000009</v>
          </cell>
          <cell r="U35">
            <v>0.14620535714285721</v>
          </cell>
          <cell r="W35">
            <v>-0.24</v>
          </cell>
        </row>
        <row r="37">
          <cell r="A37" t="str">
            <v>1993</v>
          </cell>
          <cell r="B37">
            <v>5793.7</v>
          </cell>
          <cell r="C37">
            <v>1918.1</v>
          </cell>
          <cell r="D37">
            <v>3875.6</v>
          </cell>
          <cell r="E37">
            <v>2596.1</v>
          </cell>
          <cell r="F37">
            <v>464.9</v>
          </cell>
          <cell r="G37">
            <v>814.60000000000025</v>
          </cell>
          <cell r="H37">
            <v>39.700000000000003</v>
          </cell>
          <cell r="I37">
            <v>-64.2</v>
          </cell>
          <cell r="J37">
            <v>-11.4</v>
          </cell>
          <cell r="L37">
            <v>64.500000000000043</v>
          </cell>
          <cell r="M37">
            <v>28.600000000000037</v>
          </cell>
          <cell r="N37">
            <v>0.5</v>
          </cell>
          <cell r="O37">
            <v>843.70000000000039</v>
          </cell>
          <cell r="P37">
            <v>198.29999999999998</v>
          </cell>
          <cell r="Q37">
            <v>0.23503615029038746</v>
          </cell>
          <cell r="S37">
            <v>645.40000000000032</v>
          </cell>
          <cell r="T37">
            <v>810</v>
          </cell>
          <cell r="U37">
            <v>0.79679012345679057</v>
          </cell>
          <cell r="W37">
            <v>0.41</v>
          </cell>
        </row>
        <row r="39">
          <cell r="A39" t="str">
            <v>94/93</v>
          </cell>
          <cell r="B39">
            <v>0.10754750850061279</v>
          </cell>
          <cell r="C39">
            <v>0.12355977269172613</v>
          </cell>
          <cell r="D39">
            <v>9.9622768087522129E-2</v>
          </cell>
          <cell r="E39">
            <v>5.365740919070916E-2</v>
          </cell>
          <cell r="F39">
            <v>-1.9143901914390193E-2</v>
          </cell>
          <cell r="G39">
            <v>0.31389393567394963</v>
          </cell>
          <cell r="H39">
            <v>0.25188916876574297</v>
          </cell>
          <cell r="I39">
            <v>0.45950155763239864</v>
          </cell>
          <cell r="J39">
            <v>9.6491228070175294E-2</v>
          </cell>
          <cell r="L39">
            <v>-1.1317829457364341</v>
          </cell>
          <cell r="M39" t="str">
            <v xml:space="preserve">    NM</v>
          </cell>
          <cell r="N39" t="str">
            <v xml:space="preserve">    NM</v>
          </cell>
          <cell r="O39">
            <v>8.2235391726916518E-2</v>
          </cell>
          <cell r="P39">
            <v>0.10489157841654073</v>
          </cell>
          <cell r="Q39">
            <v>2.093462001226154E-2</v>
          </cell>
          <cell r="S39">
            <v>7.5274248528043985E-2</v>
          </cell>
          <cell r="T39">
            <v>-6.6666666666668206E-3</v>
          </cell>
          <cell r="U39">
            <v>8.3514099783079665E-2</v>
          </cell>
          <cell r="W39">
            <v>1.1056910569105689</v>
          </cell>
        </row>
        <row r="40">
          <cell r="A40" t="str">
            <v>1994</v>
          </cell>
        </row>
        <row r="41">
          <cell r="A41" t="str">
            <v xml:space="preserve"> 1Q</v>
          </cell>
          <cell r="B41">
            <v>1472.895</v>
          </cell>
          <cell r="C41">
            <v>479</v>
          </cell>
          <cell r="D41">
            <v>993.89499999999998</v>
          </cell>
          <cell r="E41">
            <v>612.40000000000009</v>
          </cell>
          <cell r="F41">
            <v>97.9</v>
          </cell>
          <cell r="G41">
            <v>283.59499999999991</v>
          </cell>
          <cell r="H41">
            <v>9.6</v>
          </cell>
          <cell r="I41">
            <v>-18.399999999999999</v>
          </cell>
          <cell r="J41">
            <v>-3.1</v>
          </cell>
          <cell r="L41">
            <v>1.8999999999999986</v>
          </cell>
          <cell r="M41">
            <v>-10</v>
          </cell>
          <cell r="N41">
            <v>-19.815999999999999</v>
          </cell>
          <cell r="O41">
            <v>253.77899999999991</v>
          </cell>
          <cell r="P41">
            <v>63.4</v>
          </cell>
          <cell r="Q41">
            <v>0.24982366547271453</v>
          </cell>
          <cell r="S41">
            <v>190.37899999999991</v>
          </cell>
          <cell r="T41">
            <v>803.09999999999991</v>
          </cell>
          <cell r="U41">
            <v>0.23666666666666666</v>
          </cell>
          <cell r="W41">
            <v>0.23666666666666666</v>
          </cell>
        </row>
        <row r="42">
          <cell r="A42" t="str">
            <v xml:space="preserve"> 2Q</v>
          </cell>
          <cell r="B42">
            <v>1552.203</v>
          </cell>
          <cell r="C42">
            <v>509.3</v>
          </cell>
          <cell r="D42">
            <v>1042.903</v>
          </cell>
          <cell r="E42">
            <v>657</v>
          </cell>
          <cell r="F42">
            <v>100.5</v>
          </cell>
          <cell r="G42">
            <v>285.40300000000002</v>
          </cell>
          <cell r="H42">
            <v>14.5</v>
          </cell>
          <cell r="I42">
            <v>-23.8</v>
          </cell>
          <cell r="J42">
            <v>-3.1</v>
          </cell>
          <cell r="L42">
            <v>1.0999999999999996</v>
          </cell>
          <cell r="M42">
            <v>-11.3</v>
          </cell>
          <cell r="N42">
            <v>-18.600000000000001</v>
          </cell>
          <cell r="O42">
            <v>255.50300000000001</v>
          </cell>
          <cell r="P42">
            <v>58.8</v>
          </cell>
          <cell r="Q42">
            <v>0.23013428413756393</v>
          </cell>
          <cell r="S42">
            <v>196.70300000000003</v>
          </cell>
          <cell r="T42">
            <v>802.7940000000001</v>
          </cell>
          <cell r="U42">
            <v>0.24666666666666667</v>
          </cell>
          <cell r="W42">
            <v>0.24666666666666667</v>
          </cell>
        </row>
        <row r="43">
          <cell r="A43" t="str">
            <v xml:space="preserve"> 3Q</v>
          </cell>
          <cell r="B43">
            <v>1671</v>
          </cell>
          <cell r="C43">
            <v>569.4</v>
          </cell>
          <cell r="D43">
            <v>1101.5999999999999</v>
          </cell>
          <cell r="E43">
            <v>701.1</v>
          </cell>
          <cell r="F43">
            <v>124.2</v>
          </cell>
          <cell r="G43">
            <v>276.2999999999999</v>
          </cell>
          <cell r="H43">
            <v>14.6</v>
          </cell>
          <cell r="I43">
            <v>-26</v>
          </cell>
          <cell r="J43">
            <v>-3.1</v>
          </cell>
          <cell r="L43">
            <v>-4.4000000000000004</v>
          </cell>
          <cell r="M43">
            <v>-18.899999999999999</v>
          </cell>
          <cell r="N43">
            <v>-34.700000000000003</v>
          </cell>
          <cell r="O43">
            <v>222.69999999999993</v>
          </cell>
          <cell r="P43">
            <v>53.5</v>
          </cell>
          <cell r="Q43">
            <v>0.24023349797934448</v>
          </cell>
          <cell r="S43">
            <v>169.19999999999993</v>
          </cell>
          <cell r="T43">
            <v>805.19999999999993</v>
          </cell>
          <cell r="U43">
            <v>0.21</v>
          </cell>
          <cell r="W43">
            <v>0.21</v>
          </cell>
        </row>
        <row r="44">
          <cell r="A44" t="str">
            <v xml:space="preserve"> 4Q</v>
          </cell>
          <cell r="B44">
            <v>1720.7</v>
          </cell>
          <cell r="C44">
            <v>597.4</v>
          </cell>
          <cell r="D44">
            <v>1123.3000000000002</v>
          </cell>
          <cell r="E44">
            <v>764.90000000000009</v>
          </cell>
          <cell r="F44">
            <v>133.4</v>
          </cell>
          <cell r="G44">
            <v>225.00000000000009</v>
          </cell>
          <cell r="H44">
            <v>11</v>
          </cell>
          <cell r="I44">
            <v>-25.5</v>
          </cell>
          <cell r="J44">
            <v>-3.2</v>
          </cell>
          <cell r="L44">
            <v>-7.1000000000000005</v>
          </cell>
          <cell r="M44">
            <v>-24.8</v>
          </cell>
          <cell r="N44">
            <v>-19.100000000000001</v>
          </cell>
          <cell r="O44">
            <v>181.10000000000008</v>
          </cell>
          <cell r="P44">
            <v>43.4</v>
          </cell>
          <cell r="Q44">
            <v>0.23964660408614014</v>
          </cell>
          <cell r="S44">
            <v>137.70000000000007</v>
          </cell>
          <cell r="T44">
            <v>807.24599999999998</v>
          </cell>
          <cell r="U44">
            <v>0.17</v>
          </cell>
          <cell r="W44">
            <v>0.17</v>
          </cell>
        </row>
        <row r="46">
          <cell r="A46" t="str">
            <v>1994</v>
          </cell>
          <cell r="B46">
            <v>6416.7979999999998</v>
          </cell>
          <cell r="C46">
            <v>2155.1</v>
          </cell>
          <cell r="D46">
            <v>4261.6980000000003</v>
          </cell>
          <cell r="E46">
            <v>2735.4</v>
          </cell>
          <cell r="F46">
            <v>456</v>
          </cell>
          <cell r="G46">
            <v>1070.2979999999998</v>
          </cell>
          <cell r="H46">
            <v>49.7</v>
          </cell>
          <cell r="I46">
            <v>-93.7</v>
          </cell>
          <cell r="J46">
            <v>-12.5</v>
          </cell>
          <cell r="L46">
            <v>-8.5000000000000036</v>
          </cell>
          <cell r="M46">
            <v>-65</v>
          </cell>
          <cell r="N46">
            <v>-92.216000000000008</v>
          </cell>
          <cell r="O46">
            <v>913.08199999999988</v>
          </cell>
          <cell r="P46">
            <v>219.1</v>
          </cell>
          <cell r="Q46">
            <v>0.23995654278586154</v>
          </cell>
          <cell r="S46">
            <v>693.98199999999997</v>
          </cell>
          <cell r="T46">
            <v>804.59999999999991</v>
          </cell>
          <cell r="U46">
            <v>0.86333333333333329</v>
          </cell>
          <cell r="W46">
            <v>0.86333333333333329</v>
          </cell>
        </row>
        <row r="48">
          <cell r="A48" t="str">
            <v>95/94</v>
          </cell>
        </row>
        <row r="49">
          <cell r="A49" t="str">
            <v xml:space="preserve"> 1Q</v>
          </cell>
          <cell r="B49">
            <v>8.9419137141479865E-2</v>
          </cell>
          <cell r="C49">
            <v>0.11127348643006263</v>
          </cell>
          <cell r="D49">
            <v>7.888660270954162E-2</v>
          </cell>
          <cell r="E49">
            <v>2.5310254735466886E-2</v>
          </cell>
          <cell r="F49">
            <v>0.16751787538304375</v>
          </cell>
          <cell r="G49">
            <v>0.16398385020892503</v>
          </cell>
          <cell r="H49">
            <v>0.30208333333333348</v>
          </cell>
          <cell r="I49">
            <v>0.5869565217391306</v>
          </cell>
          <cell r="J49">
            <v>0.12903225806451601</v>
          </cell>
          <cell r="L49" t="str">
            <v xml:space="preserve">    NM</v>
          </cell>
          <cell r="M49">
            <v>1.1200000000000001</v>
          </cell>
          <cell r="N49">
            <v>0.52906742026645137</v>
          </cell>
          <cell r="O49">
            <v>9.7805570988931612E-2</v>
          </cell>
          <cell r="P49">
            <v>0.21766561514195581</v>
          </cell>
          <cell r="Q49">
            <v>0.10918148652229132</v>
          </cell>
          <cell r="S49">
            <v>5.788978826446245E-2</v>
          </cell>
          <cell r="T49">
            <v>5.7900635039223047E-3</v>
          </cell>
          <cell r="U49">
            <v>5.6338028169014009E-2</v>
          </cell>
          <cell r="W49">
            <v>5.6338028169014009E-2</v>
          </cell>
        </row>
        <row r="50">
          <cell r="A50" t="str">
            <v xml:space="preserve"> 2Q</v>
          </cell>
          <cell r="B50">
            <v>0.15938443618521547</v>
          </cell>
          <cell r="C50">
            <v>0.20086393088552912</v>
          </cell>
          <cell r="D50">
            <v>0.13912799176912904</v>
          </cell>
          <cell r="E50">
            <v>0.1388127853881278</v>
          </cell>
          <cell r="F50">
            <v>0.18905472636815923</v>
          </cell>
          <cell r="G50">
            <v>0.12227271612421742</v>
          </cell>
          <cell r="H50">
            <v>-0.13103448275862073</v>
          </cell>
          <cell r="I50">
            <v>0.38655462184873945</v>
          </cell>
          <cell r="J50">
            <v>0.12903225806451601</v>
          </cell>
          <cell r="L50" t="str">
            <v xml:space="preserve">    NM</v>
          </cell>
          <cell r="M50">
            <v>0.21238938053097312</v>
          </cell>
          <cell r="N50">
            <v>0.5376344086021505</v>
          </cell>
          <cell r="O50">
            <v>8.804984677283656E-2</v>
          </cell>
          <cell r="P50">
            <v>0.30952380952380953</v>
          </cell>
          <cell r="Q50">
            <v>0.20355130181569003</v>
          </cell>
          <cell r="S50">
            <v>2.1845116749617643E-2</v>
          </cell>
          <cell r="T50">
            <v>8.2287610520257459E-3</v>
          </cell>
          <cell r="U50">
            <v>1.3513513513513598E-2</v>
          </cell>
          <cell r="W50">
            <v>1.3513513513513598E-2</v>
          </cell>
        </row>
        <row r="51">
          <cell r="A51" t="str">
            <v xml:space="preserve"> 3Q</v>
          </cell>
          <cell r="B51">
            <v>6.2657091561938882E-2</v>
          </cell>
          <cell r="C51">
            <v>9.2553565156304973E-2</v>
          </cell>
          <cell r="D51">
            <v>4.7204066811910028E-2</v>
          </cell>
          <cell r="E51">
            <v>0.12081015546997564</v>
          </cell>
          <cell r="F51">
            <v>4.8309178743961345E-2</v>
          </cell>
          <cell r="G51">
            <v>-0.1400651465798044</v>
          </cell>
          <cell r="H51">
            <v>-0.1095890410958904</v>
          </cell>
          <cell r="I51">
            <v>0.20384615384615379</v>
          </cell>
          <cell r="J51">
            <v>0.12903225806451601</v>
          </cell>
          <cell r="L51" t="str">
            <v xml:space="preserve">    NM</v>
          </cell>
          <cell r="M51">
            <v>0.23809523809523858</v>
          </cell>
          <cell r="N51">
            <v>1.4409221902017322E-2</v>
          </cell>
          <cell r="O51">
            <v>-0.19622810956443648</v>
          </cell>
          <cell r="P51">
            <v>-0.11401869158878508</v>
          </cell>
          <cell r="Q51">
            <v>0.10227953845350579</v>
          </cell>
          <cell r="S51">
            <v>-0.22222222222222232</v>
          </cell>
          <cell r="T51">
            <v>7.1572280178839875E-3</v>
          </cell>
          <cell r="U51">
            <v>-0.22222222222222221</v>
          </cell>
          <cell r="W51">
            <v>0.25396825396825418</v>
          </cell>
        </row>
        <row r="52">
          <cell r="A52" t="str">
            <v xml:space="preserve"> 4Q</v>
          </cell>
          <cell r="B52">
            <v>8.0897309234613912E-2</v>
          </cell>
          <cell r="C52">
            <v>0.10729829260127222</v>
          </cell>
          <cell r="D52">
            <v>6.6856583281402981E-2</v>
          </cell>
          <cell r="E52">
            <v>6.9290103281474558E-2</v>
          </cell>
          <cell r="F52">
            <v>2.8485757121439192E-2</v>
          </cell>
          <cell r="G52">
            <v>8.133333333333348E-2</v>
          </cell>
          <cell r="H52">
            <v>5.4545454545454453E-2</v>
          </cell>
          <cell r="I52">
            <v>0.1450980392156862</v>
          </cell>
          <cell r="J52">
            <v>0.40625</v>
          </cell>
          <cell r="L52" t="str">
            <v xml:space="preserve">    NM</v>
          </cell>
          <cell r="M52">
            <v>0.66935483870967727</v>
          </cell>
          <cell r="N52">
            <v>0.87958115183246055</v>
          </cell>
          <cell r="O52">
            <v>-8.3379348426283584E-2</v>
          </cell>
          <cell r="P52">
            <v>-1.1520737327188946E-2</v>
          </cell>
          <cell r="Q52">
            <v>7.8395147409915822E-2</v>
          </cell>
          <cell r="S52">
            <v>-0.1060275962236743</v>
          </cell>
          <cell r="T52">
            <v>4.8981351409607132E-3</v>
          </cell>
          <cell r="U52">
            <v>-0.11764705882352955</v>
          </cell>
          <cell r="W52">
            <v>-0.11764705882352955</v>
          </cell>
        </row>
        <row r="54">
          <cell r="A54" t="str">
            <v>95/94</v>
          </cell>
          <cell r="B54">
            <v>9.7089233602179803E-2</v>
          </cell>
          <cell r="C54">
            <v>0.1263978469676581</v>
          </cell>
          <cell r="D54">
            <v>8.2268147578734796E-2</v>
          </cell>
          <cell r="E54">
            <v>8.9347079037800592E-2</v>
          </cell>
          <cell r="F54">
            <v>9.9122807017543835E-2</v>
          </cell>
          <cell r="G54">
            <v>5.699534148433405E-2</v>
          </cell>
          <cell r="H54">
            <v>0</v>
          </cell>
          <cell r="I54">
            <v>0.30949839914621124</v>
          </cell>
          <cell r="J54">
            <v>0.19999999999999996</v>
          </cell>
          <cell r="L54">
            <v>0.37647058823529411</v>
          </cell>
          <cell r="M54" t="str">
            <v xml:space="preserve">    NM</v>
          </cell>
          <cell r="N54" t="str">
            <v xml:space="preserve">NM </v>
          </cell>
          <cell r="O54">
            <v>-1.2574993264569678E-2</v>
          </cell>
          <cell r="P54">
            <v>0.11592879963486991</v>
          </cell>
          <cell r="Q54">
            <v>0.13014030637556151</v>
          </cell>
          <cell r="S54">
            <v>-5.314547063180286E-2</v>
          </cell>
          <cell r="T54">
            <v>6.7114093959732557E-3</v>
          </cell>
          <cell r="U54">
            <v>-6.1776061776061653E-2</v>
          </cell>
          <cell r="W54">
            <v>5.7915057915058021E-2</v>
          </cell>
        </row>
        <row r="56">
          <cell r="A56" t="str">
            <v>1995</v>
          </cell>
        </row>
        <row r="57">
          <cell r="A57" t="str">
            <v xml:space="preserve"> 1Q</v>
          </cell>
          <cell r="B57">
            <v>1604.6</v>
          </cell>
          <cell r="C57">
            <v>532.29999999999995</v>
          </cell>
          <cell r="D57">
            <v>1072.3</v>
          </cell>
          <cell r="E57">
            <v>627.9</v>
          </cell>
          <cell r="F57">
            <v>114.3</v>
          </cell>
          <cell r="G57">
            <v>330.09999999999997</v>
          </cell>
          <cell r="H57">
            <v>12.5</v>
          </cell>
          <cell r="I57">
            <v>-29.2</v>
          </cell>
          <cell r="J57">
            <v>-3.5</v>
          </cell>
          <cell r="L57">
            <v>-0.99999999999999967</v>
          </cell>
          <cell r="M57">
            <v>-21.2</v>
          </cell>
          <cell r="N57">
            <v>-30.3</v>
          </cell>
          <cell r="O57">
            <v>278.59999999999997</v>
          </cell>
          <cell r="P57">
            <v>77.2</v>
          </cell>
          <cell r="Q57">
            <v>0.27709978463747315</v>
          </cell>
          <cell r="S57">
            <v>201.39999999999998</v>
          </cell>
          <cell r="T57">
            <v>807.75</v>
          </cell>
          <cell r="U57">
            <v>0.25</v>
          </cell>
          <cell r="W57">
            <v>0.25</v>
          </cell>
        </row>
        <row r="58">
          <cell r="A58" t="str">
            <v xml:space="preserve"> 2Q</v>
          </cell>
          <cell r="B58">
            <v>1799.6</v>
          </cell>
          <cell r="C58">
            <v>611.6</v>
          </cell>
          <cell r="D58">
            <v>1188</v>
          </cell>
          <cell r="E58">
            <v>748.19999999999993</v>
          </cell>
          <cell r="F58">
            <v>119.5</v>
          </cell>
          <cell r="G58">
            <v>320.30000000000007</v>
          </cell>
          <cell r="H58">
            <v>12.6</v>
          </cell>
          <cell r="I58">
            <v>-33</v>
          </cell>
          <cell r="J58">
            <v>-3.5</v>
          </cell>
          <cell r="L58">
            <v>10.200000000000001</v>
          </cell>
          <cell r="M58">
            <v>-13.699999999999998</v>
          </cell>
          <cell r="N58">
            <v>-28.6</v>
          </cell>
          <cell r="O58">
            <v>278.00000000000006</v>
          </cell>
          <cell r="P58">
            <v>77</v>
          </cell>
          <cell r="Q58">
            <v>0.27697841726618699</v>
          </cell>
          <cell r="S58">
            <v>201.00000000000006</v>
          </cell>
          <cell r="T58">
            <v>809.40000000000009</v>
          </cell>
          <cell r="U58">
            <v>0.25</v>
          </cell>
          <cell r="W58">
            <v>0.25</v>
          </cell>
        </row>
        <row r="59">
          <cell r="A59" t="str">
            <v xml:space="preserve"> 3Q</v>
          </cell>
          <cell r="B59">
            <v>1775.7</v>
          </cell>
          <cell r="C59">
            <v>622.1</v>
          </cell>
          <cell r="D59">
            <v>1153.5999999999999</v>
          </cell>
          <cell r="E59">
            <v>785.8</v>
          </cell>
          <cell r="F59">
            <v>130.19999999999999</v>
          </cell>
          <cell r="G59">
            <v>237.59999999999997</v>
          </cell>
          <cell r="H59">
            <v>13</v>
          </cell>
          <cell r="I59">
            <v>-31.3</v>
          </cell>
          <cell r="J59">
            <v>-3.5</v>
          </cell>
          <cell r="L59">
            <v>-1.6000000000000085</v>
          </cell>
          <cell r="M59">
            <v>-23.400000000000009</v>
          </cell>
          <cell r="N59">
            <v>-35.200000000000003</v>
          </cell>
          <cell r="O59">
            <v>178.99999999999994</v>
          </cell>
          <cell r="P59">
            <v>47.4</v>
          </cell>
          <cell r="Q59">
            <v>0.26480446927374307</v>
          </cell>
          <cell r="S59">
            <v>131.59999999999994</v>
          </cell>
          <cell r="T59">
            <v>810.96300000000008</v>
          </cell>
          <cell r="U59">
            <v>0.16333333333333333</v>
          </cell>
          <cell r="W59">
            <v>0.26333333333333336</v>
          </cell>
        </row>
        <row r="60">
          <cell r="A60" t="str">
            <v xml:space="preserve"> 4Q</v>
          </cell>
          <cell r="B60">
            <v>1859.9</v>
          </cell>
          <cell r="C60">
            <v>661.5</v>
          </cell>
          <cell r="D60">
            <v>1198.4000000000001</v>
          </cell>
          <cell r="E60">
            <v>817.9</v>
          </cell>
          <cell r="F60">
            <v>137.19999999999999</v>
          </cell>
          <cell r="G60">
            <v>243.30000000000013</v>
          </cell>
          <cell r="H60">
            <v>11.6</v>
          </cell>
          <cell r="I60">
            <v>-29.2</v>
          </cell>
          <cell r="J60">
            <v>-4.5</v>
          </cell>
          <cell r="L60">
            <v>-19.299999999999997</v>
          </cell>
          <cell r="M60">
            <v>-41.4</v>
          </cell>
          <cell r="N60">
            <v>-35.9</v>
          </cell>
          <cell r="O60">
            <v>166.00000000000011</v>
          </cell>
          <cell r="P60">
            <v>42.9</v>
          </cell>
          <cell r="Q60">
            <v>0.25843373493975885</v>
          </cell>
          <cell r="S60">
            <v>123.10000000000011</v>
          </cell>
          <cell r="T60">
            <v>811.19999999999993</v>
          </cell>
          <cell r="U60">
            <v>0.15</v>
          </cell>
          <cell r="W60">
            <v>0.15</v>
          </cell>
        </row>
        <row r="62">
          <cell r="A62" t="str">
            <v>1995</v>
          </cell>
          <cell r="B62">
            <v>7039.7999999999993</v>
          </cell>
          <cell r="C62">
            <v>2427.5</v>
          </cell>
          <cell r="D62">
            <v>4612.2999999999993</v>
          </cell>
          <cell r="E62">
            <v>2979.7999999999997</v>
          </cell>
          <cell r="F62">
            <v>501.2</v>
          </cell>
          <cell r="G62">
            <v>1131.2999999999995</v>
          </cell>
          <cell r="H62">
            <v>49.7</v>
          </cell>
          <cell r="I62">
            <v>-122.7</v>
          </cell>
          <cell r="J62">
            <v>-15</v>
          </cell>
          <cell r="L62">
            <v>-11.700000000000005</v>
          </cell>
          <cell r="M62">
            <v>-99.700000000000017</v>
          </cell>
          <cell r="N62">
            <v>-130</v>
          </cell>
          <cell r="O62">
            <v>901.6</v>
          </cell>
          <cell r="P62">
            <v>244.5</v>
          </cell>
          <cell r="Q62">
            <v>0.27118456078083408</v>
          </cell>
          <cell r="S62">
            <v>657.10000000000014</v>
          </cell>
          <cell r="T62">
            <v>810</v>
          </cell>
          <cell r="U62">
            <v>0.81</v>
          </cell>
          <cell r="W62">
            <v>0.91333333333333344</v>
          </cell>
        </row>
        <row r="64">
          <cell r="A64" t="str">
            <v>96/95</v>
          </cell>
        </row>
        <row r="65">
          <cell r="A65" t="str">
            <v xml:space="preserve"> 1Q</v>
          </cell>
          <cell r="B65">
            <v>0.13997257883584702</v>
          </cell>
          <cell r="C65">
            <v>0.10764606424948342</v>
          </cell>
          <cell r="D65">
            <v>0.15601977058658956</v>
          </cell>
          <cell r="E65">
            <v>0.20385411689759514</v>
          </cell>
          <cell r="F65">
            <v>0.13473315835520561</v>
          </cell>
          <cell r="G65">
            <v>7.2402302332626345E-2</v>
          </cell>
          <cell r="H65">
            <v>-3.2000000000000028E-2</v>
          </cell>
          <cell r="I65">
            <v>0</v>
          </cell>
          <cell r="J65" t="str">
            <v xml:space="preserve">NM </v>
          </cell>
          <cell r="L65" t="str">
            <v xml:space="preserve">NM </v>
          </cell>
          <cell r="M65" t="str">
            <v xml:space="preserve">NM </v>
          </cell>
          <cell r="N65">
            <v>7.2607260726072598E-2</v>
          </cell>
          <cell r="O65">
            <v>8.2555635319454534E-2</v>
          </cell>
          <cell r="P65">
            <v>5.569948186528495E-2</v>
          </cell>
          <cell r="Q65">
            <v>-2.4808104616484195E-2</v>
          </cell>
          <cell r="S65">
            <v>9.2850049652432931E-2</v>
          </cell>
          <cell r="T65">
            <v>2.3955431754874468E-2</v>
          </cell>
          <cell r="U65">
            <v>4.0000000000000036E-2</v>
          </cell>
          <cell r="W65">
            <v>0.21333333333333337</v>
          </cell>
        </row>
        <row r="66">
          <cell r="A66" t="str">
            <v xml:space="preserve"> 2Q</v>
          </cell>
          <cell r="B66">
            <v>-4.6677039342075677E-3</v>
          </cell>
          <cell r="C66">
            <v>-6.4748201438848962E-2</v>
          </cell>
          <cell r="D66">
            <v>2.626262626262621E-2</v>
          </cell>
          <cell r="E66">
            <v>2.0181769580326137E-2</v>
          </cell>
          <cell r="F66">
            <v>9.3723849372384871E-2</v>
          </cell>
          <cell r="G66">
            <v>1.5298157976896709E-2</v>
          </cell>
          <cell r="H66">
            <v>0.26984126984126977</v>
          </cell>
          <cell r="I66">
            <v>-4.8484848484848575E-2</v>
          </cell>
          <cell r="J66" t="str">
            <v xml:space="preserve">NM </v>
          </cell>
          <cell r="L66" t="str">
            <v xml:space="preserve">NM </v>
          </cell>
          <cell r="M66" t="str">
            <v xml:space="preserve">NM </v>
          </cell>
          <cell r="N66">
            <v>0.27622377622377625</v>
          </cell>
          <cell r="O66">
            <v>6.2589928057554145E-2</v>
          </cell>
          <cell r="P66">
            <v>6.7532467532467555E-2</v>
          </cell>
          <cell r="Q66">
            <v>4.6514081720578915E-3</v>
          </cell>
          <cell r="S66">
            <v>6.0696517412935469E-2</v>
          </cell>
          <cell r="T66">
            <v>2.1868050407709116E-2</v>
          </cell>
          <cell r="U66">
            <v>2.6666666666666616E-2</v>
          </cell>
          <cell r="W66">
            <v>2.6666666666666616E-2</v>
          </cell>
        </row>
        <row r="67">
          <cell r="A67" t="str">
            <v xml:space="preserve"> 3Q</v>
          </cell>
          <cell r="B67">
            <v>-4.3363180717463923E-3</v>
          </cell>
          <cell r="C67">
            <v>-6.735251567272138E-2</v>
          </cell>
          <cell r="D67">
            <v>2.9646324549237102E-2</v>
          </cell>
          <cell r="E67">
            <v>-9.1626368032577954E-3</v>
          </cell>
          <cell r="F67">
            <v>0.11367127496159757</v>
          </cell>
          <cell r="G67">
            <v>0.1119528619528618</v>
          </cell>
          <cell r="H67">
            <v>0.15384615384615374</v>
          </cell>
          <cell r="I67">
            <v>0.50479233226837072</v>
          </cell>
          <cell r="J67" t="str">
            <v xml:space="preserve">NM </v>
          </cell>
          <cell r="L67" t="str">
            <v xml:space="preserve">NM </v>
          </cell>
          <cell r="M67" t="str">
            <v xml:space="preserve">NM </v>
          </cell>
          <cell r="N67" t="str">
            <v xml:space="preserve">NM </v>
          </cell>
          <cell r="O67">
            <v>0.17318435754189943</v>
          </cell>
          <cell r="P67">
            <v>0.31434599156118148</v>
          </cell>
          <cell r="Q67">
            <v>0.12032348804500703</v>
          </cell>
          <cell r="S67">
            <v>0.12234042553191493</v>
          </cell>
          <cell r="T67">
            <v>1.9898565039341953E-2</v>
          </cell>
          <cell r="U67">
            <v>0.12244897959183687</v>
          </cell>
          <cell r="W67">
            <v>-0.30379746835443044</v>
          </cell>
        </row>
        <row r="68">
          <cell r="A68" t="str">
            <v xml:space="preserve"> 4Q</v>
          </cell>
          <cell r="B68">
            <v>-9.086510027420891E-3</v>
          </cell>
          <cell r="C68">
            <v>-8.5260770975056688E-2</v>
          </cell>
          <cell r="D68">
            <v>3.2960614152202972E-2</v>
          </cell>
          <cell r="E68">
            <v>1.2226433549344939E-4</v>
          </cell>
          <cell r="F68">
            <v>8.8921282798833934E-2</v>
          </cell>
          <cell r="G68">
            <v>0.11179613645704878</v>
          </cell>
          <cell r="H68">
            <v>8.6206896551723755E-3</v>
          </cell>
          <cell r="I68">
            <v>0.31506849315068486</v>
          </cell>
          <cell r="J68" t="str">
            <v xml:space="preserve">NM </v>
          </cell>
          <cell r="L68" t="str">
            <v xml:space="preserve">NM </v>
          </cell>
          <cell r="M68" t="str">
            <v xml:space="preserve">NM </v>
          </cell>
          <cell r="N68" t="str">
            <v xml:space="preserve">NM </v>
          </cell>
          <cell r="O68">
            <v>0.44879518072289115</v>
          </cell>
          <cell r="P68">
            <v>0.62703962703962701</v>
          </cell>
          <cell r="Q68">
            <v>0.12302943072173855</v>
          </cell>
          <cell r="S68">
            <v>0.38667749796913031</v>
          </cell>
          <cell r="T68">
            <v>1.9600591715976279E-2</v>
          </cell>
          <cell r="U68">
            <v>0.37777777777777777</v>
          </cell>
          <cell r="W68">
            <v>0.37777777777777777</v>
          </cell>
        </row>
        <row r="70">
          <cell r="A70" t="str">
            <v>96/95</v>
          </cell>
          <cell r="B70">
            <v>2.7216682292110717E-2</v>
          </cell>
          <cell r="C70">
            <v>-3.3202883625128687E-2</v>
          </cell>
          <cell r="D70">
            <v>5.9016109099581771E-2</v>
          </cell>
          <cell r="E70">
            <v>4.5640647023290182E-2</v>
          </cell>
          <cell r="F70">
            <v>0.10694333599361516</v>
          </cell>
          <cell r="G70">
            <v>7.3013347476355239E-2</v>
          </cell>
          <cell r="H70">
            <v>0.10261569416498983</v>
          </cell>
          <cell r="I70">
            <v>0.19070904645476761</v>
          </cell>
          <cell r="J70">
            <v>1.1000000000000001</v>
          </cell>
          <cell r="L70" t="str">
            <v xml:space="preserve">NM </v>
          </cell>
          <cell r="M70">
            <v>-2.3069207622868682E-2</v>
          </cell>
          <cell r="N70" t="str">
            <v xml:space="preserve">NM </v>
          </cell>
          <cell r="O70">
            <v>0.16182342502218283</v>
          </cell>
          <cell r="P70">
            <v>0.20981595092024552</v>
          </cell>
          <cell r="Q70">
            <v>4.1307934462714302E-2</v>
          </cell>
          <cell r="S70">
            <v>0.14396591082027066</v>
          </cell>
          <cell r="T70">
            <v>2.1111111111111081E-2</v>
          </cell>
          <cell r="U70">
            <v>0.11934156378600824</v>
          </cell>
          <cell r="W70">
            <v>4.014598540145986E-2</v>
          </cell>
        </row>
        <row r="72">
          <cell r="A72" t="str">
            <v>1996 (c)</v>
          </cell>
        </row>
        <row r="73">
          <cell r="A73" t="str">
            <v xml:space="preserve"> 1Q</v>
          </cell>
          <cell r="B73">
            <v>1829.2</v>
          </cell>
          <cell r="C73">
            <v>589.6</v>
          </cell>
          <cell r="D73">
            <v>1239.5999999999999</v>
          </cell>
          <cell r="E73">
            <v>755.9</v>
          </cell>
          <cell r="F73">
            <v>129.69999999999999</v>
          </cell>
          <cell r="G73">
            <v>353.99999999999994</v>
          </cell>
          <cell r="H73">
            <v>12.1</v>
          </cell>
          <cell r="I73">
            <v>-29.2</v>
          </cell>
          <cell r="J73">
            <v>-3.5</v>
          </cell>
          <cell r="L73">
            <v>0.69999999999999785</v>
          </cell>
          <cell r="M73">
            <v>-19.900000000000002</v>
          </cell>
          <cell r="N73">
            <v>-32.5</v>
          </cell>
          <cell r="O73">
            <v>301.59999999999997</v>
          </cell>
          <cell r="P73">
            <v>81.5</v>
          </cell>
          <cell r="Q73">
            <v>0.27022546419098148</v>
          </cell>
          <cell r="S73">
            <v>220.09999999999997</v>
          </cell>
          <cell r="T73">
            <v>827.09999999999991</v>
          </cell>
          <cell r="U73">
            <v>0.26</v>
          </cell>
          <cell r="W73">
            <v>0.30333333333333334</v>
          </cell>
        </row>
        <row r="74">
          <cell r="A74" t="str">
            <v xml:space="preserve"> 2Q</v>
          </cell>
          <cell r="B74">
            <v>1791.2</v>
          </cell>
          <cell r="C74">
            <v>572</v>
          </cell>
          <cell r="D74">
            <v>1219.2</v>
          </cell>
          <cell r="E74">
            <v>763.3</v>
          </cell>
          <cell r="F74">
            <v>130.69999999999999</v>
          </cell>
          <cell r="G74">
            <v>325.2000000000001</v>
          </cell>
          <cell r="H74">
            <v>16</v>
          </cell>
          <cell r="I74">
            <v>-31.4</v>
          </cell>
          <cell r="J74">
            <v>-4</v>
          </cell>
          <cell r="L74">
            <v>26.1</v>
          </cell>
          <cell r="M74">
            <v>6.7000000000000028</v>
          </cell>
          <cell r="N74">
            <v>-36.5</v>
          </cell>
          <cell r="O74">
            <v>295.40000000000009</v>
          </cell>
          <cell r="P74">
            <v>82.2</v>
          </cell>
          <cell r="Q74">
            <v>0.27826675693974262</v>
          </cell>
          <cell r="S74">
            <v>213.2000000000001</v>
          </cell>
          <cell r="T74">
            <v>827.09999999999991</v>
          </cell>
          <cell r="U74">
            <v>0.25666666666666665</v>
          </cell>
          <cell r="W74">
            <v>0.25666666666666665</v>
          </cell>
        </row>
        <row r="75">
          <cell r="A75" t="str">
            <v xml:space="preserve"> 3Q</v>
          </cell>
          <cell r="B75">
            <v>1768</v>
          </cell>
          <cell r="C75">
            <v>580.20000000000005</v>
          </cell>
          <cell r="D75">
            <v>1187.8</v>
          </cell>
          <cell r="E75">
            <v>778.6</v>
          </cell>
          <cell r="F75">
            <v>145</v>
          </cell>
          <cell r="G75">
            <v>264.19999999999993</v>
          </cell>
          <cell r="H75">
            <v>15</v>
          </cell>
          <cell r="I75">
            <v>-47.1</v>
          </cell>
          <cell r="J75">
            <v>-13</v>
          </cell>
          <cell r="L75">
            <v>-9.1</v>
          </cell>
          <cell r="M75">
            <v>-54.2</v>
          </cell>
          <cell r="N75">
            <v>0</v>
          </cell>
          <cell r="O75">
            <v>209.99999999999994</v>
          </cell>
          <cell r="P75">
            <v>62.3</v>
          </cell>
          <cell r="Q75">
            <v>0.29666666666666675</v>
          </cell>
          <cell r="S75">
            <v>147.69999999999993</v>
          </cell>
          <cell r="T75">
            <v>827.09999999999991</v>
          </cell>
          <cell r="U75">
            <v>0.18333333333333335</v>
          </cell>
          <cell r="W75">
            <v>0.18333333333333335</v>
          </cell>
        </row>
        <row r="76">
          <cell r="A76" t="str">
            <v xml:space="preserve"> 4Q</v>
          </cell>
          <cell r="B76">
            <v>1843</v>
          </cell>
          <cell r="C76">
            <v>605.1</v>
          </cell>
          <cell r="D76">
            <v>1237.9000000000001</v>
          </cell>
          <cell r="E76">
            <v>818</v>
          </cell>
          <cell r="F76">
            <v>149.4</v>
          </cell>
          <cell r="G76">
            <v>270.50000000000011</v>
          </cell>
          <cell r="H76">
            <v>11.7</v>
          </cell>
          <cell r="I76">
            <v>-38.4</v>
          </cell>
          <cell r="J76">
            <v>-11</v>
          </cell>
          <cell r="L76">
            <v>7.7</v>
          </cell>
          <cell r="M76">
            <v>-30.000000000000004</v>
          </cell>
          <cell r="N76">
            <v>0</v>
          </cell>
          <cell r="O76">
            <v>240.50000000000011</v>
          </cell>
          <cell r="P76">
            <v>69.8</v>
          </cell>
          <cell r="Q76">
            <v>0.29022869022869008</v>
          </cell>
          <cell r="S76">
            <v>170.7000000000001</v>
          </cell>
          <cell r="T76">
            <v>827.09999999999991</v>
          </cell>
          <cell r="U76">
            <v>0.20666666666666667</v>
          </cell>
          <cell r="W76">
            <v>0.20666666666666667</v>
          </cell>
        </row>
        <row r="78">
          <cell r="A78" t="str">
            <v>1996 (c)</v>
          </cell>
          <cell r="B78">
            <v>7231.4</v>
          </cell>
          <cell r="C78">
            <v>2346.9</v>
          </cell>
          <cell r="D78">
            <v>4884.5</v>
          </cell>
          <cell r="E78">
            <v>3115.7999999999997</v>
          </cell>
          <cell r="F78">
            <v>554.79999999999995</v>
          </cell>
          <cell r="G78">
            <v>1213.9000000000001</v>
          </cell>
          <cell r="H78">
            <v>54.8</v>
          </cell>
          <cell r="I78">
            <v>-146.1</v>
          </cell>
          <cell r="J78">
            <v>-31.5</v>
          </cell>
          <cell r="L78">
            <v>72</v>
          </cell>
          <cell r="M78">
            <v>-97.4</v>
          </cell>
          <cell r="N78">
            <v>-69</v>
          </cell>
          <cell r="O78">
            <v>1047.5</v>
          </cell>
          <cell r="P78">
            <v>295.8</v>
          </cell>
          <cell r="Q78">
            <v>0.28238663484486876</v>
          </cell>
          <cell r="S78">
            <v>751.7</v>
          </cell>
          <cell r="T78">
            <v>827.09999999999991</v>
          </cell>
          <cell r="U78">
            <v>0.90666666666666673</v>
          </cell>
          <cell r="W78">
            <v>0.95000000000000007</v>
          </cell>
        </row>
        <row r="80">
          <cell r="A80" t="str">
            <v>97/96</v>
          </cell>
        </row>
        <row r="81">
          <cell r="A81" t="str">
            <v xml:space="preserve"> 1Q</v>
          </cell>
          <cell r="B81">
            <v>-2.8318390553247252E-2</v>
          </cell>
          <cell r="C81">
            <v>-6.8521031207598337E-2</v>
          </cell>
          <cell r="D81">
            <v>-9.1965150048402E-3</v>
          </cell>
          <cell r="E81">
            <v>8.3344357719274953E-3</v>
          </cell>
          <cell r="F81">
            <v>3.2382420971472703E-2</v>
          </cell>
          <cell r="G81">
            <v>-6.1864406779660763E-2</v>
          </cell>
          <cell r="H81">
            <v>-0.3223140495867769</v>
          </cell>
          <cell r="I81">
            <v>0.34246575342465757</v>
          </cell>
          <cell r="J81" t="str">
            <v xml:space="preserve">NM </v>
          </cell>
          <cell r="L81" t="str">
            <v xml:space="preserve">NM </v>
          </cell>
          <cell r="M81" t="str">
            <v xml:space="preserve">NM </v>
          </cell>
          <cell r="N81" t="str">
            <v xml:space="preserve">NM </v>
          </cell>
          <cell r="O81">
            <v>-3.315649867373982E-2</v>
          </cell>
          <cell r="P81">
            <v>7.361963190184051E-2</v>
          </cell>
          <cell r="Q81">
            <v>0.11043786344854256</v>
          </cell>
          <cell r="S81">
            <v>-7.2694229895501783E-2</v>
          </cell>
          <cell r="T81">
            <v>7.5021158263812726E-3</v>
          </cell>
          <cell r="U81">
            <v>-5.7967970911010913E-2</v>
          </cell>
          <cell r="W81">
            <v>-0.19254397506658072</v>
          </cell>
        </row>
        <row r="82">
          <cell r="A82" t="str">
            <v xml:space="preserve"> 2Q</v>
          </cell>
          <cell r="B82">
            <v>9.7979008485931107E-2</v>
          </cell>
          <cell r="C82">
            <v>3.7762237762237749E-2</v>
          </cell>
          <cell r="D82">
            <v>0.12623031496062986</v>
          </cell>
          <cell r="E82">
            <v>0.12354251277348371</v>
          </cell>
          <cell r="F82">
            <v>0.21040550879877573</v>
          </cell>
          <cell r="G82">
            <v>9.8708487084870233E-2</v>
          </cell>
          <cell r="H82">
            <v>-0.4375</v>
          </cell>
          <cell r="I82">
            <v>0.52866242038216571</v>
          </cell>
          <cell r="J82" t="str">
            <v xml:space="preserve">NM </v>
          </cell>
          <cell r="L82" t="str">
            <v xml:space="preserve">NM </v>
          </cell>
          <cell r="M82" t="str">
            <v xml:space="preserve">NM </v>
          </cell>
          <cell r="N82" t="str">
            <v xml:space="preserve">NM </v>
          </cell>
          <cell r="O82">
            <v>0.11882193635748073</v>
          </cell>
          <cell r="P82">
            <v>0.20559610705596087</v>
          </cell>
          <cell r="Q82">
            <v>7.755851747150122E-2</v>
          </cell>
          <cell r="S82">
            <v>8.5365853658535551E-2</v>
          </cell>
          <cell r="T82">
            <v>1.2173860476363263E-2</v>
          </cell>
          <cell r="U82">
            <v>7.6913313271802064E-2</v>
          </cell>
          <cell r="W82">
            <v>7.6913313271802064E-2</v>
          </cell>
        </row>
        <row r="83">
          <cell r="A83" t="str">
            <v xml:space="preserve"> 3Q</v>
          </cell>
          <cell r="B83">
            <v>0.19247737556561106</v>
          </cell>
          <cell r="C83">
            <v>5.8255773871078942E-2</v>
          </cell>
          <cell r="D83">
            <v>0.25804007408654672</v>
          </cell>
          <cell r="E83">
            <v>0.24389930644746971</v>
          </cell>
          <cell r="F83">
            <v>0.25517241379310351</v>
          </cell>
          <cell r="G83">
            <v>0.30128690386071266</v>
          </cell>
          <cell r="H83">
            <v>-0.28666666666666674</v>
          </cell>
          <cell r="I83">
            <v>-8.7048832271762189E-2</v>
          </cell>
          <cell r="J83" t="str">
            <v xml:space="preserve">NM </v>
          </cell>
          <cell r="L83" t="str">
            <v xml:space="preserve">NM </v>
          </cell>
          <cell r="M83" t="str">
            <v xml:space="preserve">NM </v>
          </cell>
          <cell r="N83" t="str">
            <v xml:space="preserve">NM </v>
          </cell>
          <cell r="O83">
            <v>0.34904761904762038</v>
          </cell>
          <cell r="P83">
            <v>0.36436597110754421</v>
          </cell>
          <cell r="Q83">
            <v>1.1354937990059932E-2</v>
          </cell>
          <cell r="S83">
            <v>0.34258632362897945</v>
          </cell>
          <cell r="T83">
            <v>1.4508523757707614E-2</v>
          </cell>
          <cell r="U83">
            <v>0.30909090909090886</v>
          </cell>
          <cell r="W83">
            <v>0.30909090909090886</v>
          </cell>
        </row>
        <row r="84">
          <cell r="A84" t="str">
            <v xml:space="preserve"> 4Q</v>
          </cell>
          <cell r="B84">
            <v>0.26283233857840482</v>
          </cell>
          <cell r="C84">
            <v>7.5524706660056173E-2</v>
          </cell>
          <cell r="D84">
            <v>0.35439050004039108</v>
          </cell>
          <cell r="E84">
            <v>0.33007334963325174</v>
          </cell>
          <cell r="F84">
            <v>0.32597054886211496</v>
          </cell>
          <cell r="G84">
            <v>0.44362292051755992</v>
          </cell>
          <cell r="H84">
            <v>0.15384615384615397</v>
          </cell>
          <cell r="I84">
            <v>-4.1666666666666741E-2</v>
          </cell>
          <cell r="J84" t="str">
            <v xml:space="preserve">NM </v>
          </cell>
          <cell r="L84" t="str">
            <v xml:space="preserve">NM </v>
          </cell>
          <cell r="M84" t="str">
            <v xml:space="preserve">NM </v>
          </cell>
          <cell r="N84" t="str">
            <v xml:space="preserve">NM </v>
          </cell>
          <cell r="O84">
            <v>0.36382536382536368</v>
          </cell>
          <cell r="P84">
            <v>0.32234957020057298</v>
          </cell>
          <cell r="Q84">
            <v>-3.0411366971835663E-2</v>
          </cell>
          <cell r="S84">
            <v>0.3807850029291151</v>
          </cell>
          <cell r="T84">
            <v>1.4508523757707614E-2</v>
          </cell>
          <cell r="U84">
            <v>0.35483870967741948</v>
          </cell>
          <cell r="W84">
            <v>0.35483870967741948</v>
          </cell>
        </row>
        <row r="86">
          <cell r="A86" t="str">
            <v>Year</v>
          </cell>
          <cell r="B86">
            <v>0.13115026136017938</v>
          </cell>
          <cell r="C86">
            <v>2.5863905577570456E-2</v>
          </cell>
          <cell r="D86">
            <v>0.18173815129491255</v>
          </cell>
          <cell r="E86">
            <v>0.17988959496758472</v>
          </cell>
          <cell r="F86">
            <v>0.21160778658976231</v>
          </cell>
          <cell r="G86">
            <v>0.17283136996457715</v>
          </cell>
          <cell r="H86">
            <v>-0.24452554744525545</v>
          </cell>
          <cell r="I86">
            <v>0.14305270362765232</v>
          </cell>
          <cell r="J86">
            <v>0.79047619047619055</v>
          </cell>
          <cell r="L86" t="str">
            <v xml:space="preserve">NM </v>
          </cell>
          <cell r="M86">
            <v>0.9537987679671458</v>
          </cell>
          <cell r="N86" t="str">
            <v xml:space="preserve">NM </v>
          </cell>
          <cell r="O86">
            <v>0.17747016706443919</v>
          </cell>
          <cell r="P86">
            <v>0.23022312373225162</v>
          </cell>
          <cell r="Q86">
            <v>4.4801947551105448E-2</v>
          </cell>
          <cell r="S86">
            <v>0.15671145403751519</v>
          </cell>
          <cell r="T86">
            <v>1.2173255954539997E-2</v>
          </cell>
          <cell r="U86">
            <v>0.14853243893702173</v>
          </cell>
          <cell r="W86">
            <v>9.6143239967964478E-2</v>
          </cell>
        </row>
        <row r="88">
          <cell r="A88">
            <v>1997</v>
          </cell>
        </row>
        <row r="89">
          <cell r="A89" t="str">
            <v xml:space="preserve"> 1Q</v>
          </cell>
          <cell r="B89">
            <v>1777.4</v>
          </cell>
          <cell r="C89">
            <v>549.20000000000005</v>
          </cell>
          <cell r="D89">
            <v>1228.2</v>
          </cell>
          <cell r="E89">
            <v>762.2</v>
          </cell>
          <cell r="F89">
            <v>133.9</v>
          </cell>
          <cell r="G89">
            <v>332.1</v>
          </cell>
          <cell r="H89">
            <v>8.1999999999999993</v>
          </cell>
          <cell r="I89">
            <v>-39.200000000000003</v>
          </cell>
          <cell r="J89">
            <v>-12.4</v>
          </cell>
          <cell r="L89">
            <v>2.9</v>
          </cell>
          <cell r="M89">
            <v>-40.500000000000007</v>
          </cell>
          <cell r="N89">
            <v>0</v>
          </cell>
          <cell r="O89">
            <v>291.60000000000002</v>
          </cell>
          <cell r="P89">
            <v>87.5</v>
          </cell>
          <cell r="Q89">
            <v>0.30006858710562412</v>
          </cell>
          <cell r="S89">
            <v>204.10000000000002</v>
          </cell>
          <cell r="T89">
            <v>833.30499999999995</v>
          </cell>
          <cell r="U89">
            <v>0.24492832756313718</v>
          </cell>
          <cell r="V89">
            <v>0.13</v>
          </cell>
          <cell r="W89">
            <v>0.24492832756313718</v>
          </cell>
        </row>
        <row r="90">
          <cell r="A90" t="str">
            <v xml:space="preserve"> 2Q</v>
          </cell>
          <cell r="B90">
            <v>1966.7</v>
          </cell>
          <cell r="C90">
            <v>593.6</v>
          </cell>
          <cell r="D90">
            <v>1373.1</v>
          </cell>
          <cell r="E90">
            <v>857.6</v>
          </cell>
          <cell r="F90">
            <v>158.19999999999999</v>
          </cell>
          <cell r="G90">
            <v>357.2999999999999</v>
          </cell>
          <cell r="H90">
            <v>9</v>
          </cell>
          <cell r="I90">
            <v>-48</v>
          </cell>
          <cell r="J90">
            <v>-12.8</v>
          </cell>
          <cell r="L90">
            <v>25</v>
          </cell>
          <cell r="M90">
            <v>-26.799999999999997</v>
          </cell>
          <cell r="N90">
            <v>0</v>
          </cell>
          <cell r="O90">
            <v>330.49999999999989</v>
          </cell>
          <cell r="P90">
            <v>99.1</v>
          </cell>
          <cell r="Q90">
            <v>0.29984871406959163</v>
          </cell>
          <cell r="S90">
            <v>231.39999999999989</v>
          </cell>
          <cell r="T90">
            <v>837.16899999999998</v>
          </cell>
          <cell r="U90">
            <v>0.27640775040642918</v>
          </cell>
          <cell r="V90">
            <v>0.13</v>
          </cell>
          <cell r="W90">
            <v>0.27640775040642918</v>
          </cell>
        </row>
        <row r="91">
          <cell r="A91" t="str">
            <v xml:space="preserve"> 3Q</v>
          </cell>
          <cell r="B91">
            <v>2108.3000000000002</v>
          </cell>
          <cell r="C91">
            <v>614</v>
          </cell>
          <cell r="D91">
            <v>1494.3000000000002</v>
          </cell>
          <cell r="E91">
            <v>968.5</v>
          </cell>
          <cell r="F91">
            <v>182</v>
          </cell>
          <cell r="G91">
            <v>343.80000000000018</v>
          </cell>
          <cell r="H91">
            <v>10.7</v>
          </cell>
          <cell r="I91">
            <v>-43</v>
          </cell>
          <cell r="J91">
            <v>-13.2</v>
          </cell>
          <cell r="L91">
            <v>-15</v>
          </cell>
          <cell r="M91">
            <v>-60.5</v>
          </cell>
          <cell r="N91">
            <v>0</v>
          </cell>
          <cell r="O91">
            <v>283.30000000000018</v>
          </cell>
          <cell r="P91">
            <v>85</v>
          </cell>
          <cell r="Q91">
            <v>0.30003529827038455</v>
          </cell>
          <cell r="S91">
            <v>198.30000000000018</v>
          </cell>
          <cell r="T91">
            <v>839.09999999999991</v>
          </cell>
          <cell r="U91">
            <v>0.24</v>
          </cell>
          <cell r="V91">
            <v>0.13</v>
          </cell>
          <cell r="W91">
            <v>0.24</v>
          </cell>
        </row>
        <row r="92">
          <cell r="A92" t="str">
            <v xml:space="preserve"> 4Q</v>
          </cell>
          <cell r="B92">
            <v>2327.4</v>
          </cell>
          <cell r="C92">
            <v>650.79999999999995</v>
          </cell>
          <cell r="D92">
            <v>1676.6000000000001</v>
          </cell>
          <cell r="E92">
            <v>1088</v>
          </cell>
          <cell r="F92">
            <v>198.1</v>
          </cell>
          <cell r="G92">
            <v>390.50000000000011</v>
          </cell>
          <cell r="H92">
            <v>13.5</v>
          </cell>
          <cell r="I92">
            <v>-36.799999999999997</v>
          </cell>
          <cell r="J92">
            <v>-18</v>
          </cell>
          <cell r="L92">
            <v>-21.2</v>
          </cell>
          <cell r="M92">
            <v>-62.5</v>
          </cell>
          <cell r="N92">
            <v>0</v>
          </cell>
          <cell r="O92">
            <v>328.00000000000011</v>
          </cell>
          <cell r="P92">
            <v>92.3</v>
          </cell>
          <cell r="Q92">
            <v>0.28140243902439016</v>
          </cell>
          <cell r="S92">
            <v>235.7000000000001</v>
          </cell>
          <cell r="T92">
            <v>839.09999999999991</v>
          </cell>
          <cell r="U92">
            <v>0.28000000000000003</v>
          </cell>
          <cell r="V92">
            <v>0.13</v>
          </cell>
          <cell r="W92">
            <v>0.28000000000000003</v>
          </cell>
        </row>
        <row r="94">
          <cell r="A94" t="str">
            <v>Year</v>
          </cell>
          <cell r="B94">
            <v>8179.8000000000011</v>
          </cell>
          <cell r="C94">
            <v>2407.6000000000004</v>
          </cell>
          <cell r="D94">
            <v>5772.2000000000007</v>
          </cell>
          <cell r="E94">
            <v>3676.3</v>
          </cell>
          <cell r="F94">
            <v>672.2</v>
          </cell>
          <cell r="G94">
            <v>1423.7000000000003</v>
          </cell>
          <cell r="H94">
            <v>41.4</v>
          </cell>
          <cell r="I94">
            <v>-167</v>
          </cell>
          <cell r="J94">
            <v>-56.400000000000006</v>
          </cell>
          <cell r="L94">
            <v>-8.3000000000000007</v>
          </cell>
          <cell r="M94">
            <v>-190.3</v>
          </cell>
          <cell r="N94">
            <v>0</v>
          </cell>
          <cell r="O94">
            <v>1233.4000000000001</v>
          </cell>
          <cell r="P94">
            <v>363.90000000000003</v>
          </cell>
          <cell r="Q94">
            <v>0.2950381060483217</v>
          </cell>
          <cell r="S94">
            <v>869.50000000000023</v>
          </cell>
          <cell r="T94">
            <v>837.16849999999988</v>
          </cell>
          <cell r="U94">
            <v>1.0413360779695664</v>
          </cell>
          <cell r="V94">
            <v>0.52</v>
          </cell>
          <cell r="W94">
            <v>1.0413360779695664</v>
          </cell>
        </row>
        <row r="96">
          <cell r="A96" t="str">
            <v>1998/97</v>
          </cell>
        </row>
        <row r="97">
          <cell r="A97" t="str">
            <v xml:space="preserve"> 1Q</v>
          </cell>
          <cell r="B97">
            <v>0.31140992460897943</v>
          </cell>
          <cell r="C97">
            <v>0.19009468317552791</v>
          </cell>
          <cell r="D97">
            <v>0.36565705911089408</v>
          </cell>
          <cell r="E97">
            <v>0.3438729992128049</v>
          </cell>
          <cell r="F97">
            <v>0.55190440627333825</v>
          </cell>
          <cell r="G97">
            <v>0.34056007226738982</v>
          </cell>
          <cell r="H97">
            <v>0.79268292682926833</v>
          </cell>
          <cell r="I97">
            <v>-8.163265306122458E-2</v>
          </cell>
          <cell r="J97" t="str">
            <v xml:space="preserve">NM </v>
          </cell>
          <cell r="L97" t="str">
            <v xml:space="preserve">NM </v>
          </cell>
          <cell r="M97" t="str">
            <v xml:space="preserve">NM </v>
          </cell>
          <cell r="N97" t="str">
            <v xml:space="preserve">NM </v>
          </cell>
          <cell r="O97">
            <v>0.42661179698216811</v>
          </cell>
          <cell r="P97">
            <v>0.40685714285714281</v>
          </cell>
          <cell r="Q97">
            <v>-1.384725274725318E-2</v>
          </cell>
          <cell r="S97">
            <v>0.4350808427241557</v>
          </cell>
          <cell r="T97">
            <v>4.8798036733249006E-2</v>
          </cell>
          <cell r="U97">
            <v>0.34733292503674651</v>
          </cell>
          <cell r="V97">
            <v>0.23076923076923084</v>
          </cell>
          <cell r="W97">
            <v>0.36831000103135558</v>
          </cell>
        </row>
        <row r="98">
          <cell r="A98" t="str">
            <v xml:space="preserve"> 2Q</v>
          </cell>
          <cell r="B98">
            <v>0.36406162607413428</v>
          </cell>
          <cell r="C98">
            <v>0.19086927223719674</v>
          </cell>
          <cell r="D98">
            <v>0.43893379943194222</v>
          </cell>
          <cell r="E98">
            <v>0.38362873134328379</v>
          </cell>
          <cell r="F98">
            <v>0.64854614412136558</v>
          </cell>
          <cell r="G98">
            <v>0.47886929750909535</v>
          </cell>
          <cell r="H98">
            <v>0.57777777777777772</v>
          </cell>
          <cell r="I98">
            <v>-0.45000000000000007</v>
          </cell>
          <cell r="J98" t="str">
            <v xml:space="preserve">NM </v>
          </cell>
          <cell r="L98" t="str">
            <v xml:space="preserve">NM </v>
          </cell>
          <cell r="M98" t="str">
            <v xml:space="preserve">NM </v>
          </cell>
          <cell r="N98" t="str">
            <v xml:space="preserve">NM </v>
          </cell>
          <cell r="O98">
            <v>0.39546142208774526</v>
          </cell>
          <cell r="P98">
            <v>0.33299697275479323</v>
          </cell>
          <cell r="Q98">
            <v>-4.4762576982959046E-2</v>
          </cell>
          <cell r="S98">
            <v>0.42221261884183159</v>
          </cell>
          <cell r="T98">
            <v>4.961059117095834E-2</v>
          </cell>
          <cell r="U98">
            <v>0.44713742437338011</v>
          </cell>
          <cell r="V98">
            <v>0.23076923076923084</v>
          </cell>
          <cell r="W98">
            <v>0.35499072780429342</v>
          </cell>
        </row>
        <row r="99">
          <cell r="A99" t="str">
            <v xml:space="preserve"> 3Q</v>
          </cell>
          <cell r="B99">
            <v>0.27785419532324607</v>
          </cell>
          <cell r="C99">
            <v>0.1454397394136806</v>
          </cell>
          <cell r="D99">
            <v>0.33226259787191315</v>
          </cell>
          <cell r="E99">
            <v>0.25885389778007228</v>
          </cell>
          <cell r="F99">
            <v>0.41043956043956031</v>
          </cell>
          <cell r="G99">
            <v>0.49767306573589187</v>
          </cell>
          <cell r="H99">
            <v>0.14018691588785037</v>
          </cell>
          <cell r="I99">
            <v>-0.39534883720930236</v>
          </cell>
          <cell r="J99" t="str">
            <v xml:space="preserve">NM </v>
          </cell>
          <cell r="L99" t="str">
            <v xml:space="preserve">NM </v>
          </cell>
          <cell r="M99" t="str">
            <v xml:space="preserve">NM </v>
          </cell>
          <cell r="N99" t="str">
            <v xml:space="preserve">NM </v>
          </cell>
          <cell r="O99">
            <v>0.49805859512883721</v>
          </cell>
          <cell r="P99">
            <v>0.43529411764705883</v>
          </cell>
          <cell r="Q99">
            <v>-4.1897211287907243E-2</v>
          </cell>
          <cell r="S99">
            <v>0.52496217851739635</v>
          </cell>
          <cell r="T99">
            <v>4.9970574424979208E-2</v>
          </cell>
          <cell r="U99">
            <v>0.43014376137654531</v>
          </cell>
          <cell r="V99">
            <v>0.23076923076923084</v>
          </cell>
          <cell r="W99">
            <v>0.43014376137654531</v>
          </cell>
        </row>
        <row r="100">
          <cell r="A100" t="str">
            <v xml:space="preserve"> 4Q</v>
          </cell>
          <cell r="B100">
            <v>0.30450287874881843</v>
          </cell>
          <cell r="C100">
            <v>0.11017209588199139</v>
          </cell>
          <cell r="D100">
            <v>0.37993558391983751</v>
          </cell>
          <cell r="E100">
            <v>0.29034926470588251</v>
          </cell>
          <cell r="F100">
            <v>0.33064109035840494</v>
          </cell>
          <cell r="G100">
            <v>0.65454545454545343</v>
          </cell>
          <cell r="H100">
            <v>8.1481481481481488E-2</v>
          </cell>
          <cell r="I100">
            <v>-0.30163043478260865</v>
          </cell>
          <cell r="J100" t="str">
            <v xml:space="preserve">NM </v>
          </cell>
          <cell r="L100" t="str">
            <v xml:space="preserve">NM </v>
          </cell>
          <cell r="M100" t="str">
            <v xml:space="preserve">NM </v>
          </cell>
          <cell r="N100" t="str">
            <v xml:space="preserve">NM </v>
          </cell>
          <cell r="O100">
            <v>0.94695121951219385</v>
          </cell>
          <cell r="P100">
            <v>0.50920910075839676</v>
          </cell>
          <cell r="Q100">
            <v>-0.22483466168375443</v>
          </cell>
          <cell r="S100">
            <v>0.47942299533304977</v>
          </cell>
          <cell r="T100">
            <v>5.1514447622452719E-2</v>
          </cell>
          <cell r="U100">
            <v>0.41144822124236269</v>
          </cell>
          <cell r="V100">
            <v>0.23076923076923084</v>
          </cell>
          <cell r="W100">
            <v>0.41144822124236269</v>
          </cell>
        </row>
        <row r="102">
          <cell r="A102" t="str">
            <v>Year</v>
          </cell>
          <cell r="B102">
            <v>0.31345509670163074</v>
          </cell>
          <cell r="C102">
            <v>0.15729357036052494</v>
          </cell>
          <cell r="D102">
            <v>0.37859048543016516</v>
          </cell>
          <cell r="E102">
            <v>0.31490901177814634</v>
          </cell>
          <cell r="F102">
            <v>0.47113954180303463</v>
          </cell>
          <cell r="G102">
            <v>0.49933272459085409</v>
          </cell>
          <cell r="H102">
            <v>0.34541062801932365</v>
          </cell>
          <cell r="I102">
            <v>-0.3167664670658682</v>
          </cell>
          <cell r="J102">
            <v>6.0283687943262221E-2</v>
          </cell>
          <cell r="L102" t="str">
            <v xml:space="preserve">NM </v>
          </cell>
          <cell r="M102">
            <v>2.1544929059379658E-2</v>
          </cell>
          <cell r="N102" t="str">
            <v xml:space="preserve">NM </v>
          </cell>
          <cell r="O102">
            <v>0.57305010539970747</v>
          </cell>
          <cell r="P102">
            <v>0.41934597416872754</v>
          </cell>
          <cell r="Q102">
            <v>-9.7710893444124647E-2</v>
          </cell>
          <cell r="S102">
            <v>0.46417481311098285</v>
          </cell>
          <cell r="T102">
            <v>4.9975655737166447E-2</v>
          </cell>
          <cell r="U102">
            <v>0.41014993693625623</v>
          </cell>
          <cell r="V102">
            <v>0.23076923076923084</v>
          </cell>
          <cell r="W102">
            <v>0.39062484662615682</v>
          </cell>
        </row>
        <row r="104">
          <cell r="A104" t="str">
            <v>1998 (a)</v>
          </cell>
        </row>
        <row r="105">
          <cell r="A105" t="str">
            <v xml:space="preserve"> 1QR</v>
          </cell>
          <cell r="B105">
            <v>2330.9</v>
          </cell>
          <cell r="C105">
            <v>653.6</v>
          </cell>
          <cell r="D105">
            <v>1677.3000000000002</v>
          </cell>
          <cell r="E105">
            <v>1024.3</v>
          </cell>
          <cell r="F105">
            <v>207.8</v>
          </cell>
          <cell r="G105">
            <v>445.20000000000022</v>
          </cell>
          <cell r="H105">
            <v>14.7</v>
          </cell>
          <cell r="I105">
            <v>-36</v>
          </cell>
          <cell r="J105">
            <v>-14.8</v>
          </cell>
          <cell r="L105">
            <v>6.9</v>
          </cell>
          <cell r="M105">
            <v>-29.200000000000003</v>
          </cell>
          <cell r="N105">
            <v>0</v>
          </cell>
          <cell r="O105">
            <v>416.00000000000023</v>
          </cell>
          <cell r="P105">
            <v>123.1</v>
          </cell>
          <cell r="Q105">
            <v>0.29591346153846138</v>
          </cell>
          <cell r="S105">
            <v>292.9000000000002</v>
          </cell>
          <cell r="T105">
            <v>873.96864800000003</v>
          </cell>
          <cell r="U105">
            <v>0.33</v>
          </cell>
          <cell r="V105">
            <v>0.16</v>
          </cell>
          <cell r="W105">
            <v>0.33513788014052442</v>
          </cell>
        </row>
        <row r="106">
          <cell r="A106" t="str">
            <v xml:space="preserve"> 2QR</v>
          </cell>
          <cell r="B106">
            <v>2682.7</v>
          </cell>
          <cell r="C106">
            <v>706.9</v>
          </cell>
          <cell r="D106">
            <v>1975.7999999999997</v>
          </cell>
          <cell r="E106">
            <v>1186.6000000000001</v>
          </cell>
          <cell r="F106">
            <v>260.8</v>
          </cell>
          <cell r="G106">
            <v>528.39999999999964</v>
          </cell>
          <cell r="H106">
            <v>14.2</v>
          </cell>
          <cell r="I106">
            <v>-26.4</v>
          </cell>
          <cell r="J106">
            <v>-14.7</v>
          </cell>
          <cell r="L106">
            <v>-40.299999999999997</v>
          </cell>
          <cell r="M106">
            <v>-67.199999999999989</v>
          </cell>
          <cell r="N106">
            <v>0</v>
          </cell>
          <cell r="O106">
            <v>461.19999999999965</v>
          </cell>
          <cell r="P106">
            <v>132.1</v>
          </cell>
          <cell r="Q106">
            <v>0.28642671292281024</v>
          </cell>
          <cell r="S106">
            <v>329.09999999999968</v>
          </cell>
          <cell r="T106">
            <v>878.70144900000003</v>
          </cell>
          <cell r="U106">
            <v>0.4</v>
          </cell>
          <cell r="V106">
            <v>0.16</v>
          </cell>
          <cell r="W106">
            <v>0.37452993889395497</v>
          </cell>
        </row>
        <row r="107">
          <cell r="A107" t="str">
            <v xml:space="preserve"> 3QR</v>
          </cell>
          <cell r="B107">
            <v>2694.1</v>
          </cell>
          <cell r="C107">
            <v>703.3</v>
          </cell>
          <cell r="D107">
            <v>1990.8</v>
          </cell>
          <cell r="E107">
            <v>1219.2</v>
          </cell>
          <cell r="F107">
            <v>256.7</v>
          </cell>
          <cell r="G107">
            <v>514.89999999999986</v>
          </cell>
          <cell r="H107">
            <v>12.2</v>
          </cell>
          <cell r="I107">
            <v>-26</v>
          </cell>
          <cell r="J107">
            <v>-14.9</v>
          </cell>
          <cell r="L107">
            <v>-61.8</v>
          </cell>
          <cell r="M107">
            <v>-90.5</v>
          </cell>
          <cell r="N107">
            <v>0</v>
          </cell>
          <cell r="O107">
            <v>424.39999999999986</v>
          </cell>
          <cell r="P107">
            <v>122</v>
          </cell>
          <cell r="Q107">
            <v>0.28746465598491999</v>
          </cell>
          <cell r="S107">
            <v>302.39999999999998</v>
          </cell>
          <cell r="T107">
            <v>881.03030899999999</v>
          </cell>
          <cell r="U107">
            <v>0.34323450273037087</v>
          </cell>
          <cell r="V107">
            <v>0.16</v>
          </cell>
          <cell r="W107">
            <v>0.34323450273037087</v>
          </cell>
        </row>
        <row r="108">
          <cell r="A108" t="str">
            <v xml:space="preserve"> 4Q</v>
          </cell>
          <cell r="B108">
            <v>3036.1</v>
          </cell>
          <cell r="C108">
            <v>722.5</v>
          </cell>
          <cell r="D108">
            <v>2313.6</v>
          </cell>
          <cell r="E108">
            <v>1403.9</v>
          </cell>
          <cell r="F108">
            <v>263.60000000000002</v>
          </cell>
          <cell r="G108">
            <v>646.0999999999998</v>
          </cell>
          <cell r="H108">
            <v>14.6</v>
          </cell>
          <cell r="I108">
            <v>-25.7</v>
          </cell>
          <cell r="J108">
            <v>-15.4</v>
          </cell>
          <cell r="L108">
            <v>19</v>
          </cell>
          <cell r="M108">
            <v>-7.5</v>
          </cell>
          <cell r="N108">
            <v>0</v>
          </cell>
          <cell r="O108">
            <v>638.5999999999998</v>
          </cell>
          <cell r="P108">
            <v>139.30000000000001</v>
          </cell>
          <cell r="Q108">
            <v>0.21813341684935805</v>
          </cell>
          <cell r="S108">
            <v>348.7</v>
          </cell>
          <cell r="T108">
            <v>882.32577300000003</v>
          </cell>
          <cell r="U108">
            <v>0.39520550194786158</v>
          </cell>
          <cell r="V108">
            <v>0.16</v>
          </cell>
          <cell r="W108">
            <v>0.39520550194786158</v>
          </cell>
        </row>
        <row r="110">
          <cell r="A110" t="str">
            <v>Year</v>
          </cell>
          <cell r="B110">
            <v>10743.800000000001</v>
          </cell>
          <cell r="C110">
            <v>2786.3</v>
          </cell>
          <cell r="D110">
            <v>7957.5</v>
          </cell>
          <cell r="E110">
            <v>4834</v>
          </cell>
          <cell r="F110">
            <v>988.9</v>
          </cell>
          <cell r="G110">
            <v>2134.5999999999995</v>
          </cell>
          <cell r="H110">
            <v>55.699999999999996</v>
          </cell>
          <cell r="I110">
            <v>-114.10000000000001</v>
          </cell>
          <cell r="J110">
            <v>-59.8</v>
          </cell>
          <cell r="L110">
            <v>-76.199999999999989</v>
          </cell>
          <cell r="M110">
            <v>-194.39999999999998</v>
          </cell>
          <cell r="N110">
            <v>0</v>
          </cell>
          <cell r="O110">
            <v>1940.1999999999994</v>
          </cell>
          <cell r="P110">
            <v>516.5</v>
          </cell>
          <cell r="Q110">
            <v>0.2662096691062778</v>
          </cell>
          <cell r="S110">
            <v>1273.0999999999999</v>
          </cell>
          <cell r="T110">
            <v>879.00654474999999</v>
          </cell>
          <cell r="U110">
            <v>1.4684400046782324</v>
          </cell>
          <cell r="V110">
            <v>0.64</v>
          </cell>
          <cell r="W110">
            <v>1.4481078237127119</v>
          </cell>
        </row>
        <row r="112">
          <cell r="A112" t="str">
            <v>1999/98</v>
          </cell>
        </row>
        <row r="113">
          <cell r="A113" t="str">
            <v xml:space="preserve"> 1QA</v>
          </cell>
          <cell r="B113">
            <v>0.28963061478398888</v>
          </cell>
          <cell r="C113">
            <v>0.15116279069767424</v>
          </cell>
          <cell r="D113">
            <v>0.34358790913968851</v>
          </cell>
          <cell r="E113">
            <v>0.33115298252465108</v>
          </cell>
          <cell r="F113">
            <v>0.3185755534167467</v>
          </cell>
          <cell r="G113">
            <v>0.38387241689128393</v>
          </cell>
          <cell r="H113">
            <v>0.52380952380952372</v>
          </cell>
          <cell r="I113">
            <v>-9.722222222222221E-2</v>
          </cell>
          <cell r="J113" t="str">
            <v xml:space="preserve">NM </v>
          </cell>
          <cell r="L113" t="str">
            <v xml:space="preserve">NM </v>
          </cell>
          <cell r="M113" t="str">
            <v xml:space="preserve">NM </v>
          </cell>
          <cell r="N113" t="str">
            <v xml:space="preserve">NM </v>
          </cell>
          <cell r="O113">
            <v>0.29278846153846083</v>
          </cell>
          <cell r="P113">
            <v>0.26563769293257522</v>
          </cell>
          <cell r="Q113">
            <v>-3.6880584890332635E-2</v>
          </cell>
          <cell r="S113">
            <v>0.30419938545578584</v>
          </cell>
          <cell r="T113">
            <v>9.9226671572776315E-3</v>
          </cell>
          <cell r="U113">
            <v>0.31149140825272359</v>
          </cell>
          <cell r="V113">
            <v>0.25</v>
          </cell>
          <cell r="W113">
            <v>0.29138539797986329</v>
          </cell>
        </row>
        <row r="114">
          <cell r="A114" t="str">
            <v xml:space="preserve"> 2QA</v>
          </cell>
          <cell r="B114">
            <v>0.17445111268498148</v>
          </cell>
          <cell r="C114">
            <v>2.3058424105248276E-2</v>
          </cell>
          <cell r="D114">
            <v>0.22861625670614449</v>
          </cell>
          <cell r="E114">
            <v>0.22130456767234108</v>
          </cell>
          <cell r="F114">
            <v>8.0521472392637961E-2</v>
          </cell>
          <cell r="G114">
            <v>0.31813020439061401</v>
          </cell>
          <cell r="H114">
            <v>1.2605633802816905</v>
          </cell>
          <cell r="I114">
            <v>0.39393939393939381</v>
          </cell>
          <cell r="J114" t="str">
            <v xml:space="preserve">NM </v>
          </cell>
          <cell r="L114" t="str">
            <v xml:space="preserve">NM </v>
          </cell>
          <cell r="M114" t="str">
            <v xml:space="preserve">NM </v>
          </cell>
          <cell r="N114" t="str">
            <v xml:space="preserve">NM </v>
          </cell>
          <cell r="O114">
            <v>0.36513443191674</v>
          </cell>
          <cell r="P114">
            <v>0.38304314912944726</v>
          </cell>
          <cell r="Q114">
            <v>1.3118647361023861E-2</v>
          </cell>
          <cell r="S114">
            <v>0.35794591309632473</v>
          </cell>
          <cell r="T114">
            <v>4.1727221505925005E-3</v>
          </cell>
          <cell r="U114">
            <v>0.26619501962778513</v>
          </cell>
          <cell r="V114">
            <v>0.25</v>
          </cell>
          <cell r="W114">
            <v>0.35230312788030305</v>
          </cell>
        </row>
        <row r="115">
          <cell r="A115" t="str">
            <v xml:space="preserve"> 3QA</v>
          </cell>
          <cell r="B115">
            <v>0.20173712928250631</v>
          </cell>
          <cell r="C115">
            <v>9.0857386606000512E-2</v>
          </cell>
          <cell r="D115">
            <v>0.24090817761703875</v>
          </cell>
          <cell r="E115">
            <v>0.26667913385826791</v>
          </cell>
          <cell r="F115">
            <v>0.35021425788858607</v>
          </cell>
          <cell r="G115">
            <v>0.22450961351718912</v>
          </cell>
          <cell r="H115">
            <v>1.7049180327868854</v>
          </cell>
          <cell r="I115">
            <v>0.42692307692307696</v>
          </cell>
          <cell r="J115" t="str">
            <v xml:space="preserve">NM </v>
          </cell>
          <cell r="L115" t="str">
            <v xml:space="preserve">NM </v>
          </cell>
          <cell r="M115" t="str">
            <v xml:space="preserve">NM </v>
          </cell>
          <cell r="N115" t="str">
            <v xml:space="preserve">NM </v>
          </cell>
          <cell r="O115">
            <v>0.3840716305372307</v>
          </cell>
          <cell r="P115">
            <v>0.39672131147540979</v>
          </cell>
          <cell r="Q115">
            <v>9.1394698504652094E-3</v>
          </cell>
          <cell r="S115">
            <v>0.37896825396825595</v>
          </cell>
          <cell r="T115">
            <v>2.7707798188814081E-3</v>
          </cell>
          <cell r="U115">
            <v>0.37515799395084359</v>
          </cell>
          <cell r="V115">
            <v>0.25</v>
          </cell>
          <cell r="W115">
            <v>0.37515799395084359</v>
          </cell>
        </row>
        <row r="116">
          <cell r="A116" t="str">
            <v xml:space="preserve"> 4Q</v>
          </cell>
          <cell r="B116">
            <v>0.16422383979447308</v>
          </cell>
          <cell r="C116">
            <v>0.10602076124567472</v>
          </cell>
          <cell r="D116">
            <v>0.18239972337482713</v>
          </cell>
          <cell r="E116">
            <v>0.20097720635372873</v>
          </cell>
          <cell r="F116">
            <v>0.35280728376327763</v>
          </cell>
          <cell r="G116">
            <v>0.12443894134034994</v>
          </cell>
          <cell r="H116">
            <v>1.6712328767123288</v>
          </cell>
          <cell r="I116">
            <v>0.31906614785992216</v>
          </cell>
          <cell r="J116" t="str">
            <v xml:space="preserve">NM </v>
          </cell>
          <cell r="L116" t="str">
            <v xml:space="preserve">NM </v>
          </cell>
          <cell r="M116" t="str">
            <v xml:space="preserve">NM </v>
          </cell>
          <cell r="N116" t="str">
            <v xml:space="preserve">NM </v>
          </cell>
          <cell r="O116">
            <v>7.5007829627310008E-2</v>
          </cell>
          <cell r="P116">
            <v>0.42928930366116269</v>
          </cell>
          <cell r="Q116">
            <v>0.32956176157031081</v>
          </cell>
          <cell r="S116">
            <v>0.39776312016059623</v>
          </cell>
          <cell r="T116">
            <v>7.1588014237911057E-3</v>
          </cell>
          <cell r="U116">
            <v>0.38782793555953576</v>
          </cell>
          <cell r="V116">
            <v>0.25</v>
          </cell>
          <cell r="W116">
            <v>0.41060722050922016</v>
          </cell>
        </row>
        <row r="118">
          <cell r="A118" t="str">
            <v>Year</v>
          </cell>
          <cell r="B118">
            <v>0.20339172359872659</v>
          </cell>
          <cell r="C118">
            <v>9.173455837490585E-2</v>
          </cell>
          <cell r="D118">
            <v>0.24248821866163994</v>
          </cell>
          <cell r="E118">
            <v>0.23262308647083163</v>
          </cell>
          <cell r="F118">
            <v>0.27313176256446559</v>
          </cell>
          <cell r="G118">
            <v>0.25063243699053728</v>
          </cell>
          <cell r="H118">
            <v>1.2710951526032317</v>
          </cell>
          <cell r="I118">
            <v>0.22962313759859776</v>
          </cell>
          <cell r="J118">
            <v>1.5050167224080369E-2</v>
          </cell>
          <cell r="L118" t="str">
            <v xml:space="preserve">NM </v>
          </cell>
          <cell r="M118">
            <v>0.17438271604938294</v>
          </cell>
          <cell r="N118" t="str">
            <v xml:space="preserve">NM </v>
          </cell>
          <cell r="O118">
            <v>0.25827234305741742</v>
          </cell>
          <cell r="P118">
            <v>0.37076476282671833</v>
          </cell>
          <cell r="Q118">
            <v>8.9402282733132887E-2</v>
          </cell>
          <cell r="S118">
            <v>0.36147985232896129</v>
          </cell>
          <cell r="T118">
            <v>6.0000159060249469E-3</v>
          </cell>
          <cell r="U118">
            <v>0.3345789221558424</v>
          </cell>
          <cell r="V118">
            <v>0.25</v>
          </cell>
          <cell r="W118">
            <v>0.35953383111279114</v>
          </cell>
        </row>
        <row r="120">
          <cell r="A120" t="str">
            <v>1999 (a)</v>
          </cell>
        </row>
        <row r="121">
          <cell r="A121" t="str">
            <v xml:space="preserve"> 1QA R</v>
          </cell>
          <cell r="B121">
            <v>3006</v>
          </cell>
          <cell r="C121">
            <v>752.4</v>
          </cell>
          <cell r="D121">
            <v>2253.6</v>
          </cell>
          <cell r="E121">
            <v>1363.5</v>
          </cell>
          <cell r="F121">
            <v>274</v>
          </cell>
          <cell r="G121">
            <v>616.09999999999991</v>
          </cell>
          <cell r="H121">
            <v>22.4</v>
          </cell>
          <cell r="I121">
            <v>-32.5</v>
          </cell>
          <cell r="J121">
            <v>-15.7</v>
          </cell>
          <cell r="K121" t="str">
            <v xml:space="preserve"> </v>
          </cell>
          <cell r="L121">
            <v>-52.5</v>
          </cell>
          <cell r="M121">
            <v>-78.3</v>
          </cell>
          <cell r="N121">
            <v>0</v>
          </cell>
          <cell r="O121">
            <v>537.79999999999995</v>
          </cell>
          <cell r="P121">
            <v>155.80000000000001</v>
          </cell>
          <cell r="Q121">
            <v>0.28499999999999998</v>
          </cell>
          <cell r="S121">
            <v>381.99999999999994</v>
          </cell>
          <cell r="T121">
            <v>882.64074800000003</v>
          </cell>
          <cell r="U121">
            <v>0.43279216472339882</v>
          </cell>
          <cell r="V121">
            <v>0.2</v>
          </cell>
          <cell r="W121">
            <v>0.43279216472339882</v>
          </cell>
        </row>
        <row r="122">
          <cell r="A122" t="str">
            <v xml:space="preserve"> 2QA R</v>
          </cell>
          <cell r="B122">
            <v>3150.7</v>
          </cell>
          <cell r="C122">
            <v>723.2</v>
          </cell>
          <cell r="D122">
            <v>2427.5</v>
          </cell>
          <cell r="E122">
            <v>1449.2</v>
          </cell>
          <cell r="F122">
            <v>281.8</v>
          </cell>
          <cell r="G122">
            <v>696.5</v>
          </cell>
          <cell r="H122">
            <v>32.1</v>
          </cell>
          <cell r="I122">
            <v>-36.799999999999997</v>
          </cell>
          <cell r="J122">
            <v>-15.3</v>
          </cell>
          <cell r="K122" t="str">
            <v xml:space="preserve"> </v>
          </cell>
          <cell r="L122">
            <v>-46.9</v>
          </cell>
          <cell r="M122">
            <v>-66.899999999999991</v>
          </cell>
          <cell r="N122">
            <v>0</v>
          </cell>
          <cell r="O122">
            <v>629.6</v>
          </cell>
          <cell r="P122">
            <v>182.7</v>
          </cell>
          <cell r="Q122">
            <v>0.29018424396442183</v>
          </cell>
          <cell r="S122">
            <v>446.90000000000003</v>
          </cell>
          <cell r="T122">
            <v>882.36802599999999</v>
          </cell>
          <cell r="U122">
            <v>0.50647800785111408</v>
          </cell>
          <cell r="V122">
            <v>0.2</v>
          </cell>
          <cell r="W122">
            <v>0.50647800785111408</v>
          </cell>
        </row>
        <row r="123">
          <cell r="A123" t="str">
            <v xml:space="preserve"> 3QA</v>
          </cell>
          <cell r="B123">
            <v>3237.6000000000004</v>
          </cell>
          <cell r="C123">
            <v>767.2</v>
          </cell>
          <cell r="D123">
            <v>2470.4000000000005</v>
          </cell>
          <cell r="E123">
            <v>1493.3</v>
          </cell>
          <cell r="F123">
            <v>346.6</v>
          </cell>
          <cell r="G123">
            <v>630.50000000000057</v>
          </cell>
          <cell r="H123">
            <v>33</v>
          </cell>
          <cell r="I123">
            <v>-37.1</v>
          </cell>
          <cell r="J123">
            <v>-14.4</v>
          </cell>
          <cell r="L123">
            <v>-24.599999999999998</v>
          </cell>
          <cell r="M123">
            <v>-43.099999999999994</v>
          </cell>
          <cell r="N123">
            <v>0</v>
          </cell>
          <cell r="O123">
            <v>587.40000000000055</v>
          </cell>
          <cell r="P123">
            <v>170.4</v>
          </cell>
          <cell r="Q123">
            <v>0.2900919305413685</v>
          </cell>
          <cell r="S123">
            <v>417.00000000000057</v>
          </cell>
          <cell r="T123">
            <v>883.47145</v>
          </cell>
          <cell r="U123">
            <v>0.47200167022941214</v>
          </cell>
          <cell r="V123">
            <v>0.2</v>
          </cell>
          <cell r="W123">
            <v>0.47200167022941214</v>
          </cell>
        </row>
        <row r="124">
          <cell r="A124" t="str">
            <v xml:space="preserve"> 4Q</v>
          </cell>
          <cell r="B124">
            <v>3534.7</v>
          </cell>
          <cell r="C124">
            <v>799.1</v>
          </cell>
          <cell r="D124">
            <v>2735.6</v>
          </cell>
          <cell r="E124">
            <v>1652.5</v>
          </cell>
          <cell r="F124">
            <v>356.6</v>
          </cell>
          <cell r="G124">
            <v>726.49999999999989</v>
          </cell>
          <cell r="H124">
            <v>39</v>
          </cell>
          <cell r="I124">
            <v>-33.9</v>
          </cell>
          <cell r="J124">
            <v>-15.3</v>
          </cell>
          <cell r="L124">
            <v>-29.8</v>
          </cell>
          <cell r="M124">
            <v>-40</v>
          </cell>
          <cell r="N124">
            <v>0</v>
          </cell>
          <cell r="O124">
            <v>686.49999999999989</v>
          </cell>
          <cell r="P124">
            <v>199.1</v>
          </cell>
          <cell r="Q124">
            <v>0.29002184996358343</v>
          </cell>
          <cell r="S124">
            <v>487.39999999999986</v>
          </cell>
          <cell r="T124">
            <v>888.64216799999997</v>
          </cell>
          <cell r="U124">
            <v>0.5484772358900708</v>
          </cell>
          <cell r="V124">
            <v>0.2</v>
          </cell>
          <cell r="W124">
            <v>0.55747973463262424</v>
          </cell>
        </row>
        <row r="126">
          <cell r="A126" t="str">
            <v>Year</v>
          </cell>
          <cell r="B126">
            <v>12929</v>
          </cell>
          <cell r="C126">
            <v>3041.9</v>
          </cell>
          <cell r="D126">
            <v>9887.1</v>
          </cell>
          <cell r="E126">
            <v>5958.5</v>
          </cell>
          <cell r="F126">
            <v>1259</v>
          </cell>
          <cell r="G126">
            <v>2669.6000000000004</v>
          </cell>
          <cell r="H126">
            <v>126.5</v>
          </cell>
          <cell r="I126">
            <v>-140.30000000000001</v>
          </cell>
          <cell r="J126">
            <v>-60.7</v>
          </cell>
          <cell r="L126">
            <v>-153.80000000000001</v>
          </cell>
          <cell r="M126">
            <v>-228.3</v>
          </cell>
          <cell r="N126">
            <v>0</v>
          </cell>
          <cell r="O126">
            <v>2441.3000000000006</v>
          </cell>
          <cell r="P126">
            <v>708</v>
          </cell>
          <cell r="Q126">
            <v>0.290009421210011</v>
          </cell>
          <cell r="S126">
            <v>1733.3000000000004</v>
          </cell>
          <cell r="T126">
            <v>884.28059799999994</v>
          </cell>
          <cell r="U126">
            <v>1.9597490786939957</v>
          </cell>
          <cell r="V126">
            <v>0.8</v>
          </cell>
          <cell r="W126">
            <v>1.9687515774365494</v>
          </cell>
        </row>
        <row r="128">
          <cell r="A128" t="str">
            <v>2000E</v>
          </cell>
        </row>
        <row r="129">
          <cell r="A129" t="str">
            <v xml:space="preserve"> 1QA</v>
          </cell>
          <cell r="B129">
            <v>0.13339986693280115</v>
          </cell>
          <cell r="C129">
            <v>-2.6581605528963603E-4</v>
          </cell>
          <cell r="D129">
            <v>0.17802626908058228</v>
          </cell>
          <cell r="E129">
            <v>0.14712137880454712</v>
          </cell>
          <cell r="F129">
            <v>0.2729927007299271</v>
          </cell>
          <cell r="G129">
            <v>0.20418763187794253</v>
          </cell>
          <cell r="H129">
            <v>1.4553571428571428</v>
          </cell>
          <cell r="I129">
            <v>0.78153846153846152</v>
          </cell>
          <cell r="J129" t="str">
            <v xml:space="preserve">NM </v>
          </cell>
          <cell r="L129" t="str">
            <v xml:space="preserve">NM </v>
          </cell>
          <cell r="M129" t="str">
            <v xml:space="preserve">NM </v>
          </cell>
          <cell r="N129" t="str">
            <v xml:space="preserve">NM </v>
          </cell>
          <cell r="O129">
            <v>0.34101896615842375</v>
          </cell>
          <cell r="P129">
            <v>0.31926829268292711</v>
          </cell>
          <cell r="Q129">
            <v>0</v>
          </cell>
          <cell r="R129" t="e">
            <v>#DIV/0!</v>
          </cell>
          <cell r="S129">
            <v>0.34989005235602177</v>
          </cell>
          <cell r="T129">
            <v>1.468236315779059E-2</v>
          </cell>
          <cell r="U129">
            <v>0.33035726387815778</v>
          </cell>
          <cell r="V129">
            <v>0.25</v>
          </cell>
        </row>
        <row r="130">
          <cell r="A130" t="str">
            <v xml:space="preserve"> 2QE</v>
          </cell>
          <cell r="B130">
            <v>0.12531659631193093</v>
          </cell>
          <cell r="C130">
            <v>2.9538647676991214E-2</v>
          </cell>
          <cell r="D130">
            <v>0.15385073120494352</v>
          </cell>
          <cell r="E130">
            <v>0.13030442313000301</v>
          </cell>
          <cell r="F130">
            <v>0.22042900993612502</v>
          </cell>
          <cell r="G130">
            <v>0.17590608040200983</v>
          </cell>
          <cell r="H130">
            <v>0.55763239875389403</v>
          </cell>
          <cell r="I130">
            <v>0.63043478260869579</v>
          </cell>
          <cell r="J130" t="str">
            <v xml:space="preserve">NM </v>
          </cell>
          <cell r="L130" t="str">
            <v xml:space="preserve">NM </v>
          </cell>
          <cell r="M130" t="str">
            <v xml:space="preserve">NM </v>
          </cell>
          <cell r="N130" t="str">
            <v xml:space="preserve">NM </v>
          </cell>
          <cell r="O130">
            <v>0.25765340692503136</v>
          </cell>
          <cell r="P130">
            <v>0.23518498481116556</v>
          </cell>
          <cell r="Q130">
            <v>-1.7865353037766818E-2</v>
          </cell>
          <cell r="R130" t="e">
            <v>#DIV/0!</v>
          </cell>
          <cell r="S130">
            <v>0.26683886389572575</v>
          </cell>
          <cell r="T130">
            <v>1.4995980826712385E-2</v>
          </cell>
          <cell r="U130">
            <v>0.24812204957096262</v>
          </cell>
          <cell r="V130">
            <v>0.25</v>
          </cell>
        </row>
        <row r="131">
          <cell r="A131" t="str">
            <v xml:space="preserve"> 3QE</v>
          </cell>
          <cell r="B131">
            <v>0.14365826538176441</v>
          </cell>
          <cell r="C131">
            <v>4.2472533889468256E-2</v>
          </cell>
          <cell r="D131">
            <v>0.17508220207253888</v>
          </cell>
          <cell r="E131">
            <v>0.1505099524542961</v>
          </cell>
          <cell r="F131">
            <v>0.15375783035199087</v>
          </cell>
          <cell r="G131">
            <v>0.24500253132434491</v>
          </cell>
          <cell r="H131">
            <v>0.51515151515151514</v>
          </cell>
          <cell r="I131">
            <v>0.61725067385444743</v>
          </cell>
          <cell r="J131" t="str">
            <v xml:space="preserve">NM </v>
          </cell>
          <cell r="L131" t="str">
            <v xml:space="preserve">NM </v>
          </cell>
          <cell r="M131" t="str">
            <v xml:space="preserve">NM </v>
          </cell>
          <cell r="N131" t="str">
            <v xml:space="preserve">NM </v>
          </cell>
          <cell r="O131">
            <v>0.28783468845760884</v>
          </cell>
          <cell r="P131">
            <v>0.26522956197183101</v>
          </cell>
          <cell r="Q131">
            <v>-1.7552816901407753E-2</v>
          </cell>
          <cell r="R131" t="e">
            <v>#DIV/0!</v>
          </cell>
          <cell r="S131">
            <v>0.29707189122302013</v>
          </cell>
          <cell r="T131">
            <v>1.3728287427963837E-2</v>
          </cell>
          <cell r="U131">
            <v>0.27950645879080382</v>
          </cell>
          <cell r="V131">
            <v>0.25</v>
          </cell>
        </row>
        <row r="132">
          <cell r="A132" t="str">
            <v xml:space="preserve"> 4QE</v>
          </cell>
          <cell r="B132">
            <v>0.16783521158485137</v>
          </cell>
          <cell r="C132">
            <v>0.12203953001629131</v>
          </cell>
          <cell r="D132">
            <v>0.18121265314847035</v>
          </cell>
          <cell r="E132">
            <v>0.17349865947865983</v>
          </cell>
          <cell r="F132">
            <v>0.20599894449260914</v>
          </cell>
          <cell r="G132">
            <v>0.18659267110585831</v>
          </cell>
          <cell r="H132">
            <v>0.41025641025641035</v>
          </cell>
          <cell r="I132">
            <v>0.83185840707964598</v>
          </cell>
          <cell r="J132" t="str">
            <v xml:space="preserve">NM </v>
          </cell>
          <cell r="L132" t="str">
            <v xml:space="preserve">NM </v>
          </cell>
          <cell r="M132" t="str">
            <v xml:space="preserve">NM </v>
          </cell>
          <cell r="N132" t="str">
            <v xml:space="preserve">NM </v>
          </cell>
          <cell r="O132">
            <v>0.21742108602826815</v>
          </cell>
          <cell r="P132">
            <v>0.196340929352816</v>
          </cell>
          <cell r="Q132">
            <v>-1.7315419387242792E-2</v>
          </cell>
          <cell r="R132" t="e">
            <v>#DIV/0!</v>
          </cell>
          <cell r="S132">
            <v>0.22603220460455553</v>
          </cell>
          <cell r="T132">
            <v>7.8297342288624616E-3</v>
          </cell>
          <cell r="U132">
            <v>0.21650727594641772</v>
          </cell>
          <cell r="V132">
            <v>0.25</v>
          </cell>
        </row>
        <row r="134">
          <cell r="A134" t="str">
            <v>Year</v>
          </cell>
          <cell r="B134">
            <v>0.14341326648534114</v>
          </cell>
          <cell r="C134">
            <v>4.9728481026996008E-2</v>
          </cell>
          <cell r="D134">
            <v>0.17223665745799632</v>
          </cell>
          <cell r="E134">
            <v>0.14000000000000001</v>
          </cell>
          <cell r="F134">
            <v>0.2094269917442928</v>
          </cell>
          <cell r="G134">
            <v>0.20166026991249852</v>
          </cell>
          <cell r="H134">
            <v>0.66007905138339917</v>
          </cell>
          <cell r="I134" t="str">
            <v xml:space="preserve">NM </v>
          </cell>
          <cell r="J134" t="str">
            <v xml:space="preserve">NM </v>
          </cell>
          <cell r="L134" t="str">
            <v xml:space="preserve">NM </v>
          </cell>
          <cell r="M134" t="str">
            <v xml:space="preserve">NM </v>
          </cell>
          <cell r="N134" t="str">
            <v xml:space="preserve">NM </v>
          </cell>
          <cell r="O134">
            <v>0.2719666802762486</v>
          </cell>
          <cell r="P134">
            <v>0.24999561175020601</v>
          </cell>
          <cell r="Q134">
            <v>-1.7273305084745672E-2</v>
          </cell>
          <cell r="S134">
            <v>0.2809411893147522</v>
          </cell>
          <cell r="T134">
            <v>0</v>
          </cell>
          <cell r="U134">
            <v>0.2649937331431198</v>
          </cell>
          <cell r="V134">
            <v>0.25</v>
          </cell>
          <cell r="W134">
            <v>0.25920930375016038</v>
          </cell>
        </row>
        <row r="136">
          <cell r="A136" t="str">
            <v>2000E</v>
          </cell>
        </row>
        <row r="137">
          <cell r="A137" t="str">
            <v xml:space="preserve"> 1QA</v>
          </cell>
          <cell r="B137">
            <v>3407</v>
          </cell>
          <cell r="C137">
            <v>752.2</v>
          </cell>
          <cell r="D137">
            <v>2654.8</v>
          </cell>
          <cell r="E137">
            <v>1564.1</v>
          </cell>
          <cell r="F137">
            <v>348.8</v>
          </cell>
          <cell r="G137">
            <v>741.90000000000032</v>
          </cell>
          <cell r="H137">
            <v>55</v>
          </cell>
          <cell r="I137">
            <v>-57.9</v>
          </cell>
          <cell r="J137">
            <v>-14.9</v>
          </cell>
          <cell r="L137">
            <v>-2.9000000000000021</v>
          </cell>
          <cell r="M137">
            <v>-20.7</v>
          </cell>
          <cell r="N137">
            <v>0</v>
          </cell>
          <cell r="O137">
            <v>721.20000000000027</v>
          </cell>
          <cell r="P137">
            <v>205.54200000000006</v>
          </cell>
          <cell r="Q137">
            <v>0.28499999999999998</v>
          </cell>
          <cell r="S137">
            <v>515.65800000000024</v>
          </cell>
          <cell r="T137">
            <v>895.6</v>
          </cell>
          <cell r="U137">
            <v>0.57576820008932583</v>
          </cell>
          <cell r="V137">
            <v>0.25</v>
          </cell>
        </row>
        <row r="138">
          <cell r="A138" t="str">
            <v xml:space="preserve"> 2QE</v>
          </cell>
          <cell r="B138">
            <v>3545.5350000000003</v>
          </cell>
          <cell r="C138">
            <v>744.56235000000004</v>
          </cell>
          <cell r="D138">
            <v>2800.9726500000002</v>
          </cell>
          <cell r="E138">
            <v>1638.0371700000003</v>
          </cell>
          <cell r="F138">
            <v>343.91689500000007</v>
          </cell>
          <cell r="G138">
            <v>819.0185849999998</v>
          </cell>
          <cell r="H138">
            <v>50</v>
          </cell>
          <cell r="I138">
            <v>-60</v>
          </cell>
          <cell r="J138">
            <v>-14.2</v>
          </cell>
          <cell r="L138">
            <v>-3</v>
          </cell>
          <cell r="M138">
            <v>-27.2</v>
          </cell>
          <cell r="N138">
            <v>0</v>
          </cell>
          <cell r="O138">
            <v>791.81858499999976</v>
          </cell>
          <cell r="P138">
            <v>225.66829672499992</v>
          </cell>
          <cell r="Q138">
            <v>0.28499999999999998</v>
          </cell>
          <cell r="S138">
            <v>566.15028827499987</v>
          </cell>
          <cell r="T138">
            <v>895.6</v>
          </cell>
          <cell r="U138">
            <v>0.6321463692217506</v>
          </cell>
          <cell r="V138">
            <v>0.25</v>
          </cell>
        </row>
        <row r="139">
          <cell r="A139" t="str">
            <v xml:space="preserve"> 3QE</v>
          </cell>
          <cell r="B139">
            <v>3702.7080000000005</v>
          </cell>
          <cell r="C139">
            <v>799.78492800000015</v>
          </cell>
          <cell r="D139">
            <v>2902.9230720000005</v>
          </cell>
          <cell r="E139">
            <v>1718.0565120000003</v>
          </cell>
          <cell r="F139">
            <v>399.89246400000007</v>
          </cell>
          <cell r="G139">
            <v>784.97409600000015</v>
          </cell>
          <cell r="H139">
            <v>50</v>
          </cell>
          <cell r="I139">
            <v>-60</v>
          </cell>
          <cell r="J139">
            <v>-15.5</v>
          </cell>
          <cell r="L139">
            <v>-3</v>
          </cell>
          <cell r="M139">
            <v>-28.5</v>
          </cell>
          <cell r="N139">
            <v>0</v>
          </cell>
          <cell r="O139">
            <v>756.47409600000015</v>
          </cell>
          <cell r="P139">
            <v>215.59511736000002</v>
          </cell>
          <cell r="Q139">
            <v>0.28499999999999998</v>
          </cell>
          <cell r="S139">
            <v>540.87897864000013</v>
          </cell>
          <cell r="T139">
            <v>895.6</v>
          </cell>
          <cell r="U139">
            <v>0.60392918561857989</v>
          </cell>
          <cell r="V139">
            <v>0.25</v>
          </cell>
        </row>
        <row r="140">
          <cell r="A140" t="str">
            <v xml:space="preserve"> 4QE</v>
          </cell>
          <cell r="B140">
            <v>4127.9471223889741</v>
          </cell>
          <cell r="C140">
            <v>896.62178843601839</v>
          </cell>
          <cell r="D140">
            <v>3231.3253339529556</v>
          </cell>
          <cell r="E140">
            <v>1939.2065347884852</v>
          </cell>
          <cell r="F140">
            <v>430.05922360606445</v>
          </cell>
          <cell r="G140">
            <v>862.05957555840587</v>
          </cell>
          <cell r="H140">
            <v>55</v>
          </cell>
          <cell r="I140">
            <v>-62.099999999999994</v>
          </cell>
          <cell r="J140">
            <v>-16.100000000000005</v>
          </cell>
          <cell r="K140">
            <v>0</v>
          </cell>
          <cell r="L140">
            <v>-3.0999999999999979</v>
          </cell>
          <cell r="M140">
            <v>-26.299999999999997</v>
          </cell>
          <cell r="N140">
            <v>0</v>
          </cell>
          <cell r="O140">
            <v>835.75957555840591</v>
          </cell>
          <cell r="P140">
            <v>238.19147903414566</v>
          </cell>
          <cell r="Q140">
            <v>0.28499999999999998</v>
          </cell>
          <cell r="S140">
            <v>597.56809652426023</v>
          </cell>
          <cell r="T140">
            <v>895.6</v>
          </cell>
          <cell r="U140">
            <v>0.66722654815125082</v>
          </cell>
          <cell r="V140">
            <v>0.25</v>
          </cell>
        </row>
        <row r="142">
          <cell r="A142" t="str">
            <v>Year</v>
          </cell>
          <cell r="B142">
            <v>14783.190122388976</v>
          </cell>
          <cell r="C142">
            <v>3193.169066436019</v>
          </cell>
          <cell r="D142">
            <v>11590.021055952957</v>
          </cell>
          <cell r="E142">
            <v>6859.4002167884855</v>
          </cell>
          <cell r="F142">
            <v>1522.6685826060645</v>
          </cell>
          <cell r="G142">
            <v>3207.9522565584066</v>
          </cell>
          <cell r="H142">
            <v>210</v>
          </cell>
          <cell r="I142">
            <v>-240</v>
          </cell>
          <cell r="J142">
            <v>-60.7</v>
          </cell>
          <cell r="L142">
            <v>-12</v>
          </cell>
          <cell r="M142">
            <v>-102.7</v>
          </cell>
          <cell r="N142">
            <v>0</v>
          </cell>
          <cell r="O142">
            <v>3105.2522565584068</v>
          </cell>
          <cell r="P142">
            <v>884.99689311914585</v>
          </cell>
          <cell r="Q142">
            <v>0.28499999999999998</v>
          </cell>
          <cell r="S142">
            <v>2220.2553634392607</v>
          </cell>
          <cell r="T142">
            <v>895.6</v>
          </cell>
          <cell r="U142">
            <v>2.4790703030809071</v>
          </cell>
          <cell r="V142">
            <v>1</v>
          </cell>
          <cell r="W142">
            <v>2.4790703030809071</v>
          </cell>
        </row>
        <row r="145">
          <cell r="A145" t="str">
            <v>2001E/00E</v>
          </cell>
          <cell r="B145">
            <v>0.12828424913276026</v>
          </cell>
          <cell r="C145">
            <v>4.9931176276318601E-2</v>
          </cell>
          <cell r="D145">
            <v>0.14987132022586147</v>
          </cell>
          <cell r="E145">
            <v>0.10396777824627823</v>
          </cell>
          <cell r="F145">
            <v>8.8849071493168452E-2</v>
          </cell>
          <cell r="G145">
            <v>0.27698899348850703</v>
          </cell>
          <cell r="H145">
            <v>0.33333333333333326</v>
          </cell>
          <cell r="I145">
            <v>-2.083333333333337E-2</v>
          </cell>
          <cell r="J145" t="str">
            <v xml:space="preserve">NM </v>
          </cell>
          <cell r="L145">
            <v>-0.83333333333333337</v>
          </cell>
          <cell r="M145">
            <v>-0.82765335929892891</v>
          </cell>
          <cell r="N145" t="str">
            <v xml:space="preserve">NM </v>
          </cell>
          <cell r="O145">
            <v>0.31352282721865432</v>
          </cell>
          <cell r="P145">
            <v>0.31352282721865454</v>
          </cell>
          <cell r="Q145">
            <v>0</v>
          </cell>
          <cell r="S145">
            <v>0.31352282721865454</v>
          </cell>
          <cell r="T145">
            <v>0</v>
          </cell>
          <cell r="U145">
            <v>0.31352282721865476</v>
          </cell>
          <cell r="V145">
            <v>0.25</v>
          </cell>
          <cell r="W145">
            <v>0.31352282721865476</v>
          </cell>
        </row>
        <row r="146">
          <cell r="A146" t="str">
            <v>2002E/01E</v>
          </cell>
          <cell r="B146">
            <v>0.11639138913769598</v>
          </cell>
          <cell r="C146">
            <v>8.8620459059643775E-2</v>
          </cell>
          <cell r="D146">
            <v>0.1233775680434388</v>
          </cell>
          <cell r="E146">
            <v>0.10655534165630653</v>
          </cell>
          <cell r="F146">
            <v>8.9436265053888464E-2</v>
          </cell>
          <cell r="G146">
            <v>0.16821085915467382</v>
          </cell>
          <cell r="H146">
            <v>0.28571428571428581</v>
          </cell>
          <cell r="I146">
            <v>0</v>
          </cell>
          <cell r="J146" t="str">
            <v xml:space="preserve">NM </v>
          </cell>
          <cell r="L146">
            <v>-5</v>
          </cell>
          <cell r="M146">
            <v>-5.0847457627118633</v>
          </cell>
          <cell r="N146" t="str">
            <v xml:space="preserve">NM </v>
          </cell>
          <cell r="O146">
            <v>0.19100601523298333</v>
          </cell>
          <cell r="P146">
            <v>0.17011117286047495</v>
          </cell>
          <cell r="Q146">
            <v>-1.754385964912264E-2</v>
          </cell>
          <cell r="S146">
            <v>0.19933472862622081</v>
          </cell>
          <cell r="T146">
            <v>0</v>
          </cell>
          <cell r="U146">
            <v>0.19933472862622059</v>
          </cell>
          <cell r="V146">
            <v>0.25</v>
          </cell>
          <cell r="W146">
            <v>0.19933472862622059</v>
          </cell>
        </row>
        <row r="147">
          <cell r="A147" t="str">
            <v>2003E/02E</v>
          </cell>
          <cell r="B147">
            <v>4.1580886092527747E-2</v>
          </cell>
          <cell r="C147">
            <v>6.2837638869926327E-2</v>
          </cell>
          <cell r="D147">
            <v>3.6398891634356056E-2</v>
          </cell>
          <cell r="E147">
            <v>5.7783255431745006E-2</v>
          </cell>
          <cell r="F147">
            <v>2.010499153391887E-2</v>
          </cell>
          <cell r="G147">
            <v>5.105290859715339E-3</v>
          </cell>
          <cell r="H147">
            <v>0.33333333333333326</v>
          </cell>
          <cell r="I147">
            <v>0</v>
          </cell>
          <cell r="J147" t="str">
            <v xml:space="preserve">NM </v>
          </cell>
          <cell r="L147">
            <v>1.25</v>
          </cell>
          <cell r="M147">
            <v>1.7980636237897651</v>
          </cell>
          <cell r="N147" t="str">
            <v xml:space="preserve">NM </v>
          </cell>
          <cell r="O147">
            <v>3.1789849787038138E-2</v>
          </cell>
          <cell r="P147">
            <v>2.0734958539319726E-2</v>
          </cell>
          <cell r="Q147">
            <v>-1.0714285714285676E-2</v>
          </cell>
          <cell r="S147">
            <v>3.6088974161150755E-2</v>
          </cell>
          <cell r="T147">
            <v>0</v>
          </cell>
          <cell r="U147">
            <v>3.6088974161150755E-2</v>
          </cell>
          <cell r="V147">
            <v>0.25</v>
          </cell>
          <cell r="W147">
            <v>3.6088974161150755E-2</v>
          </cell>
        </row>
        <row r="148">
          <cell r="A148" t="str">
            <v>2004E/03E</v>
          </cell>
          <cell r="B148">
            <v>5.1808359840511242E-2</v>
          </cell>
          <cell r="C148">
            <v>5.9171018359394978E-2</v>
          </cell>
          <cell r="D148">
            <v>4.9967695210790364E-2</v>
          </cell>
          <cell r="E148">
            <v>5.5030529870657041E-2</v>
          </cell>
          <cell r="F148">
            <v>4.0736692894821624E-2</v>
          </cell>
          <cell r="G148">
            <v>4.4174266906185533E-2</v>
          </cell>
          <cell r="H148">
            <v>0.29166666666666674</v>
          </cell>
          <cell r="I148">
            <v>0</v>
          </cell>
          <cell r="J148" t="str">
            <v xml:space="preserve">NM </v>
          </cell>
          <cell r="L148">
            <v>0.55555555555555558</v>
          </cell>
          <cell r="M148">
            <v>0.74147305981216016</v>
          </cell>
          <cell r="N148" t="str">
            <v xml:space="preserve">NM </v>
          </cell>
          <cell r="O148">
            <v>7.2317570743227977E-2</v>
          </cell>
          <cell r="P148">
            <v>5.6832840479787761E-2</v>
          </cell>
          <cell r="Q148">
            <v>-1.4440433212996373E-2</v>
          </cell>
          <cell r="S148">
            <v>7.8250171411240244E-2</v>
          </cell>
          <cell r="T148">
            <v>0</v>
          </cell>
          <cell r="U148">
            <v>7.8250171411240244E-2</v>
          </cell>
          <cell r="V148">
            <v>0.25</v>
          </cell>
          <cell r="W148">
            <v>7.8250171411240244E-2</v>
          </cell>
        </row>
        <row r="149">
          <cell r="A149" t="str">
            <v>2005E/04E</v>
          </cell>
          <cell r="B149">
            <v>5.4959935589752984E-2</v>
          </cell>
          <cell r="C149">
            <v>4.7626549741561996E-2</v>
          </cell>
          <cell r="D149">
            <v>5.680935195567538E-2</v>
          </cell>
          <cell r="E149">
            <v>5.4039377181734238E-2</v>
          </cell>
          <cell r="F149">
            <v>2.7219026421072545E-2</v>
          </cell>
          <cell r="G149">
            <v>7.3264457709644626E-2</v>
          </cell>
          <cell r="H149">
            <v>0.2661290322580645</v>
          </cell>
          <cell r="I149">
            <v>0</v>
          </cell>
          <cell r="J149" t="str">
            <v xml:space="preserve">NM </v>
          </cell>
          <cell r="L149">
            <v>0.35714285714285721</v>
          </cell>
          <cell r="M149">
            <v>0.49673573658813486</v>
          </cell>
          <cell r="N149" t="str">
            <v xml:space="preserve">NM </v>
          </cell>
          <cell r="O149">
            <v>0.10102151773506796</v>
          </cell>
          <cell r="P149">
            <v>9.2955426030049138E-2</v>
          </cell>
          <cell r="Q149">
            <v>-7.3260073260073E-3</v>
          </cell>
          <cell r="S149">
            <v>0.10405046276322483</v>
          </cell>
          <cell r="T149">
            <v>0</v>
          </cell>
          <cell r="U149">
            <v>0.10405046276322505</v>
          </cell>
          <cell r="V149">
            <v>0.25</v>
          </cell>
          <cell r="W149">
            <v>0.10405046276322505</v>
          </cell>
        </row>
        <row r="152">
          <cell r="A152" t="str">
            <v>2001E</v>
          </cell>
          <cell r="B152">
            <v>16679.640567026483</v>
          </cell>
          <cell r="C152">
            <v>3352.6077539723233</v>
          </cell>
          <cell r="D152">
            <v>13327.03281305416</v>
          </cell>
          <cell r="E152">
            <v>7572.5568174300233</v>
          </cell>
          <cell r="F152">
            <v>1657.9562723624324</v>
          </cell>
          <cell r="G152">
            <v>4096.5197232617047</v>
          </cell>
          <cell r="H152">
            <v>280</v>
          </cell>
          <cell r="I152">
            <v>-235</v>
          </cell>
          <cell r="J152">
            <v>-60.7</v>
          </cell>
          <cell r="L152">
            <v>-2</v>
          </cell>
          <cell r="M152">
            <v>-17.700000000000003</v>
          </cell>
          <cell r="N152">
            <v>0</v>
          </cell>
          <cell r="O152">
            <v>4078.8197232617049</v>
          </cell>
          <cell r="P152">
            <v>1162.4636211295858</v>
          </cell>
          <cell r="Q152">
            <v>0.28499999999999998</v>
          </cell>
          <cell r="S152">
            <v>2916.3561021321193</v>
          </cell>
          <cell r="T152">
            <v>895.6</v>
          </cell>
          <cell r="U152">
            <v>3.2563154333766406</v>
          </cell>
          <cell r="V152">
            <v>1.25</v>
          </cell>
          <cell r="W152">
            <v>3.2563154333766406</v>
          </cell>
        </row>
        <row r="153">
          <cell r="A153" t="str">
            <v>2002E</v>
          </cell>
          <cell r="B153">
            <v>18621.007102940162</v>
          </cell>
          <cell r="C153">
            <v>3649.7173921762719</v>
          </cell>
          <cell r="D153">
            <v>14971.289710763891</v>
          </cell>
          <cell r="E153">
            <v>8379.4531963230729</v>
          </cell>
          <cell r="F153">
            <v>1806.2376889851957</v>
          </cell>
          <cell r="G153">
            <v>4785.5988254556223</v>
          </cell>
          <cell r="H153">
            <v>360</v>
          </cell>
          <cell r="I153">
            <v>-235</v>
          </cell>
          <cell r="J153">
            <v>-60.7</v>
          </cell>
          <cell r="L153">
            <v>8</v>
          </cell>
          <cell r="M153">
            <v>72.3</v>
          </cell>
          <cell r="N153">
            <v>0</v>
          </cell>
          <cell r="O153">
            <v>4857.8988254556225</v>
          </cell>
          <cell r="P153">
            <v>1360.2116711275744</v>
          </cell>
          <cell r="Q153">
            <v>0.28000000000000003</v>
          </cell>
          <cell r="S153">
            <v>3497.6871543280481</v>
          </cell>
          <cell r="T153">
            <v>895.6</v>
          </cell>
          <cell r="U153">
            <v>3.9054121866101474</v>
          </cell>
          <cell r="V153">
            <v>1.5625</v>
          </cell>
          <cell r="W153">
            <v>3.9054121866101474</v>
          </cell>
        </row>
        <row r="154">
          <cell r="A154" t="str">
            <v>2003E</v>
          </cell>
          <cell r="B154">
            <v>19395.285078215667</v>
          </cell>
          <cell r="C154">
            <v>3879.0570156431336</v>
          </cell>
          <cell r="D154">
            <v>15516.228062572534</v>
          </cell>
          <cell r="E154">
            <v>8863.6452807445603</v>
          </cell>
          <cell r="F154">
            <v>1842.5520824304883</v>
          </cell>
          <cell r="G154">
            <v>4810.0306993974855</v>
          </cell>
          <cell r="H154">
            <v>480</v>
          </cell>
          <cell r="I154">
            <v>-235</v>
          </cell>
          <cell r="J154">
            <v>-60.7</v>
          </cell>
          <cell r="L154">
            <v>18</v>
          </cell>
          <cell r="M154">
            <v>202.3</v>
          </cell>
          <cell r="N154">
            <v>0</v>
          </cell>
          <cell r="O154">
            <v>5012.3306993974857</v>
          </cell>
          <cell r="P154">
            <v>1388.4156037331036</v>
          </cell>
          <cell r="Q154">
            <v>0.27700000000000002</v>
          </cell>
          <cell r="S154">
            <v>3623.9150956643821</v>
          </cell>
          <cell r="T154">
            <v>895.6</v>
          </cell>
          <cell r="U154">
            <v>4.0463545061013644</v>
          </cell>
          <cell r="V154">
            <v>1.953125</v>
          </cell>
          <cell r="W154">
            <v>4.0463545061013644</v>
          </cell>
        </row>
        <row r="155">
          <cell r="A155" t="str">
            <v>2004E</v>
          </cell>
          <cell r="B155">
            <v>20400.122986757164</v>
          </cell>
          <cell r="C155">
            <v>4108.584769532893</v>
          </cell>
          <cell r="D155">
            <v>16291.538217224272</v>
          </cell>
          <cell r="E155">
            <v>9351.4163771294825</v>
          </cell>
          <cell r="F155">
            <v>1917.6115607551733</v>
          </cell>
          <cell r="G155">
            <v>5022.5102793396163</v>
          </cell>
          <cell r="H155">
            <v>620</v>
          </cell>
          <cell r="I155">
            <v>-235</v>
          </cell>
          <cell r="J155">
            <v>-60.7</v>
          </cell>
          <cell r="L155">
            <v>28</v>
          </cell>
          <cell r="M155">
            <v>352.3</v>
          </cell>
          <cell r="N155">
            <v>0</v>
          </cell>
          <cell r="O155">
            <v>5374.8102793396165</v>
          </cell>
          <cell r="P155">
            <v>1467.3232062597153</v>
          </cell>
          <cell r="Q155">
            <v>0.27300000000000002</v>
          </cell>
          <cell r="S155">
            <v>3907.4870730799012</v>
          </cell>
          <cell r="T155">
            <v>895.6</v>
          </cell>
          <cell r="U155">
            <v>4.3629824397944406</v>
          </cell>
          <cell r="V155">
            <v>2.44140625</v>
          </cell>
          <cell r="W155">
            <v>4.3629824397944406</v>
          </cell>
        </row>
        <row r="156">
          <cell r="A156" t="str">
            <v>2005E</v>
          </cell>
          <cell r="B156">
            <v>21521.312432132378</v>
          </cell>
          <cell r="C156">
            <v>4304.2624864264753</v>
          </cell>
          <cell r="D156">
            <v>17217.049945705901</v>
          </cell>
          <cell r="E156">
            <v>9856.7610939166298</v>
          </cell>
          <cell r="F156">
            <v>1969.8070804927227</v>
          </cell>
          <cell r="G156">
            <v>5390.4817712965487</v>
          </cell>
          <cell r="H156">
            <v>785</v>
          </cell>
          <cell r="I156">
            <v>-235</v>
          </cell>
          <cell r="J156">
            <v>-60.7</v>
          </cell>
          <cell r="L156">
            <v>38</v>
          </cell>
          <cell r="M156">
            <v>527.29999999999995</v>
          </cell>
          <cell r="N156">
            <v>0</v>
          </cell>
          <cell r="O156">
            <v>5917.7817712965489</v>
          </cell>
          <cell r="P156">
            <v>1603.7188600213649</v>
          </cell>
          <cell r="Q156">
            <v>0.27100000000000002</v>
          </cell>
          <cell r="S156">
            <v>4314.062911275184</v>
          </cell>
          <cell r="T156">
            <v>895.6</v>
          </cell>
          <cell r="U156">
            <v>4.8169527816828763</v>
          </cell>
          <cell r="V156">
            <v>3.0517578125</v>
          </cell>
          <cell r="W156">
            <v>4.8169527816828763</v>
          </cell>
        </row>
        <row r="158">
          <cell r="A158" t="str">
            <v xml:space="preserve">(a) First half 1998 and 1999 are fully restated for Agouron pooling-of-interest transaction; Costs are not restated for second half 1998. </v>
          </cell>
        </row>
        <row r="160">
          <cell r="A160" t="str">
            <v>E = Morgan Stanley Dean Witter Research Estimates             NM = Not Meaningful             A = Actual     R = Restated</v>
          </cell>
        </row>
      </sheetData>
      <sheetData sheetId="4" refreshError="1"/>
      <sheetData sheetId="5" refreshError="1"/>
      <sheetData sheetId="6" refreshError="1">
        <row r="2">
          <cell r="A2" t="str">
            <v>Table 5</v>
          </cell>
          <cell r="EM2" t="str">
            <v>Table 4 Continued</v>
          </cell>
        </row>
        <row r="3">
          <cell r="EM3" t="str">
            <v>Warner Lambert</v>
          </cell>
        </row>
        <row r="4">
          <cell r="EM4" t="str">
            <v>Quarterly/Annual Sales Analysis 1998-2005E -- Confectionery</v>
          </cell>
        </row>
        <row r="5">
          <cell r="EM5" t="str">
            <v>($ Millions)</v>
          </cell>
        </row>
        <row r="6">
          <cell r="EN6" t="str">
            <v>Bubblicious</v>
          </cell>
          <cell r="ER6" t="str">
            <v>Dentyne</v>
          </cell>
          <cell r="EV6" t="str">
            <v>Bubbaloo</v>
          </cell>
          <cell r="EZ6" t="str">
            <v>Other</v>
          </cell>
          <cell r="FD6" t="str">
            <v>Total</v>
          </cell>
          <cell r="FH6" t="str">
            <v>Total Corporate Sales</v>
          </cell>
        </row>
        <row r="7">
          <cell r="EN7" t="str">
            <v>U.S.</v>
          </cell>
          <cell r="EO7" t="str">
            <v>Intl</v>
          </cell>
          <cell r="EP7" t="str">
            <v>W/W</v>
          </cell>
          <cell r="ER7" t="str">
            <v>U.S.</v>
          </cell>
          <cell r="ES7" t="str">
            <v>Intl</v>
          </cell>
          <cell r="ET7" t="str">
            <v>W/W</v>
          </cell>
          <cell r="EV7" t="str">
            <v>U.S.</v>
          </cell>
          <cell r="EW7" t="str">
            <v>Intl</v>
          </cell>
          <cell r="EX7" t="str">
            <v>W/W</v>
          </cell>
          <cell r="EZ7" t="str">
            <v>U.S.</v>
          </cell>
          <cell r="FA7" t="str">
            <v>Intl</v>
          </cell>
          <cell r="FB7" t="str">
            <v>W/W</v>
          </cell>
          <cell r="FD7" t="str">
            <v>U.S.</v>
          </cell>
          <cell r="FE7" t="str">
            <v>Intl</v>
          </cell>
          <cell r="FF7" t="str">
            <v>W/W</v>
          </cell>
          <cell r="FH7" t="str">
            <v>U.S.</v>
          </cell>
          <cell r="FI7" t="str">
            <v>Intl</v>
          </cell>
          <cell r="FJ7" t="str">
            <v>W/W</v>
          </cell>
        </row>
        <row r="10">
          <cell r="EM10" t="str">
            <v xml:space="preserve">1994 </v>
          </cell>
        </row>
        <row r="11">
          <cell r="EM11" t="str">
            <v xml:space="preserve"> 1Q</v>
          </cell>
          <cell r="EN11">
            <v>15.1</v>
          </cell>
          <cell r="EO11">
            <v>7.8</v>
          </cell>
          <cell r="EP11">
            <v>22.9</v>
          </cell>
          <cell r="ER11">
            <v>12</v>
          </cell>
          <cell r="ES11">
            <v>9</v>
          </cell>
          <cell r="ET11">
            <v>21</v>
          </cell>
          <cell r="EV11">
            <v>0</v>
          </cell>
          <cell r="EW11">
            <v>9</v>
          </cell>
          <cell r="EX11">
            <v>9</v>
          </cell>
          <cell r="EZ11">
            <v>14.799999999999997</v>
          </cell>
          <cell r="FA11">
            <v>53.499999999999986</v>
          </cell>
          <cell r="FB11">
            <v>68.299999999999983</v>
          </cell>
          <cell r="FD11">
            <v>129.6</v>
          </cell>
          <cell r="FE11">
            <v>280.39999999999998</v>
          </cell>
          <cell r="FF11">
            <v>410</v>
          </cell>
          <cell r="FH11">
            <v>658.6</v>
          </cell>
          <cell r="FI11">
            <v>814.4</v>
          </cell>
          <cell r="FJ11">
            <v>1473</v>
          </cell>
        </row>
        <row r="12">
          <cell r="EM12" t="str">
            <v xml:space="preserve"> 2Q</v>
          </cell>
          <cell r="EN12">
            <v>17.2</v>
          </cell>
          <cell r="EO12">
            <v>11.1</v>
          </cell>
          <cell r="EP12">
            <v>28.299999999999997</v>
          </cell>
          <cell r="ER12">
            <v>15</v>
          </cell>
          <cell r="ES12">
            <v>10</v>
          </cell>
          <cell r="ET12">
            <v>25</v>
          </cell>
          <cell r="EV12">
            <v>0</v>
          </cell>
          <cell r="EW12">
            <v>9</v>
          </cell>
          <cell r="EX12">
            <v>9</v>
          </cell>
          <cell r="EZ12">
            <v>17.799999999999983</v>
          </cell>
          <cell r="FA12">
            <v>49.500000000000028</v>
          </cell>
          <cell r="FB12">
            <v>67.300000000000011</v>
          </cell>
          <cell r="FD12">
            <v>151.19999999999999</v>
          </cell>
          <cell r="FE12">
            <v>285.90000000000003</v>
          </cell>
          <cell r="FF12">
            <v>437.1</v>
          </cell>
          <cell r="FH12">
            <v>723.8</v>
          </cell>
          <cell r="FI12">
            <v>828.40000000000009</v>
          </cell>
          <cell r="FJ12">
            <v>1552.2</v>
          </cell>
        </row>
        <row r="13">
          <cell r="EM13" t="str">
            <v xml:space="preserve"> 3Q</v>
          </cell>
          <cell r="EN13">
            <v>9.1</v>
          </cell>
          <cell r="EO13">
            <v>8.1999999999999993</v>
          </cell>
          <cell r="EP13">
            <v>17.299999999999997</v>
          </cell>
          <cell r="ER13">
            <v>13</v>
          </cell>
          <cell r="ES13">
            <v>10</v>
          </cell>
          <cell r="ET13">
            <v>23</v>
          </cell>
          <cell r="EV13">
            <v>0</v>
          </cell>
          <cell r="EW13">
            <v>11</v>
          </cell>
          <cell r="EX13">
            <v>11</v>
          </cell>
          <cell r="EZ13">
            <v>29.699999999999996</v>
          </cell>
          <cell r="FA13">
            <v>51.500000000000014</v>
          </cell>
          <cell r="FB13">
            <v>81.200000000000017</v>
          </cell>
          <cell r="FD13">
            <v>182.1</v>
          </cell>
          <cell r="FE13">
            <v>270.8</v>
          </cell>
          <cell r="FF13">
            <v>452.9</v>
          </cell>
          <cell r="FH13">
            <v>825.00000000000011</v>
          </cell>
          <cell r="FI13">
            <v>845.90000000000009</v>
          </cell>
          <cell r="FJ13">
            <v>1670.9</v>
          </cell>
        </row>
        <row r="14">
          <cell r="EM14" t="str">
            <v xml:space="preserve"> 4Q</v>
          </cell>
          <cell r="EN14">
            <v>9.6</v>
          </cell>
          <cell r="EO14">
            <v>10.6</v>
          </cell>
          <cell r="EP14">
            <v>20.2</v>
          </cell>
          <cell r="ER14">
            <v>12</v>
          </cell>
          <cell r="ES14">
            <v>11</v>
          </cell>
          <cell r="ET14">
            <v>23</v>
          </cell>
          <cell r="EV14">
            <v>0</v>
          </cell>
          <cell r="EW14">
            <v>14</v>
          </cell>
          <cell r="EX14">
            <v>14</v>
          </cell>
          <cell r="EZ14">
            <v>22.599999999999994</v>
          </cell>
          <cell r="FA14">
            <v>61.199999999999974</v>
          </cell>
          <cell r="FB14">
            <v>83.799999999999969</v>
          </cell>
          <cell r="FD14">
            <v>173.7</v>
          </cell>
          <cell r="FE14">
            <v>337.7</v>
          </cell>
          <cell r="FF14">
            <v>511.4</v>
          </cell>
          <cell r="FH14">
            <v>746.8</v>
          </cell>
          <cell r="FI14">
            <v>974</v>
          </cell>
          <cell r="FJ14">
            <v>1720.8</v>
          </cell>
        </row>
        <row r="16">
          <cell r="EM16" t="str">
            <v>1994</v>
          </cell>
          <cell r="EN16">
            <v>51</v>
          </cell>
          <cell r="EO16">
            <v>37.699999999999996</v>
          </cell>
          <cell r="EP16">
            <v>88.7</v>
          </cell>
          <cell r="ER16">
            <v>52</v>
          </cell>
          <cell r="ES16">
            <v>40</v>
          </cell>
          <cell r="ET16">
            <v>92</v>
          </cell>
          <cell r="EV16">
            <v>0</v>
          </cell>
          <cell r="EW16">
            <v>43</v>
          </cell>
          <cell r="EX16">
            <v>43</v>
          </cell>
          <cell r="EZ16">
            <v>84.899999999999977</v>
          </cell>
          <cell r="FA16">
            <v>215.7</v>
          </cell>
          <cell r="FB16">
            <v>300.59999999999997</v>
          </cell>
          <cell r="FD16">
            <v>636.59999999999991</v>
          </cell>
          <cell r="FE16">
            <v>1174.8</v>
          </cell>
          <cell r="FF16">
            <v>1811.4</v>
          </cell>
          <cell r="FH16">
            <v>2954.2</v>
          </cell>
          <cell r="FI16">
            <v>3462.7000000000003</v>
          </cell>
          <cell r="FJ16">
            <v>6416.9000000000005</v>
          </cell>
        </row>
        <row r="18">
          <cell r="EM18" t="str">
            <v>1995/94 % Change</v>
          </cell>
        </row>
        <row r="19">
          <cell r="EM19" t="str">
            <v xml:space="preserve"> 1Q</v>
          </cell>
          <cell r="EN19">
            <v>5.2980132450331174E-2</v>
          </cell>
          <cell r="EO19">
            <v>0.11538461538461542</v>
          </cell>
          <cell r="EP19">
            <v>7.4235807860262071E-2</v>
          </cell>
          <cell r="ER19">
            <v>-0.25</v>
          </cell>
          <cell r="ES19">
            <v>0</v>
          </cell>
          <cell r="ET19">
            <v>-0.1428571428571429</v>
          </cell>
          <cell r="EV19" t="str">
            <v>NM</v>
          </cell>
          <cell r="EW19">
            <v>0.55555555555555558</v>
          </cell>
          <cell r="EX19">
            <v>0.55555555555555558</v>
          </cell>
          <cell r="EZ19">
            <v>4.4408920985006262E-16</v>
          </cell>
          <cell r="FA19">
            <v>0.19252336448598073</v>
          </cell>
          <cell r="FB19">
            <v>0.15080527086383588</v>
          </cell>
          <cell r="FD19">
            <v>-9.6450617283950657E-2</v>
          </cell>
          <cell r="FE19">
            <v>3.3166904422254007E-2</v>
          </cell>
          <cell r="FF19">
            <v>-7.8048780487806058E-3</v>
          </cell>
          <cell r="FH19">
            <v>3.0367446097783191E-2</v>
          </cell>
          <cell r="FI19">
            <v>0.13670186640471527</v>
          </cell>
          <cell r="FJ19">
            <v>8.9158180583842395E-2</v>
          </cell>
        </row>
        <row r="20">
          <cell r="EM20" t="str">
            <v xml:space="preserve"> 2Q</v>
          </cell>
          <cell r="EN20">
            <v>-0.19186046511627897</v>
          </cell>
          <cell r="EO20">
            <v>9.009009009008917E-3</v>
          </cell>
          <cell r="EP20">
            <v>-0.11307420494699638</v>
          </cell>
          <cell r="ER20">
            <v>-0.19999999999999996</v>
          </cell>
          <cell r="ES20">
            <v>0</v>
          </cell>
          <cell r="ET20">
            <v>-0.12</v>
          </cell>
          <cell r="EV20" t="str">
            <v>NM</v>
          </cell>
          <cell r="EW20">
            <v>1</v>
          </cell>
          <cell r="EX20">
            <v>1</v>
          </cell>
          <cell r="EZ20">
            <v>-0.11235955056179547</v>
          </cell>
          <cell r="FA20">
            <v>0.34343434343434232</v>
          </cell>
          <cell r="FB20">
            <v>0.2228826151560177</v>
          </cell>
          <cell r="FD20">
            <v>-0.12830687830687815</v>
          </cell>
          <cell r="FE20">
            <v>0.14585519412381953</v>
          </cell>
          <cell r="FF20">
            <v>5.1018073667353114E-2</v>
          </cell>
          <cell r="FH20">
            <v>5.8856037579442022E-2</v>
          </cell>
          <cell r="FI20">
            <v>0.24725977788507958</v>
          </cell>
          <cell r="FJ20">
            <v>0.15940600438087871</v>
          </cell>
        </row>
        <row r="21">
          <cell r="EM21" t="str">
            <v xml:space="preserve"> 3Q</v>
          </cell>
          <cell r="EN21">
            <v>0.23076923076923084</v>
          </cell>
          <cell r="EO21">
            <v>0.19512195121951237</v>
          </cell>
          <cell r="EP21">
            <v>0.21387283236994237</v>
          </cell>
          <cell r="ER21">
            <v>-0.30000000000000004</v>
          </cell>
          <cell r="ES21">
            <v>0.10000000000000009</v>
          </cell>
          <cell r="ET21">
            <v>-0.12608695652173907</v>
          </cell>
          <cell r="EV21" t="str">
            <v>NM</v>
          </cell>
          <cell r="EW21">
            <v>0.81818181818181812</v>
          </cell>
          <cell r="EX21">
            <v>0.81818181818181812</v>
          </cell>
          <cell r="EZ21">
            <v>-8.0808080808080995E-2</v>
          </cell>
          <cell r="FA21">
            <v>0.13980582524271767</v>
          </cell>
          <cell r="FB21">
            <v>5.9113300492610321E-2</v>
          </cell>
          <cell r="FD21">
            <v>-5.4914881933003867E-2</v>
          </cell>
          <cell r="FE21">
            <v>0.16248153618906946</v>
          </cell>
          <cell r="FF21">
            <v>7.5071759770368729E-2</v>
          </cell>
          <cell r="FH21">
            <v>-2.6666666666666838E-2</v>
          </cell>
          <cell r="FI21">
            <v>0.15013594987587164</v>
          </cell>
          <cell r="FJ21">
            <v>6.2840385421030431E-2</v>
          </cell>
        </row>
        <row r="22">
          <cell r="EM22" t="str">
            <v xml:space="preserve"> 4Q</v>
          </cell>
          <cell r="EN22">
            <v>0.11458333333333326</v>
          </cell>
          <cell r="EO22">
            <v>8.4905660377358583E-2</v>
          </cell>
          <cell r="EP22">
            <v>9.9009900990099098E-2</v>
          </cell>
          <cell r="ER22">
            <v>-0.16666666666666663</v>
          </cell>
          <cell r="ES22">
            <v>9.0909090909090828E-2</v>
          </cell>
          <cell r="ET22">
            <v>-4.3478260869565188E-2</v>
          </cell>
          <cell r="EV22" t="str">
            <v>NM</v>
          </cell>
          <cell r="EW22">
            <v>0.71428571428571419</v>
          </cell>
          <cell r="EX22">
            <v>0.71428571428571419</v>
          </cell>
          <cell r="EZ22">
            <v>-4.4247787610617317E-3</v>
          </cell>
          <cell r="FA22">
            <v>6.6993464052287788E-2</v>
          </cell>
          <cell r="FB22">
            <v>4.7732696897374804E-2</v>
          </cell>
          <cell r="FD22">
            <v>-5.526770293609673E-2</v>
          </cell>
          <cell r="FE22">
            <v>0.12289013917678404</v>
          </cell>
          <cell r="FF22">
            <v>6.2377786468517771E-2</v>
          </cell>
          <cell r="FH22">
            <v>3.6957686127477185E-2</v>
          </cell>
          <cell r="FI22">
            <v>0.11447638603696109</v>
          </cell>
          <cell r="FJ22">
            <v>8.0834495583449684E-2</v>
          </cell>
        </row>
        <row r="24">
          <cell r="EM24" t="str">
            <v>1995/94</v>
          </cell>
          <cell r="EN24">
            <v>1.3725490196078383E-2</v>
          </cell>
          <cell r="EO24">
            <v>9.2838196286472385E-2</v>
          </cell>
          <cell r="EP24">
            <v>4.7350620067643678E-2</v>
          </cell>
          <cell r="ER24">
            <v>-0.22884615384615381</v>
          </cell>
          <cell r="ES24">
            <v>5.0000000000000044E-2</v>
          </cell>
          <cell r="ET24">
            <v>-0.10760869565217401</v>
          </cell>
          <cell r="EV24" t="str">
            <v>NM</v>
          </cell>
          <cell r="EW24">
            <v>0.76744186046511631</v>
          </cell>
          <cell r="EX24">
            <v>0.76744186046511631</v>
          </cell>
          <cell r="EZ24">
            <v>-5.3003533568904082E-2</v>
          </cell>
          <cell r="FA24">
            <v>0.17895224849327751</v>
          </cell>
          <cell r="FB24">
            <v>0.1134397870924817</v>
          </cell>
          <cell r="FD24">
            <v>-8.0898523405592004E-2</v>
          </cell>
          <cell r="FE24">
            <v>0.11618998978549544</v>
          </cell>
          <cell r="FF24">
            <v>4.6925030363254905E-2</v>
          </cell>
          <cell r="FH24">
            <v>2.3085776183061402E-2</v>
          </cell>
          <cell r="FI24">
            <v>0.16018136136540839</v>
          </cell>
          <cell r="FJ24">
            <v>9.7065561252318133E-2</v>
          </cell>
        </row>
        <row r="26">
          <cell r="EM26" t="str">
            <v xml:space="preserve">1995 </v>
          </cell>
        </row>
        <row r="27">
          <cell r="EM27" t="str">
            <v xml:space="preserve"> 1Q</v>
          </cell>
          <cell r="EN27">
            <v>15.9</v>
          </cell>
          <cell r="EO27">
            <v>8.6999999999999993</v>
          </cell>
          <cell r="EP27">
            <v>24.6</v>
          </cell>
          <cell r="ER27">
            <v>9</v>
          </cell>
          <cell r="ES27">
            <v>9</v>
          </cell>
          <cell r="ET27">
            <v>18</v>
          </cell>
          <cell r="EV27">
            <v>0</v>
          </cell>
          <cell r="EW27">
            <v>14</v>
          </cell>
          <cell r="EX27">
            <v>14</v>
          </cell>
          <cell r="EZ27">
            <v>14.800000000000004</v>
          </cell>
          <cell r="FA27">
            <v>63.799999999999955</v>
          </cell>
          <cell r="FB27">
            <v>78.599999999999966</v>
          </cell>
          <cell r="FD27">
            <v>117.1</v>
          </cell>
          <cell r="FE27">
            <v>289.7</v>
          </cell>
          <cell r="FF27">
            <v>406.79999999999995</v>
          </cell>
          <cell r="FH27">
            <v>678.6</v>
          </cell>
          <cell r="FI27">
            <v>925.73</v>
          </cell>
          <cell r="FJ27">
            <v>1604.33</v>
          </cell>
        </row>
        <row r="28">
          <cell r="EM28" t="str">
            <v xml:space="preserve"> 2Q</v>
          </cell>
          <cell r="EN28">
            <v>13.9</v>
          </cell>
          <cell r="EO28">
            <v>11.2</v>
          </cell>
          <cell r="EP28">
            <v>25.1</v>
          </cell>
          <cell r="ER28">
            <v>12</v>
          </cell>
          <cell r="ES28">
            <v>10</v>
          </cell>
          <cell r="ET28">
            <v>22</v>
          </cell>
          <cell r="EV28">
            <v>0</v>
          </cell>
          <cell r="EW28">
            <v>18</v>
          </cell>
          <cell r="EX28">
            <v>18</v>
          </cell>
          <cell r="EZ28">
            <v>15.800000000000026</v>
          </cell>
          <cell r="FA28">
            <v>66.499999999999986</v>
          </cell>
          <cell r="FB28">
            <v>82.300000000000011</v>
          </cell>
          <cell r="FD28">
            <v>131.80000000000001</v>
          </cell>
          <cell r="FE28">
            <v>327.60000000000002</v>
          </cell>
          <cell r="FF28">
            <v>459.40000000000003</v>
          </cell>
          <cell r="FH28">
            <v>766.40000000000009</v>
          </cell>
          <cell r="FI28">
            <v>1033.23</v>
          </cell>
          <cell r="FJ28">
            <v>1799.63</v>
          </cell>
        </row>
        <row r="29">
          <cell r="EM29" t="str">
            <v xml:space="preserve"> 3Q</v>
          </cell>
          <cell r="EN29">
            <v>11.2</v>
          </cell>
          <cell r="EO29">
            <v>9.8000000000000007</v>
          </cell>
          <cell r="EP29">
            <v>21</v>
          </cell>
          <cell r="ER29">
            <v>9.1</v>
          </cell>
          <cell r="ES29">
            <v>11</v>
          </cell>
          <cell r="ET29">
            <v>20.100000000000001</v>
          </cell>
          <cell r="EV29">
            <v>0</v>
          </cell>
          <cell r="EW29">
            <v>20</v>
          </cell>
          <cell r="EX29">
            <v>20</v>
          </cell>
          <cell r="EZ29">
            <v>27.29999999999999</v>
          </cell>
          <cell r="FA29">
            <v>58.699999999999974</v>
          </cell>
          <cell r="FB29">
            <v>85.999999999999972</v>
          </cell>
          <cell r="FD29">
            <v>172.1</v>
          </cell>
          <cell r="FE29">
            <v>314.8</v>
          </cell>
          <cell r="FF29">
            <v>486.9</v>
          </cell>
          <cell r="FH29">
            <v>803</v>
          </cell>
          <cell r="FI29">
            <v>972.89999999999986</v>
          </cell>
          <cell r="FJ29">
            <v>1775.8999999999999</v>
          </cell>
        </row>
        <row r="30">
          <cell r="EM30" t="str">
            <v xml:space="preserve"> 4Q</v>
          </cell>
          <cell r="EN30">
            <v>10.7</v>
          </cell>
          <cell r="EO30">
            <v>11.5</v>
          </cell>
          <cell r="EP30">
            <v>22.2</v>
          </cell>
          <cell r="ER30">
            <v>10</v>
          </cell>
          <cell r="ES30">
            <v>12</v>
          </cell>
          <cell r="ET30">
            <v>22</v>
          </cell>
          <cell r="EV30">
            <v>0</v>
          </cell>
          <cell r="EW30">
            <v>24</v>
          </cell>
          <cell r="EX30">
            <v>24</v>
          </cell>
          <cell r="EZ30">
            <v>22.5</v>
          </cell>
          <cell r="FA30">
            <v>65.299999999999983</v>
          </cell>
          <cell r="FB30">
            <v>87.799999999999983</v>
          </cell>
          <cell r="FD30">
            <v>164.1</v>
          </cell>
          <cell r="FE30">
            <v>379.2</v>
          </cell>
          <cell r="FF30">
            <v>543.29999999999995</v>
          </cell>
          <cell r="FH30">
            <v>774.4</v>
          </cell>
          <cell r="FI30">
            <v>1085.5</v>
          </cell>
          <cell r="FJ30">
            <v>1859.9</v>
          </cell>
        </row>
        <row r="32">
          <cell r="EM32" t="str">
            <v xml:space="preserve">1995 </v>
          </cell>
          <cell r="EN32">
            <v>51.7</v>
          </cell>
          <cell r="EO32">
            <v>41.2</v>
          </cell>
          <cell r="EP32">
            <v>92.9</v>
          </cell>
          <cell r="ER32">
            <v>40.1</v>
          </cell>
          <cell r="ES32">
            <v>42</v>
          </cell>
          <cell r="ET32">
            <v>82.1</v>
          </cell>
          <cell r="EV32">
            <v>0</v>
          </cell>
          <cell r="EW32">
            <v>76</v>
          </cell>
          <cell r="EX32">
            <v>76</v>
          </cell>
          <cell r="EZ32">
            <v>80.40000000000002</v>
          </cell>
          <cell r="FA32">
            <v>254.29999999999993</v>
          </cell>
          <cell r="FB32">
            <v>334.69999999999993</v>
          </cell>
          <cell r="FD32">
            <v>585.1</v>
          </cell>
          <cell r="FE32">
            <v>1311.3</v>
          </cell>
          <cell r="FF32">
            <v>1896.3999999999999</v>
          </cell>
          <cell r="FH32">
            <v>3022.4</v>
          </cell>
          <cell r="FI32">
            <v>4017.3599999999997</v>
          </cell>
          <cell r="FJ32">
            <v>7039.76</v>
          </cell>
        </row>
        <row r="34">
          <cell r="EM34" t="str">
            <v xml:space="preserve">1996/95 </v>
          </cell>
        </row>
        <row r="35">
          <cell r="EM35" t="str">
            <v xml:space="preserve"> 1Q</v>
          </cell>
          <cell r="EN35">
            <v>-2.515723270440251E-2</v>
          </cell>
          <cell r="EO35">
            <v>-9.1954022988505635E-2</v>
          </cell>
          <cell r="EP35">
            <v>-4.8780487804878203E-2</v>
          </cell>
          <cell r="ER35">
            <v>-2.2222222222222143E-2</v>
          </cell>
          <cell r="ES35">
            <v>0.29999999999999982</v>
          </cell>
          <cell r="ET35">
            <v>0.13888888888888884</v>
          </cell>
          <cell r="EV35" t="str">
            <v>NM</v>
          </cell>
          <cell r="EW35">
            <v>0.56428571428571428</v>
          </cell>
          <cell r="EX35">
            <v>0.56428571428571428</v>
          </cell>
          <cell r="EZ35">
            <v>0.12837837837837851</v>
          </cell>
          <cell r="FA35">
            <v>-0.14122257053291454</v>
          </cell>
          <cell r="FB35">
            <v>-9.0458015267174896E-2</v>
          </cell>
          <cell r="FD35">
            <v>0.10589239965841157</v>
          </cell>
          <cell r="FE35">
            <v>0.17224715222644127</v>
          </cell>
          <cell r="FF35">
            <v>0.15314650934119989</v>
          </cell>
          <cell r="FH35">
            <v>0.15384615384615374</v>
          </cell>
          <cell r="FI35">
            <v>0.1301351365949035</v>
          </cell>
          <cell r="FJ35">
            <v>0.14016443001128209</v>
          </cell>
        </row>
        <row r="36">
          <cell r="EM36" t="str">
            <v xml:space="preserve"> 2Q</v>
          </cell>
          <cell r="EN36">
            <v>0.19424460431654689</v>
          </cell>
          <cell r="EO36">
            <v>-0.2767857142857143</v>
          </cell>
          <cell r="EP36">
            <v>-1.5936254980079667E-2</v>
          </cell>
          <cell r="ER36">
            <v>-0.125</v>
          </cell>
          <cell r="ES36">
            <v>0.29000000000000004</v>
          </cell>
          <cell r="ET36">
            <v>6.3636363636363491E-2</v>
          </cell>
          <cell r="EV36" t="str">
            <v>NM</v>
          </cell>
          <cell r="EW36">
            <v>-5.555555555555558E-2</v>
          </cell>
          <cell r="EX36">
            <v>-5.555555555555558E-2</v>
          </cell>
          <cell r="EZ36">
            <v>3.7974683544301557E-2</v>
          </cell>
          <cell r="FA36">
            <v>-0.184962406015037</v>
          </cell>
          <cell r="FB36">
            <v>-0.14216281895504235</v>
          </cell>
          <cell r="FD36">
            <v>4.7799696509863265E-2</v>
          </cell>
          <cell r="FE36">
            <v>-9.157509157509125E-4</v>
          </cell>
          <cell r="FF36">
            <v>1.3060513713539335E-2</v>
          </cell>
          <cell r="FH36">
            <v>1.1090814196242027E-2</v>
          </cell>
          <cell r="FI36">
            <v>-1.6385509518693886E-2</v>
          </cell>
          <cell r="FJ36">
            <v>-4.6842962164446167E-3</v>
          </cell>
        </row>
        <row r="37">
          <cell r="EM37" t="str">
            <v xml:space="preserve"> 3Q</v>
          </cell>
          <cell r="EN37">
            <v>1.7857142857143016E-2</v>
          </cell>
          <cell r="EO37">
            <v>-0.18367346938775519</v>
          </cell>
          <cell r="EP37">
            <v>-7.6190476190476253E-2</v>
          </cell>
          <cell r="ER37">
            <v>1.098901098901095E-2</v>
          </cell>
          <cell r="ES37">
            <v>0.15454545454545454</v>
          </cell>
          <cell r="ET37">
            <v>8.9552238805969964E-2</v>
          </cell>
          <cell r="EV37" t="str">
            <v>NM</v>
          </cell>
          <cell r="EW37">
            <v>-5.0000000000000044E-2</v>
          </cell>
          <cell r="EX37">
            <v>-5.0000000000000044E-2</v>
          </cell>
          <cell r="EZ37">
            <v>-0.24542124542124499</v>
          </cell>
          <cell r="FA37">
            <v>-0.21124361158432681</v>
          </cell>
          <cell r="FB37">
            <v>-0.22209302325581359</v>
          </cell>
          <cell r="FD37">
            <v>-9.0644973852411326E-2</v>
          </cell>
          <cell r="FE37">
            <v>5.0825921219821435E-3</v>
          </cell>
          <cell r="FF37">
            <v>-2.8753337440952986E-2</v>
          </cell>
          <cell r="FH37">
            <v>6.6002490660024282E-3</v>
          </cell>
          <cell r="FI37">
            <v>-1.3464898756295529E-2</v>
          </cell>
          <cell r="FJ37">
            <v>-4.3921391970268564E-3</v>
          </cell>
        </row>
        <row r="38">
          <cell r="EM38" t="str">
            <v xml:space="preserve"> 4Q</v>
          </cell>
          <cell r="EN38">
            <v>0.11214953271028039</v>
          </cell>
          <cell r="EO38">
            <v>-0.13043478260869568</v>
          </cell>
          <cell r="EP38">
            <v>-1.3513513513513598E-2</v>
          </cell>
          <cell r="ER38">
            <v>-0.13000000000000012</v>
          </cell>
          <cell r="ES38">
            <v>0.16666666666666674</v>
          </cell>
          <cell r="ET38">
            <v>3.1818181818181746E-2</v>
          </cell>
          <cell r="EV38" t="str">
            <v>NM</v>
          </cell>
          <cell r="EW38">
            <v>-0.24583333333333324</v>
          </cell>
          <cell r="EX38">
            <v>-0.24583333333333324</v>
          </cell>
          <cell r="EZ38">
            <v>-0.21333333333333271</v>
          </cell>
          <cell r="FA38">
            <v>-0.2404287901990807</v>
          </cell>
          <cell r="FB38">
            <v>-0.23348519362186748</v>
          </cell>
          <cell r="FD38">
            <v>7.3126142595978383E-3</v>
          </cell>
          <cell r="FE38">
            <v>-5.959915611814337E-2</v>
          </cell>
          <cell r="FF38">
            <v>-3.9388919565617297E-2</v>
          </cell>
          <cell r="FH38">
            <v>4.2613636363636243E-2</v>
          </cell>
          <cell r="FI38">
            <v>-4.6061722708429342E-2</v>
          </cell>
          <cell r="FJ38">
            <v>-9.1402763589440994E-3</v>
          </cell>
        </row>
        <row r="40">
          <cell r="EM40" t="str">
            <v>1996/95</v>
          </cell>
          <cell r="EN40">
            <v>7.1566731141199158E-2</v>
          </cell>
          <cell r="EO40">
            <v>-0.17475728155339809</v>
          </cell>
          <cell r="EP40">
            <v>-3.7674919268030127E-2</v>
          </cell>
          <cell r="ER40">
            <v>-7.2319201995012405E-2</v>
          </cell>
          <cell r="ES40">
            <v>0.22142857142857131</v>
          </cell>
          <cell r="ET40">
            <v>7.795371498172976E-2</v>
          </cell>
          <cell r="EV40" t="str">
            <v>NM</v>
          </cell>
          <cell r="EW40">
            <v>0</v>
          </cell>
          <cell r="EX40">
            <v>0</v>
          </cell>
          <cell r="EZ40">
            <v>-0.11194029850746268</v>
          </cell>
          <cell r="FA40">
            <v>-0.19429807314195791</v>
          </cell>
          <cell r="FB40">
            <v>-0.17451449058858637</v>
          </cell>
          <cell r="FD40">
            <v>7.3491710818665013E-3</v>
          </cell>
          <cell r="FE40">
            <v>2.1810417143293126E-2</v>
          </cell>
          <cell r="FF40">
            <v>1.7348660620122525E-2</v>
          </cell>
          <cell r="FH40">
            <v>5.0026469031233312E-2</v>
          </cell>
          <cell r="FI40">
            <v>1.0066312205030403E-2</v>
          </cell>
          <cell r="FJ40">
            <v>2.7222518949509666E-2</v>
          </cell>
        </row>
        <row r="42">
          <cell r="EM42" t="str">
            <v>1996</v>
          </cell>
        </row>
        <row r="43">
          <cell r="EM43" t="str">
            <v xml:space="preserve"> 1Q</v>
          </cell>
          <cell r="EN43">
            <v>15.5</v>
          </cell>
          <cell r="EO43">
            <v>7.9</v>
          </cell>
          <cell r="EP43">
            <v>23.4</v>
          </cell>
          <cell r="ER43">
            <v>8.8000000000000007</v>
          </cell>
          <cell r="ES43">
            <v>11.7</v>
          </cell>
          <cell r="ET43">
            <v>20.5</v>
          </cell>
          <cell r="EV43">
            <v>0</v>
          </cell>
          <cell r="EW43">
            <v>21.9</v>
          </cell>
          <cell r="EX43">
            <v>21.9</v>
          </cell>
          <cell r="EZ43">
            <v>16.700000000000006</v>
          </cell>
          <cell r="FA43">
            <v>54.790000000000013</v>
          </cell>
          <cell r="FB43">
            <v>71.490000000000023</v>
          </cell>
          <cell r="FD43">
            <v>129.5</v>
          </cell>
          <cell r="FE43">
            <v>339.6</v>
          </cell>
          <cell r="FF43">
            <v>469.1</v>
          </cell>
          <cell r="FH43">
            <v>783</v>
          </cell>
          <cell r="FI43">
            <v>1046.2</v>
          </cell>
          <cell r="FJ43">
            <v>1829.2</v>
          </cell>
        </row>
        <row r="44">
          <cell r="EM44" t="str">
            <v xml:space="preserve"> 2Q</v>
          </cell>
          <cell r="EN44">
            <v>16.600000000000001</v>
          </cell>
          <cell r="EO44">
            <v>8.1</v>
          </cell>
          <cell r="EP44">
            <v>24.700000000000003</v>
          </cell>
          <cell r="ER44">
            <v>10.5</v>
          </cell>
          <cell r="ES44">
            <v>12.9</v>
          </cell>
          <cell r="ET44">
            <v>23.4</v>
          </cell>
          <cell r="EV44">
            <v>0</v>
          </cell>
          <cell r="EW44">
            <v>17</v>
          </cell>
          <cell r="EX44">
            <v>17</v>
          </cell>
          <cell r="EZ44">
            <v>16.399999999999991</v>
          </cell>
          <cell r="FA44">
            <v>54.200000000000031</v>
          </cell>
          <cell r="FB44">
            <v>70.600000000000023</v>
          </cell>
          <cell r="FD44">
            <v>138.1</v>
          </cell>
          <cell r="FE44">
            <v>327.3</v>
          </cell>
          <cell r="FF44">
            <v>465.4</v>
          </cell>
          <cell r="FH44">
            <v>774.9</v>
          </cell>
          <cell r="FI44">
            <v>1016.3</v>
          </cell>
          <cell r="FJ44">
            <v>1791.1999999999998</v>
          </cell>
        </row>
        <row r="45">
          <cell r="EM45" t="str">
            <v xml:space="preserve"> 3Q</v>
          </cell>
          <cell r="EN45">
            <v>11.4</v>
          </cell>
          <cell r="EO45">
            <v>8</v>
          </cell>
          <cell r="EP45">
            <v>19.399999999999999</v>
          </cell>
          <cell r="ER45">
            <v>9.1999999999999993</v>
          </cell>
          <cell r="ES45">
            <v>12.7</v>
          </cell>
          <cell r="ET45">
            <v>21.9</v>
          </cell>
          <cell r="EV45">
            <v>0</v>
          </cell>
          <cell r="EW45">
            <v>19</v>
          </cell>
          <cell r="EX45">
            <v>19</v>
          </cell>
          <cell r="EZ45">
            <v>20.600000000000005</v>
          </cell>
          <cell r="FA45">
            <v>46.3</v>
          </cell>
          <cell r="FB45">
            <v>66.900000000000006</v>
          </cell>
          <cell r="FD45">
            <v>156.5</v>
          </cell>
          <cell r="FE45">
            <v>316.39999999999998</v>
          </cell>
          <cell r="FF45">
            <v>472.9</v>
          </cell>
          <cell r="FH45">
            <v>808.3</v>
          </cell>
          <cell r="FI45">
            <v>959.8</v>
          </cell>
          <cell r="FJ45">
            <v>1768.1</v>
          </cell>
        </row>
        <row r="46">
          <cell r="EM46" t="str">
            <v xml:space="preserve"> 4Q</v>
          </cell>
          <cell r="EN46">
            <v>11.9</v>
          </cell>
          <cell r="EO46">
            <v>10</v>
          </cell>
          <cell r="EP46">
            <v>21.9</v>
          </cell>
          <cell r="ER46">
            <v>8.6999999999999993</v>
          </cell>
          <cell r="ES46">
            <v>14</v>
          </cell>
          <cell r="ET46">
            <v>22.7</v>
          </cell>
          <cell r="EV46">
            <v>0</v>
          </cell>
          <cell r="EW46">
            <v>18.100000000000001</v>
          </cell>
          <cell r="EX46">
            <v>18.100000000000001</v>
          </cell>
          <cell r="EZ46">
            <v>17.700000000000014</v>
          </cell>
          <cell r="FA46">
            <v>49.600000000000016</v>
          </cell>
          <cell r="FB46">
            <v>67.300000000000026</v>
          </cell>
          <cell r="FD46">
            <v>165.3</v>
          </cell>
          <cell r="FE46">
            <v>356.6</v>
          </cell>
          <cell r="FF46">
            <v>521.90000000000009</v>
          </cell>
          <cell r="FH46">
            <v>807.39999999999986</v>
          </cell>
          <cell r="FI46">
            <v>1035.5</v>
          </cell>
          <cell r="FJ46">
            <v>1842.8999999999999</v>
          </cell>
        </row>
        <row r="48">
          <cell r="EM48" t="str">
            <v>1996</v>
          </cell>
          <cell r="EN48">
            <v>55.4</v>
          </cell>
          <cell r="EO48">
            <v>34</v>
          </cell>
          <cell r="EP48">
            <v>89.4</v>
          </cell>
          <cell r="ER48">
            <v>37.200000000000003</v>
          </cell>
          <cell r="ES48">
            <v>51.3</v>
          </cell>
          <cell r="ET48">
            <v>88.5</v>
          </cell>
          <cell r="EV48">
            <v>0</v>
          </cell>
          <cell r="EW48">
            <v>76</v>
          </cell>
          <cell r="EX48">
            <v>76</v>
          </cell>
          <cell r="EZ48">
            <v>71.40000000000002</v>
          </cell>
          <cell r="FA48">
            <v>204.89000000000004</v>
          </cell>
          <cell r="FB48">
            <v>276.29000000000008</v>
          </cell>
          <cell r="FD48">
            <v>589.40000000000009</v>
          </cell>
          <cell r="FE48">
            <v>1339.9</v>
          </cell>
          <cell r="FF48">
            <v>1929.3000000000002</v>
          </cell>
          <cell r="FH48">
            <v>3173.5999999999995</v>
          </cell>
          <cell r="FI48">
            <v>4057.8</v>
          </cell>
          <cell r="FJ48">
            <v>7231.4</v>
          </cell>
        </row>
        <row r="50">
          <cell r="EM50" t="str">
            <v xml:space="preserve">1997/96 </v>
          </cell>
        </row>
        <row r="51">
          <cell r="EM51" t="str">
            <v xml:space="preserve"> 1Q</v>
          </cell>
          <cell r="EN51">
            <v>-0.18709677419354842</v>
          </cell>
          <cell r="EO51">
            <v>-3.7974683544303889E-2</v>
          </cell>
          <cell r="EP51">
            <v>-0.13675213675213671</v>
          </cell>
          <cell r="ER51">
            <v>0.72727272727272707</v>
          </cell>
          <cell r="ES51">
            <v>0.11965811965811968</v>
          </cell>
          <cell r="ET51">
            <v>0.38048780487804867</v>
          </cell>
          <cell r="EV51" t="str">
            <v>NM</v>
          </cell>
          <cell r="EW51">
            <v>-5.9360730593607136E-2</v>
          </cell>
          <cell r="EX51">
            <v>-5.9360730593607136E-2</v>
          </cell>
          <cell r="EZ51">
            <v>0.17365269461077748</v>
          </cell>
          <cell r="FA51">
            <v>-0.36302244935207129</v>
          </cell>
          <cell r="FB51">
            <v>-0.23765561617009379</v>
          </cell>
          <cell r="FD51">
            <v>-7.7220077220077066E-3</v>
          </cell>
          <cell r="FE51">
            <v>-0.11484098939929333</v>
          </cell>
          <cell r="FF51">
            <v>-8.5269665316563659E-2</v>
          </cell>
          <cell r="FH51">
            <v>5.6960408684546548E-2</v>
          </cell>
          <cell r="FI51">
            <v>-9.2142993691454733E-2</v>
          </cell>
          <cell r="FJ51">
            <v>-2.8318390553247252E-2</v>
          </cell>
        </row>
        <row r="52">
          <cell r="EM52" t="str">
            <v xml:space="preserve"> 2Q</v>
          </cell>
          <cell r="EN52">
            <v>6.0240963855420215E-3</v>
          </cell>
          <cell r="EO52">
            <v>-8.6419753086419693E-2</v>
          </cell>
          <cell r="EP52">
            <v>-2.4291497975708509E-2</v>
          </cell>
          <cell r="ER52">
            <v>0.31428571428571428</v>
          </cell>
          <cell r="ES52">
            <v>0.17829457364341073</v>
          </cell>
          <cell r="ET52">
            <v>0.23931623931623935</v>
          </cell>
          <cell r="EV52" t="str">
            <v>NM</v>
          </cell>
          <cell r="EW52">
            <v>0.43529411764705883</v>
          </cell>
          <cell r="EX52">
            <v>0.43529411764705883</v>
          </cell>
          <cell r="EZ52">
            <v>-0.12804878048780499</v>
          </cell>
          <cell r="FA52">
            <v>-0.14575645756457711</v>
          </cell>
          <cell r="FB52">
            <v>-0.14164305949008615</v>
          </cell>
          <cell r="FD52">
            <v>4.9963794351918889E-2</v>
          </cell>
          <cell r="FE52">
            <v>-1.5582034830430858E-2</v>
          </cell>
          <cell r="FF52">
            <v>3.8676407391491363E-3</v>
          </cell>
          <cell r="FH52">
            <v>0.2238998580461995</v>
          </cell>
          <cell r="FI52">
            <v>2.0663190002954135E-3</v>
          </cell>
          <cell r="FJ52">
            <v>9.8034836980795292E-2</v>
          </cell>
        </row>
        <row r="53">
          <cell r="EM53" t="str">
            <v xml:space="preserve"> 3Q</v>
          </cell>
          <cell r="EN53">
            <v>0.13157894736842102</v>
          </cell>
          <cell r="EO53">
            <v>-5.0000000000000044E-2</v>
          </cell>
          <cell r="EP53">
            <v>5.6701030927835072E-2</v>
          </cell>
          <cell r="ER53">
            <v>0.92391304347826098</v>
          </cell>
          <cell r="ES53">
            <v>-5.5118110236220375E-2</v>
          </cell>
          <cell r="ET53">
            <v>0.35616438356164393</v>
          </cell>
          <cell r="EV53" t="str">
            <v>NM</v>
          </cell>
          <cell r="EW53">
            <v>0.28947368421052633</v>
          </cell>
          <cell r="EX53">
            <v>0.28947368421052633</v>
          </cell>
          <cell r="EZ53">
            <v>0.2135922330097082</v>
          </cell>
          <cell r="FA53">
            <v>-0.10799136069114446</v>
          </cell>
          <cell r="FB53">
            <v>-8.9686098654707669E-3</v>
          </cell>
          <cell r="FD53">
            <v>0.15974440894568698</v>
          </cell>
          <cell r="FE53">
            <v>-2.970922882427296E-2</v>
          </cell>
          <cell r="FF53">
            <v>3.2987946711778404E-2</v>
          </cell>
          <cell r="FH53">
            <v>0.39762464431522959</v>
          </cell>
          <cell r="FI53">
            <v>1.9483225672014992E-2</v>
          </cell>
          <cell r="FJ53">
            <v>0.19235337367795946</v>
          </cell>
        </row>
        <row r="54">
          <cell r="EM54" t="str">
            <v xml:space="preserve"> 4Q</v>
          </cell>
          <cell r="EN54">
            <v>-0.30252100840336127</v>
          </cell>
          <cell r="EO54">
            <v>-0.38</v>
          </cell>
          <cell r="EP54">
            <v>-0.33789954337899542</v>
          </cell>
          <cell r="ER54">
            <v>0.931034482758621</v>
          </cell>
          <cell r="ES54">
            <v>-2.1428571428571463E-2</v>
          </cell>
          <cell r="ET54">
            <v>0.34361233480176212</v>
          </cell>
          <cell r="EV54" t="str">
            <v>NM</v>
          </cell>
          <cell r="EW54">
            <v>9.3922651933701529E-2</v>
          </cell>
          <cell r="EX54">
            <v>0.11049723756906071</v>
          </cell>
          <cell r="EZ54">
            <v>0.1977401129943499</v>
          </cell>
          <cell r="FA54">
            <v>-0.2883064516129038</v>
          </cell>
          <cell r="FB54">
            <v>-0.16047548291233327</v>
          </cell>
          <cell r="FD54">
            <v>9.1954022988505635E-2</v>
          </cell>
          <cell r="FE54">
            <v>-0.14974761637689293</v>
          </cell>
          <cell r="FF54">
            <v>-7.3194098486300208E-2</v>
          </cell>
          <cell r="FH54">
            <v>0.60589546693088936</v>
          </cell>
          <cell r="FI54">
            <v>-4.6354418155479804E-3</v>
          </cell>
          <cell r="FJ54">
            <v>0.26284660046665609</v>
          </cell>
        </row>
        <row r="56">
          <cell r="EM56" t="str">
            <v>Year</v>
          </cell>
          <cell r="EN56">
            <v>-8.8447653429602813E-2</v>
          </cell>
          <cell r="EO56">
            <v>-0.15294117647058825</v>
          </cell>
          <cell r="EP56">
            <v>-0.11297539149888147</v>
          </cell>
          <cell r="ER56">
            <v>0.70698924731182777</v>
          </cell>
          <cell r="ES56">
            <v>5.2631578947368585E-2</v>
          </cell>
          <cell r="ET56">
            <v>0.32768361581920913</v>
          </cell>
          <cell r="EV56" t="str">
            <v>NM</v>
          </cell>
          <cell r="EW56">
            <v>0.17500000000000004</v>
          </cell>
          <cell r="EX56">
            <v>0.17894736842105252</v>
          </cell>
          <cell r="EZ56">
            <v>0.12184873949579789</v>
          </cell>
          <cell r="FA56">
            <v>-0.22983064083166616</v>
          </cell>
          <cell r="FB56">
            <v>-0.13894820659452056</v>
          </cell>
          <cell r="FD56">
            <v>7.8215134034611333E-2</v>
          </cell>
          <cell r="FE56">
            <v>-7.9782073289051514E-2</v>
          </cell>
          <cell r="FF56">
            <v>-3.1514020629243911E-2</v>
          </cell>
          <cell r="FH56">
            <v>0.32414292916561638</v>
          </cell>
          <cell r="FI56">
            <v>-1.9813692148454742E-2</v>
          </cell>
          <cell r="FJ56">
            <v>0.13113643277926812</v>
          </cell>
        </row>
        <row r="58">
          <cell r="EM58" t="str">
            <v>1997</v>
          </cell>
        </row>
        <row r="59">
          <cell r="EM59" t="str">
            <v xml:space="preserve"> 1Q</v>
          </cell>
          <cell r="EN59">
            <v>12.6</v>
          </cell>
          <cell r="EO59">
            <v>7.6</v>
          </cell>
          <cell r="EP59">
            <v>20.2</v>
          </cell>
          <cell r="ER59">
            <v>15.2</v>
          </cell>
          <cell r="ES59">
            <v>13.1</v>
          </cell>
          <cell r="ET59">
            <v>28.299999999999997</v>
          </cell>
          <cell r="EV59">
            <v>0</v>
          </cell>
          <cell r="EW59">
            <v>20.6</v>
          </cell>
          <cell r="EX59">
            <v>20.6</v>
          </cell>
          <cell r="EZ59">
            <v>19.599999999999991</v>
          </cell>
          <cell r="FA59">
            <v>34.90000000000002</v>
          </cell>
          <cell r="FB59">
            <v>54.500000000000014</v>
          </cell>
          <cell r="FD59">
            <v>128.5</v>
          </cell>
          <cell r="FE59">
            <v>300.60000000000002</v>
          </cell>
          <cell r="FF59">
            <v>429.1</v>
          </cell>
          <cell r="FH59">
            <v>827.6</v>
          </cell>
          <cell r="FI59">
            <v>949.80000000000007</v>
          </cell>
          <cell r="FJ59">
            <v>1777.4</v>
          </cell>
        </row>
        <row r="60">
          <cell r="EM60" t="str">
            <v xml:space="preserve"> 2Q</v>
          </cell>
          <cell r="EN60">
            <v>16.7</v>
          </cell>
          <cell r="EO60">
            <v>7.4</v>
          </cell>
          <cell r="EP60">
            <v>24.1</v>
          </cell>
          <cell r="ER60">
            <v>13.8</v>
          </cell>
          <cell r="ES60">
            <v>15.2</v>
          </cell>
          <cell r="ET60">
            <v>29</v>
          </cell>
          <cell r="EV60">
            <v>0</v>
          </cell>
          <cell r="EW60">
            <v>24.4</v>
          </cell>
          <cell r="EX60">
            <v>24.4</v>
          </cell>
          <cell r="EZ60">
            <v>14.29999999999999</v>
          </cell>
          <cell r="FA60">
            <v>46.299999999999947</v>
          </cell>
          <cell r="FB60">
            <v>60.599999999999937</v>
          </cell>
          <cell r="FD60">
            <v>145</v>
          </cell>
          <cell r="FE60">
            <v>322.2</v>
          </cell>
          <cell r="FF60">
            <v>467.2</v>
          </cell>
          <cell r="FH60">
            <v>948.4</v>
          </cell>
          <cell r="FI60">
            <v>1018.4000000000001</v>
          </cell>
          <cell r="FJ60">
            <v>1966.8000000000002</v>
          </cell>
        </row>
        <row r="61">
          <cell r="EM61" t="str">
            <v xml:space="preserve"> 3Q</v>
          </cell>
          <cell r="EN61">
            <v>12.9</v>
          </cell>
          <cell r="EO61">
            <v>7.6</v>
          </cell>
          <cell r="EP61">
            <v>20.5</v>
          </cell>
          <cell r="ER61">
            <v>17.7</v>
          </cell>
          <cell r="ES61">
            <v>12</v>
          </cell>
          <cell r="ET61">
            <v>29.7</v>
          </cell>
          <cell r="EV61">
            <v>0</v>
          </cell>
          <cell r="EW61">
            <v>24.5</v>
          </cell>
          <cell r="EX61">
            <v>24.5</v>
          </cell>
          <cell r="EZ61">
            <v>24.999999999999996</v>
          </cell>
          <cell r="FA61">
            <v>41.300000000000011</v>
          </cell>
          <cell r="FB61">
            <v>66.300000000000011</v>
          </cell>
          <cell r="FD61">
            <v>181.5</v>
          </cell>
          <cell r="FE61">
            <v>307</v>
          </cell>
          <cell r="FF61">
            <v>488.5</v>
          </cell>
          <cell r="FH61">
            <v>1129.7</v>
          </cell>
          <cell r="FI61">
            <v>978.5</v>
          </cell>
          <cell r="FJ61">
            <v>2108.1999999999998</v>
          </cell>
        </row>
        <row r="62">
          <cell r="EM62" t="str">
            <v xml:space="preserve"> 4Q</v>
          </cell>
          <cell r="EN62">
            <v>8.3000000000000007</v>
          </cell>
          <cell r="EO62">
            <v>6.2</v>
          </cell>
          <cell r="EP62">
            <v>14.5</v>
          </cell>
          <cell r="ER62">
            <v>16.8</v>
          </cell>
          <cell r="ES62">
            <v>13.7</v>
          </cell>
          <cell r="ET62">
            <v>30.5</v>
          </cell>
          <cell r="EV62">
            <v>0.3</v>
          </cell>
          <cell r="EW62">
            <v>19.8</v>
          </cell>
          <cell r="EX62">
            <v>20.100000000000001</v>
          </cell>
          <cell r="EZ62">
            <v>21.20000000000001</v>
          </cell>
          <cell r="FA62">
            <v>35.299999999999983</v>
          </cell>
          <cell r="FB62">
            <v>56.499999999999993</v>
          </cell>
          <cell r="FD62">
            <v>180.5</v>
          </cell>
          <cell r="FE62">
            <v>303.2</v>
          </cell>
          <cell r="FF62">
            <v>483.7</v>
          </cell>
          <cell r="FH62">
            <v>1296.5999999999999</v>
          </cell>
          <cell r="FI62">
            <v>1030.7</v>
          </cell>
          <cell r="FJ62">
            <v>2327.3000000000002</v>
          </cell>
        </row>
        <row r="64">
          <cell r="EM64" t="str">
            <v>Year</v>
          </cell>
          <cell r="EN64">
            <v>50.5</v>
          </cell>
          <cell r="EO64">
            <v>28.8</v>
          </cell>
          <cell r="EP64">
            <v>79.3</v>
          </cell>
          <cell r="ER64">
            <v>63.5</v>
          </cell>
          <cell r="ES64">
            <v>54</v>
          </cell>
          <cell r="ET64">
            <v>117.5</v>
          </cell>
          <cell r="EV64">
            <v>0.3</v>
          </cell>
          <cell r="EW64">
            <v>89.3</v>
          </cell>
          <cell r="EX64">
            <v>89.6</v>
          </cell>
          <cell r="EZ64">
            <v>80.099999999999994</v>
          </cell>
          <cell r="FA64">
            <v>157.79999999999995</v>
          </cell>
          <cell r="FB64">
            <v>237.89999999999998</v>
          </cell>
          <cell r="FD64">
            <v>635.5</v>
          </cell>
          <cell r="FE64">
            <v>1233</v>
          </cell>
          <cell r="FF64">
            <v>1868.5</v>
          </cell>
          <cell r="FH64">
            <v>4202.2999999999993</v>
          </cell>
          <cell r="FI64">
            <v>3977.4000000000005</v>
          </cell>
          <cell r="FJ64">
            <v>8179.7</v>
          </cell>
        </row>
        <row r="66">
          <cell r="EM66" t="str">
            <v>1998/97 % Change</v>
          </cell>
        </row>
        <row r="67">
          <cell r="EM67" t="str">
            <v xml:space="preserve"> 1Q</v>
          </cell>
          <cell r="EN67">
            <v>0.26984126984126977</v>
          </cell>
          <cell r="EO67">
            <v>0.25</v>
          </cell>
          <cell r="EP67">
            <v>0.26237623762376239</v>
          </cell>
          <cell r="ER67">
            <v>0.31578947368421062</v>
          </cell>
          <cell r="ES67">
            <v>-3.0534351145038219E-2</v>
          </cell>
          <cell r="ET67">
            <v>0.15547703180212036</v>
          </cell>
          <cell r="EV67" t="str">
            <v>NM</v>
          </cell>
          <cell r="EW67">
            <v>0.23300970873786397</v>
          </cell>
          <cell r="EX67">
            <v>0.26213592233009697</v>
          </cell>
          <cell r="EZ67">
            <v>-0.28061224489795866</v>
          </cell>
          <cell r="FA67">
            <v>0.17765042979942591</v>
          </cell>
          <cell r="FB67">
            <v>1.2844036697247319E-2</v>
          </cell>
          <cell r="FD67">
            <v>0.17120622568093391</v>
          </cell>
          <cell r="FE67">
            <v>-2.2288755821690098E-2</v>
          </cell>
          <cell r="FF67">
            <v>3.5656024236774497E-2</v>
          </cell>
          <cell r="FH67">
            <v>0.58107781536974379</v>
          </cell>
          <cell r="FI67">
            <v>7.5910718045904213E-2</v>
          </cell>
          <cell r="FJ67">
            <v>0.31112861483065157</v>
          </cell>
        </row>
        <row r="68">
          <cell r="EM68" t="str">
            <v xml:space="preserve"> 2Q</v>
          </cell>
          <cell r="EN68">
            <v>-5.9880239520956335E-3</v>
          </cell>
          <cell r="EO68">
            <v>0.49999999999999978</v>
          </cell>
          <cell r="EP68">
            <v>0.14937759336099599</v>
          </cell>
          <cell r="ER68">
            <v>0.53623188405797095</v>
          </cell>
          <cell r="ES68">
            <v>-6.5789473684210176E-3</v>
          </cell>
          <cell r="ET68">
            <v>0.25172413793103443</v>
          </cell>
          <cell r="EV68" t="str">
            <v>NM</v>
          </cell>
          <cell r="EW68">
            <v>0.20901639344262302</v>
          </cell>
          <cell r="EX68">
            <v>0.22540983606557385</v>
          </cell>
          <cell r="EZ68">
            <v>2.0979020979023488E-2</v>
          </cell>
          <cell r="FA68">
            <v>-0.11879049676025732</v>
          </cell>
          <cell r="FB68">
            <v>-8.5808580858083849E-2</v>
          </cell>
          <cell r="FD68">
            <v>7.1034482758620676E-2</v>
          </cell>
          <cell r="FE68">
            <v>-2.8243327126008633E-2</v>
          </cell>
          <cell r="FF68">
            <v>2.5684931506850806E-3</v>
          </cell>
          <cell r="FH68">
            <v>0.67302825811893729</v>
          </cell>
          <cell r="FI68">
            <v>7.6296150824822995E-2</v>
          </cell>
          <cell r="FJ68">
            <v>0.36404311572096804</v>
          </cell>
        </row>
        <row r="69">
          <cell r="EM69" t="str">
            <v xml:space="preserve"> 3Q</v>
          </cell>
          <cell r="EN69">
            <v>-0.17829457364341095</v>
          </cell>
          <cell r="EO69">
            <v>0.23684210526315796</v>
          </cell>
          <cell r="EP69">
            <v>-2.4390243902439046E-2</v>
          </cell>
          <cell r="ER69">
            <v>0.12429378531073443</v>
          </cell>
          <cell r="ES69">
            <v>-8.3333333333333037E-3</v>
          </cell>
          <cell r="ET69">
            <v>7.0707070707070718E-2</v>
          </cell>
          <cell r="EV69" t="str">
            <v>NM</v>
          </cell>
          <cell r="EW69">
            <v>0.25306122448979584</v>
          </cell>
          <cell r="EX69">
            <v>0.27755102040816326</v>
          </cell>
          <cell r="EZ69">
            <v>-0.21599999999999953</v>
          </cell>
          <cell r="FA69">
            <v>6.2953995157385201E-2</v>
          </cell>
          <cell r="FB69">
            <v>-4.2232277526394912E-2</v>
          </cell>
          <cell r="FD69">
            <v>-0.10523415977961426</v>
          </cell>
          <cell r="FE69">
            <v>2.6058631921823672E-3</v>
          </cell>
          <cell r="FF69">
            <v>-3.7461617195496344E-2</v>
          </cell>
          <cell r="FH69">
            <v>0.41037443569089138</v>
          </cell>
          <cell r="FI69">
            <v>0.12488502810424129</v>
          </cell>
          <cell r="FJ69">
            <v>0.27786737501185854</v>
          </cell>
        </row>
        <row r="70">
          <cell r="EM70" t="str">
            <v xml:space="preserve"> 4Q</v>
          </cell>
          <cell r="EN70">
            <v>0.54216867469879504</v>
          </cell>
          <cell r="EO70">
            <v>0.56451612903225801</v>
          </cell>
          <cell r="EP70">
            <v>0.55172413793103448</v>
          </cell>
          <cell r="ER70">
            <v>0.27976190476190466</v>
          </cell>
          <cell r="ES70">
            <v>0</v>
          </cell>
          <cell r="ET70">
            <v>0.15409836065573779</v>
          </cell>
          <cell r="EV70" t="str">
            <v>NM</v>
          </cell>
          <cell r="EW70">
            <v>0.34343434343434343</v>
          </cell>
          <cell r="EX70">
            <v>0.3383084577114428</v>
          </cell>
          <cell r="EZ70">
            <v>-0.25943396226415061</v>
          </cell>
          <cell r="FA70">
            <v>0.23796033994334365</v>
          </cell>
          <cell r="FB70">
            <v>5.1327433628319152E-2</v>
          </cell>
          <cell r="FD70">
            <v>6.094182825484773E-2</v>
          </cell>
          <cell r="FE70">
            <v>3.2321899736147852E-2</v>
          </cell>
          <cell r="FF70">
            <v>4.3001860657432278E-2</v>
          </cell>
          <cell r="FH70">
            <v>0.4022828937220424</v>
          </cell>
          <cell r="FI70">
            <v>0.18162413893470464</v>
          </cell>
          <cell r="FJ70">
            <v>0.30455893095002806</v>
          </cell>
        </row>
        <row r="72">
          <cell r="EM72" t="str">
            <v>Year</v>
          </cell>
          <cell r="EN72">
            <v>0.10891089108910901</v>
          </cell>
          <cell r="EO72">
            <v>0.37847222222222232</v>
          </cell>
          <cell r="EP72">
            <v>0.20680958385876425</v>
          </cell>
          <cell r="ER72">
            <v>0.3007874015748031</v>
          </cell>
          <cell r="ES72">
            <v>-1.1111111111111294E-2</v>
          </cell>
          <cell r="ET72">
            <v>0.15744680851063819</v>
          </cell>
          <cell r="EV72" t="str">
            <v>NM</v>
          </cell>
          <cell r="EW72">
            <v>0.25643896976483749</v>
          </cell>
          <cell r="EX72">
            <v>0.27343750000000022</v>
          </cell>
          <cell r="EZ72">
            <v>-0.20099875156054858</v>
          </cell>
          <cell r="FA72">
            <v>7.4144486692015787E-2</v>
          </cell>
          <cell r="FB72">
            <v>-1.8495166036149091E-2</v>
          </cell>
          <cell r="FD72">
            <v>3.8080251770259643E-2</v>
          </cell>
          <cell r="FE72">
            <v>-4.2173560421735479E-3</v>
          </cell>
          <cell r="FF72">
            <v>1.0168584426010208E-2</v>
          </cell>
          <cell r="FH72">
            <v>0.50077338600290333</v>
          </cell>
          <cell r="FI72">
            <v>0.1154523055262231</v>
          </cell>
          <cell r="FJ72">
            <v>0.31341002726261369</v>
          </cell>
        </row>
        <row r="74">
          <cell r="EM74" t="str">
            <v>1998</v>
          </cell>
        </row>
        <row r="75">
          <cell r="EM75" t="str">
            <v xml:space="preserve"> 1Q</v>
          </cell>
          <cell r="EN75">
            <v>16</v>
          </cell>
          <cell r="EO75">
            <v>9.5</v>
          </cell>
          <cell r="EP75">
            <v>25.5</v>
          </cell>
          <cell r="ER75">
            <v>20</v>
          </cell>
          <cell r="ES75">
            <v>12.7</v>
          </cell>
          <cell r="ET75">
            <v>32.700000000000003</v>
          </cell>
          <cell r="EV75">
            <v>0.6</v>
          </cell>
          <cell r="EW75">
            <v>25.4</v>
          </cell>
          <cell r="EX75">
            <v>26</v>
          </cell>
          <cell r="EZ75">
            <v>14.100000000000003</v>
          </cell>
          <cell r="FA75">
            <v>41.099999999999987</v>
          </cell>
          <cell r="FB75">
            <v>55.199999999999989</v>
          </cell>
          <cell r="FD75">
            <v>150.5</v>
          </cell>
          <cell r="FE75">
            <v>293.89999999999998</v>
          </cell>
          <cell r="FF75">
            <v>444.4</v>
          </cell>
          <cell r="FH75">
            <v>1308.5</v>
          </cell>
          <cell r="FI75">
            <v>1021.9</v>
          </cell>
          <cell r="FJ75">
            <v>2330.4</v>
          </cell>
        </row>
        <row r="76">
          <cell r="EM76" t="str">
            <v xml:space="preserve"> 2Q</v>
          </cell>
          <cell r="EN76">
            <v>16.600000000000001</v>
          </cell>
          <cell r="EO76">
            <v>11.1</v>
          </cell>
          <cell r="EP76">
            <v>27.700000000000003</v>
          </cell>
          <cell r="ER76">
            <v>21.2</v>
          </cell>
          <cell r="ES76">
            <v>15.1</v>
          </cell>
          <cell r="ET76">
            <v>36.299999999999997</v>
          </cell>
          <cell r="EV76">
            <v>0.4</v>
          </cell>
          <cell r="EW76">
            <v>29.5</v>
          </cell>
          <cell r="EX76">
            <v>29.9</v>
          </cell>
          <cell r="EZ76">
            <v>14.600000000000025</v>
          </cell>
          <cell r="FA76">
            <v>40.80000000000004</v>
          </cell>
          <cell r="FB76">
            <v>55.400000000000063</v>
          </cell>
          <cell r="FD76">
            <v>155.30000000000001</v>
          </cell>
          <cell r="FE76">
            <v>313.10000000000002</v>
          </cell>
          <cell r="FF76">
            <v>468.40000000000003</v>
          </cell>
          <cell r="FH76">
            <v>1586.7</v>
          </cell>
          <cell r="FI76">
            <v>1096.0999999999999</v>
          </cell>
          <cell r="FJ76">
            <v>2682.8</v>
          </cell>
        </row>
        <row r="77">
          <cell r="EM77" t="str">
            <v xml:space="preserve"> 3Q</v>
          </cell>
          <cell r="EN77">
            <v>10.6</v>
          </cell>
          <cell r="EO77">
            <v>9.4</v>
          </cell>
          <cell r="EP77">
            <v>20</v>
          </cell>
          <cell r="ER77">
            <v>19.899999999999999</v>
          </cell>
          <cell r="ES77">
            <v>11.9</v>
          </cell>
          <cell r="ET77">
            <v>31.799999999999997</v>
          </cell>
          <cell r="EV77">
            <v>0.6</v>
          </cell>
          <cell r="EW77">
            <v>30.7</v>
          </cell>
          <cell r="EX77">
            <v>31.3</v>
          </cell>
          <cell r="EZ77">
            <v>19.600000000000009</v>
          </cell>
          <cell r="FA77">
            <v>43.90000000000002</v>
          </cell>
          <cell r="FB77">
            <v>63.500000000000028</v>
          </cell>
          <cell r="FD77">
            <v>162.4</v>
          </cell>
          <cell r="FE77">
            <v>307.8</v>
          </cell>
          <cell r="FF77">
            <v>470.20000000000005</v>
          </cell>
          <cell r="FH77">
            <v>1593.3000000000002</v>
          </cell>
          <cell r="FI77">
            <v>1100.7</v>
          </cell>
          <cell r="FJ77">
            <v>2694</v>
          </cell>
        </row>
        <row r="78">
          <cell r="EM78" t="str">
            <v xml:space="preserve"> 4Q</v>
          </cell>
          <cell r="EN78">
            <v>12.8</v>
          </cell>
          <cell r="EO78">
            <v>9.6999999999999993</v>
          </cell>
          <cell r="EP78">
            <v>22.5</v>
          </cell>
          <cell r="ER78">
            <v>21.5</v>
          </cell>
          <cell r="ES78">
            <v>13.7</v>
          </cell>
          <cell r="ET78">
            <v>35.200000000000003</v>
          </cell>
          <cell r="EV78">
            <v>0.3</v>
          </cell>
          <cell r="EW78">
            <v>26.6</v>
          </cell>
          <cell r="EX78">
            <v>26.900000000000002</v>
          </cell>
          <cell r="EZ78">
            <v>15.700000000000014</v>
          </cell>
          <cell r="FA78">
            <v>43.70000000000001</v>
          </cell>
          <cell r="FB78">
            <v>59.40000000000002</v>
          </cell>
          <cell r="FD78">
            <v>191.5</v>
          </cell>
          <cell r="FE78">
            <v>313</v>
          </cell>
          <cell r="FF78">
            <v>504.5</v>
          </cell>
          <cell r="FH78">
            <v>1818.2</v>
          </cell>
          <cell r="FI78">
            <v>1217.9000000000001</v>
          </cell>
          <cell r="FJ78">
            <v>3036.1000000000004</v>
          </cell>
        </row>
        <row r="80">
          <cell r="EM80" t="str">
            <v>Year</v>
          </cell>
          <cell r="EN80">
            <v>56</v>
          </cell>
          <cell r="EO80">
            <v>39.700000000000003</v>
          </cell>
          <cell r="EP80">
            <v>95.7</v>
          </cell>
          <cell r="ER80">
            <v>82.6</v>
          </cell>
          <cell r="ES80">
            <v>53.399999999999991</v>
          </cell>
          <cell r="ET80">
            <v>136</v>
          </cell>
          <cell r="EV80">
            <v>1.9000000000000001</v>
          </cell>
          <cell r="EW80">
            <v>112.19999999999999</v>
          </cell>
          <cell r="EX80">
            <v>114.10000000000001</v>
          </cell>
          <cell r="EZ80">
            <v>64.000000000000057</v>
          </cell>
          <cell r="FA80">
            <v>169.50000000000006</v>
          </cell>
          <cell r="FB80">
            <v>233.50000000000011</v>
          </cell>
          <cell r="FD80">
            <v>659.7</v>
          </cell>
          <cell r="FE80">
            <v>1227.8</v>
          </cell>
          <cell r="FF80">
            <v>1887.5</v>
          </cell>
          <cell r="FH80">
            <v>6306.7</v>
          </cell>
          <cell r="FI80">
            <v>4436.6000000000004</v>
          </cell>
          <cell r="FJ80">
            <v>10743.300000000001</v>
          </cell>
        </row>
        <row r="82">
          <cell r="EM82" t="str">
            <v xml:space="preserve">1999/98 </v>
          </cell>
        </row>
        <row r="83">
          <cell r="EM83" t="str">
            <v xml:space="preserve"> 1Q</v>
          </cell>
          <cell r="EN83">
            <v>-0.16249999999999998</v>
          </cell>
          <cell r="EO83">
            <v>-5.2631578947368474E-2</v>
          </cell>
          <cell r="EP83">
            <v>-0.1215686274509804</v>
          </cell>
          <cell r="ER83">
            <v>0.125</v>
          </cell>
          <cell r="ES83">
            <v>-6.2992125984251857E-2</v>
          </cell>
          <cell r="ET83">
            <v>5.1987767584097622E-2</v>
          </cell>
          <cell r="EV83">
            <v>0</v>
          </cell>
          <cell r="EW83">
            <v>0.15748031496062986</v>
          </cell>
          <cell r="EX83">
            <v>0.15384615384615374</v>
          </cell>
          <cell r="EZ83">
            <v>-7.092198581560516E-3</v>
          </cell>
          <cell r="FA83">
            <v>2.1897810218978409E-2</v>
          </cell>
          <cell r="FB83">
            <v>1.4492753623188692E-2</v>
          </cell>
          <cell r="FD83">
            <v>2.6578073089700949E-2</v>
          </cell>
          <cell r="FE83">
            <v>4.0830214358625661E-2</v>
          </cell>
          <cell r="FF83">
            <v>3.6003600360036137E-2</v>
          </cell>
          <cell r="FH83">
            <v>0.35552158960641966</v>
          </cell>
          <cell r="FI83">
            <v>0.2062824151091105</v>
          </cell>
          <cell r="FJ83">
            <v>0.29007895640233428</v>
          </cell>
        </row>
        <row r="84">
          <cell r="EM84" t="str">
            <v xml:space="preserve"> 2Q</v>
          </cell>
          <cell r="EN84">
            <v>-2.4096385542168752E-2</v>
          </cell>
          <cell r="EO84">
            <v>-9.9099099099099086E-2</v>
          </cell>
          <cell r="EP84">
            <v>-5.4151624548736566E-2</v>
          </cell>
          <cell r="ER84">
            <v>0.27830188679245293</v>
          </cell>
          <cell r="ES84">
            <v>-8.6092715231787964E-2</v>
          </cell>
          <cell r="ET84">
            <v>0.12672176308539962</v>
          </cell>
          <cell r="EV84">
            <v>0.49999999999999978</v>
          </cell>
          <cell r="EW84">
            <v>3.7288135593220417E-2</v>
          </cell>
          <cell r="EX84">
            <v>4.347826086956541E-2</v>
          </cell>
          <cell r="EZ84">
            <v>-6.8493150684940662E-3</v>
          </cell>
          <cell r="FA84">
            <v>0.28186274509803688</v>
          </cell>
          <cell r="FB84">
            <v>0.2057761732851966</v>
          </cell>
          <cell r="FD84">
            <v>5.9884095299420403E-2</v>
          </cell>
          <cell r="FE84">
            <v>1.5649952091983277E-2</v>
          </cell>
          <cell r="FF84">
            <v>3.0315969257045161E-2</v>
          </cell>
          <cell r="FH84">
            <v>0.19108842251213209</v>
          </cell>
          <cell r="FI84">
            <v>0.15026001277255752</v>
          </cell>
          <cell r="FJ84">
            <v>0.17440733561950195</v>
          </cell>
        </row>
        <row r="85">
          <cell r="EM85" t="str">
            <v xml:space="preserve"> 3Q</v>
          </cell>
          <cell r="EN85">
            <v>5.6603773584905648E-2</v>
          </cell>
          <cell r="EO85">
            <v>-1.0638297872340385E-2</v>
          </cell>
          <cell r="EP85">
            <v>2.4999999999999911E-2</v>
          </cell>
          <cell r="ER85">
            <v>0.31658291457286447</v>
          </cell>
          <cell r="ES85">
            <v>3.3613445378151363E-2</v>
          </cell>
          <cell r="ET85">
            <v>0.21069182389937113</v>
          </cell>
          <cell r="EV85">
            <v>0.16666666666666674</v>
          </cell>
          <cell r="EW85">
            <v>-9.4462540716612309E-2</v>
          </cell>
          <cell r="EX85">
            <v>-8.9456869009584716E-2</v>
          </cell>
          <cell r="EZ85">
            <v>2.0408163265307033E-2</v>
          </cell>
          <cell r="FA85">
            <v>0.2733485193621854</v>
          </cell>
          <cell r="FB85">
            <v>0.19527559055118049</v>
          </cell>
          <cell r="FD85">
            <v>4.0640394088669929E-2</v>
          </cell>
          <cell r="FE85">
            <v>1.5269655620532729E-2</v>
          </cell>
          <cell r="FF85">
            <v>2.4032326669502169E-2</v>
          </cell>
          <cell r="FH85">
            <v>0.25387560409213572</v>
          </cell>
          <cell r="FI85">
            <v>0.12637412555646388</v>
          </cell>
          <cell r="FJ85">
            <v>0.20178173719376402</v>
          </cell>
        </row>
        <row r="86">
          <cell r="EM86" t="str">
            <v xml:space="preserve"> 4Q</v>
          </cell>
          <cell r="EN86">
            <v>-8.5937500000000111E-2</v>
          </cell>
          <cell r="EO86">
            <v>5.1546391752577359E-2</v>
          </cell>
          <cell r="EP86">
            <v>-2.6666666666666727E-2</v>
          </cell>
          <cell r="ER86">
            <v>0.36279069767441863</v>
          </cell>
          <cell r="ES86">
            <v>8.7591240875912524E-2</v>
          </cell>
          <cell r="ET86">
            <v>0.25568181818181812</v>
          </cell>
          <cell r="EV86">
            <v>0.33333333333333348</v>
          </cell>
          <cell r="EW86">
            <v>-2.6315789473684292E-2</v>
          </cell>
          <cell r="EX86">
            <v>-2.230483271375483E-2</v>
          </cell>
          <cell r="EZ86">
            <v>-0.70063694267516108</v>
          </cell>
          <cell r="FA86">
            <v>0.22883295194508091</v>
          </cell>
          <cell r="FB86">
            <v>-1.6835016835016869E-2</v>
          </cell>
          <cell r="FD86">
            <v>7.571801566579639E-2</v>
          </cell>
          <cell r="FE86">
            <v>2.4600638977635647E-2</v>
          </cell>
          <cell r="FF86">
            <v>4.4003964321110089E-2</v>
          </cell>
          <cell r="FH86">
            <v>0.21075789242107579</v>
          </cell>
          <cell r="FI86">
            <v>9.4753263814763011E-2</v>
          </cell>
          <cell r="FJ86">
            <v>0.16422383979447308</v>
          </cell>
        </row>
        <row r="88">
          <cell r="EM88" t="str">
            <v>Year</v>
          </cell>
          <cell r="EN88">
            <v>-6.25E-2</v>
          </cell>
          <cell r="EO88">
            <v>-3.0226700251889227E-2</v>
          </cell>
          <cell r="EP88">
            <v>-4.9111807732497459E-2</v>
          </cell>
          <cell r="ER88">
            <v>0.2723970944309928</v>
          </cell>
          <cell r="ES88">
            <v>-9.3632958801497246E-3</v>
          </cell>
          <cell r="ET88">
            <v>0.16176470588235303</v>
          </cell>
          <cell r="EV88">
            <v>0.21052631578947345</v>
          </cell>
          <cell r="EW88">
            <v>1.3368983957219305E-2</v>
          </cell>
          <cell r="EX88">
            <v>1.6652059596844904E-2</v>
          </cell>
          <cell r="EZ88">
            <v>-0.16875000000000051</v>
          </cell>
          <cell r="FA88">
            <v>0.20294985250737407</v>
          </cell>
          <cell r="FB88">
            <v>0.10107066381156238</v>
          </cell>
          <cell r="FD88">
            <v>5.2144914355009897E-2</v>
          </cell>
          <cell r="FE88">
            <v>2.3863821469294777E-2</v>
          </cell>
          <cell r="FF88">
            <v>3.374834437086105E-2</v>
          </cell>
          <cell r="FH88">
            <v>0.24673759652433147</v>
          </cell>
          <cell r="FI88">
            <v>0.14200063111391614</v>
          </cell>
          <cell r="FJ88">
            <v>0.20348496272095162</v>
          </cell>
        </row>
        <row r="90">
          <cell r="EM90" t="str">
            <v>1999</v>
          </cell>
          <cell r="EQ90">
            <v>0</v>
          </cell>
          <cell r="EU90">
            <v>0</v>
          </cell>
          <cell r="EY90">
            <v>0</v>
          </cell>
          <cell r="FC90">
            <v>0</v>
          </cell>
        </row>
        <row r="91">
          <cell r="EM91" t="str">
            <v xml:space="preserve"> 1Q</v>
          </cell>
          <cell r="EN91">
            <v>13.4</v>
          </cell>
          <cell r="EO91">
            <v>9</v>
          </cell>
          <cell r="EP91">
            <v>22.4</v>
          </cell>
          <cell r="ER91">
            <v>22.5</v>
          </cell>
          <cell r="ES91">
            <v>11.9</v>
          </cell>
          <cell r="ET91">
            <v>34.4</v>
          </cell>
          <cell r="EV91">
            <v>0.6</v>
          </cell>
          <cell r="EW91">
            <v>29.4</v>
          </cell>
          <cell r="EX91">
            <v>30</v>
          </cell>
          <cell r="EZ91">
            <v>14</v>
          </cell>
          <cell r="FA91">
            <v>42</v>
          </cell>
          <cell r="FB91">
            <v>56</v>
          </cell>
          <cell r="FD91">
            <v>154.5</v>
          </cell>
          <cell r="FE91">
            <v>305.90000000000003</v>
          </cell>
          <cell r="FF91">
            <v>460.40000000000003</v>
          </cell>
          <cell r="FH91">
            <v>1773.7</v>
          </cell>
          <cell r="FI91">
            <v>1232.7</v>
          </cell>
          <cell r="FJ91">
            <v>3006.4</v>
          </cell>
        </row>
        <row r="92">
          <cell r="EM92" t="str">
            <v xml:space="preserve"> 2Q</v>
          </cell>
          <cell r="EN92">
            <v>16.2</v>
          </cell>
          <cell r="EO92">
            <v>10</v>
          </cell>
          <cell r="EP92">
            <v>26.2</v>
          </cell>
          <cell r="ER92">
            <v>27.1</v>
          </cell>
          <cell r="ES92">
            <v>13.8</v>
          </cell>
          <cell r="ET92">
            <v>40.900000000000006</v>
          </cell>
          <cell r="EV92">
            <v>0.6</v>
          </cell>
          <cell r="EW92">
            <v>30.6</v>
          </cell>
          <cell r="EX92">
            <v>31.200000000000003</v>
          </cell>
          <cell r="EZ92">
            <v>14.500000000000011</v>
          </cell>
          <cell r="FA92">
            <v>52.299999999999955</v>
          </cell>
          <cell r="FB92">
            <v>66.799999999999969</v>
          </cell>
          <cell r="FD92">
            <v>164.6</v>
          </cell>
          <cell r="FE92">
            <v>318</v>
          </cell>
          <cell r="FF92">
            <v>482.6</v>
          </cell>
          <cell r="FH92">
            <v>1889.9</v>
          </cell>
          <cell r="FI92">
            <v>1260.8000000000002</v>
          </cell>
          <cell r="FJ92">
            <v>3150.7000000000003</v>
          </cell>
        </row>
        <row r="93">
          <cell r="EM93" t="str">
            <v xml:space="preserve"> 3Q</v>
          </cell>
          <cell r="EN93">
            <v>11.2</v>
          </cell>
          <cell r="EO93">
            <v>9.3000000000000007</v>
          </cell>
          <cell r="EP93">
            <v>20.5</v>
          </cell>
          <cell r="ER93">
            <v>26.2</v>
          </cell>
          <cell r="ES93">
            <v>12.3</v>
          </cell>
          <cell r="ET93">
            <v>38.5</v>
          </cell>
          <cell r="EV93">
            <v>0.7</v>
          </cell>
          <cell r="EW93">
            <v>27.8</v>
          </cell>
          <cell r="EX93">
            <v>28.5</v>
          </cell>
          <cell r="EZ93">
            <v>20.000000000000028</v>
          </cell>
          <cell r="FA93">
            <v>55.899999999999963</v>
          </cell>
          <cell r="FB93">
            <v>75.899999999999991</v>
          </cell>
          <cell r="FD93">
            <v>169</v>
          </cell>
          <cell r="FE93">
            <v>312.5</v>
          </cell>
          <cell r="FF93">
            <v>481.5</v>
          </cell>
          <cell r="FH93">
            <v>1997.8000000000002</v>
          </cell>
          <cell r="FI93">
            <v>1239.8</v>
          </cell>
          <cell r="FJ93">
            <v>3237.6000000000004</v>
          </cell>
        </row>
        <row r="94">
          <cell r="EM94" t="str">
            <v xml:space="preserve"> 4Q</v>
          </cell>
          <cell r="EN94">
            <v>11.7</v>
          </cell>
          <cell r="EO94">
            <v>10.199999999999999</v>
          </cell>
          <cell r="EP94">
            <v>21.9</v>
          </cell>
          <cell r="ER94">
            <v>29.3</v>
          </cell>
          <cell r="ES94">
            <v>14.9</v>
          </cell>
          <cell r="ET94">
            <v>44.2</v>
          </cell>
          <cell r="EV94">
            <v>0.4</v>
          </cell>
          <cell r="EW94">
            <v>25.9</v>
          </cell>
          <cell r="EX94">
            <v>26.299999999999997</v>
          </cell>
          <cell r="EZ94">
            <v>4.6999999999999744</v>
          </cell>
          <cell r="FA94">
            <v>53.700000000000045</v>
          </cell>
          <cell r="FB94">
            <v>58.40000000000002</v>
          </cell>
          <cell r="FD94">
            <v>206</v>
          </cell>
          <cell r="FE94">
            <v>320.7</v>
          </cell>
          <cell r="FF94">
            <v>526.70000000000005</v>
          </cell>
          <cell r="FH94">
            <v>2201.4</v>
          </cell>
          <cell r="FI94">
            <v>1333.3</v>
          </cell>
          <cell r="FJ94">
            <v>3534.7</v>
          </cell>
        </row>
        <row r="96">
          <cell r="EM96" t="str">
            <v>Year</v>
          </cell>
          <cell r="EN96">
            <v>52.5</v>
          </cell>
          <cell r="EO96">
            <v>38.5</v>
          </cell>
          <cell r="EP96">
            <v>91</v>
          </cell>
          <cell r="ER96">
            <v>105.1</v>
          </cell>
          <cell r="ES96">
            <v>52.9</v>
          </cell>
          <cell r="ET96">
            <v>158</v>
          </cell>
          <cell r="EV96">
            <v>2.2999999999999998</v>
          </cell>
          <cell r="EW96">
            <v>113.69999999999999</v>
          </cell>
          <cell r="EX96">
            <v>116</v>
          </cell>
          <cell r="EZ96">
            <v>53.200000000000017</v>
          </cell>
          <cell r="FA96">
            <v>203.89999999999998</v>
          </cell>
          <cell r="FB96">
            <v>257.09999999999997</v>
          </cell>
          <cell r="FD96">
            <v>694.1</v>
          </cell>
          <cell r="FE96">
            <v>1257.1000000000001</v>
          </cell>
          <cell r="FF96">
            <v>1951.2</v>
          </cell>
          <cell r="FH96">
            <v>7862.8000000000011</v>
          </cell>
          <cell r="FI96">
            <v>5066.6000000000004</v>
          </cell>
          <cell r="FJ96">
            <v>12929.400000000001</v>
          </cell>
        </row>
        <row r="98">
          <cell r="EM98" t="str">
            <v>2000E/99</v>
          </cell>
        </row>
        <row r="99">
          <cell r="EM99" t="str">
            <v xml:space="preserve"> 1QA</v>
          </cell>
          <cell r="EN99">
            <v>-4.4776119402985093E-2</v>
          </cell>
          <cell r="EO99">
            <v>-1.1111111111111072E-2</v>
          </cell>
          <cell r="EP99">
            <v>-3.1249999999999778E-2</v>
          </cell>
          <cell r="ER99">
            <v>0.27555555555555555</v>
          </cell>
          <cell r="ES99">
            <v>0.2100840336134453</v>
          </cell>
          <cell r="ET99">
            <v>0.25290697674418605</v>
          </cell>
          <cell r="EV99">
            <v>0.33333333333333348</v>
          </cell>
          <cell r="EW99">
            <v>9.5238095238095344E-2</v>
          </cell>
          <cell r="EX99">
            <v>0.10000000000000009</v>
          </cell>
          <cell r="EZ99">
            <v>0.17142857142857193</v>
          </cell>
          <cell r="FA99">
            <v>0.37380952380952492</v>
          </cell>
          <cell r="FB99">
            <v>0.32321428571428656</v>
          </cell>
          <cell r="FD99">
            <v>4.5307443365695699E-2</v>
          </cell>
          <cell r="FE99">
            <v>0.10722458319712302</v>
          </cell>
          <cell r="FF99">
            <v>8.6446568201563823E-2</v>
          </cell>
          <cell r="FH99">
            <v>0.17894796188757955</v>
          </cell>
          <cell r="FI99">
            <v>6.7494118601443942E-2</v>
          </cell>
          <cell r="FJ99">
            <v>0.13324906865353903</v>
          </cell>
        </row>
        <row r="100">
          <cell r="EM100" t="str">
            <v xml:space="preserve"> 2QE</v>
          </cell>
          <cell r="EN100">
            <v>0.03</v>
          </cell>
          <cell r="EO100">
            <v>0.03</v>
          </cell>
          <cell r="EP100">
            <v>3.0000000000000027E-2</v>
          </cell>
          <cell r="ER100">
            <v>0.2</v>
          </cell>
          <cell r="ES100">
            <v>-0.02</v>
          </cell>
          <cell r="ET100">
            <v>0.12577017114914413</v>
          </cell>
          <cell r="EV100">
            <v>0.26</v>
          </cell>
          <cell r="EW100">
            <v>0.08</v>
          </cell>
          <cell r="EX100">
            <v>8.3461538461538476E-2</v>
          </cell>
          <cell r="EZ100">
            <v>0</v>
          </cell>
          <cell r="FA100">
            <v>0.2</v>
          </cell>
          <cell r="FB100">
            <v>0.15658682634730514</v>
          </cell>
          <cell r="FD100">
            <v>4.5595382746051127E-2</v>
          </cell>
          <cell r="FE100">
            <v>7.5830188679245181E-2</v>
          </cell>
          <cell r="FF100">
            <v>6.551802735184431E-2</v>
          </cell>
          <cell r="FH100">
            <v>0.10382665749510567</v>
          </cell>
          <cell r="FI100">
            <v>0.15752934644670025</v>
          </cell>
          <cell r="FJ100">
            <v>0.12531659631193071</v>
          </cell>
        </row>
        <row r="101">
          <cell r="EM101" t="str">
            <v xml:space="preserve"> 3QE</v>
          </cell>
          <cell r="EN101">
            <v>0.03</v>
          </cell>
          <cell r="EO101">
            <v>0.03</v>
          </cell>
          <cell r="EP101">
            <v>3.0000000000000027E-2</v>
          </cell>
          <cell r="ER101">
            <v>0.2</v>
          </cell>
          <cell r="ES101">
            <v>-0.02</v>
          </cell>
          <cell r="ET101">
            <v>0.12971428571428567</v>
          </cell>
          <cell r="EV101">
            <v>0.26</v>
          </cell>
          <cell r="EW101">
            <v>0.08</v>
          </cell>
          <cell r="EX101">
            <v>8.4421052631579174E-2</v>
          </cell>
          <cell r="EZ101">
            <v>0</v>
          </cell>
          <cell r="FA101">
            <v>0.2</v>
          </cell>
          <cell r="FB101">
            <v>0.14729907773386031</v>
          </cell>
          <cell r="FD101">
            <v>8.1295857988165965E-2</v>
          </cell>
          <cell r="FE101">
            <v>7.8534400000000115E-2</v>
          </cell>
          <cell r="FF101">
            <v>7.9503634475597273E-2</v>
          </cell>
          <cell r="FH101">
            <v>0.11604615076584235</v>
          </cell>
          <cell r="FI101">
            <v>0.18815212130988912</v>
          </cell>
          <cell r="FJ101">
            <v>0.14365826538176441</v>
          </cell>
        </row>
        <row r="102">
          <cell r="EM102" t="str">
            <v xml:space="preserve"> 4QE</v>
          </cell>
          <cell r="EN102">
            <v>9.9118140426551538E-2</v>
          </cell>
          <cell r="EO102">
            <v>5.6949250288351072E-2</v>
          </cell>
          <cell r="EP102">
            <v>7.9477835430677546E-2</v>
          </cell>
          <cell r="ER102">
            <v>0.14197952218429966</v>
          </cell>
          <cell r="ES102">
            <v>-0.20375838926174505</v>
          </cell>
          <cell r="ET102">
            <v>2.5429864253392997E-2</v>
          </cell>
          <cell r="EV102">
            <v>0.15499999999999936</v>
          </cell>
          <cell r="EW102">
            <v>5.5903470977028746E-2</v>
          </cell>
          <cell r="EX102">
            <v>5.7410642521104283E-2</v>
          </cell>
          <cell r="EZ102">
            <v>-0.51063829787234361</v>
          </cell>
          <cell r="FA102">
            <v>6.4059590316573489E-2</v>
          </cell>
          <cell r="FB102">
            <v>1.7808219178081952E-2</v>
          </cell>
          <cell r="FD102">
            <v>4.7751565193718815E-3</v>
          </cell>
          <cell r="FE102">
            <v>4.1736950876155587E-2</v>
          </cell>
          <cell r="FF102">
            <v>2.7280657658958818E-2</v>
          </cell>
          <cell r="FH102">
            <v>0.11790550660624621</v>
          </cell>
          <cell r="FI102">
            <v>0.25027371195228665</v>
          </cell>
          <cell r="FJ102">
            <v>0.16783521158485137</v>
          </cell>
        </row>
        <row r="104">
          <cell r="EM104" t="str">
            <v>Year</v>
          </cell>
          <cell r="EN104">
            <v>2.6317757009345799E-2</v>
          </cell>
          <cell r="EO104">
            <v>2.7529411764706024E-2</v>
          </cell>
          <cell r="EP104">
            <v>2.6830380175075108E-2</v>
          </cell>
          <cell r="ER104">
            <v>0.2</v>
          </cell>
          <cell r="ES104">
            <v>-0.02</v>
          </cell>
          <cell r="ET104">
            <v>0.12634177215189868</v>
          </cell>
          <cell r="EV104">
            <v>0.26086956521739135</v>
          </cell>
          <cell r="EW104">
            <v>7.8451186440677834E-2</v>
          </cell>
          <cell r="EX104">
            <v>8.2068102571595247E-2</v>
          </cell>
          <cell r="EZ104">
            <v>0</v>
          </cell>
          <cell r="FA104">
            <v>0.2</v>
          </cell>
          <cell r="FB104">
            <v>0.15861532477635176</v>
          </cell>
          <cell r="FD104">
            <v>4.2108748369097615E-2</v>
          </cell>
          <cell r="FE104">
            <v>7.5444308444819752E-2</v>
          </cell>
          <cell r="FF104">
            <v>6.3585856082909675E-2</v>
          </cell>
          <cell r="FH104">
            <v>0.12781912070038537</v>
          </cell>
          <cell r="FI104">
            <v>0.16752337665218953</v>
          </cell>
          <cell r="FJ104">
            <v>0.1433778924303506</v>
          </cell>
        </row>
        <row r="106">
          <cell r="EM106" t="str">
            <v>2000E</v>
          </cell>
        </row>
        <row r="107">
          <cell r="EM107" t="str">
            <v xml:space="preserve"> 1QA</v>
          </cell>
          <cell r="EN107">
            <v>12.8</v>
          </cell>
          <cell r="EO107">
            <v>8.9</v>
          </cell>
          <cell r="EP107">
            <v>21.700000000000003</v>
          </cell>
          <cell r="ER107">
            <v>28.7</v>
          </cell>
          <cell r="ES107">
            <v>14.4</v>
          </cell>
          <cell r="ET107">
            <v>43.1</v>
          </cell>
          <cell r="EV107">
            <v>0.8</v>
          </cell>
          <cell r="EW107">
            <v>32.200000000000003</v>
          </cell>
          <cell r="EX107">
            <v>33</v>
          </cell>
          <cell r="EZ107">
            <v>16.400000000000006</v>
          </cell>
          <cell r="FA107">
            <v>57.700000000000045</v>
          </cell>
          <cell r="FB107">
            <v>74.100000000000051</v>
          </cell>
          <cell r="FD107">
            <v>161.5</v>
          </cell>
          <cell r="FE107">
            <v>338.7</v>
          </cell>
          <cell r="FF107">
            <v>500.2</v>
          </cell>
          <cell r="FH107">
            <v>2091.1</v>
          </cell>
          <cell r="FI107">
            <v>1315.9</v>
          </cell>
          <cell r="FJ107">
            <v>3407</v>
          </cell>
        </row>
        <row r="108">
          <cell r="EM108" t="str">
            <v xml:space="preserve"> 2QE</v>
          </cell>
          <cell r="EN108">
            <v>16.686</v>
          </cell>
          <cell r="EO108">
            <v>10.3</v>
          </cell>
          <cell r="EP108">
            <v>26.986000000000001</v>
          </cell>
          <cell r="ER108">
            <v>32.520000000000003</v>
          </cell>
          <cell r="ES108">
            <v>13.524000000000001</v>
          </cell>
          <cell r="ET108">
            <v>46.044000000000004</v>
          </cell>
          <cell r="EV108">
            <v>0.75600000000000001</v>
          </cell>
          <cell r="EW108">
            <v>33.048000000000002</v>
          </cell>
          <cell r="EX108">
            <v>33.804000000000002</v>
          </cell>
          <cell r="EZ108">
            <v>14.500000000000011</v>
          </cell>
          <cell r="FA108">
            <v>62.759999999999941</v>
          </cell>
          <cell r="FB108">
            <v>77.259999999999948</v>
          </cell>
          <cell r="FD108">
            <v>172.10500000000002</v>
          </cell>
          <cell r="FE108">
            <v>342.11399999999998</v>
          </cell>
          <cell r="FF108">
            <v>514.21900000000005</v>
          </cell>
          <cell r="FH108">
            <v>2086.1220000000003</v>
          </cell>
          <cell r="FI108">
            <v>1459.413</v>
          </cell>
          <cell r="FJ108">
            <v>3545.5350000000003</v>
          </cell>
        </row>
        <row r="109">
          <cell r="EM109" t="str">
            <v xml:space="preserve"> 3QE</v>
          </cell>
          <cell r="EN109">
            <v>11.536</v>
          </cell>
          <cell r="EO109">
            <v>9.5790000000000006</v>
          </cell>
          <cell r="EP109">
            <v>21.115000000000002</v>
          </cell>
          <cell r="ER109">
            <v>31.439999999999998</v>
          </cell>
          <cell r="ES109">
            <v>12.054</v>
          </cell>
          <cell r="ET109">
            <v>43.494</v>
          </cell>
          <cell r="EV109">
            <v>0.8819999999999999</v>
          </cell>
          <cell r="EW109">
            <v>30.024000000000004</v>
          </cell>
          <cell r="EX109">
            <v>30.906000000000006</v>
          </cell>
          <cell r="EZ109">
            <v>20.000000000000028</v>
          </cell>
          <cell r="FA109">
            <v>67.079999999999956</v>
          </cell>
          <cell r="FB109">
            <v>87.079999999999984</v>
          </cell>
          <cell r="FD109">
            <v>182.73900000000003</v>
          </cell>
          <cell r="FE109">
            <v>337.04200000000003</v>
          </cell>
          <cell r="FF109">
            <v>519.78100000000006</v>
          </cell>
          <cell r="FH109">
            <v>2229.6370000000002</v>
          </cell>
          <cell r="FI109">
            <v>1473.0710000000004</v>
          </cell>
          <cell r="FJ109">
            <v>3702.7080000000005</v>
          </cell>
        </row>
        <row r="110">
          <cell r="EM110" t="str">
            <v xml:space="preserve"> 4QE</v>
          </cell>
          <cell r="EN110">
            <v>12.859682242990653</v>
          </cell>
          <cell r="EO110">
            <v>10.78088235294118</v>
          </cell>
          <cell r="EP110">
            <v>23.640564595931835</v>
          </cell>
          <cell r="ER110">
            <v>33.45999999999998</v>
          </cell>
          <cell r="ES110">
            <v>11.863999999999999</v>
          </cell>
          <cell r="ET110">
            <v>45.323999999999977</v>
          </cell>
          <cell r="EV110">
            <v>0.46199999999999974</v>
          </cell>
          <cell r="EW110">
            <v>27.347899898305041</v>
          </cell>
          <cell r="EX110">
            <v>27.809899898305041</v>
          </cell>
          <cell r="EZ110">
            <v>2.2999999999999723</v>
          </cell>
          <cell r="FA110">
            <v>57.140000000000043</v>
          </cell>
          <cell r="FB110">
            <v>59.440000000000012</v>
          </cell>
          <cell r="FD110">
            <v>206.98368224299062</v>
          </cell>
          <cell r="FE110">
            <v>334.0850401459831</v>
          </cell>
          <cell r="FF110">
            <v>541.0687223889737</v>
          </cell>
          <cell r="FH110">
            <v>2460.9571822429907</v>
          </cell>
          <cell r="FI110">
            <v>1666.9899401459836</v>
          </cell>
          <cell r="FJ110">
            <v>4127.9471223889741</v>
          </cell>
        </row>
        <row r="112">
          <cell r="EM112" t="str">
            <v>Year</v>
          </cell>
          <cell r="EN112">
            <v>53.881682242990657</v>
          </cell>
          <cell r="EO112">
            <v>39.55988235294118</v>
          </cell>
          <cell r="EP112">
            <v>93.441564595931837</v>
          </cell>
          <cell r="ER112">
            <v>126.11999999999999</v>
          </cell>
          <cell r="ES112">
            <v>51.841999999999999</v>
          </cell>
          <cell r="ET112">
            <v>177.96199999999999</v>
          </cell>
          <cell r="EV112">
            <v>2.9</v>
          </cell>
          <cell r="EW112">
            <v>122.61989989830505</v>
          </cell>
          <cell r="EX112">
            <v>125.51989989830506</v>
          </cell>
          <cell r="EZ112">
            <v>53.200000000000017</v>
          </cell>
          <cell r="FA112">
            <v>244.67999999999998</v>
          </cell>
          <cell r="FB112">
            <v>297.88</v>
          </cell>
          <cell r="FD112">
            <v>723.3276822429907</v>
          </cell>
          <cell r="FE112">
            <v>1351.9410401459829</v>
          </cell>
          <cell r="FF112">
            <v>2075.2687223889734</v>
          </cell>
          <cell r="FH112">
            <v>8867.816182242992</v>
          </cell>
          <cell r="FI112">
            <v>5915.3739401459834</v>
          </cell>
          <cell r="FJ112">
            <v>14783.190122388976</v>
          </cell>
        </row>
        <row r="114">
          <cell r="EM114" t="str">
            <v>% Change</v>
          </cell>
        </row>
        <row r="115">
          <cell r="EM115" t="str">
            <v xml:space="preserve">2001E/00E </v>
          </cell>
          <cell r="EN115">
            <v>0</v>
          </cell>
          <cell r="EO115">
            <v>0</v>
          </cell>
          <cell r="EP115">
            <v>0</v>
          </cell>
          <cell r="ER115">
            <v>0.03</v>
          </cell>
          <cell r="ES115">
            <v>0.05</v>
          </cell>
          <cell r="ET115">
            <v>3.5826187613085869E-2</v>
          </cell>
          <cell r="EV115" t="str">
            <v>NM</v>
          </cell>
          <cell r="EW115">
            <v>0.04</v>
          </cell>
          <cell r="EX115">
            <v>4.3059275862322277E-2</v>
          </cell>
          <cell r="EZ115">
            <v>0</v>
          </cell>
          <cell r="FA115">
            <v>0</v>
          </cell>
          <cell r="FB115">
            <v>0</v>
          </cell>
          <cell r="FD115">
            <v>2.272042174445521E-2</v>
          </cell>
          <cell r="FE115">
            <v>2.4501276438986253E-2</v>
          </cell>
          <cell r="FF115">
            <v>2.3880565740314053E-2</v>
          </cell>
          <cell r="FH115">
            <v>0.12732994480208082</v>
          </cell>
          <cell r="FI115">
            <v>0.12971485951716022</v>
          </cell>
          <cell r="FJ115">
            <v>0.12828424913276026</v>
          </cell>
        </row>
        <row r="116">
          <cell r="EM116" t="str">
            <v xml:space="preserve">2002E/01E </v>
          </cell>
          <cell r="EN116">
            <v>0</v>
          </cell>
          <cell r="EO116">
            <v>0</v>
          </cell>
          <cell r="EP116">
            <v>0</v>
          </cell>
          <cell r="ER116">
            <v>0.03</v>
          </cell>
          <cell r="ES116">
            <v>0.05</v>
          </cell>
          <cell r="ET116">
            <v>3.5905910727973556E-2</v>
          </cell>
          <cell r="EV116" t="str">
            <v>NM</v>
          </cell>
          <cell r="EW116">
            <v>0.04</v>
          </cell>
          <cell r="EX116">
            <v>4.2780224139638667E-2</v>
          </cell>
          <cell r="EZ116">
            <v>0</v>
          </cell>
          <cell r="FA116">
            <v>0</v>
          </cell>
          <cell r="FB116">
            <v>0</v>
          </cell>
          <cell r="FD116">
            <v>2.2300195026214942E-2</v>
          </cell>
          <cell r="FE116">
            <v>2.2006113955851836E-2</v>
          </cell>
          <cell r="FF116">
            <v>2.2108498745950333E-2</v>
          </cell>
          <cell r="FH116">
            <v>0.11030698289999319</v>
          </cell>
          <cell r="FI116">
            <v>0.12549334831380476</v>
          </cell>
          <cell r="FJ116">
            <v>0.11639138913769598</v>
          </cell>
        </row>
        <row r="117">
          <cell r="EM117" t="str">
            <v xml:space="preserve">2003E/02E </v>
          </cell>
          <cell r="EN117">
            <v>0</v>
          </cell>
          <cell r="EO117">
            <v>0</v>
          </cell>
          <cell r="EP117">
            <v>0</v>
          </cell>
          <cell r="ER117">
            <v>0.03</v>
          </cell>
          <cell r="ES117">
            <v>0.05</v>
          </cell>
          <cell r="ET117">
            <v>3.5986264003469826E-2</v>
          </cell>
          <cell r="EV117" t="str">
            <v>NM</v>
          </cell>
          <cell r="EW117">
            <v>0.04</v>
          </cell>
          <cell r="EX117">
            <v>4.2519672420614052E-2</v>
          </cell>
          <cell r="EZ117">
            <v>0</v>
          </cell>
          <cell r="FA117">
            <v>0</v>
          </cell>
          <cell r="FB117">
            <v>0</v>
          </cell>
          <cell r="FD117">
            <v>2.2401366120483601E-2</v>
          </cell>
          <cell r="FE117">
            <v>2.2321665336997087E-2</v>
          </cell>
          <cell r="FF117">
            <v>2.2349418495037243E-2</v>
          </cell>
          <cell r="FH117">
            <v>7.308325301845553E-3</v>
          </cell>
          <cell r="FI117">
            <v>9.2159086665294376E-2</v>
          </cell>
          <cell r="FJ117">
            <v>4.1580886092527747E-2</v>
          </cell>
        </row>
        <row r="118">
          <cell r="EM118" t="str">
            <v xml:space="preserve">2004E/03E </v>
          </cell>
          <cell r="EN118">
            <v>0</v>
          </cell>
          <cell r="EO118">
            <v>0</v>
          </cell>
          <cell r="EP118">
            <v>0</v>
          </cell>
          <cell r="ER118">
            <v>0.03</v>
          </cell>
          <cell r="ES118">
            <v>0.05</v>
          </cell>
          <cell r="ET118">
            <v>3.6067239906592219E-2</v>
          </cell>
          <cell r="EV118" t="str">
            <v>NM</v>
          </cell>
          <cell r="EW118">
            <v>3.9999999999999813E-2</v>
          </cell>
          <cell r="EX118">
            <v>4.2276388542874965E-2</v>
          </cell>
          <cell r="EZ118">
            <v>0</v>
          </cell>
          <cell r="FA118">
            <v>0</v>
          </cell>
          <cell r="FB118">
            <v>0</v>
          </cell>
          <cell r="FD118">
            <v>2.2501610682441386E-2</v>
          </cell>
          <cell r="FE118">
            <v>2.2637076921179888E-2</v>
          </cell>
          <cell r="FF118">
            <v>2.2589902893498159E-2</v>
          </cell>
          <cell r="FH118">
            <v>3.7415214464936897E-2</v>
          </cell>
          <cell r="FI118">
            <v>7.1399019090570448E-2</v>
          </cell>
          <cell r="FJ118">
            <v>5.1808359840511242E-2</v>
          </cell>
        </row>
        <row r="119">
          <cell r="EM119" t="str">
            <v xml:space="preserve">2005E/04E </v>
          </cell>
          <cell r="EN119">
            <v>0</v>
          </cell>
          <cell r="EO119">
            <v>0</v>
          </cell>
          <cell r="EP119">
            <v>0</v>
          </cell>
          <cell r="ER119">
            <v>0.03</v>
          </cell>
          <cell r="ES119">
            <v>0.05</v>
          </cell>
          <cell r="ET119">
            <v>3.6148830555144285E-2</v>
          </cell>
          <cell r="EV119" t="str">
            <v>NM</v>
          </cell>
          <cell r="EW119">
            <v>0.04</v>
          </cell>
          <cell r="EX119">
            <v>4.2049236416621394E-2</v>
          </cell>
          <cell r="EZ119">
            <v>0</v>
          </cell>
          <cell r="FA119">
            <v>0</v>
          </cell>
          <cell r="FB119">
            <v>0</v>
          </cell>
          <cell r="FD119">
            <v>2.26009193891612E-2</v>
          </cell>
          <cell r="FE119">
            <v>2.2952221361577818E-2</v>
          </cell>
          <cell r="FF119">
            <v>2.2829896432196017E-2</v>
          </cell>
          <cell r="FH119">
            <v>4.6076622029444181E-2</v>
          </cell>
          <cell r="FI119">
            <v>6.6667584743925756E-2</v>
          </cell>
          <cell r="FJ119">
            <v>5.4959935589752984E-2</v>
          </cell>
        </row>
        <row r="121">
          <cell r="EM121" t="str">
            <v>2001E</v>
          </cell>
          <cell r="EN121">
            <v>53.881682242990657</v>
          </cell>
          <cell r="EO121">
            <v>39.55988235294118</v>
          </cell>
          <cell r="EP121">
            <v>93.441564595931837</v>
          </cell>
          <cell r="ER121">
            <v>129.90359999999998</v>
          </cell>
          <cell r="ES121">
            <v>54.434100000000001</v>
          </cell>
          <cell r="ET121">
            <v>184.33769999999998</v>
          </cell>
          <cell r="EV121">
            <v>3.4</v>
          </cell>
          <cell r="EW121">
            <v>127.52469589423725</v>
          </cell>
          <cell r="EX121">
            <v>130.92469589423726</v>
          </cell>
          <cell r="EZ121">
            <v>53.200000000000017</v>
          </cell>
          <cell r="FA121">
            <v>244.67999999999998</v>
          </cell>
          <cell r="FB121">
            <v>297.88</v>
          </cell>
          <cell r="FD121">
            <v>739.76199224299069</v>
          </cell>
          <cell r="FE121">
            <v>1385.0653212998102</v>
          </cell>
          <cell r="FF121">
            <v>2124.8273135428008</v>
          </cell>
          <cell r="FH121">
            <v>9996.9547272429918</v>
          </cell>
          <cell r="FI121">
            <v>6682.6858397834903</v>
          </cell>
          <cell r="FJ121">
            <v>16679.640567026483</v>
          </cell>
        </row>
        <row r="122">
          <cell r="EM122" t="str">
            <v>2002E</v>
          </cell>
          <cell r="EN122">
            <v>53.881682242990657</v>
          </cell>
          <cell r="EO122">
            <v>39.55988235294118</v>
          </cell>
          <cell r="EP122">
            <v>93.441564595931837</v>
          </cell>
          <cell r="ER122">
            <v>133.80070799999999</v>
          </cell>
          <cell r="ES122">
            <v>57.155805000000001</v>
          </cell>
          <cell r="ET122">
            <v>190.95651299999997</v>
          </cell>
          <cell r="EV122">
            <v>3.9</v>
          </cell>
          <cell r="EW122">
            <v>132.62568373000676</v>
          </cell>
          <cell r="EX122">
            <v>136.52568373000676</v>
          </cell>
          <cell r="EZ122">
            <v>53.200000000000017</v>
          </cell>
          <cell r="FA122">
            <v>244.67999999999998</v>
          </cell>
          <cell r="FB122">
            <v>297.88</v>
          </cell>
          <cell r="FD122">
            <v>756.2588289429907</v>
          </cell>
          <cell r="FE122">
            <v>1415.5452265966323</v>
          </cell>
          <cell r="FF122">
            <v>2171.8040555396228</v>
          </cell>
          <cell r="FH122">
            <v>11099.688641392991</v>
          </cell>
          <cell r="FI122">
            <v>7521.318461547171</v>
          </cell>
          <cell r="FJ122">
            <v>18621.007102940162</v>
          </cell>
        </row>
        <row r="123">
          <cell r="EM123" t="str">
            <v>2003E</v>
          </cell>
          <cell r="EN123">
            <v>53.881682242990657</v>
          </cell>
          <cell r="EO123">
            <v>39.55988235294118</v>
          </cell>
          <cell r="EP123">
            <v>93.441564595931837</v>
          </cell>
          <cell r="ER123">
            <v>137.81472923999999</v>
          </cell>
          <cell r="ES123">
            <v>60.013595250000002</v>
          </cell>
          <cell r="ET123">
            <v>197.82832449</v>
          </cell>
          <cell r="EV123">
            <v>4.4000000000000004</v>
          </cell>
          <cell r="EW123">
            <v>137.93071107920701</v>
          </cell>
          <cell r="EX123">
            <v>142.33071107920702</v>
          </cell>
          <cell r="EZ123">
            <v>53.200000000000017</v>
          </cell>
          <cell r="FA123">
            <v>244.67999999999998</v>
          </cell>
          <cell r="FB123">
            <v>297.88</v>
          </cell>
          <cell r="FD123">
            <v>773.20005985199077</v>
          </cell>
          <cell r="FE123">
            <v>1447.142553414106</v>
          </cell>
          <cell r="FF123">
            <v>2220.342613266097</v>
          </cell>
          <cell r="FH123">
            <v>11180.808776733491</v>
          </cell>
          <cell r="FI123">
            <v>8214.4763014821747</v>
          </cell>
          <cell r="FJ123">
            <v>19395.285078215667</v>
          </cell>
        </row>
        <row r="124">
          <cell r="EM124" t="str">
            <v>2004E</v>
          </cell>
          <cell r="EN124">
            <v>53.881682242990657</v>
          </cell>
          <cell r="EO124">
            <v>39.55988235294118</v>
          </cell>
          <cell r="EP124">
            <v>93.441564595931837</v>
          </cell>
          <cell r="ER124">
            <v>141.9491711172</v>
          </cell>
          <cell r="ES124">
            <v>63.014275012500001</v>
          </cell>
          <cell r="ET124">
            <v>204.9634461297</v>
          </cell>
          <cell r="EV124">
            <v>4.9000000000000004</v>
          </cell>
          <cell r="EW124">
            <v>143.44793952237526</v>
          </cell>
          <cell r="EX124">
            <v>148.34793952237527</v>
          </cell>
          <cell r="EZ124">
            <v>53.200000000000017</v>
          </cell>
          <cell r="FA124">
            <v>244.67999999999998</v>
          </cell>
          <cell r="FB124">
            <v>297.88</v>
          </cell>
          <cell r="FD124">
            <v>790.59830657842065</v>
          </cell>
          <cell r="FE124">
            <v>1479.9016307116538</v>
          </cell>
          <cell r="FF124">
            <v>2270.4999372900743</v>
          </cell>
          <cell r="FH124">
            <v>11599.141135006425</v>
          </cell>
          <cell r="FI124">
            <v>8800.9818517507392</v>
          </cell>
          <cell r="FJ124">
            <v>20400.122986757164</v>
          </cell>
        </row>
        <row r="125">
          <cell r="EM125" t="str">
            <v>2005E</v>
          </cell>
          <cell r="EN125">
            <v>53.881682242990657</v>
          </cell>
          <cell r="EO125">
            <v>39.55988235294118</v>
          </cell>
          <cell r="EP125">
            <v>93.441564595931837</v>
          </cell>
          <cell r="ER125">
            <v>146.20764625071598</v>
          </cell>
          <cell r="ES125">
            <v>66.164988763124995</v>
          </cell>
          <cell r="ET125">
            <v>212.37263501384098</v>
          </cell>
          <cell r="EV125">
            <v>5.4</v>
          </cell>
          <cell r="EW125">
            <v>149.18585710327028</v>
          </cell>
          <cell r="EX125">
            <v>154.58585710327029</v>
          </cell>
          <cell r="EZ125">
            <v>53.200000000000017</v>
          </cell>
          <cell r="FA125">
            <v>244.67999999999998</v>
          </cell>
          <cell r="FB125">
            <v>297.88</v>
          </cell>
          <cell r="FD125">
            <v>808.46655517460692</v>
          </cell>
          <cell r="FE125">
            <v>1513.8686605331075</v>
          </cell>
          <cell r="FF125">
            <v>2322.3352157077143</v>
          </cell>
          <cell r="FH125">
            <v>12133.590376950295</v>
          </cell>
          <cell r="FI125">
            <v>9387.7220551820847</v>
          </cell>
          <cell r="FJ125">
            <v>21521.312432132378</v>
          </cell>
        </row>
        <row r="127">
          <cell r="EM127" t="str">
            <v>E = Morgan Stanley Dean Witter Research Estimates             NM = Not Meaningful             A = Actual</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rtantDisclosures"/>
      <sheetName val="COVER SHEET"/>
      <sheetName val="IS-ANNUAL"/>
      <sheetName val="IS-QTRLY"/>
      <sheetName val="CFBS"/>
      <sheetName val="REV-ANNUAL"/>
      <sheetName val="REV-QTRLY"/>
      <sheetName val="PIPELINE"/>
      <sheetName val="FOOTNOTES"/>
      <sheetName val="ELIQUIS_ALLIANCE"/>
      <sheetName val="MGMT PROJECTIONS"/>
      <sheetName val="DCF"/>
      <sheetName val="AGREEMENTS"/>
      <sheetName val="IndexInformation"/>
      <sheetName val="ModPubIndex"/>
      <sheetName val="MW-Cache"/>
      <sheetName val="APIXABAN"/>
      <sheetName val="PREVNAR 13 ADULT"/>
      <sheetName val="ModPubIndexInternal"/>
      <sheetName val="__FDSCACHE__"/>
      <sheetName val="AF_MKT_MODEL"/>
      <sheetName val="DEBT"/>
      <sheetName val="MWA RR"/>
      <sheetName val="REV-SEGMENT"/>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36">
          <cell r="B36" t="str">
            <v>NorthAmerica</v>
          </cell>
        </row>
        <row r="37">
          <cell r="B37" t="str">
            <v>excel</v>
          </cell>
        </row>
        <row r="38">
          <cell r="B38" t="str">
            <v>en-US</v>
          </cell>
        </row>
        <row r="39">
          <cell r="B39" t="str">
            <v>chthoma</v>
          </cell>
        </row>
        <row r="40">
          <cell r="B40">
            <v>1900000782</v>
          </cell>
        </row>
      </sheetData>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sheetName val="Summary Page_VDF"/>
      <sheetName val="Charts_VDF"/>
      <sheetName val="Forecasts_VDF"/>
      <sheetName val="Balance Sheet_VDF"/>
      <sheetName val="Income Statement_VDF"/>
      <sheetName val="WACC_VDF"/>
      <sheetName val="Invested capital_VDF"/>
      <sheetName val="NOPAT_VDF"/>
      <sheetName val="DCF_VDF"/>
      <sheetName val="Annual ESO grants"/>
      <sheetName val="Table for FOF6"/>
      <sheetName val="Outstanding ESO Liability"/>
      <sheetName val="Churn"/>
      <sheetName val="Put Warrant Liability"/>
      <sheetName val="PV of Op Leases_VDF"/>
    </sheetNames>
    <sheetDataSet>
      <sheetData sheetId="0" refreshError="1"/>
      <sheetData sheetId="1"/>
      <sheetData sheetId="2"/>
      <sheetData sheetId="3"/>
      <sheetData sheetId="4" refreshError="1"/>
      <sheetData sheetId="5"/>
      <sheetData sheetId="6"/>
      <sheetData sheetId="7"/>
      <sheetData sheetId="8" refreshError="1">
        <row r="94">
          <cell r="C94">
            <v>0</v>
          </cell>
          <cell r="D94">
            <v>0</v>
          </cell>
          <cell r="E94">
            <v>0</v>
          </cell>
          <cell r="F94">
            <v>0</v>
          </cell>
          <cell r="G94">
            <v>0</v>
          </cell>
          <cell r="H94">
            <v>0</v>
          </cell>
          <cell r="I94">
            <v>0</v>
          </cell>
          <cell r="J94">
            <v>462.74300000000011</v>
          </cell>
          <cell r="K94">
            <v>708.06</v>
          </cell>
          <cell r="L94">
            <v>953</v>
          </cell>
          <cell r="M94">
            <v>1146</v>
          </cell>
          <cell r="N94">
            <v>1453</v>
          </cell>
          <cell r="O94">
            <v>2195</v>
          </cell>
          <cell r="P94">
            <v>3439</v>
          </cell>
          <cell r="Q94">
            <v>4462</v>
          </cell>
        </row>
      </sheetData>
      <sheetData sheetId="9"/>
      <sheetData sheetId="10" refreshError="1"/>
      <sheetData sheetId="11" refreshError="1"/>
      <sheetData sheetId="12" refreshError="1"/>
      <sheetData sheetId="13" refreshError="1"/>
      <sheetData sheetId="14" refreshError="1"/>
      <sheetData sheetId="1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PS Chg"/>
      <sheetName val="RAPID2"/>
      <sheetName val="Qtr Rpt"/>
      <sheetName val="Model"/>
      <sheetName val="00 Dilution"/>
      <sheetName val="FCall Hdr"/>
      <sheetName val="Encl Acq"/>
      <sheetName val="Convt Dilution"/>
      <sheetName val="Old Model"/>
      <sheetName val="ALRN Model"/>
      <sheetName val="Acq Dilution"/>
      <sheetName val="Schu Acq Analysis"/>
      <sheetName val="Schu Acq Analysis (stock)"/>
    </sheetNames>
    <sheetDataSet>
      <sheetData sheetId="0"/>
      <sheetData sheetId="1"/>
      <sheetData sheetId="2"/>
      <sheetData sheetId="3"/>
      <sheetData sheetId="4"/>
      <sheetData sheetId="5"/>
      <sheetData sheetId="6"/>
      <sheetData sheetId="7"/>
      <sheetData sheetId="8" refreshError="1">
        <row r="3">
          <cell r="BR3" t="str">
            <v>Sanmina Corporation</v>
          </cell>
          <cell r="CB3" t="str">
            <v>Sanmina Corporation</v>
          </cell>
          <cell r="CL3" t="str">
            <v>Sanmina Corporation</v>
          </cell>
        </row>
        <row r="4">
          <cell r="BR4" t="str">
            <v>Quarterly Income Statements</v>
          </cell>
          <cell r="CB4" t="str">
            <v>Quarterly Income Statements</v>
          </cell>
          <cell r="CL4" t="str">
            <v>Quarterly Income Statements</v>
          </cell>
        </row>
        <row r="5">
          <cell r="BR5" t="str">
            <v>($ In Millions Except Per Share Data)</v>
          </cell>
          <cell r="CB5" t="str">
            <v>($ In Millions Except Per Share Data)</v>
          </cell>
          <cell r="CL5" t="str">
            <v>($ In Millions Except Per Share Data)</v>
          </cell>
        </row>
        <row r="6">
          <cell r="BO6" t="str">
            <v>Restated for Elexsys</v>
          </cell>
        </row>
        <row r="7">
          <cell r="BO7" t="str">
            <v>1997R</v>
          </cell>
          <cell r="BQ7" t="str">
            <v>Mar</v>
          </cell>
          <cell r="BS7" t="str">
            <v>Jun</v>
          </cell>
          <cell r="BU7" t="str">
            <v>Sept</v>
          </cell>
          <cell r="BW7" t="str">
            <v>1997R</v>
          </cell>
          <cell r="BY7" t="str">
            <v>1998A</v>
          </cell>
          <cell r="CA7" t="str">
            <v>Mar</v>
          </cell>
          <cell r="CC7" t="str">
            <v>Jun</v>
          </cell>
          <cell r="CE7" t="str">
            <v>Sep</v>
          </cell>
          <cell r="CG7" t="str">
            <v>1998A</v>
          </cell>
          <cell r="CI7" t="str">
            <v>1999E</v>
          </cell>
          <cell r="CK7" t="str">
            <v>Mar</v>
          </cell>
          <cell r="CM7" t="str">
            <v>Jun</v>
          </cell>
          <cell r="CO7" t="str">
            <v>Sept</v>
          </cell>
          <cell r="CQ7" t="str">
            <v>1999E</v>
          </cell>
        </row>
        <row r="8">
          <cell r="BO8" t="str">
            <v>1QR</v>
          </cell>
          <cell r="BP8" t="str">
            <v>% Chg.</v>
          </cell>
          <cell r="BQ8" t="str">
            <v>2QR</v>
          </cell>
          <cell r="BR8" t="str">
            <v>% Chg.</v>
          </cell>
          <cell r="BS8" t="str">
            <v>3QR</v>
          </cell>
          <cell r="BT8" t="str">
            <v>% Chg.</v>
          </cell>
          <cell r="BU8" t="str">
            <v>4QR</v>
          </cell>
          <cell r="BV8" t="str">
            <v>% Chg.</v>
          </cell>
          <cell r="BW8" t="str">
            <v xml:space="preserve">    YEAR </v>
          </cell>
          <cell r="BX8" t="str">
            <v>% Chg.</v>
          </cell>
          <cell r="BY8" t="str">
            <v>1QA</v>
          </cell>
          <cell r="BZ8" t="str">
            <v>% Chg.</v>
          </cell>
          <cell r="CA8" t="str">
            <v xml:space="preserve">  2QA</v>
          </cell>
          <cell r="CB8" t="str">
            <v>% Chg.</v>
          </cell>
          <cell r="CC8" t="str">
            <v xml:space="preserve">  3QA</v>
          </cell>
          <cell r="CD8" t="str">
            <v>% Chg.</v>
          </cell>
          <cell r="CE8" t="str">
            <v xml:space="preserve">  4QA</v>
          </cell>
          <cell r="CF8" t="str">
            <v>% Chg.</v>
          </cell>
          <cell r="CG8" t="str">
            <v xml:space="preserve">    YEAR </v>
          </cell>
          <cell r="CH8" t="str">
            <v>% Chg.</v>
          </cell>
          <cell r="CI8" t="str">
            <v xml:space="preserve">   1QE</v>
          </cell>
          <cell r="CJ8" t="str">
            <v>% Chg.</v>
          </cell>
          <cell r="CK8" t="str">
            <v xml:space="preserve">  2QE</v>
          </cell>
          <cell r="CL8" t="str">
            <v>% Chg.</v>
          </cell>
          <cell r="CM8" t="str">
            <v xml:space="preserve">  3QE</v>
          </cell>
          <cell r="CN8" t="str">
            <v>% Chg.</v>
          </cell>
          <cell r="CO8" t="str">
            <v xml:space="preserve">  4QE</v>
          </cell>
          <cell r="CP8" t="str">
            <v>% Chg.</v>
          </cell>
          <cell r="CQ8" t="str">
            <v xml:space="preserve">    YEAR </v>
          </cell>
          <cell r="CR8" t="str">
            <v>% Chg.</v>
          </cell>
        </row>
        <row r="9">
          <cell r="BO9">
            <v>125.17400000000001</v>
          </cell>
          <cell r="BP9">
            <v>0.54381421048087719</v>
          </cell>
          <cell r="BQ9">
            <v>133.82300000000001</v>
          </cell>
          <cell r="BR9">
            <v>0.4295801730584341</v>
          </cell>
          <cell r="BS9">
            <v>150.19800000000001</v>
          </cell>
          <cell r="BT9">
            <v>0.47219744567401478</v>
          </cell>
          <cell r="BU9">
            <v>160.59200000000007</v>
          </cell>
          <cell r="BV9">
            <v>0.39320539959051959</v>
          </cell>
          <cell r="BW9">
            <v>569.78700000000015</v>
          </cell>
          <cell r="BX9">
            <v>0.4536050124750628</v>
          </cell>
          <cell r="BY9">
            <v>159.107</v>
          </cell>
          <cell r="BZ9">
            <v>0.27108664738683741</v>
          </cell>
          <cell r="CA9">
            <v>172.14599999999999</v>
          </cell>
          <cell r="CB9">
            <v>0.28637080322515551</v>
          </cell>
          <cell r="CC9">
            <v>197.13900000000001</v>
          </cell>
          <cell r="CD9">
            <v>0.31252746374785279</v>
          </cell>
          <cell r="CE9">
            <v>194.18900000000005</v>
          </cell>
          <cell r="CF9">
            <v>0.20920718342134093</v>
          </cell>
          <cell r="CG9">
            <v>722.58100000000013</v>
          </cell>
          <cell r="CH9">
            <v>0.26815985622697602</v>
          </cell>
          <cell r="CI9">
            <v>212</v>
          </cell>
          <cell r="CJ9">
            <v>0.33243666212045975</v>
          </cell>
          <cell r="CK9">
            <v>225.5</v>
          </cell>
          <cell r="CL9">
            <v>0.30993459040581839</v>
          </cell>
          <cell r="CM9">
            <v>243.5</v>
          </cell>
          <cell r="CN9">
            <v>0.23516909388806884</v>
          </cell>
          <cell r="CO9">
            <v>261.5</v>
          </cell>
          <cell r="CP9">
            <v>0.34662622496639828</v>
          </cell>
          <cell r="CQ9">
            <v>942.5</v>
          </cell>
          <cell r="CR9">
            <v>0.30435203804140976</v>
          </cell>
        </row>
        <row r="10">
          <cell r="BO10">
            <v>8.5938855536662029E-2</v>
          </cell>
          <cell r="BQ10">
            <v>6.9095818620480198E-2</v>
          </cell>
          <cell r="BS10">
            <v>0.12236312143652439</v>
          </cell>
          <cell r="BU10">
            <v>6.9201986710875296E-2</v>
          </cell>
          <cell r="BY10">
            <v>-9.2470359669227786E-3</v>
          </cell>
          <cell r="CA10">
            <v>8.1951139799003148E-2</v>
          </cell>
          <cell r="CC10">
            <v>0.14518490118852623</v>
          </cell>
          <cell r="CE10">
            <v>-1.4964060891046183E-2</v>
          </cell>
          <cell r="CI10">
            <v>9.1719922343695748E-2</v>
          </cell>
          <cell r="CK10">
            <v>6.3679245283018826E-2</v>
          </cell>
          <cell r="CM10">
            <v>7.9822616407982272E-2</v>
          </cell>
          <cell r="CO10">
            <v>7.3921971252566721E-2</v>
          </cell>
        </row>
        <row r="11">
          <cell r="BO11">
            <v>97.322999999999993</v>
          </cell>
          <cell r="BP11">
            <v>0.5429237281417949</v>
          </cell>
          <cell r="BQ11">
            <v>105.78700000000001</v>
          </cell>
          <cell r="BR11">
            <v>0.45463670865188943</v>
          </cell>
          <cell r="BS11">
            <v>117.304</v>
          </cell>
          <cell r="BT11">
            <v>0.47607902353089226</v>
          </cell>
          <cell r="BU11">
            <v>135.16200000000003</v>
          </cell>
          <cell r="BV11">
            <v>0.5025345724576471</v>
          </cell>
          <cell r="BW11">
            <v>455.57600000000002</v>
          </cell>
          <cell r="BX11">
            <v>0.49258093156896354</v>
          </cell>
          <cell r="BY11">
            <v>124.43</v>
          </cell>
          <cell r="BZ11">
            <v>0.27852614489894489</v>
          </cell>
          <cell r="CA11">
            <v>134.52000000000001</v>
          </cell>
          <cell r="CB11">
            <v>0.27161182375906301</v>
          </cell>
          <cell r="CC11">
            <v>153.708</v>
          </cell>
          <cell r="CD11">
            <v>0.31033894837345688</v>
          </cell>
          <cell r="CE11">
            <v>151.25500000000005</v>
          </cell>
          <cell r="CF11">
            <v>0.11906452997144168</v>
          </cell>
          <cell r="CG11">
            <v>563.91300000000001</v>
          </cell>
          <cell r="CH11">
            <v>0.23780225472808048</v>
          </cell>
          <cell r="CI11">
            <v>165.042</v>
          </cell>
          <cell r="CJ11">
            <v>0.32638431246483957</v>
          </cell>
          <cell r="CK11">
            <v>176.1155</v>
          </cell>
          <cell r="CL11">
            <v>0.30921424323520652</v>
          </cell>
          <cell r="CM11">
            <v>191.39100000000002</v>
          </cell>
          <cell r="CN11">
            <v>0.24515965336872525</v>
          </cell>
          <cell r="CO11">
            <v>206.06200000000001</v>
          </cell>
          <cell r="CP11">
            <v>0.36234835212059058</v>
          </cell>
          <cell r="CQ11">
            <v>738.61050000000012</v>
          </cell>
          <cell r="CR11">
            <v>0.30979512797186826</v>
          </cell>
        </row>
        <row r="12">
          <cell r="BO12">
            <v>0.77750171760908804</v>
          </cell>
          <cell r="BQ12">
            <v>0.79049939098660171</v>
          </cell>
          <cell r="BS12">
            <v>0.78099575227366536</v>
          </cell>
          <cell r="BU12">
            <v>0.84164840091660842</v>
          </cell>
          <cell r="BW12">
            <v>0.79955492140045303</v>
          </cell>
          <cell r="BY12">
            <v>0.7820523295643812</v>
          </cell>
          <cell r="CA12">
            <v>0.78142971663587901</v>
          </cell>
          <cell r="CC12">
            <v>0.77969351574269929</v>
          </cell>
          <cell r="CE12">
            <v>0.77890611723630077</v>
          </cell>
          <cell r="CG12">
            <v>0.78041492926052569</v>
          </cell>
          <cell r="CI12">
            <v>0.77849999999999997</v>
          </cell>
          <cell r="CK12">
            <v>0.78100000000000003</v>
          </cell>
          <cell r="CM12">
            <v>0.78600000000000003</v>
          </cell>
          <cell r="CO12">
            <v>0.78800000000000003</v>
          </cell>
          <cell r="CQ12">
            <v>0.78367161803713536</v>
          </cell>
        </row>
        <row r="13">
          <cell r="BO13">
            <v>27.851000000000013</v>
          </cell>
          <cell r="BP13">
            <v>0.54693401466340852</v>
          </cell>
          <cell r="BQ13">
            <v>28.036000000000001</v>
          </cell>
          <cell r="BR13">
            <v>0.34233457818634516</v>
          </cell>
          <cell r="BS13">
            <v>32.894000000000005</v>
          </cell>
          <cell r="BT13">
            <v>0.45851993082960174</v>
          </cell>
          <cell r="BU13">
            <v>25.430000000000035</v>
          </cell>
          <cell r="BV13">
            <v>4.6618204804027563E-3</v>
          </cell>
          <cell r="BW13">
            <v>114.21100000000006</v>
          </cell>
          <cell r="BX13">
            <v>0.31647743645899307</v>
          </cell>
          <cell r="BY13">
            <v>34.676999999999992</v>
          </cell>
          <cell r="BZ13">
            <v>0.24508994291048714</v>
          </cell>
          <cell r="CA13">
            <v>37.625999999999976</v>
          </cell>
          <cell r="CB13">
            <v>0.34206020830360884</v>
          </cell>
          <cell r="CC13">
            <v>43.431000000000012</v>
          </cell>
          <cell r="CD13">
            <v>0.32033197543624992</v>
          </cell>
          <cell r="CE13">
            <v>42.933999999999997</v>
          </cell>
          <cell r="CF13">
            <v>0.68832088084938814</v>
          </cell>
          <cell r="CG13">
            <v>158.66799999999998</v>
          </cell>
          <cell r="CH13">
            <v>0.38925322429538234</v>
          </cell>
          <cell r="CI13">
            <v>46.957999999999998</v>
          </cell>
          <cell r="CJ13">
            <v>0.35415405023502644</v>
          </cell>
          <cell r="CK13">
            <v>49.384500000000003</v>
          </cell>
          <cell r="CL13">
            <v>0.31250996651251883</v>
          </cell>
          <cell r="CM13">
            <v>52.10899999999998</v>
          </cell>
          <cell r="CN13">
            <v>0.1998111947687129</v>
          </cell>
          <cell r="CO13">
            <v>55.437999999999988</v>
          </cell>
          <cell r="CP13">
            <v>0.29123771370009766</v>
          </cell>
          <cell r="CQ13">
            <v>203.88949999999997</v>
          </cell>
          <cell r="CR13">
            <v>0.28500705876421195</v>
          </cell>
        </row>
        <row r="14">
          <cell r="BO14">
            <v>0.22249828239091193</v>
          </cell>
          <cell r="BQ14">
            <v>0.20950060901339829</v>
          </cell>
          <cell r="BS14">
            <v>0.21900424772633459</v>
          </cell>
          <cell r="BU14">
            <v>0.15835159908339161</v>
          </cell>
          <cell r="BW14">
            <v>0.20044507859954688</v>
          </cell>
          <cell r="BY14">
            <v>0.21794767043561875</v>
          </cell>
          <cell r="CA14">
            <v>0.21857028336412104</v>
          </cell>
          <cell r="CC14">
            <v>0.22030648425730073</v>
          </cell>
          <cell r="CE14">
            <v>0.22109388276369921</v>
          </cell>
          <cell r="CG14">
            <v>0.21958507073947411</v>
          </cell>
          <cell r="CI14">
            <v>0.2215</v>
          </cell>
          <cell r="CK14">
            <v>0.219</v>
          </cell>
          <cell r="CM14">
            <v>0.21399999999999991</v>
          </cell>
          <cell r="CO14">
            <v>0.21199999999999997</v>
          </cell>
          <cell r="CQ14">
            <v>0.21632838196286469</v>
          </cell>
        </row>
        <row r="15">
          <cell r="BO15">
            <v>0.22332343002290631</v>
          </cell>
          <cell r="BQ15">
            <v>0.17780319797080557</v>
          </cell>
          <cell r="BS15">
            <v>0.21465490399584858</v>
          </cell>
          <cell r="BU15">
            <v>2.603477186478517E-3</v>
          </cell>
          <cell r="BW15">
            <v>0.15441635499564105</v>
          </cell>
          <cell r="BY15">
            <v>0.20116111160227451</v>
          </cell>
          <cell r="CA15">
            <v>0.25024136941262376</v>
          </cell>
          <cell r="CC15">
            <v>0.22447327496218669</v>
          </cell>
          <cell r="CE15">
            <v>0.52099889871119365</v>
          </cell>
          <cell r="CG15">
            <v>0.29096037802531466</v>
          </cell>
          <cell r="CI15">
            <v>0.23218573346189489</v>
          </cell>
          <cell r="CK15">
            <v>0.22038647524084462</v>
          </cell>
          <cell r="CM15">
            <v>0.18718319276978432</v>
          </cell>
          <cell r="CO15">
            <v>0.1857645852832375</v>
          </cell>
          <cell r="CQ15">
            <v>0.20562798121126424</v>
          </cell>
        </row>
        <row r="17">
          <cell r="BO17">
            <v>8.9209999999999994</v>
          </cell>
          <cell r="BP17">
            <v>0.40069084628670115</v>
          </cell>
          <cell r="BQ17">
            <v>9.7560000000000002</v>
          </cell>
          <cell r="BR17">
            <v>0.3510594100540092</v>
          </cell>
          <cell r="BS17">
            <v>11.244</v>
          </cell>
          <cell r="BT17">
            <v>0.47481636935991611</v>
          </cell>
          <cell r="BU17">
            <v>14.088999999999999</v>
          </cell>
          <cell r="BV17">
            <v>0.65967722935563633</v>
          </cell>
          <cell r="BW17">
            <v>44.01</v>
          </cell>
          <cell r="BX17">
            <v>0.48166851833148172</v>
          </cell>
          <cell r="BY17">
            <v>9.9949999999999992</v>
          </cell>
          <cell r="BZ17">
            <v>0.12039009079699592</v>
          </cell>
          <cell r="CA17">
            <v>10.558999999999999</v>
          </cell>
          <cell r="CB17">
            <v>8.2308323083230661E-2</v>
          </cell>
          <cell r="CC17">
            <v>11.786</v>
          </cell>
          <cell r="CD17">
            <v>4.8203486303806553E-2</v>
          </cell>
          <cell r="CE17">
            <v>11.505000000000001</v>
          </cell>
          <cell r="CF17">
            <v>-0.18340549364752634</v>
          </cell>
          <cell r="CG17">
            <v>43.844999999999999</v>
          </cell>
          <cell r="CH17">
            <v>-3.7491479209270651E-3</v>
          </cell>
          <cell r="CI17">
            <v>11.872</v>
          </cell>
          <cell r="CJ17">
            <v>0.18779389694847426</v>
          </cell>
          <cell r="CK17">
            <v>12.74075</v>
          </cell>
          <cell r="CL17">
            <v>0.20662468036745918</v>
          </cell>
          <cell r="CM17">
            <v>13.8308</v>
          </cell>
          <cell r="CN17">
            <v>0.17349397590361448</v>
          </cell>
          <cell r="CO17">
            <v>14.591700000000001</v>
          </cell>
          <cell r="CP17">
            <v>0.26829204693611475</v>
          </cell>
          <cell r="CQ17">
            <v>53.035250000000005</v>
          </cell>
          <cell r="CR17">
            <v>0.20960770897479764</v>
          </cell>
        </row>
        <row r="18">
          <cell r="BO18">
            <v>7.1268793838976136E-2</v>
          </cell>
          <cell r="BQ18">
            <v>7.2902266426548498E-2</v>
          </cell>
          <cell r="BS18">
            <v>7.486118323812567E-2</v>
          </cell>
          <cell r="BU18">
            <v>8.7731642921191538E-2</v>
          </cell>
          <cell r="BW18">
            <v>7.7239389456059876E-2</v>
          </cell>
          <cell r="BY18">
            <v>6.2819360556103751E-2</v>
          </cell>
          <cell r="CA18">
            <v>6.1337469357405923E-2</v>
          </cell>
          <cell r="CC18">
            <v>5.9785227681990877E-2</v>
          </cell>
          <cell r="CE18">
            <v>5.9246404276246327E-2</v>
          </cell>
          <cell r="CG18">
            <v>6.0678318416897192E-2</v>
          </cell>
          <cell r="CI18">
            <v>5.6000000000000001E-2</v>
          </cell>
          <cell r="CK18">
            <v>5.6500000000000002E-2</v>
          </cell>
          <cell r="CM18">
            <v>5.6800000000000003E-2</v>
          </cell>
          <cell r="CO18">
            <v>5.5800000000000002E-2</v>
          </cell>
          <cell r="CQ18">
            <v>5.6270822281167115E-2</v>
          </cell>
        </row>
        <row r="20">
          <cell r="BO20">
            <v>0.501</v>
          </cell>
          <cell r="BP20">
            <v>1.2876712328767121</v>
          </cell>
          <cell r="BQ20">
            <v>0.502</v>
          </cell>
          <cell r="BR20">
            <v>1.9960079840319889E-3</v>
          </cell>
          <cell r="BS20">
            <v>0.501</v>
          </cell>
          <cell r="BT20">
            <v>0</v>
          </cell>
          <cell r="BU20">
            <v>0.50199999999999989</v>
          </cell>
          <cell r="BV20">
            <v>-2.2204460492503131E-16</v>
          </cell>
          <cell r="BW20">
            <v>2.0059999999999998</v>
          </cell>
          <cell r="BX20">
            <v>0.16424840394660456</v>
          </cell>
          <cell r="BY20">
            <v>0.56699999999999995</v>
          </cell>
          <cell r="BZ20">
            <v>0.13173652694610771</v>
          </cell>
          <cell r="CA20">
            <v>0.63400000000000001</v>
          </cell>
          <cell r="CB20">
            <v>0.26294820717131473</v>
          </cell>
          <cell r="CC20">
            <v>0.82499999999999996</v>
          </cell>
          <cell r="CD20">
            <v>0.6467065868263473</v>
          </cell>
          <cell r="CE20">
            <v>0.82499999999999996</v>
          </cell>
          <cell r="CF20">
            <v>0.64342629482071745</v>
          </cell>
          <cell r="CG20">
            <v>2.851</v>
          </cell>
          <cell r="CH20">
            <v>0.42123629112662031</v>
          </cell>
          <cell r="CI20">
            <v>0.82</v>
          </cell>
          <cell r="CJ20">
            <v>0.44620811287477968</v>
          </cell>
          <cell r="CK20">
            <v>0.82</v>
          </cell>
          <cell r="CL20">
            <v>0.29337539432176651</v>
          </cell>
          <cell r="CM20">
            <v>0.82</v>
          </cell>
          <cell r="CN20">
            <v>-6.0606060606060996E-3</v>
          </cell>
          <cell r="CO20">
            <v>0.82399999999999995</v>
          </cell>
          <cell r="CP20">
            <v>-1.2121212121212199E-3</v>
          </cell>
          <cell r="CQ20">
            <v>3.2839999999999998</v>
          </cell>
          <cell r="CR20">
            <v>0.15187653454928096</v>
          </cell>
        </row>
        <row r="21">
          <cell r="BO21">
            <v>4.002428619361848E-3</v>
          </cell>
          <cell r="BQ21">
            <v>3.7512236312143652E-3</v>
          </cell>
          <cell r="BS21">
            <v>3.3355970119442334E-3</v>
          </cell>
          <cell r="BU21">
            <v>3.1259340440370608E-3</v>
          </cell>
          <cell r="BW21">
            <v>3.5206138434186796E-3</v>
          </cell>
          <cell r="BY21">
            <v>3.5636395633127389E-3</v>
          </cell>
          <cell r="CA21">
            <v>3.6829203118283319E-3</v>
          </cell>
          <cell r="CC21">
            <v>4.1848644864790827E-3</v>
          </cell>
          <cell r="CE21">
            <v>4.2484383770450421E-3</v>
          </cell>
          <cell r="CG21">
            <v>3.9455784195820253E-3</v>
          </cell>
          <cell r="CI21">
            <v>3.8679245283018866E-3</v>
          </cell>
          <cell r="CK21">
            <v>3.6363636363636364E-3</v>
          </cell>
          <cell r="CM21">
            <v>3.3675564681724846E-3</v>
          </cell>
          <cell r="CO21">
            <v>3.1510516252390057E-3</v>
          </cell>
          <cell r="CQ21">
            <v>3.4843501326259946E-3</v>
          </cell>
        </row>
        <row r="22">
          <cell r="BO22">
            <v>18.429000000000013</v>
          </cell>
          <cell r="BP22">
            <v>0.61431324456902625</v>
          </cell>
          <cell r="BQ22">
            <v>17.778000000000002</v>
          </cell>
          <cell r="BR22">
            <v>0.35050136736554305</v>
          </cell>
          <cell r="BS22">
            <v>21.149000000000004</v>
          </cell>
          <cell r="BT22">
            <v>0.46583032991405648</v>
          </cell>
          <cell r="BU22">
            <v>10.839000000000036</v>
          </cell>
          <cell r="BV22">
            <v>-0.33588628147785182</v>
          </cell>
          <cell r="BW22">
            <v>68.19500000000005</v>
          </cell>
          <cell r="BX22">
            <v>0.23253628296191775</v>
          </cell>
          <cell r="BY22">
            <v>24.114999999999995</v>
          </cell>
          <cell r="BZ22">
            <v>0.30853546041564806</v>
          </cell>
          <cell r="CA22">
            <v>26.432999999999979</v>
          </cell>
          <cell r="CB22">
            <v>0.48683766452919208</v>
          </cell>
          <cell r="CC22">
            <v>30.820000000000011</v>
          </cell>
          <cell r="CD22">
            <v>0.45727930398600436</v>
          </cell>
          <cell r="CE22">
            <v>30.603999999999996</v>
          </cell>
          <cell r="CF22">
            <v>1.8235077036626897</v>
          </cell>
          <cell r="CG22">
            <v>111.97199999999998</v>
          </cell>
          <cell r="CH22">
            <v>0.64193855854534632</v>
          </cell>
          <cell r="CI22">
            <v>34.265999999999998</v>
          </cell>
          <cell r="CJ22">
            <v>0.42094132282811558</v>
          </cell>
          <cell r="CK22">
            <v>35.823750000000004</v>
          </cell>
          <cell r="CL22">
            <v>0.35526614459198846</v>
          </cell>
          <cell r="CM22">
            <v>37.458199999999984</v>
          </cell>
          <cell r="CN22">
            <v>0.21538611291369136</v>
          </cell>
          <cell r="CO22">
            <v>40.022299999999987</v>
          </cell>
          <cell r="CP22">
            <v>0.30774735328715175</v>
          </cell>
          <cell r="CQ22">
            <v>147.57024999999999</v>
          </cell>
          <cell r="CR22">
            <v>0.31792099810666974</v>
          </cell>
        </row>
        <row r="23">
          <cell r="BO23">
            <v>0.14722705993257396</v>
          </cell>
          <cell r="BQ23">
            <v>0.13284711895563545</v>
          </cell>
          <cell r="BS23">
            <v>0.14080746747626469</v>
          </cell>
          <cell r="BU23">
            <v>6.7494022118162994E-2</v>
          </cell>
          <cell r="BW23">
            <v>0.11968507530006833</v>
          </cell>
          <cell r="BY23">
            <v>0.15156467031620227</v>
          </cell>
          <cell r="CA23">
            <v>0.15354989369488678</v>
          </cell>
          <cell r="CC23">
            <v>0.15633639208883077</v>
          </cell>
          <cell r="CE23">
            <v>0.15759904011040785</v>
          </cell>
          <cell r="CG23">
            <v>0.15496117390299491</v>
          </cell>
          <cell r="CI23">
            <v>0.16163207547169811</v>
          </cell>
          <cell r="CK23">
            <v>0.15886363636363637</v>
          </cell>
          <cell r="CM23">
            <v>0.15383244353182746</v>
          </cell>
          <cell r="CO23">
            <v>0.15304894837476093</v>
          </cell>
          <cell r="CQ23">
            <v>0.15657320954907161</v>
          </cell>
        </row>
        <row r="24">
          <cell r="BO24">
            <v>0.1590501893724629</v>
          </cell>
          <cell r="BQ24">
            <v>0.11473901474647515</v>
          </cell>
          <cell r="BS24">
            <v>0.13951219512195129</v>
          </cell>
          <cell r="BU24">
            <v>-0.12095137234136537</v>
          </cell>
          <cell r="BW24">
            <v>7.2360169848991657E-2</v>
          </cell>
          <cell r="BY24">
            <v>0.16756549671411261</v>
          </cell>
          <cell r="CA24">
            <v>0.22584348824465675</v>
          </cell>
          <cell r="CC24">
            <v>0.20602458405232113</v>
          </cell>
          <cell r="CE24">
            <v>0.58829657409887692</v>
          </cell>
          <cell r="CG24">
            <v>0.28650994148984865</v>
          </cell>
          <cell r="CI24">
            <v>0.19191575444765854</v>
          </cell>
          <cell r="CK24">
            <v>0.17600835926078687</v>
          </cell>
          <cell r="CM24">
            <v>0.14318500463751804</v>
          </cell>
          <cell r="CO24">
            <v>0.13992215239708217</v>
          </cell>
          <cell r="CQ24">
            <v>0.16186982479913073</v>
          </cell>
        </row>
        <row r="26">
          <cell r="BO26">
            <v>0.58699999999999997</v>
          </cell>
          <cell r="BP26">
            <v>1.7429906542056073</v>
          </cell>
          <cell r="BQ26">
            <v>0.68799999999999994</v>
          </cell>
          <cell r="BR26">
            <v>1.3164983164983166</v>
          </cell>
          <cell r="BS26">
            <v>0.68100000000000005</v>
          </cell>
          <cell r="BT26">
            <v>0.70250000000000012</v>
          </cell>
          <cell r="BU26">
            <v>0.50600000000000023</v>
          </cell>
          <cell r="BV26">
            <v>0.16589861751152135</v>
          </cell>
          <cell r="BW26">
            <v>2.4620000000000002</v>
          </cell>
          <cell r="BX26">
            <v>0.83048327137546485</v>
          </cell>
          <cell r="BY26">
            <v>0.47099999999999997</v>
          </cell>
          <cell r="BZ26">
            <v>-0.19761499148211248</v>
          </cell>
          <cell r="CA26">
            <v>-0.154</v>
          </cell>
          <cell r="CB26" t="str">
            <v xml:space="preserve">     N.M.</v>
          </cell>
          <cell r="CC26">
            <v>0.29799999999999999</v>
          </cell>
          <cell r="CD26">
            <v>-0.56240822320117478</v>
          </cell>
          <cell r="CE26">
            <v>7.2999999999999954E-2</v>
          </cell>
          <cell r="CF26">
            <v>-0.85573122529644285</v>
          </cell>
          <cell r="CG26">
            <v>0.68799999999999994</v>
          </cell>
          <cell r="CH26">
            <v>-0.72055239642567015</v>
          </cell>
          <cell r="CI26">
            <v>-1.6</v>
          </cell>
          <cell r="CJ26" t="str">
            <v xml:space="preserve">     N.M.</v>
          </cell>
          <cell r="CK26">
            <v>-1.6</v>
          </cell>
          <cell r="CL26">
            <v>9.3896103896103895</v>
          </cell>
          <cell r="CM26">
            <v>-1.6</v>
          </cell>
          <cell r="CN26" t="str">
            <v xml:space="preserve">     N.M.</v>
          </cell>
          <cell r="CO26">
            <v>-1.6</v>
          </cell>
          <cell r="CP26" t="str">
            <v xml:space="preserve">     N.M.</v>
          </cell>
          <cell r="CQ26">
            <v>-6.4</v>
          </cell>
          <cell r="CR26" t="str">
            <v xml:space="preserve">     N.M.</v>
          </cell>
        </row>
        <row r="27">
          <cell r="BO27">
            <v>0</v>
          </cell>
          <cell r="BP27" t="str">
            <v xml:space="preserve">      N.M.</v>
          </cell>
          <cell r="BQ27">
            <v>0</v>
          </cell>
          <cell r="BR27" t="str">
            <v xml:space="preserve">      N.M.</v>
          </cell>
          <cell r="BS27">
            <v>0</v>
          </cell>
          <cell r="BT27" t="str">
            <v xml:space="preserve">      N.M.</v>
          </cell>
          <cell r="BU27">
            <v>8.8759999999999994</v>
          </cell>
          <cell r="BV27" t="str">
            <v xml:space="preserve">      N.M.</v>
          </cell>
          <cell r="BW27">
            <v>8.8759999999999994</v>
          </cell>
          <cell r="BX27" t="str">
            <v xml:space="preserve">     N.M.</v>
          </cell>
          <cell r="BY27">
            <v>3.9449999999999998</v>
          </cell>
          <cell r="BZ27" t="str">
            <v xml:space="preserve">      N.M.</v>
          </cell>
          <cell r="CA27">
            <v>0</v>
          </cell>
          <cell r="CB27" t="str">
            <v xml:space="preserve">      N.M.</v>
          </cell>
          <cell r="CC27">
            <v>0</v>
          </cell>
          <cell r="CD27" t="str">
            <v xml:space="preserve">      N.M.</v>
          </cell>
          <cell r="CE27">
            <v>0</v>
          </cell>
          <cell r="CF27">
            <v>-1</v>
          </cell>
          <cell r="CG27">
            <v>3.9449999999999998</v>
          </cell>
          <cell r="CH27">
            <v>-0.55554303740423605</v>
          </cell>
          <cell r="CI27">
            <v>0</v>
          </cell>
          <cell r="CJ27">
            <v>-1</v>
          </cell>
          <cell r="CK27">
            <v>0</v>
          </cell>
          <cell r="CL27" t="str">
            <v xml:space="preserve">      N.M.</v>
          </cell>
          <cell r="CM27">
            <v>0</v>
          </cell>
          <cell r="CN27" t="str">
            <v xml:space="preserve">      N.M.</v>
          </cell>
          <cell r="CO27">
            <v>0</v>
          </cell>
          <cell r="CP27" t="str">
            <v xml:space="preserve">      N.M.</v>
          </cell>
          <cell r="CQ27">
            <v>0</v>
          </cell>
          <cell r="CR27">
            <v>-1</v>
          </cell>
        </row>
        <row r="28">
          <cell r="BO28">
            <v>17.842000000000013</v>
          </cell>
          <cell r="BP28">
            <v>0.59275129441171259</v>
          </cell>
          <cell r="BQ28">
            <v>17.090000000000003</v>
          </cell>
          <cell r="BR28">
            <v>0.32820393254060853</v>
          </cell>
          <cell r="BS28">
            <v>20.468000000000004</v>
          </cell>
          <cell r="BT28">
            <v>0.45908183632734567</v>
          </cell>
          <cell r="BU28">
            <v>1.4570000000000363</v>
          </cell>
          <cell r="BV28">
            <v>-0.90828979668911514</v>
          </cell>
          <cell r="BW28">
            <v>56.857000000000049</v>
          </cell>
          <cell r="BX28">
            <v>5.3219472436276671E-2</v>
          </cell>
          <cell r="BY28">
            <v>19.698999999999995</v>
          </cell>
          <cell r="BZ28">
            <v>0.10408026006053017</v>
          </cell>
          <cell r="CA28">
            <v>26.586999999999978</v>
          </cell>
          <cell r="CB28">
            <v>0.55570509069631213</v>
          </cell>
          <cell r="CC28">
            <v>30.522000000000013</v>
          </cell>
          <cell r="CD28">
            <v>0.49120578463943754</v>
          </cell>
          <cell r="CE28">
            <v>30.530999999999995</v>
          </cell>
          <cell r="CF28">
            <v>19.954701441317251</v>
          </cell>
          <cell r="CG28">
            <v>107.33899999999998</v>
          </cell>
          <cell r="CH28">
            <v>0.88787660270502999</v>
          </cell>
          <cell r="CI28">
            <v>35.866</v>
          </cell>
          <cell r="CJ28">
            <v>0.82070155845474435</v>
          </cell>
          <cell r="CK28">
            <v>37.423750000000005</v>
          </cell>
          <cell r="CL28">
            <v>0.4075958175047969</v>
          </cell>
          <cell r="CM28">
            <v>39.058199999999985</v>
          </cell>
          <cell r="CN28">
            <v>0.27967367800275111</v>
          </cell>
          <cell r="CO28">
            <v>41.622299999999989</v>
          </cell>
          <cell r="CP28">
            <v>0.36327994497396077</v>
          </cell>
          <cell r="CQ28">
            <v>153.97024999999999</v>
          </cell>
          <cell r="CR28">
            <v>0.43442970402183745</v>
          </cell>
        </row>
        <row r="29">
          <cell r="BO29">
            <v>0.14253758767795238</v>
          </cell>
          <cell r="BQ29">
            <v>0.12770599971604285</v>
          </cell>
          <cell r="BS29">
            <v>0.13627345237619676</v>
          </cell>
          <cell r="BU29">
            <v>9.0726810800042072E-3</v>
          </cell>
          <cell r="BW29">
            <v>9.9786411413387871E-2</v>
          </cell>
          <cell r="BY29">
            <v>0.12380976324108929</v>
          </cell>
          <cell r="CA29">
            <v>0.1544444831712615</v>
          </cell>
          <cell r="CC29">
            <v>0.1548247683106844</v>
          </cell>
          <cell r="CE29">
            <v>0.15722311768431779</v>
          </cell>
          <cell r="CG29">
            <v>0.14854943598018763</v>
          </cell>
          <cell r="CI29">
            <v>0.16917924528301886</v>
          </cell>
          <cell r="CK29">
            <v>0.16595898004434592</v>
          </cell>
          <cell r="CM29">
            <v>0.16040328542094451</v>
          </cell>
          <cell r="CO29">
            <v>0.15916749521988524</v>
          </cell>
          <cell r="CQ29">
            <v>0.16336366047745357</v>
          </cell>
        </row>
        <row r="31">
          <cell r="BO31">
            <v>6.0289999999999999</v>
          </cell>
          <cell r="BP31">
            <v>0.72011412268188302</v>
          </cell>
          <cell r="BQ31">
            <v>6.4089999999999998</v>
          </cell>
          <cell r="BR31">
            <v>0.58913959831391005</v>
          </cell>
          <cell r="BS31">
            <v>7.0490000000000004</v>
          </cell>
          <cell r="BT31">
            <v>0.5284041630529055</v>
          </cell>
          <cell r="BU31">
            <v>6.8450000000000024</v>
          </cell>
          <cell r="BV31">
            <v>0.29910799013095479</v>
          </cell>
          <cell r="BW31">
            <v>26.332000000000001</v>
          </cell>
          <cell r="BX31">
            <v>0.51168264538722075</v>
          </cell>
          <cell r="BY31">
            <v>7.1909999999999998</v>
          </cell>
          <cell r="BZ31">
            <v>0.19273511361751527</v>
          </cell>
          <cell r="CA31">
            <v>9.7140000000000004</v>
          </cell>
          <cell r="CB31">
            <v>0.51568107349040426</v>
          </cell>
          <cell r="CC31">
            <v>11.141</v>
          </cell>
          <cell r="CD31">
            <v>0.58050787345722799</v>
          </cell>
          <cell r="CE31">
            <v>11.142000000000007</v>
          </cell>
          <cell r="CF31">
            <v>0.62775748721694713</v>
          </cell>
          <cell r="CG31">
            <v>39.188000000000002</v>
          </cell>
          <cell r="CH31">
            <v>0.48822725201276018</v>
          </cell>
          <cell r="CI31">
            <v>13.091089999999999</v>
          </cell>
          <cell r="CJ31">
            <v>0.82048254762898054</v>
          </cell>
          <cell r="CK31">
            <v>13.659668750000002</v>
          </cell>
          <cell r="CL31">
            <v>0.40618372966851979</v>
          </cell>
          <cell r="CM31">
            <v>14.256242999999994</v>
          </cell>
          <cell r="CN31">
            <v>0.27961969302576017</v>
          </cell>
          <cell r="CO31">
            <v>15.192139499999996</v>
          </cell>
          <cell r="CP31">
            <v>0.36350201938610538</v>
          </cell>
          <cell r="CQ31">
            <v>56.199141249999997</v>
          </cell>
          <cell r="CR31">
            <v>0.43409056981729077</v>
          </cell>
        </row>
        <row r="32">
          <cell r="BO32">
            <v>0.33791054814482657</v>
          </cell>
          <cell r="BQ32">
            <v>0.3750146284376828</v>
          </cell>
          <cell r="BS32">
            <v>0.34439124487004102</v>
          </cell>
          <cell r="BU32">
            <v>4.6980096087850596</v>
          </cell>
          <cell r="BW32">
            <v>0.46312679177585836</v>
          </cell>
          <cell r="BY32">
            <v>0.36504391085841931</v>
          </cell>
          <cell r="CA32">
            <v>0.36536653251589152</v>
          </cell>
          <cell r="CC32">
            <v>0.36501539872878563</v>
          </cell>
          <cell r="CE32">
            <v>0.36494055222560701</v>
          </cell>
          <cell r="CG32">
            <v>0.36508631531875652</v>
          </cell>
          <cell r="CI32">
            <v>0.36499999999999999</v>
          </cell>
          <cell r="CK32">
            <v>0.36499999999999999</v>
          </cell>
          <cell r="CM32">
            <v>0.36499999999999999</v>
          </cell>
          <cell r="CO32">
            <v>0.36499999999999999</v>
          </cell>
          <cell r="CQ32">
            <v>0.36499999999999999</v>
          </cell>
        </row>
        <row r="33">
          <cell r="BO33">
            <v>0</v>
          </cell>
          <cell r="BP33" t="str">
            <v xml:space="preserve">      N.M.</v>
          </cell>
          <cell r="BQ33">
            <v>0</v>
          </cell>
          <cell r="BR33" t="str">
            <v xml:space="preserve">      N.M.</v>
          </cell>
          <cell r="BS33">
            <v>0</v>
          </cell>
          <cell r="BT33" t="str">
            <v xml:space="preserve">      N.M.</v>
          </cell>
          <cell r="BU33">
            <v>0</v>
          </cell>
          <cell r="BV33" t="str">
            <v xml:space="preserve">      N.M.</v>
          </cell>
          <cell r="BW33">
            <v>0</v>
          </cell>
          <cell r="BX33" t="e">
            <v>#DIV/0!</v>
          </cell>
          <cell r="BY33">
            <v>0</v>
          </cell>
          <cell r="BZ33" t="str">
            <v xml:space="preserve">      N.M.</v>
          </cell>
          <cell r="CA33">
            <v>0</v>
          </cell>
          <cell r="CB33" t="str">
            <v xml:space="preserve">      N.M.</v>
          </cell>
          <cell r="CC33">
            <v>0</v>
          </cell>
          <cell r="CD33" t="str">
            <v xml:space="preserve">      N.M.</v>
          </cell>
          <cell r="CE33">
            <v>0</v>
          </cell>
          <cell r="CF33" t="str">
            <v xml:space="preserve">      N.M.</v>
          </cell>
          <cell r="CG33">
            <v>0</v>
          </cell>
          <cell r="CH33" t="e">
            <v>#DIV/0!</v>
          </cell>
          <cell r="CI33">
            <v>0</v>
          </cell>
          <cell r="CJ33" t="str">
            <v xml:space="preserve">      N.M.</v>
          </cell>
          <cell r="CK33">
            <v>0</v>
          </cell>
          <cell r="CL33" t="str">
            <v xml:space="preserve">      N.M.</v>
          </cell>
          <cell r="CM33">
            <v>0</v>
          </cell>
          <cell r="CN33" t="str">
            <v xml:space="preserve">      N.M.</v>
          </cell>
          <cell r="CO33">
            <v>0</v>
          </cell>
          <cell r="CP33" t="str">
            <v xml:space="preserve">      N.M.</v>
          </cell>
          <cell r="CQ33">
            <v>0</v>
          </cell>
          <cell r="CR33" t="e">
            <v>#DIV/0!</v>
          </cell>
        </row>
        <row r="34">
          <cell r="BO34">
            <v>11.813000000000013</v>
          </cell>
          <cell r="BP34">
            <v>0.53475380018188967</v>
          </cell>
          <cell r="BQ34">
            <v>10.681000000000004</v>
          </cell>
          <cell r="BR34">
            <v>0.20907856010867198</v>
          </cell>
          <cell r="BS34">
            <v>13.419000000000004</v>
          </cell>
          <cell r="BT34">
            <v>0.42512744265080782</v>
          </cell>
          <cell r="BU34">
            <v>-5.3879999999999661</v>
          </cell>
          <cell r="BV34" t="str">
            <v xml:space="preserve">     N.M.</v>
          </cell>
          <cell r="BW34">
            <v>30.525000000000048</v>
          </cell>
          <cell r="BX34">
            <v>-0.16518528647613895</v>
          </cell>
          <cell r="BY34">
            <v>12.507999999999996</v>
          </cell>
          <cell r="BZ34">
            <v>5.8833488529584477E-2</v>
          </cell>
          <cell r="CA34">
            <v>16.872999999999976</v>
          </cell>
          <cell r="CB34">
            <v>0.57972099990637282</v>
          </cell>
          <cell r="CC34">
            <v>19.381000000000014</v>
          </cell>
          <cell r="CD34">
            <v>0.44429540204188145</v>
          </cell>
          <cell r="CE34">
            <v>19.388999999999989</v>
          </cell>
          <cell r="CF34" t="str">
            <v xml:space="preserve">     N.M.</v>
          </cell>
          <cell r="CG34">
            <v>68.150999999999982</v>
          </cell>
          <cell r="CH34">
            <v>1.2326289926289884</v>
          </cell>
          <cell r="CI34">
            <v>22.774909999999998</v>
          </cell>
          <cell r="CJ34">
            <v>0.82082747041893245</v>
          </cell>
          <cell r="CK34">
            <v>23.764081250000004</v>
          </cell>
          <cell r="CL34">
            <v>0.40840877437326117</v>
          </cell>
          <cell r="CM34">
            <v>24.801956999999991</v>
          </cell>
          <cell r="CN34">
            <v>0.27970471079923498</v>
          </cell>
          <cell r="CO34">
            <v>26.430160499999992</v>
          </cell>
          <cell r="CP34">
            <v>0.36315232863995095</v>
          </cell>
          <cell r="CQ34">
            <v>97.771108749999996</v>
          </cell>
          <cell r="CR34">
            <v>0.43462471203650743</v>
          </cell>
        </row>
        <row r="35">
          <cell r="BO35">
            <v>0</v>
          </cell>
          <cell r="BP35" t="str">
            <v xml:space="preserve">      N.M.</v>
          </cell>
          <cell r="BQ35">
            <v>0</v>
          </cell>
          <cell r="BR35" t="str">
            <v xml:space="preserve">      N.M.</v>
          </cell>
          <cell r="BS35">
            <v>0</v>
          </cell>
          <cell r="BT35" t="str">
            <v xml:space="preserve">      N.M.</v>
          </cell>
          <cell r="BU35">
            <v>0</v>
          </cell>
          <cell r="BV35" t="str">
            <v xml:space="preserve">      N.M.</v>
          </cell>
          <cell r="BW35">
            <v>0</v>
          </cell>
          <cell r="BX35" t="e">
            <v>#DIV/0!</v>
          </cell>
          <cell r="BY35">
            <v>0</v>
          </cell>
          <cell r="BZ35" t="str">
            <v xml:space="preserve">      N.M.</v>
          </cell>
          <cell r="CA35">
            <v>0</v>
          </cell>
          <cell r="CB35" t="str">
            <v xml:space="preserve">      N.M.</v>
          </cell>
          <cell r="CC35">
            <v>0</v>
          </cell>
          <cell r="CD35" t="str">
            <v xml:space="preserve">      N.M.</v>
          </cell>
          <cell r="CE35">
            <v>0</v>
          </cell>
          <cell r="CF35" t="str">
            <v xml:space="preserve">      N.M.</v>
          </cell>
          <cell r="CG35">
            <v>0</v>
          </cell>
          <cell r="CH35" t="e">
            <v>#DIV/0!</v>
          </cell>
          <cell r="CI35">
            <v>0</v>
          </cell>
          <cell r="CJ35" t="str">
            <v xml:space="preserve">      N.M.</v>
          </cell>
          <cell r="CK35">
            <v>0</v>
          </cell>
          <cell r="CL35" t="str">
            <v xml:space="preserve">      N.M.</v>
          </cell>
          <cell r="CM35">
            <v>0</v>
          </cell>
          <cell r="CN35" t="str">
            <v xml:space="preserve">      N.M.</v>
          </cell>
          <cell r="CO35">
            <v>0</v>
          </cell>
          <cell r="CP35" t="str">
            <v xml:space="preserve">      N.M.</v>
          </cell>
          <cell r="CQ35">
            <v>0</v>
          </cell>
          <cell r="CR35" t="e">
            <v>#DIV/0!</v>
          </cell>
        </row>
        <row r="36">
          <cell r="BO36">
            <v>0</v>
          </cell>
          <cell r="BP36" t="str">
            <v>N.M.</v>
          </cell>
          <cell r="BQ36">
            <v>0</v>
          </cell>
          <cell r="BR36" t="str">
            <v>N.M.</v>
          </cell>
          <cell r="BS36">
            <v>0</v>
          </cell>
          <cell r="BT36" t="str">
            <v>N.M.</v>
          </cell>
          <cell r="BU36">
            <v>0</v>
          </cell>
          <cell r="BV36" t="str">
            <v>N.M.</v>
          </cell>
          <cell r="BW36">
            <v>0</v>
          </cell>
          <cell r="BX36" t="e">
            <v>#DIV/0!</v>
          </cell>
          <cell r="BY36">
            <v>0</v>
          </cell>
          <cell r="BZ36" t="str">
            <v>N.M.</v>
          </cell>
          <cell r="CA36">
            <v>0</v>
          </cell>
          <cell r="CB36" t="str">
            <v>N.M.</v>
          </cell>
          <cell r="CC36">
            <v>0</v>
          </cell>
          <cell r="CD36" t="str">
            <v>N.M.</v>
          </cell>
          <cell r="CE36">
            <v>0</v>
          </cell>
          <cell r="CF36" t="str">
            <v>N.M.</v>
          </cell>
          <cell r="CG36">
            <v>0</v>
          </cell>
          <cell r="CH36" t="e">
            <v>#DIV/0!</v>
          </cell>
          <cell r="CI36">
            <v>0</v>
          </cell>
          <cell r="CJ36" t="str">
            <v>N.M.</v>
          </cell>
          <cell r="CK36">
            <v>0</v>
          </cell>
          <cell r="CL36" t="str">
            <v>N.M.</v>
          </cell>
          <cell r="CM36">
            <v>0</v>
          </cell>
          <cell r="CN36" t="str">
            <v>N.M.</v>
          </cell>
          <cell r="CO36">
            <v>0</v>
          </cell>
          <cell r="CP36" t="str">
            <v>N.M.</v>
          </cell>
          <cell r="CQ36">
            <v>0</v>
          </cell>
          <cell r="CR36" t="e">
            <v>#DIV/0!</v>
          </cell>
        </row>
        <row r="37">
          <cell r="BO37">
            <v>11.813000000000013</v>
          </cell>
          <cell r="BP37">
            <v>0.53475380018188967</v>
          </cell>
          <cell r="BQ37">
            <v>10.681000000000004</v>
          </cell>
          <cell r="BR37">
            <v>0.20907856010867198</v>
          </cell>
          <cell r="BS37">
            <v>13.419000000000004</v>
          </cell>
          <cell r="BT37">
            <v>0.42512744265080782</v>
          </cell>
          <cell r="BU37">
            <v>-5.3879999999999661</v>
          </cell>
          <cell r="BV37" t="str">
            <v xml:space="preserve">     N.M.</v>
          </cell>
          <cell r="BW37">
            <v>30.525000000000059</v>
          </cell>
          <cell r="BX37">
            <v>-0.16518528647613862</v>
          </cell>
          <cell r="BY37">
            <v>12.507999999999996</v>
          </cell>
          <cell r="BZ37">
            <v>5.8833488529584477E-2</v>
          </cell>
          <cell r="CA37">
            <v>16.872999999999976</v>
          </cell>
          <cell r="CB37">
            <v>0.57972099990637282</v>
          </cell>
          <cell r="CC37">
            <v>19.381000000000014</v>
          </cell>
          <cell r="CD37">
            <v>0.44429540204188145</v>
          </cell>
          <cell r="CE37">
            <v>19.388999999999989</v>
          </cell>
          <cell r="CF37" t="str">
            <v xml:space="preserve">     N.M.</v>
          </cell>
          <cell r="CG37">
            <v>68.150999999999982</v>
          </cell>
          <cell r="CH37">
            <v>1.2326289926289875</v>
          </cell>
          <cell r="CI37">
            <v>22.774909999999998</v>
          </cell>
          <cell r="CJ37">
            <v>0.82082747041893245</v>
          </cell>
          <cell r="CK37">
            <v>23.764081250000004</v>
          </cell>
          <cell r="CL37">
            <v>0.40840877437326117</v>
          </cell>
          <cell r="CM37">
            <v>24.801956999999991</v>
          </cell>
          <cell r="CN37">
            <v>0.27970471079923498</v>
          </cell>
          <cell r="CO37">
            <v>26.430160499999992</v>
          </cell>
          <cell r="CP37">
            <v>0.36315232863995095</v>
          </cell>
          <cell r="CQ37">
            <v>97.771108749999996</v>
          </cell>
          <cell r="CR37">
            <v>0.43462471203650743</v>
          </cell>
        </row>
        <row r="38">
          <cell r="BO38">
            <v>0</v>
          </cell>
          <cell r="BP38" t="str">
            <v>N.M.</v>
          </cell>
          <cell r="BQ38">
            <v>0</v>
          </cell>
          <cell r="BR38" t="str">
            <v>N.M.</v>
          </cell>
          <cell r="BS38">
            <v>0</v>
          </cell>
          <cell r="BT38" t="str">
            <v>N.M.</v>
          </cell>
          <cell r="BU38">
            <v>0</v>
          </cell>
          <cell r="BV38" t="str">
            <v>N.M.</v>
          </cell>
          <cell r="BW38">
            <v>0</v>
          </cell>
          <cell r="BX38" t="e">
            <v>#DIV/0!</v>
          </cell>
          <cell r="BY38">
            <v>0</v>
          </cell>
          <cell r="BZ38" t="str">
            <v>N.M.</v>
          </cell>
          <cell r="CA38">
            <v>0</v>
          </cell>
          <cell r="CB38" t="str">
            <v>N.M.</v>
          </cell>
          <cell r="CC38">
            <v>0</v>
          </cell>
          <cell r="CD38" t="str">
            <v>N.M.</v>
          </cell>
          <cell r="CE38">
            <v>0</v>
          </cell>
          <cell r="CF38" t="str">
            <v>N.M.</v>
          </cell>
          <cell r="CG38">
            <v>0</v>
          </cell>
          <cell r="CH38" t="e">
            <v>#DIV/0!</v>
          </cell>
          <cell r="CI38">
            <v>0</v>
          </cell>
          <cell r="CJ38" t="str">
            <v>N.M.</v>
          </cell>
          <cell r="CK38">
            <v>0</v>
          </cell>
          <cell r="CL38" t="str">
            <v>N.M.</v>
          </cell>
          <cell r="CM38">
            <v>0</v>
          </cell>
          <cell r="CN38" t="str">
            <v>N.M.</v>
          </cell>
          <cell r="CO38">
            <v>0</v>
          </cell>
          <cell r="CP38" t="str">
            <v>N.M.</v>
          </cell>
          <cell r="CQ38">
            <v>0</v>
          </cell>
          <cell r="CR38" t="e">
            <v>#DIV/0!</v>
          </cell>
        </row>
        <row r="39">
          <cell r="BO39">
            <v>11.813000000000013</v>
          </cell>
          <cell r="BP39">
            <v>0.53475380018188967</v>
          </cell>
          <cell r="BQ39">
            <v>10.681000000000004</v>
          </cell>
          <cell r="BR39">
            <v>0.20907856010867198</v>
          </cell>
          <cell r="BS39">
            <v>13.419000000000004</v>
          </cell>
          <cell r="BT39">
            <v>0.42512744265080782</v>
          </cell>
          <cell r="BU39">
            <v>-5.3879999999999661</v>
          </cell>
          <cell r="BV39" t="str">
            <v xml:space="preserve">     N.M.</v>
          </cell>
          <cell r="BW39">
            <v>30.525000000000059</v>
          </cell>
          <cell r="BX39">
            <v>-0.16518528647613862</v>
          </cell>
          <cell r="BY39">
            <v>12.507999999999996</v>
          </cell>
          <cell r="BZ39">
            <v>5.8833488529584477E-2</v>
          </cell>
          <cell r="CA39">
            <v>16.872999999999976</v>
          </cell>
          <cell r="CB39">
            <v>0.57972099990637282</v>
          </cell>
          <cell r="CC39">
            <v>19.381000000000014</v>
          </cell>
          <cell r="CD39">
            <v>0.44429540204188145</v>
          </cell>
          <cell r="CE39">
            <v>19.388999999999989</v>
          </cell>
          <cell r="CF39" t="str">
            <v xml:space="preserve">     N.M.</v>
          </cell>
          <cell r="CG39">
            <v>68.150999999999982</v>
          </cell>
          <cell r="CH39">
            <v>1.2326289926289875</v>
          </cell>
          <cell r="CI39">
            <v>22.774909999999998</v>
          </cell>
          <cell r="CJ39">
            <v>0.82082747041893245</v>
          </cell>
          <cell r="CK39">
            <v>23.764081250000004</v>
          </cell>
          <cell r="CL39">
            <v>0.40840877437326117</v>
          </cell>
          <cell r="CM39">
            <v>24.801956999999991</v>
          </cell>
          <cell r="CN39">
            <v>0.27970471079923498</v>
          </cell>
          <cell r="CO39">
            <v>26.430160499999992</v>
          </cell>
          <cell r="CP39">
            <v>0.36315232863995095</v>
          </cell>
          <cell r="CQ39">
            <v>97.771108749999996</v>
          </cell>
          <cell r="CR39">
            <v>0.43462471203650743</v>
          </cell>
        </row>
        <row r="40">
          <cell r="BO40">
            <v>9.4372633294454222E-2</v>
          </cell>
          <cell r="BQ40">
            <v>7.9814381683268223E-2</v>
          </cell>
          <cell r="BS40">
            <v>8.9342068469620117E-2</v>
          </cell>
          <cell r="BU40">
            <v>-3.3550861811297975E-2</v>
          </cell>
          <cell r="BW40">
            <v>5.3572650832679668E-2</v>
          </cell>
          <cell r="BY40">
            <v>7.8613763065107103E-2</v>
          </cell>
          <cell r="CA40">
            <v>9.80156378887687E-2</v>
          </cell>
          <cell r="CC40">
            <v>9.8311343772668078E-2</v>
          </cell>
          <cell r="CE40">
            <v>9.9846026293971255E-2</v>
          </cell>
          <cell r="CG40">
            <v>9.4316069755501414E-2</v>
          </cell>
          <cell r="CI40">
            <v>0.10742882075471698</v>
          </cell>
          <cell r="CK40">
            <v>0.10538395232815967</v>
          </cell>
          <cell r="CM40">
            <v>0.10185608624229976</v>
          </cell>
          <cell r="CO40">
            <v>0.10107135946462713</v>
          </cell>
          <cell r="CQ40">
            <v>0.10373592440318302</v>
          </cell>
        </row>
        <row r="42">
          <cell r="BO42">
            <v>42.603999999999999</v>
          </cell>
          <cell r="BP42">
            <v>5.1379497556882647E-2</v>
          </cell>
          <cell r="BQ42">
            <v>40.200000000000003</v>
          </cell>
          <cell r="BR42">
            <v>-2.4603290144125656E-2</v>
          </cell>
          <cell r="BS42">
            <v>40.555999999999997</v>
          </cell>
          <cell r="BT42">
            <v>-2.9946421737466533E-2</v>
          </cell>
          <cell r="BU42">
            <v>40.718000000000004</v>
          </cell>
          <cell r="BV42">
            <v>-2.4952107279693325E-2</v>
          </cell>
          <cell r="BW42">
            <v>40.432000000000002</v>
          </cell>
          <cell r="BX42">
            <v>-2.2626184490427415E-2</v>
          </cell>
          <cell r="BY42">
            <v>41.213999999999999</v>
          </cell>
          <cell r="BZ42">
            <v>-3.2626044502863549E-2</v>
          </cell>
          <cell r="CA42">
            <v>41.451999999999998</v>
          </cell>
          <cell r="CB42">
            <v>3.1144278606965115E-2</v>
          </cell>
          <cell r="CC42">
            <v>41.859000000000002</v>
          </cell>
          <cell r="CD42">
            <v>3.2128415031068336E-2</v>
          </cell>
          <cell r="CE42">
            <v>44.795000000000002</v>
          </cell>
          <cell r="CF42">
            <v>0.10012770764772339</v>
          </cell>
          <cell r="CG42">
            <v>42.356000000000002</v>
          </cell>
          <cell r="CH42">
            <v>4.7586070439256112E-2</v>
          </cell>
          <cell r="CI42">
            <v>51.2</v>
          </cell>
          <cell r="CJ42">
            <v>0.24229630708011851</v>
          </cell>
          <cell r="CK42">
            <v>51.8</v>
          </cell>
          <cell r="CL42">
            <v>0.24963813567499749</v>
          </cell>
          <cell r="CM42">
            <v>52.3</v>
          </cell>
          <cell r="CN42">
            <v>0.24943261903055491</v>
          </cell>
          <cell r="CO42">
            <v>52.8</v>
          </cell>
          <cell r="CP42">
            <v>0.17870298024333064</v>
          </cell>
          <cell r="CQ42">
            <v>52.025000000000006</v>
          </cell>
          <cell r="CR42">
            <v>0.22827934649164239</v>
          </cell>
        </row>
        <row r="43">
          <cell r="BO43">
            <v>48.985999999999997</v>
          </cell>
          <cell r="BP43">
            <v>4.8546598741384228E-2</v>
          </cell>
          <cell r="BQ43">
            <v>49.188000000000002</v>
          </cell>
          <cell r="BR43">
            <v>3.4056508577194888E-2</v>
          </cell>
          <cell r="BS43">
            <v>49.347999999999999</v>
          </cell>
          <cell r="BT43">
            <v>2.9627774995827139E-2</v>
          </cell>
          <cell r="BU43">
            <v>40.92</v>
          </cell>
          <cell r="BV43">
            <v>-0.1524791847893624</v>
          </cell>
          <cell r="BW43">
            <v>49.426000000000002</v>
          </cell>
          <cell r="BX43">
            <v>3.1255216157569876E-2</v>
          </cell>
          <cell r="BY43">
            <v>50.225999999999999</v>
          </cell>
          <cell r="BZ43">
            <v>2.5313354836075552E-2</v>
          </cell>
          <cell r="CA43">
            <v>50.125999999999998</v>
          </cell>
          <cell r="CB43">
            <v>1.9069691794746602E-2</v>
          </cell>
          <cell r="CC43">
            <v>50.726999999999997</v>
          </cell>
          <cell r="CD43">
            <v>2.7944394909621417E-2</v>
          </cell>
          <cell r="CE43">
            <v>50.616</v>
          </cell>
          <cell r="CF43">
            <v>0.23695014662756586</v>
          </cell>
          <cell r="CG43">
            <v>50.4</v>
          </cell>
          <cell r="CH43">
            <v>1.9706227491603556E-2</v>
          </cell>
          <cell r="CI43">
            <v>51.2</v>
          </cell>
          <cell r="CJ43">
            <v>1.9392346593397836E-2</v>
          </cell>
          <cell r="CK43">
            <v>51.8</v>
          </cell>
          <cell r="CL43">
            <v>3.3395842476958038E-2</v>
          </cell>
          <cell r="CM43">
            <v>52.3</v>
          </cell>
          <cell r="CN43">
            <v>3.1009127289214788E-2</v>
          </cell>
          <cell r="CO43">
            <v>52.8</v>
          </cell>
          <cell r="CP43">
            <v>4.3148411569464251E-2</v>
          </cell>
          <cell r="CQ43">
            <v>52.025000000000006</v>
          </cell>
          <cell r="CR43">
            <v>3.2242063492063711E-2</v>
          </cell>
        </row>
        <row r="45">
          <cell r="BO45">
            <v>0.27727443432541576</v>
          </cell>
          <cell r="BP45">
            <v>0.4597524526093919</v>
          </cell>
          <cell r="BQ45">
            <v>0.26569651741293543</v>
          </cell>
          <cell r="BR45">
            <v>0.239576213341264</v>
          </cell>
          <cell r="BS45">
            <v>0.33087582601834514</v>
          </cell>
          <cell r="BT45">
            <v>0.46912240167533725</v>
          </cell>
          <cell r="BU45">
            <v>-0.13232477037182488</v>
          </cell>
          <cell r="BV45" t="str">
            <v xml:space="preserve">     N.M.</v>
          </cell>
          <cell r="BW45">
            <v>0.75497130985358252</v>
          </cell>
          <cell r="BX45">
            <v>-0.14585934237596243</v>
          </cell>
          <cell r="BY45">
            <v>0.30348910564371323</v>
          </cell>
          <cell r="BZ45">
            <v>9.4544134161071991E-2</v>
          </cell>
          <cell r="CA45">
            <v>0.40704911705104646</v>
          </cell>
          <cell r="CB45">
            <v>0.53200772450632527</v>
          </cell>
          <cell r="CC45">
            <v>0.46300676079218361</v>
          </cell>
          <cell r="CD45">
            <v>0.39933692456127812</v>
          </cell>
          <cell r="CE45">
            <v>0.43283848643821826</v>
          </cell>
          <cell r="CF45" t="str">
            <v xml:space="preserve">     N.M.</v>
          </cell>
          <cell r="CG45">
            <v>1.609004627443573</v>
          </cell>
          <cell r="CH45">
            <v>1.1312129433840603</v>
          </cell>
          <cell r="CI45">
            <v>0.44482246093749994</v>
          </cell>
          <cell r="CJ45">
            <v>0.46569498761417716</v>
          </cell>
          <cell r="CK45">
            <v>0.45876604729729742</v>
          </cell>
          <cell r="CL45">
            <v>0.12705329180155256</v>
          </cell>
          <cell r="CM45">
            <v>0.47422479923518152</v>
          </cell>
          <cell r="CN45">
            <v>2.4228670924381968E-2</v>
          </cell>
          <cell r="CO45">
            <v>0.50057122159090894</v>
          </cell>
          <cell r="CP45">
            <v>0.15648501063307974</v>
          </cell>
          <cell r="CQ45">
            <v>1.8793101153291685</v>
          </cell>
          <cell r="CR45">
            <v>0.16799546954384059</v>
          </cell>
        </row>
        <row r="46">
          <cell r="BO46">
            <v>0.27727443432541576</v>
          </cell>
          <cell r="BP46">
            <v>0.4597524526093919</v>
          </cell>
          <cell r="BQ46">
            <v>0.26569651741293543</v>
          </cell>
          <cell r="BR46">
            <v>0.239576213341264</v>
          </cell>
          <cell r="BS46">
            <v>0.33087582601834514</v>
          </cell>
          <cell r="BT46">
            <v>0.46912240167533725</v>
          </cell>
          <cell r="BU46">
            <v>-0.13232477037182488</v>
          </cell>
          <cell r="BV46" t="str">
            <v xml:space="preserve">     N.M.</v>
          </cell>
          <cell r="BW46">
            <v>0.75497130985358274</v>
          </cell>
          <cell r="BX46">
            <v>-0.14585934237596221</v>
          </cell>
          <cell r="BY46">
            <v>0.30348910564371323</v>
          </cell>
          <cell r="BZ46">
            <v>9.4544134161071991E-2</v>
          </cell>
          <cell r="CA46">
            <v>0.40704911705104646</v>
          </cell>
          <cell r="CB46">
            <v>0.53200772450632527</v>
          </cell>
          <cell r="CC46">
            <v>0.46300676079218361</v>
          </cell>
          <cell r="CD46">
            <v>0.39933692456127812</v>
          </cell>
          <cell r="CE46">
            <v>0.43283848643821826</v>
          </cell>
          <cell r="CF46" t="str">
            <v xml:space="preserve">     N.M.</v>
          </cell>
          <cell r="CG46">
            <v>1.609004627443573</v>
          </cell>
          <cell r="CH46">
            <v>1.1312129433840594</v>
          </cell>
          <cell r="CI46">
            <v>0.44482246093749994</v>
          </cell>
          <cell r="CJ46">
            <v>0.46569498761417716</v>
          </cell>
          <cell r="CK46">
            <v>0.45876604729729742</v>
          </cell>
          <cell r="CL46">
            <v>0.12705329180155256</v>
          </cell>
          <cell r="CM46">
            <v>0.47422479923518152</v>
          </cell>
          <cell r="CN46">
            <v>2.4228670924381968E-2</v>
          </cell>
          <cell r="CO46">
            <v>0.50057122159090894</v>
          </cell>
          <cell r="CP46">
            <v>0.15648501063307974</v>
          </cell>
          <cell r="CQ46">
            <v>1.8793101153291685</v>
          </cell>
          <cell r="CR46">
            <v>0.16799546954384059</v>
          </cell>
        </row>
        <row r="47">
          <cell r="BO47">
            <v>0.25723676152370095</v>
          </cell>
          <cell r="BP47">
            <v>0.41433294396425246</v>
          </cell>
          <cell r="BQ47">
            <v>0.23316662600634311</v>
          </cell>
          <cell r="BR47">
            <v>0.16333858463076711</v>
          </cell>
          <cell r="BS47">
            <v>0.28789413958012494</v>
          </cell>
          <cell r="BT47">
            <v>0.35064509806149458</v>
          </cell>
          <cell r="BU47">
            <v>-0.13167155425219859</v>
          </cell>
          <cell r="BV47" t="str">
            <v xml:space="preserve">     N.M.</v>
          </cell>
          <cell r="BW47">
            <v>0.68132157164245633</v>
          </cell>
          <cell r="BX47">
            <v>-0.17674573841725505</v>
          </cell>
          <cell r="BY47">
            <v>0.26723211085891763</v>
          </cell>
          <cell r="BZ47">
            <v>3.8856613168393173E-2</v>
          </cell>
          <cell r="CA47">
            <v>0.35271116785699985</v>
          </cell>
          <cell r="CB47">
            <v>0.5127000544554976</v>
          </cell>
          <cell r="CC47">
            <v>0.39797346580716414</v>
          </cell>
          <cell r="CD47">
            <v>0.38236042730005826</v>
          </cell>
          <cell r="CE47">
            <v>0.40874427058637564</v>
          </cell>
          <cell r="CF47" t="str">
            <v xml:space="preserve">     N.M.</v>
          </cell>
          <cell r="CG47">
            <v>1.43156746031746</v>
          </cell>
          <cell r="CH47">
            <v>1.1011626813259294</v>
          </cell>
          <cell r="CI47">
            <v>0.44482246093749994</v>
          </cell>
          <cell r="CJ47">
            <v>0.66455468060250911</v>
          </cell>
          <cell r="CK47">
            <v>0.45876604729729742</v>
          </cell>
          <cell r="CL47">
            <v>0.30068477866653631</v>
          </cell>
          <cell r="CM47">
            <v>0.47422479923518152</v>
          </cell>
          <cell r="CN47">
            <v>0.19159903857752303</v>
          </cell>
          <cell r="CO47">
            <v>0.50057122159090894</v>
          </cell>
          <cell r="CP47">
            <v>0.22465624012980134</v>
          </cell>
          <cell r="CQ47">
            <v>1.8793101153291685</v>
          </cell>
          <cell r="CR47">
            <v>0.31276392305844847</v>
          </cell>
        </row>
        <row r="48">
          <cell r="BO48">
            <v>0</v>
          </cell>
          <cell r="BP48" t="str">
            <v xml:space="preserve">      N.M.</v>
          </cell>
          <cell r="BQ48">
            <v>0</v>
          </cell>
          <cell r="BR48" t="str">
            <v xml:space="preserve">      N.M.</v>
          </cell>
          <cell r="BS48">
            <v>0</v>
          </cell>
          <cell r="BT48" t="str">
            <v xml:space="preserve">      N.M.</v>
          </cell>
          <cell r="BU48">
            <v>0</v>
          </cell>
          <cell r="BV48" t="str">
            <v xml:space="preserve">      N.M.</v>
          </cell>
          <cell r="BW48">
            <v>0</v>
          </cell>
          <cell r="BX48" t="e">
            <v>#DIV/0!</v>
          </cell>
          <cell r="BY48">
            <v>0</v>
          </cell>
          <cell r="BZ48" t="str">
            <v xml:space="preserve">      N.M.</v>
          </cell>
          <cell r="CA48">
            <v>0</v>
          </cell>
          <cell r="CB48" t="str">
            <v xml:space="preserve">      N.M.</v>
          </cell>
          <cell r="CC48">
            <v>0</v>
          </cell>
          <cell r="CD48" t="str">
            <v xml:space="preserve">      N.M.</v>
          </cell>
          <cell r="CE48">
            <v>0</v>
          </cell>
          <cell r="CF48" t="str">
            <v xml:space="preserve">      N.M.</v>
          </cell>
          <cell r="CG48">
            <v>0</v>
          </cell>
          <cell r="CH48" t="e">
            <v>#DIV/0!</v>
          </cell>
          <cell r="CI48">
            <v>0</v>
          </cell>
          <cell r="CJ48" t="str">
            <v xml:space="preserve">      N.M.</v>
          </cell>
          <cell r="CK48">
            <v>0</v>
          </cell>
          <cell r="CL48" t="str">
            <v xml:space="preserve">      N.M.</v>
          </cell>
          <cell r="CM48">
            <v>0</v>
          </cell>
          <cell r="CN48" t="str">
            <v xml:space="preserve">      N.M.</v>
          </cell>
          <cell r="CO48">
            <v>0</v>
          </cell>
          <cell r="CP48" t="str">
            <v xml:space="preserve">      N.M.</v>
          </cell>
          <cell r="CQ48">
            <v>0</v>
          </cell>
          <cell r="CR48" t="e">
            <v>#DIV/0!</v>
          </cell>
        </row>
        <row r="49">
          <cell r="BU49">
            <v>0.30821114369501545</v>
          </cell>
          <cell r="BV49" t="str">
            <v>ex chg</v>
          </cell>
          <cell r="BW49">
            <v>1.0735847529640274</v>
          </cell>
          <cell r="BX49" t="str">
            <v>ex chg</v>
          </cell>
          <cell r="BY49">
            <v>0.31653583298793775</v>
          </cell>
          <cell r="BZ49" t="str">
            <v>ex chg</v>
          </cell>
          <cell r="CF49" t="str">
            <v>ex charge</v>
          </cell>
          <cell r="CG49">
            <v>1.4806976859177943</v>
          </cell>
          <cell r="CH49">
            <v>0.37920893700267366</v>
          </cell>
          <cell r="CI49" t="str">
            <v>0.44-45</v>
          </cell>
          <cell r="CJ49" t="str">
            <v>Per Randy</v>
          </cell>
          <cell r="CK49" t="str">
            <v>45-47</v>
          </cell>
          <cell r="CM49" t="str">
            <v>46-49</v>
          </cell>
          <cell r="CO49" t="str">
            <v>47-51</v>
          </cell>
          <cell r="CQ49" t="str">
            <v>1.82-1.92</v>
          </cell>
        </row>
        <row r="50">
          <cell r="BO50">
            <v>25.033268</v>
          </cell>
          <cell r="BP50">
            <v>-0.28824931620578076</v>
          </cell>
          <cell r="BQ50">
            <v>26.87265</v>
          </cell>
          <cell r="BR50">
            <v>-0.26797865443391755</v>
          </cell>
          <cell r="BS50">
            <v>32.426000000000002</v>
          </cell>
          <cell r="BT50">
            <v>-0.1072631600219085</v>
          </cell>
          <cell r="BU50">
            <v>34.386000000000003</v>
          </cell>
          <cell r="BV50">
            <v>0.26597844015080119</v>
          </cell>
          <cell r="BW50">
            <v>118.717918</v>
          </cell>
          <cell r="BX50">
            <v>-0.12298060563772306</v>
          </cell>
          <cell r="BY50">
            <v>28.63926</v>
          </cell>
          <cell r="BZ50">
            <v>0.14404799245547961</v>
          </cell>
          <cell r="CA50">
            <v>29.26482</v>
          </cell>
          <cell r="CB50">
            <v>8.9018760710238842E-2</v>
          </cell>
          <cell r="CC50">
            <v>25.628070000000001</v>
          </cell>
          <cell r="CD50">
            <v>-0.20964442114352677</v>
          </cell>
          <cell r="CE50">
            <v>27.186460000000011</v>
          </cell>
          <cell r="CF50">
            <v>-0.20937416390391417</v>
          </cell>
          <cell r="CG50">
            <v>110.71861000000001</v>
          </cell>
          <cell r="CH50">
            <v>-6.738079756418891E-2</v>
          </cell>
          <cell r="CI50">
            <v>28</v>
          </cell>
          <cell r="CJ50">
            <v>-2.232110745878213E-2</v>
          </cell>
          <cell r="CK50">
            <v>28.5</v>
          </cell>
          <cell r="CL50">
            <v>-2.6134450852593694E-2</v>
          </cell>
          <cell r="CM50">
            <v>29</v>
          </cell>
          <cell r="CN50">
            <v>0.13157174925774751</v>
          </cell>
          <cell r="CO50">
            <v>30</v>
          </cell>
          <cell r="CP50">
            <v>0.10349048754416668</v>
          </cell>
          <cell r="CQ50">
            <v>115.5</v>
          </cell>
          <cell r="CR50">
            <v>4.3185061662172064E-2</v>
          </cell>
        </row>
        <row r="51">
          <cell r="BO51">
            <v>100.33573199999999</v>
          </cell>
          <cell r="BP51">
            <v>1.1855065607193267</v>
          </cell>
          <cell r="BQ51">
            <v>107.30235</v>
          </cell>
          <cell r="BR51">
            <v>0.88581242816319228</v>
          </cell>
          <cell r="BS51">
            <v>117.806</v>
          </cell>
          <cell r="BT51">
            <v>0.79306289254167361</v>
          </cell>
          <cell r="BU51">
            <v>126.538</v>
          </cell>
          <cell r="BV51">
            <v>0.43619532746769818</v>
          </cell>
          <cell r="BW51">
            <v>451.98208199999999</v>
          </cell>
          <cell r="BX51">
            <v>0.76131144437293363</v>
          </cell>
          <cell r="BY51">
            <v>130.46773999999999</v>
          </cell>
          <cell r="BZ51">
            <v>0.30031183706319098</v>
          </cell>
          <cell r="CA51">
            <v>142.88117999999997</v>
          </cell>
          <cell r="CB51">
            <v>0.33157549671558884</v>
          </cell>
          <cell r="CC51">
            <v>171.51093</v>
          </cell>
          <cell r="CD51">
            <v>0.45587601650170617</v>
          </cell>
          <cell r="CE51">
            <v>167.00254000000004</v>
          </cell>
          <cell r="CF51">
            <v>0.31978172564763185</v>
          </cell>
          <cell r="CG51">
            <v>611.86239</v>
          </cell>
          <cell r="CH51">
            <v>0.35373151805606318</v>
          </cell>
          <cell r="CI51">
            <v>184</v>
          </cell>
          <cell r="CJ51">
            <v>0.41031031885736668</v>
          </cell>
          <cell r="CK51">
            <v>197</v>
          </cell>
          <cell r="CL51">
            <v>0.37876800849489101</v>
          </cell>
          <cell r="CM51">
            <v>214.5</v>
          </cell>
          <cell r="CN51">
            <v>0.25064915687880651</v>
          </cell>
          <cell r="CO51">
            <v>231.5</v>
          </cell>
          <cell r="CP51">
            <v>0.38620646129094771</v>
          </cell>
          <cell r="CQ51">
            <v>827</v>
          </cell>
          <cell r="CR51">
            <v>0.35161110327438161</v>
          </cell>
        </row>
        <row r="52">
          <cell r="BO52">
            <v>0.19998776103663699</v>
          </cell>
          <cell r="BQ52">
            <v>0.20080740978755518</v>
          </cell>
          <cell r="BS52">
            <v>0.21588836069721301</v>
          </cell>
          <cell r="BU52">
            <v>0.21412025505629165</v>
          </cell>
          <cell r="BW52">
            <v>0.20835490806213544</v>
          </cell>
          <cell r="BY52">
            <v>0.18</v>
          </cell>
          <cell r="CA52">
            <v>0.17</v>
          </cell>
          <cell r="CC52">
            <v>0.13</v>
          </cell>
          <cell r="CE52">
            <v>0.14000000000000001</v>
          </cell>
          <cell r="CG52">
            <v>0.15322657252266528</v>
          </cell>
          <cell r="CI52">
            <v>0.13207547169811321</v>
          </cell>
          <cell r="CK52">
            <v>0.12638580931263857</v>
          </cell>
          <cell r="CM52">
            <v>0.11909650924024641</v>
          </cell>
          <cell r="CO52">
            <v>0.1147227533460803</v>
          </cell>
          <cell r="CQ52">
            <v>0.12254641909814323</v>
          </cell>
        </row>
        <row r="53">
          <cell r="BO53">
            <v>0.80157007046191686</v>
          </cell>
          <cell r="BQ53">
            <v>0.80182293028851537</v>
          </cell>
          <cell r="BS53">
            <v>0.78433800716387692</v>
          </cell>
          <cell r="BU53">
            <v>0.7879470957457404</v>
          </cell>
          <cell r="BW53">
            <v>0.79324744509790479</v>
          </cell>
          <cell r="BY53">
            <v>0.82</v>
          </cell>
          <cell r="CA53">
            <v>0.82999999999999985</v>
          </cell>
          <cell r="CC53">
            <v>0.87</v>
          </cell>
          <cell r="CE53">
            <v>0.86</v>
          </cell>
          <cell r="CG53">
            <v>0.84677342747733453</v>
          </cell>
          <cell r="CI53">
            <v>0.86792452830188682</v>
          </cell>
          <cell r="CK53">
            <v>0.87361419068736146</v>
          </cell>
          <cell r="CM53">
            <v>0.8809034907597536</v>
          </cell>
          <cell r="CO53">
            <v>0.88527724665391971</v>
          </cell>
          <cell r="CQ53">
            <v>0.87745358090185677</v>
          </cell>
        </row>
        <row r="56">
          <cell r="BO56">
            <v>58.387</v>
          </cell>
          <cell r="BP56">
            <v>0.96595844977945378</v>
          </cell>
          <cell r="BQ56">
            <v>63.381</v>
          </cell>
          <cell r="BR56">
            <v>0.55964860475417111</v>
          </cell>
          <cell r="BS56">
            <v>67.203000000000003</v>
          </cell>
          <cell r="BT56">
            <v>0.46565035331065174</v>
          </cell>
          <cell r="BU56">
            <v>61.960999999999999</v>
          </cell>
          <cell r="BV56">
            <v>0.44772074113881155</v>
          </cell>
          <cell r="BW56">
            <v>61.960999999999999</v>
          </cell>
          <cell r="BX56">
            <v>0.44772074113881155</v>
          </cell>
          <cell r="BY56">
            <v>63.399000000000001</v>
          </cell>
          <cell r="BZ56">
            <v>8.5841026255844666E-2</v>
          </cell>
          <cell r="CA56">
            <v>75.620999999999995</v>
          </cell>
          <cell r="CB56">
            <v>0.19311781133147154</v>
          </cell>
          <cell r="CC56">
            <v>70.873999999999995</v>
          </cell>
          <cell r="CD56">
            <v>5.4625537550406777E-2</v>
          </cell>
          <cell r="CE56">
            <v>68.953000000000003</v>
          </cell>
          <cell r="CF56">
            <v>0.11284517680476447</v>
          </cell>
          <cell r="CG56">
            <v>68.953000000000003</v>
          </cell>
          <cell r="CH56">
            <v>0.11284517680476447</v>
          </cell>
          <cell r="CI56">
            <v>80</v>
          </cell>
          <cell r="CJ56">
            <v>0.26184955598668758</v>
          </cell>
          <cell r="CK56">
            <v>83.5</v>
          </cell>
          <cell r="CL56">
            <v>0.10419063487655555</v>
          </cell>
          <cell r="CM56">
            <v>88.5</v>
          </cell>
          <cell r="CN56">
            <v>0.2486948669469764</v>
          </cell>
          <cell r="CO56">
            <v>97.5</v>
          </cell>
          <cell r="CP56">
            <v>0.41400664220556016</v>
          </cell>
          <cell r="CQ56">
            <v>97.5</v>
          </cell>
          <cell r="CR56">
            <v>0.41400664220556016</v>
          </cell>
        </row>
        <row r="57">
          <cell r="BO57">
            <v>70.248999999999995</v>
          </cell>
          <cell r="BP57">
            <v>0.83269416399259066</v>
          </cell>
          <cell r="BQ57">
            <v>69.150000000000006</v>
          </cell>
          <cell r="BR57">
            <v>0.44665271966527209</v>
          </cell>
          <cell r="BS57">
            <v>76.296999999999997</v>
          </cell>
          <cell r="BT57">
            <v>0.51512202871497514</v>
          </cell>
          <cell r="BU57">
            <v>77.334000000000003</v>
          </cell>
          <cell r="BV57">
            <v>0.51980976338338181</v>
          </cell>
          <cell r="BW57">
            <v>77.334000000000003</v>
          </cell>
          <cell r="BX57">
            <v>0.51980976338338181</v>
          </cell>
          <cell r="BY57">
            <v>77.876999999999995</v>
          </cell>
          <cell r="BZ57">
            <v>0.10858517558968805</v>
          </cell>
          <cell r="CA57">
            <v>87.203000000000003</v>
          </cell>
          <cell r="CB57">
            <v>0.26107013738250173</v>
          </cell>
          <cell r="CC57">
            <v>95.058000000000007</v>
          </cell>
          <cell r="CD57">
            <v>0.24589433398429827</v>
          </cell>
          <cell r="CE57">
            <v>96.93</v>
          </cell>
          <cell r="CF57">
            <v>0.25339436728993725</v>
          </cell>
          <cell r="CG57">
            <v>96.93</v>
          </cell>
          <cell r="CH57">
            <v>0.25339436728993725</v>
          </cell>
          <cell r="CI57">
            <v>107.5</v>
          </cell>
          <cell r="CJ57">
            <v>0.38038188425337394</v>
          </cell>
          <cell r="CK57">
            <v>115</v>
          </cell>
          <cell r="CL57">
            <v>0.31876196919830746</v>
          </cell>
          <cell r="CM57">
            <v>120</v>
          </cell>
          <cell r="CN57">
            <v>0.26238717414631063</v>
          </cell>
          <cell r="CO57">
            <v>125</v>
          </cell>
          <cell r="CP57">
            <v>0.28959042608067675</v>
          </cell>
          <cell r="CQ57">
            <v>125</v>
          </cell>
          <cell r="CR57">
            <v>0.28959042608067675</v>
          </cell>
        </row>
        <row r="58">
          <cell r="BO58">
            <v>4.4249999999999998</v>
          </cell>
          <cell r="BP58">
            <v>0.62863452337136527</v>
          </cell>
          <cell r="BQ58">
            <v>4.7380000000000004</v>
          </cell>
          <cell r="BR58">
            <v>0.43012375490492016</v>
          </cell>
          <cell r="BS58">
            <v>5.05</v>
          </cell>
          <cell r="BT58">
            <v>0.37527233115468395</v>
          </cell>
          <cell r="BU58">
            <v>5.2</v>
          </cell>
          <cell r="BV58">
            <v>0.34994807892004198</v>
          </cell>
          <cell r="BW58">
            <v>19.413</v>
          </cell>
          <cell r="BX58">
            <v>0.43227091633466164</v>
          </cell>
          <cell r="BY58">
            <v>5.6870000000000003</v>
          </cell>
          <cell r="BZ58">
            <v>0.28519774011299437</v>
          </cell>
          <cell r="CA58">
            <v>6.0179999999999998</v>
          </cell>
          <cell r="CB58">
            <v>0.27015618404390018</v>
          </cell>
          <cell r="CC58">
            <v>7.5329999999999986</v>
          </cell>
          <cell r="CD58">
            <v>0.49168316831683145</v>
          </cell>
          <cell r="CE58">
            <v>8</v>
          </cell>
          <cell r="CF58">
            <v>0.53846153846153832</v>
          </cell>
          <cell r="CG58">
            <v>27.238</v>
          </cell>
          <cell r="CH58">
            <v>0.40308041003451289</v>
          </cell>
          <cell r="CI58">
            <v>8.1999999999999993</v>
          </cell>
          <cell r="CJ58">
            <v>0.44188500087919791</v>
          </cell>
          <cell r="CK58">
            <v>8.4</v>
          </cell>
          <cell r="CL58">
            <v>0.39581256231306083</v>
          </cell>
          <cell r="CM58">
            <v>8.6</v>
          </cell>
          <cell r="CN58">
            <v>0.14164343555024583</v>
          </cell>
          <cell r="CO58">
            <v>8.8000000000000007</v>
          </cell>
          <cell r="CP58">
            <v>0.10000000000000009</v>
          </cell>
          <cell r="CQ58">
            <v>34</v>
          </cell>
          <cell r="CR58">
            <v>0.24825611278361115</v>
          </cell>
        </row>
        <row r="59">
          <cell r="BO59">
            <v>7.6945822544620786</v>
          </cell>
          <cell r="BP59">
            <v>-0.13029275039733346</v>
          </cell>
          <cell r="BQ59">
            <v>6.9500689836410228</v>
          </cell>
          <cell r="BR59">
            <v>-0.15975640417475911</v>
          </cell>
          <cell r="BS59">
            <v>7.1864240642038837</v>
          </cell>
          <cell r="BT59">
            <v>-2.2345197381096749E-2</v>
          </cell>
          <cell r="BU59">
            <v>8.3714967018673967</v>
          </cell>
          <cell r="BV59">
            <v>3.1256328256657362E-2</v>
          </cell>
          <cell r="BW59">
            <v>8.6975181366933949</v>
          </cell>
          <cell r="BX59">
            <v>-7.2874936501687859E-4</v>
          </cell>
          <cell r="BY59">
            <v>7.9406509253350359</v>
          </cell>
          <cell r="BZ59">
            <v>3.1979471105174406E-2</v>
          </cell>
          <cell r="CA59">
            <v>7.741044454035392</v>
          </cell>
          <cell r="CB59">
            <v>0.1138082905732527</v>
          </cell>
          <cell r="CC59">
            <v>8.3938974026417288</v>
          </cell>
          <cell r="CD59">
            <v>0.16802144260486385</v>
          </cell>
          <cell r="CE59">
            <v>8.653836526564973</v>
          </cell>
          <cell r="CF59">
            <v>3.3726325739887875E-2</v>
          </cell>
          <cell r="CG59">
            <v>8.6150144369586155</v>
          </cell>
          <cell r="CH59">
            <v>-9.4858899329809399E-3</v>
          </cell>
          <cell r="CI59">
            <v>8.8641114982578397</v>
          </cell>
          <cell r="CJ59">
            <v>0.11629532409949639</v>
          </cell>
          <cell r="CK59">
            <v>8.6172721712538216</v>
          </cell>
          <cell r="CL59">
            <v>0.11319244094531111</v>
          </cell>
          <cell r="CM59">
            <v>8.9019069767441863</v>
          </cell>
          <cell r="CN59">
            <v>6.0521298954949954E-2</v>
          </cell>
          <cell r="CO59">
            <v>8.8628817204301082</v>
          </cell>
          <cell r="CP59">
            <v>2.4156360386913045E-2</v>
          </cell>
          <cell r="CQ59">
            <v>8.8747033697199829</v>
          </cell>
          <cell r="CR59">
            <v>3.0143760600945146E-2</v>
          </cell>
        </row>
        <row r="60">
          <cell r="BO60">
            <v>43.547262211002277</v>
          </cell>
          <cell r="BP60">
            <v>8.1260301394547874E-3</v>
          </cell>
          <cell r="BQ60">
            <v>46.875014011044435</v>
          </cell>
          <cell r="BR60">
            <v>0.13211788801654034</v>
          </cell>
          <cell r="BS60">
            <v>43.576578915831099</v>
          </cell>
          <cell r="BT60">
            <v>6.5084644961836968E-3</v>
          </cell>
          <cell r="BU60">
            <v>43.049435837401596</v>
          </cell>
          <cell r="BV60">
            <v>8.9199121152192307E-2</v>
          </cell>
          <cell r="BW60">
            <v>40.505030827309149</v>
          </cell>
          <cell r="BX60">
            <v>-2.4087166745939803E-2</v>
          </cell>
          <cell r="BY60">
            <v>43.898100020740763</v>
          </cell>
          <cell r="BZ60">
            <v>8.056483735729536E-3</v>
          </cell>
          <cell r="CA60">
            <v>43.152905092189187</v>
          </cell>
          <cell r="CB60">
            <v>-7.9404966534586285E-2</v>
          </cell>
          <cell r="CC60">
            <v>41.603868336554413</v>
          </cell>
          <cell r="CD60">
            <v>-4.5269973649996964E-2</v>
          </cell>
          <cell r="CE60">
            <v>44.489955661752198</v>
          </cell>
          <cell r="CF60">
            <v>3.3461990763165028E-2</v>
          </cell>
          <cell r="CG60">
            <v>43.410385825256952</v>
          </cell>
          <cell r="CH60">
            <v>7.1728250506328806E-2</v>
          </cell>
          <cell r="CI60">
            <v>43.393160377358491</v>
          </cell>
          <cell r="CJ60">
            <v>-1.1502539817069501E-2</v>
          </cell>
          <cell r="CK60">
            <v>44.40133037694013</v>
          </cell>
          <cell r="CL60">
            <v>2.8930272065898821E-2</v>
          </cell>
          <cell r="CM60">
            <v>43.429158110882959</v>
          </cell>
          <cell r="CN60">
            <v>4.3873078329228044E-2</v>
          </cell>
          <cell r="CO60">
            <v>42.160611854684511</v>
          </cell>
          <cell r="CP60">
            <v>-5.2356622352631721E-2</v>
          </cell>
          <cell r="CQ60">
            <v>42.384509283819632</v>
          </cell>
          <cell r="CR60">
            <v>-2.3632053065984149E-2</v>
          </cell>
        </row>
        <row r="61">
          <cell r="BO61">
            <v>22.854000000000013</v>
          </cell>
          <cell r="BP61">
            <v>0.61706644024623247</v>
          </cell>
          <cell r="BQ61">
            <v>22.516000000000002</v>
          </cell>
          <cell r="BR61">
            <v>0.36651089397341785</v>
          </cell>
          <cell r="BS61">
            <v>26.199000000000005</v>
          </cell>
          <cell r="BT61">
            <v>0.44745856353591207</v>
          </cell>
          <cell r="BU61">
            <v>16.039000000000037</v>
          </cell>
          <cell r="BV61">
            <v>-0.20492737817875528</v>
          </cell>
          <cell r="BW61">
            <v>87.608000000000047</v>
          </cell>
          <cell r="BX61">
            <v>0.27183775387250764</v>
          </cell>
          <cell r="BY61">
            <v>29.801999999999996</v>
          </cell>
          <cell r="BZ61">
            <v>0.30401680231031669</v>
          </cell>
          <cell r="CA61">
            <v>32.450999999999979</v>
          </cell>
          <cell r="CB61">
            <v>0.44124178362053557</v>
          </cell>
          <cell r="CC61">
            <v>38.353000000000009</v>
          </cell>
          <cell r="CD61">
            <v>0.46391083629146146</v>
          </cell>
          <cell r="CE61">
            <v>38.603999999999999</v>
          </cell>
          <cell r="CF61">
            <v>1.4068832221460137</v>
          </cell>
          <cell r="CG61">
            <v>139.20999999999998</v>
          </cell>
          <cell r="CH61">
            <v>0.58901013606063257</v>
          </cell>
          <cell r="CI61">
            <v>42.465999999999994</v>
          </cell>
          <cell r="CJ61">
            <v>0.42493792362928651</v>
          </cell>
          <cell r="CK61">
            <v>44.223750000000003</v>
          </cell>
          <cell r="CL61">
            <v>0.36278543034113064</v>
          </cell>
          <cell r="CM61">
            <v>46.058199999999985</v>
          </cell>
          <cell r="CN61">
            <v>0.20090214585560395</v>
          </cell>
          <cell r="CO61">
            <v>48.822299999999984</v>
          </cell>
          <cell r="CP61">
            <v>0.26469536835561036</v>
          </cell>
          <cell r="CQ61">
            <v>181.57024999999999</v>
          </cell>
          <cell r="CR61">
            <v>0.30429028087062715</v>
          </cell>
        </row>
        <row r="64">
          <cell r="BR64" t="str">
            <v>Sanmina Corporation</v>
          </cell>
          <cell r="CB64" t="str">
            <v>Sanmina Corporation</v>
          </cell>
          <cell r="CL64" t="str">
            <v>Sanmina Corporation</v>
          </cell>
        </row>
        <row r="65">
          <cell r="BR65" t="str">
            <v>Quarterly Income Statements</v>
          </cell>
          <cell r="CB65" t="str">
            <v>Quarterly Income Statements</v>
          </cell>
          <cell r="CL65" t="str">
            <v>Quarterly Income Statements</v>
          </cell>
        </row>
        <row r="66">
          <cell r="BR66" t="str">
            <v>($ In Millions Except Per Share Data)</v>
          </cell>
          <cell r="CB66" t="str">
            <v>($ In Millions Except Per Share Data)</v>
          </cell>
          <cell r="CL66" t="str">
            <v>($ In Millions Except Per Share Data)</v>
          </cell>
        </row>
        <row r="67">
          <cell r="BO67" t="str">
            <v>1997R</v>
          </cell>
          <cell r="BW67" t="str">
            <v>1997R</v>
          </cell>
          <cell r="BY67" t="str">
            <v>1998A</v>
          </cell>
          <cell r="CG67" t="str">
            <v>1998A</v>
          </cell>
          <cell r="CI67" t="str">
            <v>1999E</v>
          </cell>
          <cell r="CQ67" t="str">
            <v>1999E</v>
          </cell>
        </row>
        <row r="68">
          <cell r="BO68" t="str">
            <v>1QR</v>
          </cell>
          <cell r="BP68" t="str">
            <v>% Chg.</v>
          </cell>
          <cell r="BQ68" t="str">
            <v>2QR</v>
          </cell>
          <cell r="BR68" t="str">
            <v>% Chg.</v>
          </cell>
          <cell r="BS68" t="str">
            <v>3QR</v>
          </cell>
          <cell r="BT68" t="str">
            <v>% Chg.</v>
          </cell>
          <cell r="BU68" t="str">
            <v>4QR</v>
          </cell>
          <cell r="BV68" t="str">
            <v>% Chg.</v>
          </cell>
          <cell r="BW68" t="str">
            <v xml:space="preserve">    YEAR </v>
          </cell>
          <cell r="BX68" t="str">
            <v>% Chg.</v>
          </cell>
          <cell r="BY68" t="str">
            <v>1QA</v>
          </cell>
          <cell r="BZ68" t="str">
            <v>% Chg.</v>
          </cell>
          <cell r="CA68" t="str">
            <v xml:space="preserve">  2QA</v>
          </cell>
          <cell r="CB68" t="str">
            <v>% Chg.</v>
          </cell>
          <cell r="CC68" t="str">
            <v xml:space="preserve">  3QA</v>
          </cell>
          <cell r="CD68" t="str">
            <v>% Chg.</v>
          </cell>
          <cell r="CE68" t="str">
            <v xml:space="preserve">  4QA</v>
          </cell>
          <cell r="CF68" t="str">
            <v>% Chg.</v>
          </cell>
          <cell r="CG68" t="str">
            <v xml:space="preserve">    YEAR </v>
          </cell>
          <cell r="CH68" t="str">
            <v>% Chg.</v>
          </cell>
          <cell r="CI68" t="str">
            <v xml:space="preserve">   1QE</v>
          </cell>
          <cell r="CJ68" t="str">
            <v>% Chg.</v>
          </cell>
          <cell r="CK68" t="str">
            <v xml:space="preserve">  2QE</v>
          </cell>
          <cell r="CL68" t="str">
            <v>% Chg.</v>
          </cell>
          <cell r="CM68" t="str">
            <v xml:space="preserve">  3QE</v>
          </cell>
          <cell r="CN68" t="str">
            <v>% Chg.</v>
          </cell>
          <cell r="CO68" t="str">
            <v xml:space="preserve">  4QE</v>
          </cell>
          <cell r="CP68" t="str">
            <v>% Chg.</v>
          </cell>
          <cell r="CQ68" t="str">
            <v xml:space="preserve">    YEAR </v>
          </cell>
          <cell r="CR68" t="str">
            <v>% Chg.</v>
          </cell>
        </row>
        <row r="69">
          <cell r="BO69">
            <v>125.17400000000001</v>
          </cell>
          <cell r="BP69">
            <v>0.54381421048087719</v>
          </cell>
          <cell r="BQ69">
            <v>133.82300000000001</v>
          </cell>
          <cell r="BR69">
            <v>0.4295801730584341</v>
          </cell>
          <cell r="BS69">
            <v>150.19800000000004</v>
          </cell>
          <cell r="BT69">
            <v>0.472197445674015</v>
          </cell>
          <cell r="BU69">
            <v>160.5920000000001</v>
          </cell>
          <cell r="BV69">
            <v>0.39320539959052003</v>
          </cell>
          <cell r="BW69">
            <v>569.78700000000015</v>
          </cell>
          <cell r="BX69">
            <v>0.4536050124750628</v>
          </cell>
          <cell r="BY69">
            <v>159.107</v>
          </cell>
          <cell r="BZ69">
            <v>0.27108664738683741</v>
          </cell>
          <cell r="CA69">
            <v>172.14599999999999</v>
          </cell>
          <cell r="CB69">
            <v>0.28637080322515551</v>
          </cell>
          <cell r="CC69">
            <v>197.13900000000004</v>
          </cell>
          <cell r="CD69">
            <v>0.31252746374785279</v>
          </cell>
          <cell r="CE69">
            <v>194.18900000000005</v>
          </cell>
          <cell r="CF69">
            <v>0.2092071834213407</v>
          </cell>
          <cell r="CG69">
            <v>722.58100000000013</v>
          </cell>
          <cell r="CH69">
            <v>0.26815985622697602</v>
          </cell>
          <cell r="CI69">
            <v>212</v>
          </cell>
          <cell r="CJ69">
            <v>0.33243666212045975</v>
          </cell>
          <cell r="CK69">
            <v>225.5</v>
          </cell>
          <cell r="CL69">
            <v>0.30993459040581839</v>
          </cell>
          <cell r="CM69">
            <v>243.5</v>
          </cell>
          <cell r="CN69">
            <v>0.23516909388806861</v>
          </cell>
          <cell r="CO69">
            <v>261.5</v>
          </cell>
          <cell r="CP69">
            <v>0.34662622496639828</v>
          </cell>
          <cell r="CQ69">
            <v>942.5</v>
          </cell>
          <cell r="CR69">
            <v>0.30435203804140976</v>
          </cell>
        </row>
        <row r="70">
          <cell r="BO70" t="str">
            <v>Estimates of SANM / ELEX combined</v>
          </cell>
        </row>
        <row r="71">
          <cell r="BO71">
            <v>67.504260000000002</v>
          </cell>
          <cell r="BP71">
            <v>-0.16744662744662742</v>
          </cell>
          <cell r="BQ71">
            <v>75.100500000000011</v>
          </cell>
          <cell r="BR71">
            <v>-0.19772994338211713</v>
          </cell>
          <cell r="BS71">
            <v>76.875040000000013</v>
          </cell>
          <cell r="BT71">
            <v>-0.24649304568577657</v>
          </cell>
          <cell r="BU71">
            <v>86.775620000000075</v>
          </cell>
          <cell r="BV71" t="str">
            <v xml:space="preserve">     N.M.</v>
          </cell>
          <cell r="BW71">
            <v>306.25542000000019</v>
          </cell>
          <cell r="BX71">
            <v>0.41672234768827465</v>
          </cell>
          <cell r="BY71">
            <v>82.735640000000004</v>
          </cell>
          <cell r="BZ71">
            <v>0.22563583394588727</v>
          </cell>
          <cell r="CA71">
            <v>90.204504</v>
          </cell>
          <cell r="CB71">
            <v>0.2011172229212852</v>
          </cell>
          <cell r="CC71">
            <v>106.45506</v>
          </cell>
          <cell r="CD71">
            <v>0.38478054775646275</v>
          </cell>
          <cell r="CE71">
            <v>106.80395000000003</v>
          </cell>
          <cell r="CF71">
            <v>0.23080595678832294</v>
          </cell>
          <cell r="CG71">
            <v>386.19915400000014</v>
          </cell>
          <cell r="CH71">
            <v>0.26103614427460542</v>
          </cell>
          <cell r="CI71">
            <v>120.84</v>
          </cell>
          <cell r="CJ71">
            <v>0.46055557193973473</v>
          </cell>
          <cell r="CK71">
            <v>127.4075</v>
          </cell>
          <cell r="CL71">
            <v>0.41242947247955608</v>
          </cell>
          <cell r="CM71">
            <v>138.79500000000002</v>
          </cell>
          <cell r="CN71">
            <v>0.30378959910407266</v>
          </cell>
          <cell r="CO71">
            <v>150.36249999999998</v>
          </cell>
          <cell r="CP71">
            <v>0.40783650791941639</v>
          </cell>
          <cell r="CQ71">
            <v>537.40499999999997</v>
          </cell>
          <cell r="CR71">
            <v>0.39152298609126368</v>
          </cell>
        </row>
        <row r="72">
          <cell r="BO72">
            <v>23.248750000000001</v>
          </cell>
          <cell r="BP72" t="str">
            <v xml:space="preserve">      N.M.</v>
          </cell>
          <cell r="BQ72">
            <v>28.829249999999998</v>
          </cell>
          <cell r="BR72" t="str">
            <v xml:space="preserve">      N.M.</v>
          </cell>
          <cell r="BS72">
            <v>37.291640000000001</v>
          </cell>
          <cell r="BT72" t="str">
            <v xml:space="preserve">      N.M.</v>
          </cell>
          <cell r="BU72">
            <v>40.85698</v>
          </cell>
          <cell r="BV72">
            <v>-0.48338856401245822</v>
          </cell>
          <cell r="BW72">
            <v>130.22662</v>
          </cell>
          <cell r="BX72">
            <v>0.64663568286260831</v>
          </cell>
          <cell r="BY72">
            <v>46.141029999999994</v>
          </cell>
          <cell r="BZ72">
            <v>0.98466713264153949</v>
          </cell>
          <cell r="CA72">
            <v>50.438777999999992</v>
          </cell>
          <cell r="CB72">
            <v>0.74956955175732953</v>
          </cell>
          <cell r="CC72">
            <v>55.198920000000008</v>
          </cell>
          <cell r="CD72">
            <v>0.48019556125716134</v>
          </cell>
          <cell r="CE72">
            <v>56.314810000000008</v>
          </cell>
          <cell r="CF72">
            <v>0.37834000457204642</v>
          </cell>
          <cell r="CG72">
            <v>208.09353800000002</v>
          </cell>
          <cell r="CH72">
            <v>0.59793395543860406</v>
          </cell>
          <cell r="CI72">
            <v>61.48</v>
          </cell>
          <cell r="CJ72">
            <v>0.33243666212045997</v>
          </cell>
          <cell r="CK72">
            <v>65.394999999999996</v>
          </cell>
          <cell r="CL72">
            <v>0.29652229084534931</v>
          </cell>
          <cell r="CM72">
            <v>69.397499999999994</v>
          </cell>
          <cell r="CN72">
            <v>0.25722568485035557</v>
          </cell>
          <cell r="CO72">
            <v>73.220000000000013</v>
          </cell>
          <cell r="CP72">
            <v>0.3001908378985918</v>
          </cell>
          <cell r="CQ72">
            <v>269.49250000000001</v>
          </cell>
          <cell r="CR72">
            <v>0.29505463067286586</v>
          </cell>
        </row>
        <row r="73">
          <cell r="BO73">
            <v>21.265039999999999</v>
          </cell>
          <cell r="BP73" t="str">
            <v xml:space="preserve">      N.M.</v>
          </cell>
          <cell r="BQ73">
            <v>15.037000000000001</v>
          </cell>
          <cell r="BR73" t="str">
            <v xml:space="preserve">      N.M.</v>
          </cell>
          <cell r="BS73">
            <v>21.638280000000002</v>
          </cell>
          <cell r="BT73" t="str">
            <v xml:space="preserve">      N.M.</v>
          </cell>
          <cell r="BU73">
            <v>17.910299999999999</v>
          </cell>
          <cell r="BV73">
            <v>-0.7236255888481784</v>
          </cell>
          <cell r="BW73">
            <v>75.850619999999992</v>
          </cell>
          <cell r="BX73">
            <v>0.17045333902841286</v>
          </cell>
          <cell r="BY73">
            <v>19.092839999999999</v>
          </cell>
          <cell r="BZ73">
            <v>-0.10214887909921633</v>
          </cell>
          <cell r="CA73">
            <v>21.173957999999999</v>
          </cell>
          <cell r="CB73">
            <v>0.40812382789120161</v>
          </cell>
          <cell r="CC73">
            <v>25.628070000000001</v>
          </cell>
          <cell r="CD73">
            <v>0.18438572751623505</v>
          </cell>
          <cell r="CE73">
            <v>17.477010000000003</v>
          </cell>
          <cell r="CF73">
            <v>-2.4192224585852573E-2</v>
          </cell>
          <cell r="CG73">
            <v>83.371878000000009</v>
          </cell>
          <cell r="CH73">
            <v>9.915882032342016E-2</v>
          </cell>
          <cell r="CI73">
            <v>16.96</v>
          </cell>
          <cell r="CJ73">
            <v>-0.11170889191969335</v>
          </cell>
          <cell r="CK73">
            <v>19.1675</v>
          </cell>
          <cell r="CL73">
            <v>-9.4760648906548228E-2</v>
          </cell>
          <cell r="CM73">
            <v>21.914999999999999</v>
          </cell>
          <cell r="CN73">
            <v>-0.14488293500056781</v>
          </cell>
          <cell r="CO73">
            <v>23.535</v>
          </cell>
          <cell r="CP73">
            <v>0.3466262249663985</v>
          </cell>
          <cell r="CQ73">
            <v>81.577500000000001</v>
          </cell>
          <cell r="CR73">
            <v>-2.1522581031460097E-2</v>
          </cell>
        </row>
        <row r="74">
          <cell r="BO74">
            <v>13.155950000000001</v>
          </cell>
          <cell r="BP74" t="str">
            <v xml:space="preserve">      N.M.</v>
          </cell>
          <cell r="BQ74">
            <v>14.856249999999999</v>
          </cell>
          <cell r="BR74" t="str">
            <v xml:space="preserve">      N.M.</v>
          </cell>
          <cell r="BS74">
            <v>14.393039999999999</v>
          </cell>
          <cell r="BT74" t="str">
            <v xml:space="preserve">      N.M.</v>
          </cell>
          <cell r="BU74">
            <v>15.049099999999999</v>
          </cell>
          <cell r="BV74">
            <v>-0.51084207802811732</v>
          </cell>
          <cell r="BW74">
            <v>57.454340000000002</v>
          </cell>
          <cell r="BX74">
            <v>0.86750340968337092</v>
          </cell>
          <cell r="BY74">
            <v>11.137490000000001</v>
          </cell>
          <cell r="BZ74">
            <v>-0.15342563630904638</v>
          </cell>
          <cell r="CA74">
            <v>10.328759999999999</v>
          </cell>
          <cell r="CB74">
            <v>-0.30475321834244851</v>
          </cell>
          <cell r="CC74">
            <v>9.8569500000000012</v>
          </cell>
          <cell r="CD74">
            <v>-0.3151585766453785</v>
          </cell>
          <cell r="CE74">
            <v>13.593230000000005</v>
          </cell>
          <cell r="CF74">
            <v>-9.6741333368772442E-2</v>
          </cell>
          <cell r="CG74">
            <v>44.916430000000005</v>
          </cell>
          <cell r="CH74">
            <v>-0.21822389744621551</v>
          </cell>
          <cell r="CI74">
            <v>12.719999999999999</v>
          </cell>
          <cell r="CJ74">
            <v>0.14208856753182242</v>
          </cell>
          <cell r="CK74">
            <v>13.53</v>
          </cell>
          <cell r="CL74">
            <v>0.30993459040581839</v>
          </cell>
          <cell r="CM74">
            <v>13.3925</v>
          </cell>
          <cell r="CN74">
            <v>0.3586860032768755</v>
          </cell>
          <cell r="CO74">
            <v>14.3825</v>
          </cell>
          <cell r="CP74">
            <v>5.8063462473598504E-2</v>
          </cell>
          <cell r="CQ74">
            <v>54.024999999999999</v>
          </cell>
          <cell r="CR74">
            <v>0.20278926887110105</v>
          </cell>
        </row>
        <row r="75">
          <cell r="BO75">
            <v>0</v>
          </cell>
          <cell r="BP75" t="str">
            <v xml:space="preserve">      N.M.</v>
          </cell>
          <cell r="BQ75">
            <v>0</v>
          </cell>
          <cell r="BR75" t="str">
            <v xml:space="preserve">      N.M.</v>
          </cell>
          <cell r="BS75">
            <v>0</v>
          </cell>
          <cell r="BT75" t="str">
            <v xml:space="preserve">      N.M.</v>
          </cell>
          <cell r="BU75">
            <v>0</v>
          </cell>
          <cell r="BV75" t="str">
            <v xml:space="preserve">      N.M.</v>
          </cell>
          <cell r="BW75">
            <v>0</v>
          </cell>
          <cell r="BX75" t="e">
            <v>#DIV/0!</v>
          </cell>
          <cell r="BY75">
            <v>0</v>
          </cell>
          <cell r="BZ75" t="str">
            <v xml:space="preserve">      N.M.</v>
          </cell>
          <cell r="CA75">
            <v>0</v>
          </cell>
          <cell r="CB75" t="str">
            <v xml:space="preserve">      N.M.</v>
          </cell>
          <cell r="CC75">
            <v>0</v>
          </cell>
          <cell r="CD75" t="str">
            <v xml:space="preserve">      N.M.</v>
          </cell>
          <cell r="CE75">
            <v>0</v>
          </cell>
          <cell r="CF75" t="str">
            <v xml:space="preserve">      N.M.</v>
          </cell>
          <cell r="CG75">
            <v>0</v>
          </cell>
          <cell r="CH75" t="e">
            <v>#DIV/0!</v>
          </cell>
          <cell r="CI75">
            <v>0</v>
          </cell>
          <cell r="CJ75" t="str">
            <v xml:space="preserve">      N.M.</v>
          </cell>
          <cell r="CK75">
            <v>0</v>
          </cell>
          <cell r="CL75" t="str">
            <v xml:space="preserve">      N.M.</v>
          </cell>
          <cell r="CM75">
            <v>0</v>
          </cell>
          <cell r="CN75" t="str">
            <v xml:space="preserve">      N.M.</v>
          </cell>
          <cell r="CO75">
            <v>0</v>
          </cell>
          <cell r="CP75" t="str">
            <v xml:space="preserve">      N.M.</v>
          </cell>
          <cell r="CQ75">
            <v>0</v>
          </cell>
          <cell r="CR75" t="e">
            <v>#DIV/0!</v>
          </cell>
        </row>
        <row r="76">
          <cell r="BO76">
            <v>0</v>
          </cell>
          <cell r="BP76" t="str">
            <v xml:space="preserve">      N.M.</v>
          </cell>
          <cell r="BQ76">
            <v>7.1054273576010003E-15</v>
          </cell>
          <cell r="BR76" t="str">
            <v xml:space="preserve">      N.M.</v>
          </cell>
          <cell r="BS76">
            <v>0</v>
          </cell>
          <cell r="BT76" t="str">
            <v xml:space="preserve">      N.M.</v>
          </cell>
          <cell r="BU76">
            <v>0</v>
          </cell>
          <cell r="BV76">
            <v>-1</v>
          </cell>
          <cell r="BW76">
            <v>7.1054273576010003E-15</v>
          </cell>
          <cell r="BX76">
            <v>-0.99999999999999389</v>
          </cell>
          <cell r="BY76">
            <v>0</v>
          </cell>
          <cell r="BZ76" t="str">
            <v xml:space="preserve">      N.M.</v>
          </cell>
          <cell r="CA76">
            <v>0</v>
          </cell>
          <cell r="CB76">
            <v>-1</v>
          </cell>
          <cell r="CC76">
            <v>0</v>
          </cell>
          <cell r="CD76" t="str">
            <v xml:space="preserve">      N.M.</v>
          </cell>
          <cell r="CE76">
            <v>0</v>
          </cell>
          <cell r="CF76" t="str">
            <v xml:space="preserve">      N.M.</v>
          </cell>
          <cell r="CG76">
            <v>0</v>
          </cell>
          <cell r="CH76">
            <v>-1</v>
          </cell>
          <cell r="CI76">
            <v>0</v>
          </cell>
          <cell r="CJ76" t="str">
            <v xml:space="preserve">      N.M.</v>
          </cell>
          <cell r="CK76">
            <v>0</v>
          </cell>
          <cell r="CL76" t="str">
            <v xml:space="preserve">      N.M.</v>
          </cell>
          <cell r="CM76">
            <v>0</v>
          </cell>
          <cell r="CN76" t="str">
            <v xml:space="preserve">      N.M.</v>
          </cell>
          <cell r="CO76">
            <v>0</v>
          </cell>
          <cell r="CP76" t="str">
            <v xml:space="preserve">      N.M.</v>
          </cell>
          <cell r="CQ76">
            <v>0</v>
          </cell>
          <cell r="CR76" t="e">
            <v>#DIV/0!</v>
          </cell>
        </row>
        <row r="77">
          <cell r="BO77">
            <v>125.17400000000001</v>
          </cell>
          <cell r="BP77">
            <v>0.54381421048087719</v>
          </cell>
          <cell r="BQ77">
            <v>133.82300000000001</v>
          </cell>
          <cell r="BR77">
            <v>0.4295801730584341</v>
          </cell>
          <cell r="BS77">
            <v>150.19800000000004</v>
          </cell>
          <cell r="BT77">
            <v>0.472197445674015</v>
          </cell>
          <cell r="BU77">
            <v>160.5920000000001</v>
          </cell>
          <cell r="BV77">
            <v>0.39320539959052003</v>
          </cell>
          <cell r="BW77">
            <v>569.78700000000015</v>
          </cell>
          <cell r="BX77">
            <v>0.4536050124750628</v>
          </cell>
          <cell r="BY77">
            <v>159.107</v>
          </cell>
          <cell r="BZ77">
            <v>0.27108664738683741</v>
          </cell>
          <cell r="CA77">
            <v>172.14599999999999</v>
          </cell>
          <cell r="CB77">
            <v>0.28637080322515551</v>
          </cell>
          <cell r="CC77">
            <v>197.13900000000004</v>
          </cell>
          <cell r="CD77">
            <v>0.31252746374785279</v>
          </cell>
          <cell r="CE77">
            <v>194.18900000000005</v>
          </cell>
          <cell r="CF77">
            <v>0.2092071834213407</v>
          </cell>
          <cell r="CG77">
            <v>722.58100000000013</v>
          </cell>
          <cell r="CH77">
            <v>0.26815985622697602</v>
          </cell>
          <cell r="CI77">
            <v>212</v>
          </cell>
          <cell r="CJ77">
            <v>0.33243666212045975</v>
          </cell>
          <cell r="CK77">
            <v>225.5</v>
          </cell>
          <cell r="CL77">
            <v>0.30993459040581839</v>
          </cell>
          <cell r="CM77">
            <v>243.5</v>
          </cell>
          <cell r="CN77">
            <v>0.23516909388806861</v>
          </cell>
          <cell r="CO77">
            <v>261.5</v>
          </cell>
          <cell r="CP77">
            <v>0.34662622496639828</v>
          </cell>
          <cell r="CQ77">
            <v>942.5</v>
          </cell>
          <cell r="CR77">
            <v>0.30435203804140976</v>
          </cell>
        </row>
        <row r="78">
          <cell r="BY78">
            <v>0.56000000000000005</v>
          </cell>
          <cell r="BZ78" t="e">
            <v>#DIV/0!</v>
          </cell>
          <cell r="CA78">
            <v>0.56000000000000005</v>
          </cell>
          <cell r="CB78" t="e">
            <v>#DIV/0!</v>
          </cell>
          <cell r="CC78">
            <v>0.6</v>
          </cell>
          <cell r="CD78" t="e">
            <v>#DIV/0!</v>
          </cell>
          <cell r="CE78">
            <v>0.67</v>
          </cell>
          <cell r="CF78" t="e">
            <v>#DIV/0!</v>
          </cell>
          <cell r="CG78">
            <v>0.60047483949896274</v>
          </cell>
          <cell r="CH78" t="e">
            <v>#DIV/0!</v>
          </cell>
          <cell r="CI78">
            <v>0.67</v>
          </cell>
          <cell r="CJ78">
            <v>0.59416529217983594</v>
          </cell>
          <cell r="CK78">
            <v>0.65</v>
          </cell>
          <cell r="CL78">
            <v>0.52045979243532514</v>
          </cell>
          <cell r="CM78">
            <v>0.67</v>
          </cell>
          <cell r="CN78">
            <v>0.37927215484167687</v>
          </cell>
          <cell r="CO78">
            <v>0.67</v>
          </cell>
          <cell r="CP78">
            <v>0.34662622496639828</v>
          </cell>
          <cell r="CQ78">
            <v>0.66521485411140591</v>
          </cell>
          <cell r="CR78">
            <v>0.44498036157455023</v>
          </cell>
        </row>
        <row r="79">
          <cell r="BY79">
            <v>0.1</v>
          </cell>
          <cell r="BZ79" t="e">
            <v>#DIV/0!</v>
          </cell>
          <cell r="CA79">
            <v>0.1</v>
          </cell>
          <cell r="CB79" t="e">
            <v>#DIV/0!</v>
          </cell>
          <cell r="CC79">
            <v>0.13</v>
          </cell>
          <cell r="CD79" t="e">
            <v>#DIV/0!</v>
          </cell>
          <cell r="CE79">
            <v>0.12</v>
          </cell>
          <cell r="CF79" t="e">
            <v>#DIV/0!</v>
          </cell>
          <cell r="CG79">
            <v>0.11355965628766879</v>
          </cell>
          <cell r="CH79" t="e">
            <v>#DIV/0!</v>
          </cell>
          <cell r="CI79">
            <v>0.12</v>
          </cell>
          <cell r="CJ79">
            <v>0.5989239945445517</v>
          </cell>
          <cell r="CK79">
            <v>0.12</v>
          </cell>
          <cell r="CL79">
            <v>0.57192150848698176</v>
          </cell>
          <cell r="CM79">
            <v>0.12</v>
          </cell>
          <cell r="CN79">
            <v>0.14015608666590951</v>
          </cell>
          <cell r="CO79">
            <v>0.12</v>
          </cell>
          <cell r="CP79">
            <v>0.34662622496639828</v>
          </cell>
          <cell r="CQ79">
            <v>0.12</v>
          </cell>
          <cell r="CR79">
            <v>0.37832615632850941</v>
          </cell>
        </row>
        <row r="80">
          <cell r="BY80">
            <v>0.66</v>
          </cell>
          <cell r="CA80">
            <v>0.66</v>
          </cell>
          <cell r="CC80">
            <v>0.73</v>
          </cell>
          <cell r="CE80">
            <v>0.79</v>
          </cell>
          <cell r="CG80">
            <v>0.71403449578663158</v>
          </cell>
          <cell r="CI80">
            <v>0.79</v>
          </cell>
          <cell r="CK80">
            <v>0.77</v>
          </cell>
          <cell r="CM80">
            <v>0.79</v>
          </cell>
          <cell r="CO80">
            <v>0.79</v>
          </cell>
          <cell r="CQ80">
            <v>0.7852148541114059</v>
          </cell>
        </row>
        <row r="83">
          <cell r="BO83">
            <v>0.53928339751066512</v>
          </cell>
          <cell r="BQ83">
            <v>0.5611927695538137</v>
          </cell>
          <cell r="BS83">
            <v>0.51182465811795097</v>
          </cell>
          <cell r="BU83">
            <v>0.54034833615622213</v>
          </cell>
          <cell r="BW83">
            <v>0.53749106244965239</v>
          </cell>
          <cell r="BY83">
            <v>0.52</v>
          </cell>
          <cell r="CA83">
            <v>0.52400000000000002</v>
          </cell>
          <cell r="CC83">
            <v>0.53999999999999992</v>
          </cell>
          <cell r="CE83">
            <v>0.55000000000000004</v>
          </cell>
          <cell r="CG83">
            <v>0.53447178101832193</v>
          </cell>
          <cell r="CI83">
            <v>0.57000000000000006</v>
          </cell>
          <cell r="CK83">
            <v>0.56499999999999995</v>
          </cell>
          <cell r="CM83">
            <v>0.57000000000000006</v>
          </cell>
          <cell r="CO83">
            <v>0.57499999999999996</v>
          </cell>
          <cell r="CQ83">
            <v>0.57019098143236069</v>
          </cell>
        </row>
        <row r="84">
          <cell r="BO84">
            <v>0.1857314618051672</v>
          </cell>
          <cell r="BQ84">
            <v>0.21542821488085007</v>
          </cell>
          <cell r="BS84">
            <v>0.2482831995099801</v>
          </cell>
          <cell r="BU84">
            <v>0.25441479027597874</v>
          </cell>
          <cell r="BW84">
            <v>0.22855316109353138</v>
          </cell>
          <cell r="BY84">
            <v>0.28999999999999998</v>
          </cell>
          <cell r="CA84">
            <v>0.29299999999999998</v>
          </cell>
          <cell r="CC84">
            <v>0.27999999999999997</v>
          </cell>
          <cell r="CE84">
            <v>0.28999999999999998</v>
          </cell>
          <cell r="CG84">
            <v>0.28798645134593903</v>
          </cell>
          <cell r="CI84">
            <v>0.28999999999999998</v>
          </cell>
          <cell r="CK84">
            <v>0.28999999999999998</v>
          </cell>
          <cell r="CM84">
            <v>0.28499999999999998</v>
          </cell>
          <cell r="CO84">
            <v>0.28000000000000003</v>
          </cell>
          <cell r="CQ84">
            <v>0.28593368700265254</v>
          </cell>
        </row>
        <row r="85">
          <cell r="BO85">
            <v>0.1698838416923642</v>
          </cell>
          <cell r="BQ85">
            <v>0.11236484012464225</v>
          </cell>
          <cell r="BS85">
            <v>0.14406503415491548</v>
          </cell>
          <cell r="BU85">
            <v>0.11152672611338042</v>
          </cell>
          <cell r="BW85">
            <v>0.13312100837681445</v>
          </cell>
          <cell r="BY85">
            <v>0.12</v>
          </cell>
          <cell r="CA85">
            <v>0.123</v>
          </cell>
          <cell r="CC85">
            <v>0.12999999999999998</v>
          </cell>
          <cell r="CE85">
            <v>0.09</v>
          </cell>
          <cell r="CG85">
            <v>0.11538066735770798</v>
          </cell>
          <cell r="CI85">
            <v>0.08</v>
          </cell>
          <cell r="CK85">
            <v>8.5000000000000006E-2</v>
          </cell>
          <cell r="CM85">
            <v>0.09</v>
          </cell>
          <cell r="CO85">
            <v>0.09</v>
          </cell>
          <cell r="CQ85">
            <v>8.6554376657824936E-2</v>
          </cell>
        </row>
        <row r="86">
          <cell r="BO86">
            <v>0.10510129899180341</v>
          </cell>
          <cell r="BQ86">
            <v>0.11101417544069404</v>
          </cell>
          <cell r="BS86">
            <v>9.5827108217153331E-2</v>
          </cell>
          <cell r="BU86">
            <v>9.3710147454418594E-2</v>
          </cell>
          <cell r="BW86">
            <v>0.1008347680800018</v>
          </cell>
          <cell r="BY86">
            <v>7.0000000000000007E-2</v>
          </cell>
          <cell r="CA86">
            <v>0.06</v>
          </cell>
          <cell r="CC86">
            <v>4.9999999999999996E-2</v>
          </cell>
          <cell r="CE86">
            <v>7.0000000000000007E-2</v>
          </cell>
          <cell r="CG86">
            <v>6.2161100278031109E-2</v>
          </cell>
          <cell r="CI86">
            <v>0.06</v>
          </cell>
          <cell r="CK86">
            <v>0.06</v>
          </cell>
          <cell r="CM86">
            <v>5.5E-2</v>
          </cell>
          <cell r="CO86">
            <v>5.5E-2</v>
          </cell>
          <cell r="CQ86">
            <v>5.7320954907161804E-2</v>
          </cell>
        </row>
        <row r="87">
          <cell r="BO87">
            <v>0</v>
          </cell>
          <cell r="BQ87">
            <v>0</v>
          </cell>
          <cell r="BS87">
            <v>0</v>
          </cell>
          <cell r="BU87">
            <v>0</v>
          </cell>
          <cell r="BW87">
            <v>0</v>
          </cell>
          <cell r="BY87">
            <v>0</v>
          </cell>
          <cell r="CA87">
            <v>0</v>
          </cell>
          <cell r="CC87">
            <v>0</v>
          </cell>
          <cell r="CE87">
            <v>0</v>
          </cell>
          <cell r="CG87">
            <v>0</v>
          </cell>
          <cell r="CI87">
            <v>0</v>
          </cell>
          <cell r="CK87">
            <v>0</v>
          </cell>
          <cell r="CM87">
            <v>0</v>
          </cell>
          <cell r="CO87">
            <v>0</v>
          </cell>
          <cell r="CQ87">
            <v>0</v>
          </cell>
        </row>
        <row r="88">
          <cell r="BO88">
            <v>0</v>
          </cell>
          <cell r="BQ88">
            <v>5.3095711182689073E-17</v>
          </cell>
          <cell r="BS88">
            <v>0</v>
          </cell>
          <cell r="BU88">
            <v>0</v>
          </cell>
          <cell r="BW88">
            <v>1.2470321993308023E-17</v>
          </cell>
          <cell r="BY88">
            <v>0</v>
          </cell>
          <cell r="CA88">
            <v>0</v>
          </cell>
          <cell r="CC88">
            <v>0</v>
          </cell>
          <cell r="CE88">
            <v>0</v>
          </cell>
          <cell r="CG88">
            <v>0</v>
          </cell>
          <cell r="CI88">
            <v>0</v>
          </cell>
          <cell r="CK88">
            <v>0</v>
          </cell>
          <cell r="CM88">
            <v>0</v>
          </cell>
          <cell r="CO88">
            <v>0</v>
          </cell>
          <cell r="CQ88">
            <v>0</v>
          </cell>
        </row>
        <row r="89">
          <cell r="BO89">
            <v>1</v>
          </cell>
          <cell r="BQ89">
            <v>1</v>
          </cell>
          <cell r="BS89">
            <v>1</v>
          </cell>
          <cell r="BU89">
            <v>1</v>
          </cell>
          <cell r="BW89">
            <v>1</v>
          </cell>
          <cell r="BY89">
            <v>1</v>
          </cell>
          <cell r="CA89">
            <v>1</v>
          </cell>
          <cell r="CC89">
            <v>1</v>
          </cell>
          <cell r="CE89">
            <v>1</v>
          </cell>
          <cell r="CG89">
            <v>1</v>
          </cell>
          <cell r="CI89">
            <v>1</v>
          </cell>
          <cell r="CK89">
            <v>1</v>
          </cell>
          <cell r="CM89">
            <v>1</v>
          </cell>
          <cell r="CO89">
            <v>1</v>
          </cell>
          <cell r="CQ89">
            <v>1</v>
          </cell>
        </row>
        <row r="91">
          <cell r="BO91">
            <v>0</v>
          </cell>
          <cell r="BP91" t="str">
            <v xml:space="preserve">      N.M.</v>
          </cell>
          <cell r="BQ91">
            <v>0</v>
          </cell>
          <cell r="BR91" t="str">
            <v xml:space="preserve">      N.M.</v>
          </cell>
          <cell r="BS91">
            <v>0</v>
          </cell>
          <cell r="BT91" t="str">
            <v xml:space="preserve">      N.M.</v>
          </cell>
          <cell r="BU91">
            <v>0</v>
          </cell>
          <cell r="BV91" t="str">
            <v xml:space="preserve">      N.M.</v>
          </cell>
          <cell r="BW91">
            <v>0</v>
          </cell>
          <cell r="BX91" t="e">
            <v>#DIV/0!</v>
          </cell>
          <cell r="BY91">
            <v>0</v>
          </cell>
          <cell r="BZ91" t="str">
            <v xml:space="preserve">      N.M.</v>
          </cell>
          <cell r="CA91">
            <v>0</v>
          </cell>
          <cell r="CB91" t="str">
            <v xml:space="preserve">      N.M.</v>
          </cell>
          <cell r="CC91">
            <v>0</v>
          </cell>
          <cell r="CD91" t="str">
            <v xml:space="preserve">      N.M.</v>
          </cell>
          <cell r="CE91">
            <v>0</v>
          </cell>
          <cell r="CF91" t="str">
            <v xml:space="preserve">      N.M.</v>
          </cell>
          <cell r="CG91">
            <v>0</v>
          </cell>
          <cell r="CH91" t="e">
            <v>#DIV/0!</v>
          </cell>
          <cell r="CI91">
            <v>0</v>
          </cell>
          <cell r="CJ91" t="str">
            <v xml:space="preserve">      N.M.</v>
          </cell>
          <cell r="CK91">
            <v>0</v>
          </cell>
          <cell r="CL91" t="str">
            <v xml:space="preserve">      N.M.</v>
          </cell>
          <cell r="CM91">
            <v>0</v>
          </cell>
          <cell r="CN91" t="str">
            <v xml:space="preserve">      N.M.</v>
          </cell>
          <cell r="CO91">
            <v>0</v>
          </cell>
          <cell r="CP91" t="str">
            <v xml:space="preserve">      N.M.</v>
          </cell>
          <cell r="CQ91">
            <v>0</v>
          </cell>
          <cell r="CR91" t="e">
            <v>#DIV/0!</v>
          </cell>
        </row>
        <row r="93">
          <cell r="BO93" t="str">
            <v>1997R</v>
          </cell>
          <cell r="BW93" t="str">
            <v>1997R</v>
          </cell>
          <cell r="BY93" t="str">
            <v>1998A</v>
          </cell>
          <cell r="CG93" t="str">
            <v>1998A</v>
          </cell>
          <cell r="CI93" t="str">
            <v>1999E</v>
          </cell>
          <cell r="CQ93" t="str">
            <v>1999E</v>
          </cell>
        </row>
        <row r="94">
          <cell r="BO94" t="str">
            <v>1QR</v>
          </cell>
          <cell r="BQ94" t="str">
            <v>2QR</v>
          </cell>
          <cell r="BS94" t="str">
            <v>3QR</v>
          </cell>
          <cell r="BU94" t="str">
            <v>4QR</v>
          </cell>
          <cell r="BW94" t="str">
            <v xml:space="preserve">    Year</v>
          </cell>
          <cell r="BY94" t="str">
            <v>1QA</v>
          </cell>
          <cell r="CA94" t="str">
            <v xml:space="preserve">  2QA</v>
          </cell>
          <cell r="CC94" t="str">
            <v xml:space="preserve">  3QA</v>
          </cell>
          <cell r="CE94" t="str">
            <v xml:space="preserve">  4QA</v>
          </cell>
          <cell r="CG94" t="str">
            <v xml:space="preserve">    Year</v>
          </cell>
          <cell r="CI94" t="str">
            <v xml:space="preserve">   1QE</v>
          </cell>
          <cell r="CK94" t="str">
            <v xml:space="preserve">  2QE</v>
          </cell>
          <cell r="CM94" t="str">
            <v xml:space="preserve">  3QE</v>
          </cell>
          <cell r="CO94" t="str">
            <v xml:space="preserve">  4QE</v>
          </cell>
          <cell r="CQ94" t="str">
            <v xml:space="preserve">    Year</v>
          </cell>
        </row>
        <row r="95">
          <cell r="BO95">
            <v>125.17400000000001</v>
          </cell>
          <cell r="BQ95">
            <v>133.82300000000001</v>
          </cell>
          <cell r="BS95">
            <v>150.19800000000001</v>
          </cell>
          <cell r="BU95">
            <v>160.59200000000007</v>
          </cell>
          <cell r="BW95">
            <v>569.78700000000015</v>
          </cell>
          <cell r="BY95">
            <v>159.107</v>
          </cell>
          <cell r="CA95">
            <v>172.14599999999999</v>
          </cell>
          <cell r="CC95">
            <v>197.13900000000001</v>
          </cell>
          <cell r="CE95">
            <v>194.18900000000005</v>
          </cell>
          <cell r="CG95">
            <v>722.58100000000013</v>
          </cell>
          <cell r="CI95">
            <v>212</v>
          </cell>
          <cell r="CK95">
            <v>225.5</v>
          </cell>
          <cell r="CM95">
            <v>243.5</v>
          </cell>
          <cell r="CO95">
            <v>261.5</v>
          </cell>
          <cell r="CQ95">
            <v>942.5</v>
          </cell>
        </row>
        <row r="96">
          <cell r="BO96">
            <v>0.54381421048087719</v>
          </cell>
          <cell r="BQ96">
            <v>0.4295801730584341</v>
          </cell>
          <cell r="BS96">
            <v>0.47219744567401478</v>
          </cell>
          <cell r="BU96">
            <v>0.39320539959051959</v>
          </cell>
          <cell r="BW96">
            <v>0.4536050124750628</v>
          </cell>
          <cell r="BY96">
            <v>0.27108664738683741</v>
          </cell>
          <cell r="CA96">
            <v>0.28637080322515551</v>
          </cell>
          <cell r="CC96">
            <v>0.31252746374785279</v>
          </cell>
          <cell r="CE96">
            <v>0.20920718342134093</v>
          </cell>
          <cell r="CG96">
            <v>0.26815985622697602</v>
          </cell>
          <cell r="CI96">
            <v>0.33243666212045975</v>
          </cell>
          <cell r="CK96">
            <v>0.30993459040581839</v>
          </cell>
          <cell r="CM96">
            <v>0.23516909388806884</v>
          </cell>
          <cell r="CO96">
            <v>0.34662622496639828</v>
          </cell>
          <cell r="CQ96">
            <v>0.30435203804140976</v>
          </cell>
        </row>
        <row r="97">
          <cell r="BO97">
            <v>0</v>
          </cell>
          <cell r="BQ97">
            <v>0</v>
          </cell>
          <cell r="BS97">
            <v>0</v>
          </cell>
          <cell r="BU97">
            <v>0</v>
          </cell>
          <cell r="BW97">
            <v>0</v>
          </cell>
          <cell r="BY97">
            <v>0</v>
          </cell>
          <cell r="CA97">
            <v>2.2417671102874692E-2</v>
          </cell>
          <cell r="CC97">
            <v>4.9934087005153192E-2</v>
          </cell>
          <cell r="CE97">
            <v>4.358872172960046E-2</v>
          </cell>
          <cell r="CG97">
            <v>3.0713231435606631E-2</v>
          </cell>
          <cell r="CI97">
            <v>4.3995550164354809E-2</v>
          </cell>
          <cell r="CK97">
            <v>2.323609029544689E-2</v>
          </cell>
          <cell r="CM97">
            <v>0</v>
          </cell>
          <cell r="CO97">
            <v>0</v>
          </cell>
          <cell r="CQ97">
            <v>1.5223206810032367E-2</v>
          </cell>
        </row>
        <row r="98">
          <cell r="BO98">
            <v>0</v>
          </cell>
          <cell r="BQ98">
            <v>0</v>
          </cell>
          <cell r="BS98">
            <v>0</v>
          </cell>
          <cell r="BU98">
            <v>0</v>
          </cell>
          <cell r="BW98">
            <v>0</v>
          </cell>
          <cell r="BY98">
            <v>0</v>
          </cell>
          <cell r="CA98">
            <v>0</v>
          </cell>
          <cell r="CC98">
            <v>0</v>
          </cell>
          <cell r="CE98">
            <v>0</v>
          </cell>
          <cell r="CG98">
            <v>0</v>
          </cell>
          <cell r="CI98">
            <v>0</v>
          </cell>
          <cell r="CK98">
            <v>0</v>
          </cell>
          <cell r="CM98">
            <v>0</v>
          </cell>
          <cell r="CO98">
            <v>0</v>
          </cell>
          <cell r="CQ98">
            <v>0</v>
          </cell>
        </row>
        <row r="99">
          <cell r="BO99">
            <v>0.54381421048087719</v>
          </cell>
          <cell r="BQ99">
            <v>0.4295801730584341</v>
          </cell>
          <cell r="BS99">
            <v>0.47219744567401478</v>
          </cell>
          <cell r="BU99">
            <v>0.39320539959051959</v>
          </cell>
          <cell r="BW99">
            <v>0.4536050124750628</v>
          </cell>
          <cell r="BY99">
            <v>0.27108664738683741</v>
          </cell>
          <cell r="CA99">
            <v>0.26395313212228078</v>
          </cell>
          <cell r="CC99">
            <v>0.26259337674269956</v>
          </cell>
          <cell r="CE99">
            <v>0.16561846169174044</v>
          </cell>
          <cell r="CG99">
            <v>0.23744662479136935</v>
          </cell>
          <cell r="CI99">
            <v>0.288441111956105</v>
          </cell>
          <cell r="CK99">
            <v>0.28669850011037146</v>
          </cell>
          <cell r="CM99">
            <v>0.23516909388806884</v>
          </cell>
          <cell r="CO99">
            <v>0.34662622496639828</v>
          </cell>
          <cell r="CQ99">
            <v>0.28912883123137734</v>
          </cell>
        </row>
        <row r="100">
          <cell r="BO100">
            <v>125.17400000000001</v>
          </cell>
          <cell r="BQ100">
            <v>133.82300000000001</v>
          </cell>
          <cell r="BS100">
            <v>150.19800000000001</v>
          </cell>
          <cell r="BU100">
            <v>160.59200000000007</v>
          </cell>
          <cell r="BW100">
            <v>569.78700000000015</v>
          </cell>
          <cell r="BY100">
            <v>159.107</v>
          </cell>
          <cell r="CA100">
            <v>172.14599999999999</v>
          </cell>
          <cell r="CC100">
            <v>197.13900000000001</v>
          </cell>
          <cell r="CE100">
            <v>194.18900000000005</v>
          </cell>
          <cell r="CG100">
            <v>722.58100000000013</v>
          </cell>
          <cell r="CI100">
            <v>212</v>
          </cell>
          <cell r="CK100">
            <v>225.5</v>
          </cell>
          <cell r="CM100">
            <v>243.5</v>
          </cell>
          <cell r="CO100">
            <v>261.5</v>
          </cell>
          <cell r="CQ100">
            <v>942.5</v>
          </cell>
        </row>
        <row r="101">
          <cell r="BO101">
            <v>0.47695927915348213</v>
          </cell>
          <cell r="BQ101">
            <v>0.46066272803865094</v>
          </cell>
          <cell r="BS101">
            <v>0.44570546675454459</v>
          </cell>
          <cell r="BU101">
            <v>0.42048423412166869</v>
          </cell>
          <cell r="BW101">
            <v>0.44800196016144145</v>
          </cell>
          <cell r="BY101">
            <v>0.4074504289338573</v>
          </cell>
          <cell r="CA101">
            <v>0.34676665259035744</v>
          </cell>
          <cell r="CC101">
            <v>0.36739541120835717</v>
          </cell>
          <cell r="CE101">
            <v>0.27941193064113001</v>
          </cell>
          <cell r="CG101">
            <v>0.34552581863321608</v>
          </cell>
          <cell r="CI101">
            <v>0.27976387967147121</v>
          </cell>
          <cell r="CK101">
            <v>0.27532581611632612</v>
          </cell>
          <cell r="CM101">
            <v>0.2488812353153842</v>
          </cell>
          <cell r="CO101">
            <v>0.25612234332906936</v>
          </cell>
          <cell r="CQ101">
            <v>0.26328772801137335</v>
          </cell>
        </row>
        <row r="102">
          <cell r="BO102">
            <v>0</v>
          </cell>
          <cell r="BQ102">
            <v>0</v>
          </cell>
          <cell r="BS102">
            <v>0</v>
          </cell>
          <cell r="BU102">
            <v>0</v>
          </cell>
          <cell r="BW102">
            <v>0</v>
          </cell>
          <cell r="BY102">
            <v>0</v>
          </cell>
          <cell r="CA102">
            <v>3</v>
          </cell>
          <cell r="CC102">
            <v>7.5</v>
          </cell>
          <cell r="CE102">
            <v>7</v>
          </cell>
          <cell r="CG102">
            <v>17.5</v>
          </cell>
          <cell r="CI102">
            <v>7</v>
          </cell>
          <cell r="CK102">
            <v>4</v>
          </cell>
          <cell r="CM102">
            <v>0</v>
          </cell>
          <cell r="CO102">
            <v>0</v>
          </cell>
          <cell r="CQ102">
            <v>11</v>
          </cell>
        </row>
        <row r="103">
          <cell r="BO103">
            <v>0</v>
          </cell>
          <cell r="BQ103">
            <v>0</v>
          </cell>
          <cell r="BS103">
            <v>0</v>
          </cell>
          <cell r="BU103">
            <v>0</v>
          </cell>
          <cell r="BW103">
            <v>0</v>
          </cell>
          <cell r="BY103">
            <v>0</v>
          </cell>
          <cell r="CA103">
            <v>0</v>
          </cell>
          <cell r="CC103">
            <v>0</v>
          </cell>
          <cell r="CE103">
            <v>0</v>
          </cell>
          <cell r="CG103">
            <v>0</v>
          </cell>
          <cell r="CI103">
            <v>0</v>
          </cell>
          <cell r="CK103">
            <v>0</v>
          </cell>
          <cell r="CM103">
            <v>0</v>
          </cell>
          <cell r="CO103">
            <v>0</v>
          </cell>
          <cell r="CQ103">
            <v>0</v>
          </cell>
        </row>
        <row r="104">
          <cell r="BO104">
            <v>81.081000000000003</v>
          </cell>
          <cell r="BQ104">
            <v>93.61</v>
          </cell>
          <cell r="BS104">
            <v>102.023</v>
          </cell>
          <cell r="BU104">
            <v>115.26800000000004</v>
          </cell>
          <cell r="BW104">
            <v>391.98200000000003</v>
          </cell>
          <cell r="BY104">
            <v>125.17400000000001</v>
          </cell>
          <cell r="CA104">
            <v>133.82300000000001</v>
          </cell>
          <cell r="CC104">
            <v>150.19800000000001</v>
          </cell>
          <cell r="CE104">
            <v>160.59200000000007</v>
          </cell>
          <cell r="CG104">
            <v>569.78700000000015</v>
          </cell>
          <cell r="CI104">
            <v>159.107</v>
          </cell>
          <cell r="CK104">
            <v>172.14599999999999</v>
          </cell>
          <cell r="CM104">
            <v>197.13900000000001</v>
          </cell>
          <cell r="CO104">
            <v>194.18900000000005</v>
          </cell>
          <cell r="CQ104">
            <v>722.58100000000013</v>
          </cell>
        </row>
        <row r="107">
          <cell r="BO107">
            <v>0</v>
          </cell>
          <cell r="BQ107">
            <v>0</v>
          </cell>
          <cell r="BS107">
            <v>0</v>
          </cell>
          <cell r="BU107">
            <v>0</v>
          </cell>
          <cell r="BW107">
            <v>0</v>
          </cell>
          <cell r="BY107">
            <v>0</v>
          </cell>
          <cell r="CA107">
            <v>0</v>
          </cell>
          <cell r="CC107">
            <v>0</v>
          </cell>
          <cell r="CE107">
            <v>0</v>
          </cell>
          <cell r="CG107">
            <v>0</v>
          </cell>
          <cell r="CI107">
            <v>0</v>
          </cell>
          <cell r="CK107">
            <v>0</v>
          </cell>
          <cell r="CM107">
            <v>0</v>
          </cell>
          <cell r="CO107">
            <v>0</v>
          </cell>
          <cell r="CQ107">
            <v>0</v>
          </cell>
        </row>
        <row r="108">
          <cell r="BO108">
            <v>0</v>
          </cell>
          <cell r="BQ108">
            <v>0</v>
          </cell>
          <cell r="BS108">
            <v>0</v>
          </cell>
          <cell r="BU108">
            <v>0</v>
          </cell>
          <cell r="BW108">
            <v>0</v>
          </cell>
          <cell r="BY108">
            <v>0</v>
          </cell>
          <cell r="CA108">
            <v>0</v>
          </cell>
          <cell r="CC108">
            <v>0</v>
          </cell>
          <cell r="CE108">
            <v>0</v>
          </cell>
          <cell r="CG108">
            <v>0</v>
          </cell>
          <cell r="CI108">
            <v>0</v>
          </cell>
          <cell r="CK108">
            <v>0</v>
          </cell>
          <cell r="CM108">
            <v>0</v>
          </cell>
          <cell r="CO108">
            <v>0</v>
          </cell>
          <cell r="CQ108">
            <v>0</v>
          </cell>
        </row>
        <row r="109">
          <cell r="BO109">
            <v>0</v>
          </cell>
          <cell r="BQ109">
            <v>0</v>
          </cell>
          <cell r="BS109">
            <v>0</v>
          </cell>
          <cell r="BU109">
            <v>0</v>
          </cell>
          <cell r="BW109">
            <v>0</v>
          </cell>
          <cell r="BY109">
            <v>0</v>
          </cell>
          <cell r="CA109">
            <v>0</v>
          </cell>
          <cell r="CC109">
            <v>0</v>
          </cell>
          <cell r="CE109">
            <v>0</v>
          </cell>
          <cell r="CG109">
            <v>0</v>
          </cell>
          <cell r="CI109">
            <v>0</v>
          </cell>
          <cell r="CK109">
            <v>0</v>
          </cell>
          <cell r="CM109">
            <v>0</v>
          </cell>
          <cell r="CO109">
            <v>0</v>
          </cell>
          <cell r="CQ109">
            <v>0</v>
          </cell>
        </row>
        <row r="110">
          <cell r="BO110">
            <v>0</v>
          </cell>
          <cell r="BQ110">
            <v>0</v>
          </cell>
          <cell r="BS110">
            <v>0</v>
          </cell>
          <cell r="BU110">
            <v>0</v>
          </cell>
          <cell r="BW110">
            <v>0</v>
          </cell>
          <cell r="BY110">
            <v>0</v>
          </cell>
          <cell r="CA110">
            <v>0</v>
          </cell>
          <cell r="CC110">
            <v>0</v>
          </cell>
          <cell r="CE110">
            <v>0</v>
          </cell>
          <cell r="CG110">
            <v>0</v>
          </cell>
          <cell r="CI110">
            <v>0</v>
          </cell>
          <cell r="CK110">
            <v>0</v>
          </cell>
          <cell r="CM110">
            <v>0</v>
          </cell>
          <cell r="CO110">
            <v>0</v>
          </cell>
          <cell r="CQ110">
            <v>0</v>
          </cell>
        </row>
        <row r="111">
          <cell r="BO111">
            <v>0</v>
          </cell>
          <cell r="BQ111">
            <v>0</v>
          </cell>
          <cell r="BS111">
            <v>0</v>
          </cell>
          <cell r="BU111">
            <v>0</v>
          </cell>
          <cell r="BW111">
            <v>0</v>
          </cell>
          <cell r="BY111">
            <v>0</v>
          </cell>
          <cell r="CA111">
            <v>0</v>
          </cell>
          <cell r="CC111">
            <v>0</v>
          </cell>
          <cell r="CE111">
            <v>0</v>
          </cell>
          <cell r="CG111">
            <v>0</v>
          </cell>
          <cell r="CI111">
            <v>0</v>
          </cell>
          <cell r="CK111">
            <v>0</v>
          </cell>
          <cell r="CM111">
            <v>0</v>
          </cell>
          <cell r="CO111">
            <v>0</v>
          </cell>
          <cell r="CQ111">
            <v>0</v>
          </cell>
        </row>
        <row r="112">
          <cell r="BO112">
            <v>0</v>
          </cell>
          <cell r="BQ112">
            <v>0</v>
          </cell>
          <cell r="BS112">
            <v>0</v>
          </cell>
          <cell r="BU112">
            <v>0</v>
          </cell>
          <cell r="BW112">
            <v>0</v>
          </cell>
          <cell r="BY112">
            <v>0</v>
          </cell>
          <cell r="CA112">
            <v>0</v>
          </cell>
          <cell r="CC112">
            <v>0</v>
          </cell>
          <cell r="CE112">
            <v>0</v>
          </cell>
          <cell r="CG112">
            <v>0</v>
          </cell>
          <cell r="CI112">
            <v>0</v>
          </cell>
          <cell r="CK112">
            <v>0</v>
          </cell>
          <cell r="CM112">
            <v>0</v>
          </cell>
          <cell r="CO112">
            <v>0</v>
          </cell>
          <cell r="CQ112">
            <v>0</v>
          </cell>
        </row>
        <row r="113">
          <cell r="BO113">
            <v>0</v>
          </cell>
          <cell r="BQ113">
            <v>0</v>
          </cell>
          <cell r="BS113">
            <v>0</v>
          </cell>
          <cell r="BU113">
            <v>0</v>
          </cell>
          <cell r="BW113">
            <v>0</v>
          </cell>
          <cell r="BY113">
            <v>0</v>
          </cell>
          <cell r="CA113">
            <v>0</v>
          </cell>
          <cell r="CC113">
            <v>0</v>
          </cell>
          <cell r="CE113">
            <v>0</v>
          </cell>
          <cell r="CG113">
            <v>0</v>
          </cell>
          <cell r="CI113">
            <v>0</v>
          </cell>
          <cell r="CK113">
            <v>0</v>
          </cell>
          <cell r="CM113">
            <v>0</v>
          </cell>
          <cell r="CO113">
            <v>0</v>
          </cell>
          <cell r="CQ113">
            <v>0</v>
          </cell>
        </row>
        <row r="114">
          <cell r="BO114">
            <v>0</v>
          </cell>
          <cell r="BQ114">
            <v>0</v>
          </cell>
          <cell r="BS114">
            <v>0</v>
          </cell>
          <cell r="BU114">
            <v>0</v>
          </cell>
          <cell r="BW114">
            <v>0</v>
          </cell>
          <cell r="BY114">
            <v>0</v>
          </cell>
          <cell r="CA114">
            <v>0</v>
          </cell>
          <cell r="CC114">
            <v>0</v>
          </cell>
          <cell r="CE114">
            <v>0</v>
          </cell>
          <cell r="CG114">
            <v>0</v>
          </cell>
          <cell r="CI114">
            <v>0</v>
          </cell>
          <cell r="CK114">
            <v>0</v>
          </cell>
          <cell r="CM114">
            <v>0</v>
          </cell>
          <cell r="CO114">
            <v>0</v>
          </cell>
          <cell r="CQ114">
            <v>0</v>
          </cell>
        </row>
        <row r="115">
          <cell r="BO115">
            <v>0</v>
          </cell>
          <cell r="BQ115">
            <v>0</v>
          </cell>
          <cell r="BS115">
            <v>0</v>
          </cell>
          <cell r="BU115">
            <v>0</v>
          </cell>
          <cell r="BW115">
            <v>0</v>
          </cell>
          <cell r="BY115">
            <v>0</v>
          </cell>
          <cell r="CA115">
            <v>3</v>
          </cell>
          <cell r="CC115">
            <v>7.5</v>
          </cell>
          <cell r="CE115">
            <v>7</v>
          </cell>
          <cell r="CG115">
            <v>17.5</v>
          </cell>
          <cell r="CI115">
            <v>7</v>
          </cell>
          <cell r="CK115">
            <v>4</v>
          </cell>
          <cell r="CM115">
            <v>0</v>
          </cell>
          <cell r="CO115">
            <v>0</v>
          </cell>
          <cell r="CQ115">
            <v>11</v>
          </cell>
        </row>
        <row r="116">
          <cell r="BO116">
            <v>0</v>
          </cell>
          <cell r="BQ116">
            <v>0</v>
          </cell>
          <cell r="BS116">
            <v>0</v>
          </cell>
          <cell r="BU116">
            <v>0</v>
          </cell>
          <cell r="BW116">
            <v>0</v>
          </cell>
          <cell r="BY116">
            <v>0</v>
          </cell>
          <cell r="CA116">
            <v>0</v>
          </cell>
          <cell r="CC116">
            <v>0</v>
          </cell>
          <cell r="CE116">
            <v>0</v>
          </cell>
          <cell r="CG116">
            <v>0</v>
          </cell>
          <cell r="CI116">
            <v>0</v>
          </cell>
          <cell r="CK116">
            <v>0</v>
          </cell>
          <cell r="CM116">
            <v>0</v>
          </cell>
          <cell r="CO116">
            <v>0</v>
          </cell>
          <cell r="CQ116">
            <v>0</v>
          </cell>
        </row>
        <row r="117">
          <cell r="BO117">
            <v>0</v>
          </cell>
          <cell r="BQ117">
            <v>0</v>
          </cell>
          <cell r="BS117">
            <v>0</v>
          </cell>
          <cell r="BU117">
            <v>0</v>
          </cell>
          <cell r="BW117">
            <v>0</v>
          </cell>
          <cell r="BY117">
            <v>0</v>
          </cell>
          <cell r="CA117">
            <v>0</v>
          </cell>
          <cell r="CC117">
            <v>0</v>
          </cell>
          <cell r="CE117">
            <v>0</v>
          </cell>
          <cell r="CG117">
            <v>0</v>
          </cell>
          <cell r="CI117">
            <v>0</v>
          </cell>
          <cell r="CK117">
            <v>0</v>
          </cell>
          <cell r="CM117">
            <v>0</v>
          </cell>
          <cell r="CO117">
            <v>0</v>
          </cell>
          <cell r="CQ117">
            <v>0</v>
          </cell>
        </row>
        <row r="118">
          <cell r="BO118">
            <v>0</v>
          </cell>
          <cell r="BQ118">
            <v>0</v>
          </cell>
          <cell r="BS118">
            <v>0</v>
          </cell>
          <cell r="BU118">
            <v>0</v>
          </cell>
          <cell r="BW118">
            <v>0</v>
          </cell>
          <cell r="BY118">
            <v>0</v>
          </cell>
          <cell r="CA118">
            <v>0</v>
          </cell>
          <cell r="CC118">
            <v>0</v>
          </cell>
          <cell r="CE118">
            <v>0</v>
          </cell>
          <cell r="CG118">
            <v>0</v>
          </cell>
          <cell r="CI118">
            <v>0</v>
          </cell>
          <cell r="CK118">
            <v>0</v>
          </cell>
          <cell r="CM118">
            <v>0</v>
          </cell>
          <cell r="CO118">
            <v>0</v>
          </cell>
          <cell r="CQ118">
            <v>0</v>
          </cell>
        </row>
        <row r="119">
          <cell r="BO119">
            <v>0</v>
          </cell>
          <cell r="BQ119">
            <v>0</v>
          </cell>
          <cell r="BS119">
            <v>0</v>
          </cell>
          <cell r="BU119">
            <v>0</v>
          </cell>
          <cell r="BW119">
            <v>0</v>
          </cell>
          <cell r="BY119">
            <v>0</v>
          </cell>
          <cell r="CA119">
            <v>0</v>
          </cell>
          <cell r="CC119">
            <v>0</v>
          </cell>
          <cell r="CE119">
            <v>0</v>
          </cell>
          <cell r="CG119">
            <v>0</v>
          </cell>
          <cell r="CI119">
            <v>0</v>
          </cell>
          <cell r="CK119">
            <v>0</v>
          </cell>
          <cell r="CM119">
            <v>0</v>
          </cell>
          <cell r="CO119">
            <v>0</v>
          </cell>
          <cell r="CQ119">
            <v>0</v>
          </cell>
        </row>
        <row r="120">
          <cell r="BO120">
            <v>0</v>
          </cell>
          <cell r="BQ120">
            <v>0</v>
          </cell>
          <cell r="BS120">
            <v>0</v>
          </cell>
          <cell r="BU120">
            <v>0</v>
          </cell>
          <cell r="BW120">
            <v>0</v>
          </cell>
          <cell r="BY120">
            <v>0</v>
          </cell>
          <cell r="CA120">
            <v>3</v>
          </cell>
          <cell r="CC120">
            <v>7.5</v>
          </cell>
          <cell r="CE120">
            <v>7</v>
          </cell>
          <cell r="CG120">
            <v>17.5</v>
          </cell>
          <cell r="CI120">
            <v>7</v>
          </cell>
          <cell r="CK120">
            <v>4</v>
          </cell>
          <cell r="CM120">
            <v>0</v>
          </cell>
          <cell r="CO120">
            <v>0</v>
          </cell>
          <cell r="CQ120">
            <v>11</v>
          </cell>
        </row>
        <row r="128">
          <cell r="P128" t="str">
            <v>Sanmina Corporation</v>
          </cell>
        </row>
        <row r="129">
          <cell r="P129" t="str">
            <v>Full Year Revenue Analysis</v>
          </cell>
        </row>
        <row r="130">
          <cell r="P130" t="str">
            <v>($ In Millions Except Per Share Data)</v>
          </cell>
        </row>
        <row r="132">
          <cell r="L132" t="str">
            <v xml:space="preserve">    1995A</v>
          </cell>
          <cell r="M132" t="str">
            <v xml:space="preserve">   % Chg.</v>
          </cell>
          <cell r="N132" t="str">
            <v xml:space="preserve">    1996A</v>
          </cell>
          <cell r="O132" t="str">
            <v xml:space="preserve">   % Chg.</v>
          </cell>
          <cell r="P132" t="str">
            <v xml:space="preserve">    1997A</v>
          </cell>
          <cell r="Q132" t="str">
            <v xml:space="preserve">   % Chg.</v>
          </cell>
          <cell r="R132" t="str">
            <v xml:space="preserve">    1998A</v>
          </cell>
          <cell r="S132" t="str">
            <v xml:space="preserve">   % Chg.</v>
          </cell>
          <cell r="T132" t="str">
            <v xml:space="preserve">    1999E</v>
          </cell>
          <cell r="U132" t="str">
            <v xml:space="preserve">   % Chg.</v>
          </cell>
          <cell r="V132" t="str">
            <v xml:space="preserve">    2000E</v>
          </cell>
          <cell r="W132" t="str">
            <v xml:space="preserve">   % Chg.</v>
          </cell>
        </row>
        <row r="133">
          <cell r="L133">
            <v>271.75700000000001</v>
          </cell>
          <cell r="M133">
            <v>0.28913925191527712</v>
          </cell>
          <cell r="N133">
            <v>391.98200000000003</v>
          </cell>
          <cell r="O133">
            <v>0.4423989078478201</v>
          </cell>
          <cell r="P133">
            <v>559.78700000000015</v>
          </cell>
          <cell r="Q133">
            <v>0.42809363695271752</v>
          </cell>
          <cell r="R133">
            <v>707.58100000000013</v>
          </cell>
          <cell r="S133">
            <v>0.26401827838088399</v>
          </cell>
          <cell r="T133">
            <v>912.5</v>
          </cell>
          <cell r="U133">
            <v>0.28960500635262942</v>
          </cell>
          <cell r="V133">
            <v>1185</v>
          </cell>
          <cell r="W133">
            <v>0.29863013698630136</v>
          </cell>
        </row>
        <row r="134">
          <cell r="L134">
            <v>0</v>
          </cell>
          <cell r="M134" t="str">
            <v xml:space="preserve">      N.M.</v>
          </cell>
          <cell r="N134">
            <v>0</v>
          </cell>
          <cell r="O134" t="str">
            <v xml:space="preserve">      N.M.</v>
          </cell>
          <cell r="P134">
            <v>10</v>
          </cell>
          <cell r="Q134" t="str">
            <v xml:space="preserve">      N.M.</v>
          </cell>
          <cell r="R134">
            <v>15</v>
          </cell>
          <cell r="S134">
            <v>0.5</v>
          </cell>
          <cell r="T134">
            <v>30</v>
          </cell>
          <cell r="U134">
            <v>1</v>
          </cell>
          <cell r="V134">
            <v>50</v>
          </cell>
          <cell r="W134">
            <v>0.66666666666666674</v>
          </cell>
        </row>
        <row r="135">
          <cell r="L135">
            <v>0</v>
          </cell>
          <cell r="M135" t="str">
            <v xml:space="preserve">      N.M.</v>
          </cell>
          <cell r="N135">
            <v>0</v>
          </cell>
          <cell r="O135" t="str">
            <v xml:space="preserve">      N.M.</v>
          </cell>
          <cell r="P135">
            <v>0</v>
          </cell>
          <cell r="Q135" t="str">
            <v xml:space="preserve">      N.M.</v>
          </cell>
          <cell r="R135">
            <v>0</v>
          </cell>
          <cell r="S135" t="str">
            <v xml:space="preserve">      N.M.</v>
          </cell>
          <cell r="T135">
            <v>0</v>
          </cell>
          <cell r="U135" t="str">
            <v xml:space="preserve">      N.M.</v>
          </cell>
          <cell r="V135">
            <v>0</v>
          </cell>
          <cell r="W135" t="str">
            <v xml:space="preserve">      N.M.</v>
          </cell>
        </row>
        <row r="136">
          <cell r="L136">
            <v>0</v>
          </cell>
          <cell r="M136" t="str">
            <v xml:space="preserve">      N.M.</v>
          </cell>
          <cell r="N136">
            <v>0</v>
          </cell>
          <cell r="O136" t="str">
            <v xml:space="preserve">      N.M.</v>
          </cell>
          <cell r="P136">
            <v>0</v>
          </cell>
          <cell r="Q136" t="str">
            <v xml:space="preserve">      N.M.</v>
          </cell>
          <cell r="R136">
            <v>0</v>
          </cell>
          <cell r="S136" t="str">
            <v xml:space="preserve">      N.M.</v>
          </cell>
          <cell r="T136">
            <v>0</v>
          </cell>
          <cell r="U136" t="str">
            <v xml:space="preserve">      N.M.</v>
          </cell>
          <cell r="V136">
            <v>0</v>
          </cell>
          <cell r="W136" t="str">
            <v xml:space="preserve">      N.M.</v>
          </cell>
        </row>
        <row r="137">
          <cell r="L137">
            <v>0</v>
          </cell>
          <cell r="M137" t="str">
            <v xml:space="preserve">      N.M.</v>
          </cell>
          <cell r="N137">
            <v>0</v>
          </cell>
          <cell r="O137" t="str">
            <v xml:space="preserve">      N.M.</v>
          </cell>
          <cell r="P137">
            <v>0</v>
          </cell>
          <cell r="Q137" t="str">
            <v xml:space="preserve">      N.M.</v>
          </cell>
          <cell r="R137">
            <v>0</v>
          </cell>
          <cell r="S137" t="str">
            <v xml:space="preserve">      N.M.</v>
          </cell>
          <cell r="T137">
            <v>0</v>
          </cell>
          <cell r="U137" t="str">
            <v xml:space="preserve">      N.M.</v>
          </cell>
          <cell r="V137">
            <v>0</v>
          </cell>
          <cell r="W137" t="str">
            <v xml:space="preserve">      N.M.</v>
          </cell>
        </row>
        <row r="138">
          <cell r="L138">
            <v>271.75700000000001</v>
          </cell>
          <cell r="M138">
            <v>0.28913925191527712</v>
          </cell>
          <cell r="N138">
            <v>391.98200000000003</v>
          </cell>
          <cell r="O138">
            <v>0.4423989078478201</v>
          </cell>
          <cell r="P138">
            <v>569.78700000000015</v>
          </cell>
          <cell r="Q138">
            <v>0.4536050124750628</v>
          </cell>
          <cell r="R138">
            <v>722.58100000000013</v>
          </cell>
          <cell r="S138">
            <v>0.26815985622697602</v>
          </cell>
          <cell r="T138">
            <v>942.5</v>
          </cell>
          <cell r="U138">
            <v>0.30435203804140976</v>
          </cell>
          <cell r="V138">
            <v>1235</v>
          </cell>
          <cell r="W138">
            <v>0.31034482758620685</v>
          </cell>
        </row>
        <row r="139">
          <cell r="L139">
            <v>271.75700000000001</v>
          </cell>
          <cell r="M139">
            <v>0.28913925191527712</v>
          </cell>
          <cell r="N139">
            <v>391.98200000000003</v>
          </cell>
          <cell r="O139">
            <v>0.4423989078478201</v>
          </cell>
          <cell r="P139">
            <v>569.78700000000015</v>
          </cell>
          <cell r="Q139">
            <v>0.4536050124750628</v>
          </cell>
          <cell r="R139">
            <v>722.58100000000013</v>
          </cell>
          <cell r="S139">
            <v>0.26815985622697602</v>
          </cell>
          <cell r="T139">
            <v>942.5</v>
          </cell>
          <cell r="U139">
            <v>0.30435203804140976</v>
          </cell>
          <cell r="V139">
            <v>1235</v>
          </cell>
          <cell r="W139">
            <v>0.31034482758620685</v>
          </cell>
        </row>
        <row r="141">
          <cell r="L141">
            <v>31.510000000000012</v>
          </cell>
          <cell r="M141" t="str">
            <v xml:space="preserve">     N.M.</v>
          </cell>
          <cell r="N141">
            <v>53.984000000000052</v>
          </cell>
          <cell r="O141">
            <v>0.71323389400190518</v>
          </cell>
          <cell r="P141">
            <v>57.257000000000133</v>
          </cell>
          <cell r="Q141">
            <v>6.0629075281566358E-2</v>
          </cell>
          <cell r="R141">
            <v>107.41400000000013</v>
          </cell>
          <cell r="S141">
            <v>0.8759976946050243</v>
          </cell>
          <cell r="T141">
            <v>153.37024999999988</v>
          </cell>
          <cell r="U141">
            <v>0.42784227381905238</v>
          </cell>
          <cell r="V141">
            <v>196.72150000000002</v>
          </cell>
          <cell r="W141">
            <v>0.28265749061503231</v>
          </cell>
        </row>
        <row r="142">
          <cell r="L142">
            <v>0</v>
          </cell>
          <cell r="M142" t="str">
            <v xml:space="preserve">      N.M.</v>
          </cell>
          <cell r="N142">
            <v>0</v>
          </cell>
          <cell r="O142" t="str">
            <v xml:space="preserve">      N.M.</v>
          </cell>
          <cell r="P142">
            <v>-0.4</v>
          </cell>
          <cell r="Q142" t="str">
            <v xml:space="preserve">      N.M.</v>
          </cell>
          <cell r="R142">
            <v>-7.4999999999999997E-2</v>
          </cell>
          <cell r="S142">
            <v>-0.8125</v>
          </cell>
          <cell r="T142">
            <v>0.6</v>
          </cell>
          <cell r="U142" t="str">
            <v xml:space="preserve">     N.M.</v>
          </cell>
          <cell r="V142">
            <v>2.5</v>
          </cell>
          <cell r="W142">
            <v>3.166666666666667</v>
          </cell>
        </row>
        <row r="143">
          <cell r="L143">
            <v>0</v>
          </cell>
          <cell r="M143" t="str">
            <v xml:space="preserve">      N.M.</v>
          </cell>
          <cell r="N143">
            <v>0</v>
          </cell>
          <cell r="O143" t="str">
            <v xml:space="preserve">      N.M.</v>
          </cell>
          <cell r="P143">
            <v>0</v>
          </cell>
          <cell r="Q143" t="str">
            <v xml:space="preserve">      N.M.</v>
          </cell>
          <cell r="R143">
            <v>0</v>
          </cell>
          <cell r="S143" t="str">
            <v xml:space="preserve">      N.M.</v>
          </cell>
          <cell r="T143">
            <v>0</v>
          </cell>
          <cell r="U143" t="str">
            <v xml:space="preserve">      N.M.</v>
          </cell>
          <cell r="V143">
            <v>0</v>
          </cell>
          <cell r="W143" t="str">
            <v xml:space="preserve">      N.M.</v>
          </cell>
        </row>
        <row r="144">
          <cell r="L144">
            <v>0</v>
          </cell>
          <cell r="M144" t="str">
            <v xml:space="preserve">      N.M.</v>
          </cell>
          <cell r="N144">
            <v>0</v>
          </cell>
          <cell r="O144" t="str">
            <v xml:space="preserve">      N.M.</v>
          </cell>
          <cell r="P144">
            <v>0</v>
          </cell>
          <cell r="Q144" t="str">
            <v xml:space="preserve">      N.M.</v>
          </cell>
          <cell r="R144">
            <v>0</v>
          </cell>
          <cell r="S144" t="str">
            <v xml:space="preserve">      N.M.</v>
          </cell>
          <cell r="T144">
            <v>0</v>
          </cell>
          <cell r="U144" t="str">
            <v xml:space="preserve">      N.M.</v>
          </cell>
          <cell r="V144">
            <v>0</v>
          </cell>
          <cell r="W144" t="str">
            <v xml:space="preserve">      N.M.</v>
          </cell>
        </row>
        <row r="145">
          <cell r="L145">
            <v>0</v>
          </cell>
          <cell r="M145" t="str">
            <v xml:space="preserve">      N.M.</v>
          </cell>
          <cell r="N145">
            <v>0</v>
          </cell>
          <cell r="O145" t="str">
            <v xml:space="preserve">      N.M.</v>
          </cell>
          <cell r="P145">
            <v>0</v>
          </cell>
          <cell r="Q145" t="str">
            <v xml:space="preserve">      N.M.</v>
          </cell>
          <cell r="R145">
            <v>0</v>
          </cell>
          <cell r="S145" t="str">
            <v xml:space="preserve">      N.M.</v>
          </cell>
          <cell r="T145">
            <v>0</v>
          </cell>
          <cell r="U145" t="str">
            <v xml:space="preserve">      N.M.</v>
          </cell>
          <cell r="V145">
            <v>0</v>
          </cell>
          <cell r="W145" t="str">
            <v xml:space="preserve">      N.M.</v>
          </cell>
        </row>
        <row r="146">
          <cell r="L146">
            <v>31.510000000000012</v>
          </cell>
          <cell r="M146" t="str">
            <v xml:space="preserve">     N.M.</v>
          </cell>
          <cell r="N146">
            <v>53.984000000000052</v>
          </cell>
          <cell r="O146">
            <v>0.71323389400190518</v>
          </cell>
          <cell r="P146">
            <v>56.857000000000134</v>
          </cell>
          <cell r="Q146">
            <v>5.3219472436278892E-2</v>
          </cell>
          <cell r="R146">
            <v>107.33900000000013</v>
          </cell>
          <cell r="S146">
            <v>0.88787660270502977</v>
          </cell>
          <cell r="T146">
            <v>153.97024999999988</v>
          </cell>
          <cell r="U146">
            <v>0.43442970402183456</v>
          </cell>
          <cell r="V146">
            <v>199.22150000000002</v>
          </cell>
          <cell r="W146">
            <v>0.29389606108972455</v>
          </cell>
        </row>
        <row r="147">
          <cell r="L147">
            <v>31.510000000000012</v>
          </cell>
          <cell r="M147" t="str">
            <v xml:space="preserve">     N.M.</v>
          </cell>
          <cell r="N147">
            <v>53.984000000000052</v>
          </cell>
          <cell r="O147">
            <v>0.71323389400190518</v>
          </cell>
          <cell r="P147">
            <v>56.857000000000134</v>
          </cell>
          <cell r="Q147">
            <v>5.3219472436278892E-2</v>
          </cell>
          <cell r="R147">
            <v>107.33900000000013</v>
          </cell>
          <cell r="S147">
            <v>0.88787660270502977</v>
          </cell>
          <cell r="T147">
            <v>153.97024999999988</v>
          </cell>
          <cell r="U147">
            <v>0.43442970402183456</v>
          </cell>
          <cell r="V147">
            <v>199.22150000000002</v>
          </cell>
          <cell r="W147">
            <v>0.29389606108972455</v>
          </cell>
        </row>
        <row r="149">
          <cell r="L149">
            <v>0.11594917518224006</v>
          </cell>
          <cell r="N149">
            <v>0.1377206096198296</v>
          </cell>
          <cell r="P149">
            <v>0.10228354713489259</v>
          </cell>
          <cell r="R149">
            <v>0.15180452838614958</v>
          </cell>
          <cell r="T149">
            <v>0.16807698630136975</v>
          </cell>
          <cell r="V149">
            <v>0.16600970464135023</v>
          </cell>
        </row>
        <row r="150">
          <cell r="L150" t="e">
            <v>#DIV/0!</v>
          </cell>
          <cell r="N150">
            <v>0</v>
          </cell>
          <cell r="P150">
            <v>-0.04</v>
          </cell>
          <cell r="R150">
            <v>-5.0000000000000001E-3</v>
          </cell>
          <cell r="T150">
            <v>0.02</v>
          </cell>
          <cell r="V150">
            <v>0.05</v>
          </cell>
        </row>
        <row r="151">
          <cell r="L151" t="e">
            <v>#DIV/0!</v>
          </cell>
          <cell r="N151">
            <v>0</v>
          </cell>
          <cell r="P151">
            <v>0</v>
          </cell>
          <cell r="R151">
            <v>0</v>
          </cell>
          <cell r="T151">
            <v>0</v>
          </cell>
          <cell r="V151">
            <v>0</v>
          </cell>
        </row>
        <row r="152">
          <cell r="L152" t="e">
            <v>#DIV/0!</v>
          </cell>
          <cell r="N152">
            <v>0</v>
          </cell>
          <cell r="P152">
            <v>0</v>
          </cell>
          <cell r="R152">
            <v>0</v>
          </cell>
          <cell r="T152">
            <v>0</v>
          </cell>
          <cell r="V152">
            <v>0</v>
          </cell>
        </row>
        <row r="153">
          <cell r="L153" t="e">
            <v>#DIV/0!</v>
          </cell>
          <cell r="N153">
            <v>0</v>
          </cell>
          <cell r="P153">
            <v>0</v>
          </cell>
          <cell r="R153">
            <v>0</v>
          </cell>
          <cell r="T153">
            <v>0</v>
          </cell>
          <cell r="V153">
            <v>0</v>
          </cell>
        </row>
        <row r="154">
          <cell r="L154">
            <v>0.11594917518224006</v>
          </cell>
          <cell r="N154">
            <v>0.1377206096198296</v>
          </cell>
          <cell r="P154">
            <v>9.9786411413388024E-2</v>
          </cell>
          <cell r="R154">
            <v>0.14854943598018783</v>
          </cell>
          <cell r="T154">
            <v>0.16336366047745346</v>
          </cell>
          <cell r="V154">
            <v>0.16131295546558705</v>
          </cell>
        </row>
        <row r="155">
          <cell r="L155">
            <v>0.11594917518224006</v>
          </cell>
          <cell r="N155">
            <v>0.1377206096198296</v>
          </cell>
          <cell r="P155">
            <v>9.9786411413388024E-2</v>
          </cell>
          <cell r="R155">
            <v>0.14854943598018783</v>
          </cell>
          <cell r="T155">
            <v>0.16336366047745346</v>
          </cell>
          <cell r="V155">
            <v>0.16131295546558705</v>
          </cell>
        </row>
        <row r="157">
          <cell r="L157">
            <v>166.89819</v>
          </cell>
          <cell r="M157">
            <v>-0.20828163468608429</v>
          </cell>
          <cell r="N157">
            <v>216.17180000000002</v>
          </cell>
          <cell r="O157">
            <v>0.29523154205566882</v>
          </cell>
          <cell r="P157">
            <v>306.25542000000019</v>
          </cell>
          <cell r="Q157">
            <v>0.41672234768827465</v>
          </cell>
          <cell r="R157">
            <v>386.19915400000014</v>
          </cell>
          <cell r="S157">
            <v>0.26103614427460542</v>
          </cell>
          <cell r="T157">
            <v>537.40499999999997</v>
          </cell>
          <cell r="U157">
            <v>0.39152298609126368</v>
          </cell>
          <cell r="V157">
            <v>727.27499999999998</v>
          </cell>
          <cell r="W157">
            <v>0.35330895693192277</v>
          </cell>
        </row>
        <row r="158">
          <cell r="L158">
            <v>46.83605</v>
          </cell>
          <cell r="M158" t="str">
            <v xml:space="preserve">      N.M.</v>
          </cell>
          <cell r="N158">
            <v>79.086479999999995</v>
          </cell>
          <cell r="O158">
            <v>0.68858133852022085</v>
          </cell>
          <cell r="P158">
            <v>130.22662</v>
          </cell>
          <cell r="Q158">
            <v>0.64663568286260831</v>
          </cell>
          <cell r="R158">
            <v>208.09353800000002</v>
          </cell>
          <cell r="S158">
            <v>0.59793395543860406</v>
          </cell>
          <cell r="T158">
            <v>269.49250000000001</v>
          </cell>
          <cell r="U158">
            <v>0.29505463067286586</v>
          </cell>
          <cell r="V158">
            <v>345.8</v>
          </cell>
          <cell r="W158">
            <v>0.28315259237270052</v>
          </cell>
        </row>
        <row r="159">
          <cell r="L159">
            <v>36.063380000000002</v>
          </cell>
          <cell r="M159" t="str">
            <v xml:space="preserve">      N.M.</v>
          </cell>
          <cell r="N159">
            <v>64.804479999999998</v>
          </cell>
          <cell r="O159">
            <v>0.79696079513345652</v>
          </cell>
          <cell r="P159">
            <v>75.850619999999992</v>
          </cell>
          <cell r="Q159">
            <v>0.17045333902841286</v>
          </cell>
          <cell r="R159">
            <v>83.371878000000009</v>
          </cell>
          <cell r="S159">
            <v>9.915882032342016E-2</v>
          </cell>
          <cell r="T159">
            <v>81.577500000000001</v>
          </cell>
          <cell r="U159">
            <v>-2.1522581031460097E-2</v>
          </cell>
          <cell r="V159">
            <v>98.8</v>
          </cell>
          <cell r="W159">
            <v>0.21111826177561221</v>
          </cell>
        </row>
        <row r="160">
          <cell r="L160">
            <v>21.118320000000001</v>
          </cell>
          <cell r="M160" t="str">
            <v xml:space="preserve">      N.M.</v>
          </cell>
          <cell r="N160">
            <v>30.765319999999999</v>
          </cell>
          <cell r="O160">
            <v>0.45680717026733175</v>
          </cell>
          <cell r="P160">
            <v>57.454340000000002</v>
          </cell>
          <cell r="Q160">
            <v>0.86750340968337092</v>
          </cell>
          <cell r="R160">
            <v>44.916430000000005</v>
          </cell>
          <cell r="S160">
            <v>-0.21822389744621551</v>
          </cell>
          <cell r="T160">
            <v>54.024999999999999</v>
          </cell>
          <cell r="U160">
            <v>0.20278926887110105</v>
          </cell>
          <cell r="V160">
            <v>63.125</v>
          </cell>
          <cell r="W160">
            <v>0.16844053678852378</v>
          </cell>
        </row>
        <row r="161">
          <cell r="L161">
            <v>0</v>
          </cell>
          <cell r="M161" t="str">
            <v xml:space="preserve">      N.M.</v>
          </cell>
          <cell r="N161">
            <v>0</v>
          </cell>
          <cell r="O161" t="str">
            <v xml:space="preserve">      N.M.</v>
          </cell>
          <cell r="P161">
            <v>0</v>
          </cell>
          <cell r="Q161" t="str">
            <v xml:space="preserve">      N.M.</v>
          </cell>
          <cell r="R161">
            <v>0</v>
          </cell>
          <cell r="S161" t="str">
            <v xml:space="preserve">      N.M.</v>
          </cell>
          <cell r="T161">
            <v>0</v>
          </cell>
          <cell r="U161" t="str">
            <v xml:space="preserve">      N.M.</v>
          </cell>
          <cell r="V161">
            <v>0</v>
          </cell>
          <cell r="W161" t="str">
            <v xml:space="preserve">      N.M.</v>
          </cell>
        </row>
        <row r="162">
          <cell r="L162">
            <v>0.84106000000000003</v>
          </cell>
          <cell r="M162" t="str">
            <v xml:space="preserve">      N.M.</v>
          </cell>
          <cell r="N162">
            <v>1.1539200000000001</v>
          </cell>
          <cell r="O162">
            <v>0.37198297386631163</v>
          </cell>
          <cell r="P162">
            <v>7.1054273576010003E-15</v>
          </cell>
          <cell r="Q162">
            <v>-0.99999999999999389</v>
          </cell>
          <cell r="R162">
            <v>0</v>
          </cell>
          <cell r="S162">
            <v>-1</v>
          </cell>
          <cell r="T162">
            <v>0</v>
          </cell>
          <cell r="U162" t="str">
            <v xml:space="preserve">      N.M.</v>
          </cell>
          <cell r="V162">
            <v>0</v>
          </cell>
          <cell r="W162" t="str">
            <v xml:space="preserve">      N.M.</v>
          </cell>
        </row>
        <row r="163">
          <cell r="L163">
            <v>271.75700000000001</v>
          </cell>
          <cell r="M163">
            <v>0.28913925191527712</v>
          </cell>
          <cell r="N163">
            <v>391.98200000000003</v>
          </cell>
          <cell r="O163">
            <v>0.4423989078478201</v>
          </cell>
          <cell r="P163">
            <v>569.78700000000015</v>
          </cell>
          <cell r="Q163">
            <v>0.4536050124750628</v>
          </cell>
          <cell r="R163">
            <v>722.58100000000013</v>
          </cell>
          <cell r="S163">
            <v>0.26815985622697602</v>
          </cell>
          <cell r="T163">
            <v>942.5</v>
          </cell>
          <cell r="U163">
            <v>0.30435203804140976</v>
          </cell>
          <cell r="V163">
            <v>1235</v>
          </cell>
          <cell r="W163">
            <v>0.31034482758620685</v>
          </cell>
        </row>
        <row r="165">
          <cell r="L165">
            <v>0.61414495302788885</v>
          </cell>
          <cell r="M165">
            <v>-0.20828163468608429</v>
          </cell>
          <cell r="N165">
            <v>0.55148399671413484</v>
          </cell>
          <cell r="O165">
            <v>0.29523154205566882</v>
          </cell>
          <cell r="P165">
            <v>0.53749106244965239</v>
          </cell>
          <cell r="Q165">
            <v>0.41672234768827465</v>
          </cell>
          <cell r="R165">
            <v>0.53447178101832193</v>
          </cell>
          <cell r="S165">
            <v>0.26103614427460542</v>
          </cell>
          <cell r="T165">
            <v>0.57019098143236069</v>
          </cell>
          <cell r="U165">
            <v>0.39152298609126368</v>
          </cell>
          <cell r="V165">
            <v>0.58888663967611332</v>
          </cell>
          <cell r="W165">
            <v>0.35330895693192277</v>
          </cell>
        </row>
        <row r="166">
          <cell r="L166">
            <v>0.17234533057106163</v>
          </cell>
          <cell r="M166" t="str">
            <v xml:space="preserve">      N.M.</v>
          </cell>
          <cell r="N166">
            <v>0.20176048900204599</v>
          </cell>
          <cell r="O166">
            <v>0.68858133852022085</v>
          </cell>
          <cell r="P166">
            <v>0.22855316109353138</v>
          </cell>
          <cell r="Q166">
            <v>0.64663568286260831</v>
          </cell>
          <cell r="R166">
            <v>0.28798645134593903</v>
          </cell>
          <cell r="S166">
            <v>0.59793395543860384</v>
          </cell>
          <cell r="T166">
            <v>0.28593368700265254</v>
          </cell>
          <cell r="U166">
            <v>0.29505463067286608</v>
          </cell>
          <cell r="V166">
            <v>0.28000000000000003</v>
          </cell>
          <cell r="W166">
            <v>0.28315259237270052</v>
          </cell>
        </row>
        <row r="167">
          <cell r="L167">
            <v>0.13270451175130724</v>
          </cell>
          <cell r="M167" t="str">
            <v xml:space="preserve">      N.M.</v>
          </cell>
          <cell r="N167">
            <v>0.16532514248103228</v>
          </cell>
          <cell r="O167">
            <v>0.79696079513345652</v>
          </cell>
          <cell r="P167">
            <v>0.13312100837681445</v>
          </cell>
          <cell r="Q167">
            <v>0.17045333902841286</v>
          </cell>
          <cell r="R167">
            <v>0.11538066735770798</v>
          </cell>
          <cell r="S167">
            <v>9.915882032342016E-2</v>
          </cell>
          <cell r="T167">
            <v>8.6554376657824936E-2</v>
          </cell>
          <cell r="U167">
            <v>-2.1522581031460097E-2</v>
          </cell>
          <cell r="V167">
            <v>0.08</v>
          </cell>
          <cell r="W167">
            <v>0.21111826177561221</v>
          </cell>
        </row>
        <row r="168">
          <cell r="L168">
            <v>7.7710307370187331E-2</v>
          </cell>
          <cell r="M168" t="str">
            <v xml:space="preserve">      N.M.</v>
          </cell>
          <cell r="N168">
            <v>7.8486563158512379E-2</v>
          </cell>
          <cell r="O168">
            <v>0.45680717026733197</v>
          </cell>
          <cell r="P168">
            <v>0.1008347680800018</v>
          </cell>
          <cell r="Q168">
            <v>0.8675034096833707</v>
          </cell>
          <cell r="R168">
            <v>6.2161100278031109E-2</v>
          </cell>
          <cell r="S168">
            <v>-0.21822389744621551</v>
          </cell>
          <cell r="T168">
            <v>5.7320954907161804E-2</v>
          </cell>
          <cell r="U168">
            <v>0.20278926887110105</v>
          </cell>
          <cell r="V168">
            <v>5.1113360323886636E-2</v>
          </cell>
          <cell r="W168">
            <v>0.16844053678852378</v>
          </cell>
        </row>
        <row r="169">
          <cell r="L169">
            <v>0</v>
          </cell>
          <cell r="M169" t="str">
            <v xml:space="preserve">      N.M.</v>
          </cell>
          <cell r="N169">
            <v>0</v>
          </cell>
          <cell r="O169" t="str">
            <v xml:space="preserve">      N.M.</v>
          </cell>
          <cell r="P169">
            <v>0</v>
          </cell>
          <cell r="Q169" t="str">
            <v xml:space="preserve">      N.M.</v>
          </cell>
          <cell r="R169">
            <v>0</v>
          </cell>
          <cell r="S169" t="str">
            <v xml:space="preserve">      N.M.</v>
          </cell>
          <cell r="T169">
            <v>0</v>
          </cell>
          <cell r="U169" t="str">
            <v xml:space="preserve">      N.M.</v>
          </cell>
          <cell r="V169">
            <v>0</v>
          </cell>
          <cell r="W169" t="str">
            <v xml:space="preserve">      N.M.</v>
          </cell>
        </row>
        <row r="170">
          <cell r="L170">
            <v>3.0948972795548967E-3</v>
          </cell>
          <cell r="M170" t="str">
            <v xml:space="preserve">      N.M.</v>
          </cell>
          <cell r="N170">
            <v>2.9438086442744819E-3</v>
          </cell>
          <cell r="O170">
            <v>0.37198297386631163</v>
          </cell>
          <cell r="P170">
            <v>1.2470321993308023E-17</v>
          </cell>
          <cell r="Q170">
            <v>-0.99999999999999389</v>
          </cell>
          <cell r="R170">
            <v>0</v>
          </cell>
          <cell r="S170">
            <v>-1</v>
          </cell>
          <cell r="T170">
            <v>0</v>
          </cell>
          <cell r="U170" t="str">
            <v xml:space="preserve">      N.M.</v>
          </cell>
          <cell r="V170">
            <v>0</v>
          </cell>
          <cell r="W170" t="str">
            <v xml:space="preserve">      N.M.</v>
          </cell>
        </row>
        <row r="171">
          <cell r="L171">
            <v>1</v>
          </cell>
          <cell r="M171">
            <v>0.28913925191527712</v>
          </cell>
          <cell r="N171">
            <v>1</v>
          </cell>
          <cell r="O171">
            <v>0.4423989078478201</v>
          </cell>
          <cell r="P171">
            <v>1</v>
          </cell>
          <cell r="Q171">
            <v>0.4536050124750628</v>
          </cell>
          <cell r="R171">
            <v>1</v>
          </cell>
          <cell r="S171">
            <v>0.26815985622697602</v>
          </cell>
          <cell r="T171">
            <v>1</v>
          </cell>
          <cell r="U171">
            <v>0.30435203804140976</v>
          </cell>
          <cell r="V171">
            <v>1</v>
          </cell>
          <cell r="W171">
            <v>0.31034482758620685</v>
          </cell>
        </row>
        <row r="173">
          <cell r="L173">
            <v>27.349281000000012</v>
          </cell>
          <cell r="M173" t="str">
            <v xml:space="preserve">      N.M.</v>
          </cell>
          <cell r="N173">
            <v>135.36521399999998</v>
          </cell>
          <cell r="O173">
            <v>3.9494980873537378</v>
          </cell>
          <cell r="P173">
            <v>118.717918</v>
          </cell>
          <cell r="Q173">
            <v>-0.12298060563772306</v>
          </cell>
          <cell r="R173">
            <v>110.71861000000001</v>
          </cell>
          <cell r="S173">
            <v>-6.738079756418891E-2</v>
          </cell>
          <cell r="T173">
            <v>115.5</v>
          </cell>
          <cell r="U173">
            <v>4.3185061662172064E-2</v>
          </cell>
          <cell r="V173">
            <v>123.5</v>
          </cell>
          <cell r="W173">
            <v>6.9264069264069361E-2</v>
          </cell>
        </row>
        <row r="174">
          <cell r="L174">
            <v>244.40771899999999</v>
          </cell>
          <cell r="M174" t="str">
            <v xml:space="preserve">      N.M.</v>
          </cell>
          <cell r="N174">
            <v>256.61678599999999</v>
          </cell>
          <cell r="O174">
            <v>4.9953688246646699E-2</v>
          </cell>
          <cell r="P174">
            <v>451.98208199999999</v>
          </cell>
          <cell r="Q174">
            <v>0.76131144437293363</v>
          </cell>
          <cell r="R174">
            <v>611.86239</v>
          </cell>
          <cell r="S174">
            <v>0.35373151805606318</v>
          </cell>
          <cell r="T174">
            <v>827</v>
          </cell>
          <cell r="U174">
            <v>0.35161110327438161</v>
          </cell>
          <cell r="V174">
            <v>1111.5</v>
          </cell>
          <cell r="W174">
            <v>0.34401451027811358</v>
          </cell>
        </row>
        <row r="175">
          <cell r="L175">
            <v>0.8993612639232843</v>
          </cell>
          <cell r="N175">
            <v>0.65466471929833503</v>
          </cell>
          <cell r="P175">
            <v>0.79324744509790479</v>
          </cell>
          <cell r="R175">
            <v>0.84677342747733453</v>
          </cell>
          <cell r="T175">
            <v>0.87745358090185677</v>
          </cell>
          <cell r="V175">
            <v>0.9</v>
          </cell>
        </row>
        <row r="178">
          <cell r="L178">
            <v>35.871924</v>
          </cell>
          <cell r="M178" t="str">
            <v xml:space="preserve">      N.M.</v>
          </cell>
          <cell r="N178">
            <v>51.741624000000009</v>
          </cell>
          <cell r="O178">
            <v>0.4423989078478201</v>
          </cell>
          <cell r="P178">
            <v>48.431895000000019</v>
          </cell>
          <cell r="Q178">
            <v>-6.3966469239542856E-2</v>
          </cell>
          <cell r="R178">
            <v>48.41292700000001</v>
          </cell>
          <cell r="S178">
            <v>-3.916427387367083E-4</v>
          </cell>
          <cell r="T178">
            <v>65.975000000000009</v>
          </cell>
          <cell r="U178">
            <v>0.36275586064027898</v>
          </cell>
          <cell r="V178">
            <v>82.745000000000005</v>
          </cell>
          <cell r="W178">
            <v>0.2541871921182266</v>
          </cell>
        </row>
        <row r="179">
          <cell r="L179">
            <v>59.514783000000001</v>
          </cell>
          <cell r="M179">
            <v>-1.9717027189424585E-2</v>
          </cell>
          <cell r="N179">
            <v>98.779464000000004</v>
          </cell>
          <cell r="O179">
            <v>0.65974668848242302</v>
          </cell>
          <cell r="P179">
            <v>100.85229900000002</v>
          </cell>
          <cell r="Q179">
            <v>2.0984473047960694E-2</v>
          </cell>
          <cell r="R179">
            <v>90.322625000000016</v>
          </cell>
          <cell r="S179">
            <v>-0.10440688119563835</v>
          </cell>
          <cell r="T179">
            <v>98.962499999999991</v>
          </cell>
          <cell r="U179">
            <v>9.5655711954784062E-2</v>
          </cell>
          <cell r="V179">
            <v>104.97500000000001</v>
          </cell>
          <cell r="W179">
            <v>6.0755336617405842E-2</v>
          </cell>
        </row>
        <row r="180">
          <cell r="L180">
            <v>0</v>
          </cell>
          <cell r="M180" t="str">
            <v xml:space="preserve">      N.M.</v>
          </cell>
          <cell r="N180">
            <v>0</v>
          </cell>
          <cell r="O180" t="str">
            <v xml:space="preserve">      N.M.</v>
          </cell>
          <cell r="P180">
            <v>48.431895000000019</v>
          </cell>
          <cell r="Q180" t="str">
            <v xml:space="preserve">      N.M.</v>
          </cell>
          <cell r="R180">
            <v>126.45167500000001</v>
          </cell>
          <cell r="S180">
            <v>1.6109173510555381</v>
          </cell>
          <cell r="T180">
            <v>122.52500000000001</v>
          </cell>
          <cell r="U180">
            <v>-3.1052771740667007E-2</v>
          </cell>
          <cell r="V180">
            <v>160.55000000000001</v>
          </cell>
          <cell r="W180">
            <v>0.31034482758620685</v>
          </cell>
        </row>
        <row r="181">
          <cell r="L181">
            <v>0</v>
          </cell>
          <cell r="M181">
            <v>-1</v>
          </cell>
          <cell r="N181">
            <v>0</v>
          </cell>
          <cell r="O181" t="str">
            <v xml:space="preserve">      N.M.</v>
          </cell>
          <cell r="P181">
            <v>25.640415000000004</v>
          </cell>
          <cell r="Q181" t="str">
            <v xml:space="preserve">      N.M.</v>
          </cell>
          <cell r="R181">
            <v>18.064525000000003</v>
          </cell>
          <cell r="S181">
            <v>-0.29546674654056881</v>
          </cell>
          <cell r="T181">
            <v>46.182500000000005</v>
          </cell>
          <cell r="U181">
            <v>1.556529994561163</v>
          </cell>
          <cell r="V181">
            <v>58.045000000000002</v>
          </cell>
          <cell r="W181">
            <v>0.25686136523574943</v>
          </cell>
        </row>
        <row r="182">
          <cell r="L182">
            <v>0</v>
          </cell>
          <cell r="M182" t="str">
            <v xml:space="preserve">      N.M.</v>
          </cell>
          <cell r="N182">
            <v>0</v>
          </cell>
          <cell r="O182" t="str">
            <v xml:space="preserve">      N.M.</v>
          </cell>
          <cell r="P182">
            <v>25.640415000000004</v>
          </cell>
          <cell r="Q182" t="str">
            <v xml:space="preserve">      N.M.</v>
          </cell>
          <cell r="R182">
            <v>46.967765000000007</v>
          </cell>
          <cell r="S182">
            <v>0.83178645899452097</v>
          </cell>
          <cell r="T182">
            <v>81.997499999999988</v>
          </cell>
          <cell r="U182">
            <v>0.74582503553234814</v>
          </cell>
          <cell r="V182">
            <v>96.33</v>
          </cell>
          <cell r="W182">
            <v>0.17479191438763397</v>
          </cell>
        </row>
        <row r="183">
          <cell r="L183">
            <v>0</v>
          </cell>
          <cell r="M183" t="str">
            <v xml:space="preserve">      N.M.</v>
          </cell>
          <cell r="N183">
            <v>0</v>
          </cell>
          <cell r="O183" t="str">
            <v xml:space="preserve">      N.M.</v>
          </cell>
          <cell r="P183">
            <v>0</v>
          </cell>
          <cell r="Q183" t="str">
            <v xml:space="preserve">      N.M.</v>
          </cell>
          <cell r="R183">
            <v>39.741955000000004</v>
          </cell>
          <cell r="S183" t="str">
            <v xml:space="preserve">      N.M.</v>
          </cell>
          <cell r="T183">
            <v>49.952500000000001</v>
          </cell>
          <cell r="U183">
            <v>0.25692105483990391</v>
          </cell>
          <cell r="V183">
            <v>61.75</v>
          </cell>
          <cell r="W183">
            <v>0.23617436564736494</v>
          </cell>
        </row>
        <row r="184">
          <cell r="L184">
            <v>0</v>
          </cell>
          <cell r="M184">
            <v>-1</v>
          </cell>
          <cell r="N184">
            <v>0</v>
          </cell>
          <cell r="O184" t="str">
            <v xml:space="preserve">      N.M.</v>
          </cell>
          <cell r="P184">
            <v>0</v>
          </cell>
          <cell r="Q184" t="str">
            <v xml:space="preserve">      N.M.</v>
          </cell>
          <cell r="R184">
            <v>0</v>
          </cell>
          <cell r="S184" t="str">
            <v xml:space="preserve">      N.M.</v>
          </cell>
          <cell r="T184">
            <v>0</v>
          </cell>
          <cell r="U184" t="str">
            <v xml:space="preserve">      N.M.</v>
          </cell>
          <cell r="V184">
            <v>0</v>
          </cell>
          <cell r="W184" t="str">
            <v xml:space="preserve">      N.M.</v>
          </cell>
        </row>
        <row r="185">
          <cell r="L185">
            <v>0</v>
          </cell>
          <cell r="M185" t="str">
            <v xml:space="preserve">      N.M.</v>
          </cell>
          <cell r="N185">
            <v>0</v>
          </cell>
          <cell r="O185" t="str">
            <v xml:space="preserve">      N.M.</v>
          </cell>
          <cell r="P185">
            <v>0</v>
          </cell>
          <cell r="Q185" t="str">
            <v xml:space="preserve">      N.M.</v>
          </cell>
          <cell r="R185">
            <v>28.903240000000007</v>
          </cell>
          <cell r="S185" t="str">
            <v xml:space="preserve">      N.M.</v>
          </cell>
          <cell r="T185">
            <v>56.55</v>
          </cell>
          <cell r="U185">
            <v>0.95652805706211419</v>
          </cell>
          <cell r="V185">
            <v>74.099999999999994</v>
          </cell>
          <cell r="W185">
            <v>0.31034482758620685</v>
          </cell>
        </row>
        <row r="186">
          <cell r="P186">
            <v>248.99691900000008</v>
          </cell>
          <cell r="Q186" t="str">
            <v xml:space="preserve">      N.M.</v>
          </cell>
          <cell r="R186">
            <v>330.21951700000005</v>
          </cell>
          <cell r="S186">
            <v>0.32619920891470922</v>
          </cell>
          <cell r="T186">
            <v>465.59499999999997</v>
          </cell>
          <cell r="U186">
            <v>0.40995603236861333</v>
          </cell>
          <cell r="V186">
            <v>0</v>
          </cell>
          <cell r="W186">
            <v>-1</v>
          </cell>
        </row>
        <row r="187">
          <cell r="L187">
            <v>0</v>
          </cell>
          <cell r="M187">
            <v>-1</v>
          </cell>
          <cell r="N187">
            <v>0</v>
          </cell>
          <cell r="O187" t="str">
            <v xml:space="preserve">      N.M.</v>
          </cell>
          <cell r="P187">
            <v>0</v>
          </cell>
          <cell r="Q187" t="str">
            <v xml:space="preserve">      N.M.</v>
          </cell>
          <cell r="R187">
            <v>433.8917100000001</v>
          </cell>
          <cell r="S187" t="str">
            <v xml:space="preserve">      N.M.</v>
          </cell>
          <cell r="T187">
            <v>626.96500000000003</v>
          </cell>
          <cell r="U187">
            <v>0.44498036157455023</v>
          </cell>
          <cell r="V187">
            <v>827.45</v>
          </cell>
          <cell r="W187">
            <v>0.31977064110436793</v>
          </cell>
        </row>
        <row r="188">
          <cell r="L188">
            <v>0</v>
          </cell>
          <cell r="M188" t="str">
            <v xml:space="preserve">      N.M.</v>
          </cell>
          <cell r="N188">
            <v>0</v>
          </cell>
          <cell r="O188" t="str">
            <v xml:space="preserve">      N.M.</v>
          </cell>
          <cell r="P188">
            <v>0</v>
          </cell>
          <cell r="Q188" t="str">
            <v xml:space="preserve">      N.M.</v>
          </cell>
          <cell r="R188">
            <v>515.94776000000013</v>
          </cell>
          <cell r="S188" t="str">
            <v xml:space="preserve">      N.M.</v>
          </cell>
          <cell r="T188">
            <v>740.06500000000005</v>
          </cell>
          <cell r="U188">
            <v>0.43437971317096102</v>
          </cell>
          <cell r="V188">
            <v>975.65000000000009</v>
          </cell>
          <cell r="W188">
            <v>0.31833014667630555</v>
          </cell>
        </row>
        <row r="205">
          <cell r="P205" t="str">
            <v>Sanmina Corporation</v>
          </cell>
        </row>
        <row r="206">
          <cell r="P206" t="str">
            <v>Full Year Income Statements</v>
          </cell>
        </row>
        <row r="207">
          <cell r="P207" t="str">
            <v>($ In Millions Except Per Share Data)</v>
          </cell>
        </row>
        <row r="209">
          <cell r="L209" t="str">
            <v xml:space="preserve">    1995A</v>
          </cell>
          <cell r="M209" t="str">
            <v xml:space="preserve">   % Chg.</v>
          </cell>
          <cell r="N209" t="str">
            <v>1996A</v>
          </cell>
          <cell r="O209" t="str">
            <v xml:space="preserve">   % Chg.</v>
          </cell>
          <cell r="P209" t="str">
            <v>1997A</v>
          </cell>
          <cell r="Q209" t="str">
            <v xml:space="preserve">   % Chg.</v>
          </cell>
          <cell r="R209" t="str">
            <v>1998A</v>
          </cell>
          <cell r="S209" t="str">
            <v xml:space="preserve">   % Chg.</v>
          </cell>
          <cell r="T209" t="str">
            <v>1999E</v>
          </cell>
          <cell r="U209" t="str">
            <v xml:space="preserve">   % Chg.</v>
          </cell>
          <cell r="V209" t="str">
            <v>2000E</v>
          </cell>
          <cell r="W209" t="str">
            <v xml:space="preserve">   % Chg.</v>
          </cell>
        </row>
        <row r="210">
          <cell r="L210">
            <v>271.75700000000001</v>
          </cell>
          <cell r="M210">
            <v>0.28913925191527712</v>
          </cell>
          <cell r="N210">
            <v>391.98200000000003</v>
          </cell>
          <cell r="O210">
            <v>0.4423989078478201</v>
          </cell>
          <cell r="P210">
            <v>569.78700000000015</v>
          </cell>
          <cell r="Q210">
            <v>0.4536050124750628</v>
          </cell>
          <cell r="R210">
            <v>722.58100000000013</v>
          </cell>
          <cell r="S210">
            <v>0.26815985622697602</v>
          </cell>
          <cell r="T210">
            <v>942.5</v>
          </cell>
          <cell r="U210">
            <v>0.30435203804140976</v>
          </cell>
          <cell r="V210">
            <v>1235</v>
          </cell>
          <cell r="W210">
            <v>0.31034482758620685</v>
          </cell>
        </row>
        <row r="212">
          <cell r="L212">
            <v>216.81399999999999</v>
          </cell>
          <cell r="M212">
            <v>0.23557637511682494</v>
          </cell>
          <cell r="N212">
            <v>305.22699999999998</v>
          </cell>
          <cell r="O212">
            <v>0.40778270775872394</v>
          </cell>
          <cell r="P212">
            <v>455.57600000000002</v>
          </cell>
          <cell r="Q212">
            <v>0.49258093156896354</v>
          </cell>
          <cell r="R212">
            <v>563.91300000000001</v>
          </cell>
          <cell r="S212">
            <v>0.23780225472808048</v>
          </cell>
          <cell r="T212">
            <v>738.61050000000012</v>
          </cell>
          <cell r="U212">
            <v>0.30979512797186826</v>
          </cell>
          <cell r="V212">
            <v>976.41049999999996</v>
          </cell>
          <cell r="W212">
            <v>0.32195588879389048</v>
          </cell>
        </row>
        <row r="213">
          <cell r="L213">
            <v>0.79782305515589291</v>
          </cell>
          <cell r="N213">
            <v>0.7786760616558922</v>
          </cell>
          <cell r="P213">
            <v>0.79955492140045303</v>
          </cell>
          <cell r="R213">
            <v>0.78041492926052569</v>
          </cell>
          <cell r="T213">
            <v>0.78367161803713536</v>
          </cell>
          <cell r="V213">
            <v>0.79061578947368416</v>
          </cell>
        </row>
        <row r="214">
          <cell r="L214">
            <v>54.943000000000012</v>
          </cell>
          <cell r="M214">
            <v>0.55518129581929987</v>
          </cell>
          <cell r="N214">
            <v>86.755000000000052</v>
          </cell>
          <cell r="O214">
            <v>0.57900005460204262</v>
          </cell>
          <cell r="P214">
            <v>114.21100000000013</v>
          </cell>
          <cell r="Q214">
            <v>0.3164774364589944</v>
          </cell>
          <cell r="R214">
            <v>158.66800000000012</v>
          </cell>
          <cell r="S214">
            <v>0.38925322429538256</v>
          </cell>
          <cell r="T214">
            <v>203.88949999999988</v>
          </cell>
          <cell r="U214">
            <v>0.2850070587642104</v>
          </cell>
          <cell r="V214">
            <v>258.58950000000004</v>
          </cell>
          <cell r="W214">
            <v>0.26828257462988625</v>
          </cell>
        </row>
        <row r="215">
          <cell r="L215">
            <v>0.20217694484410709</v>
          </cell>
          <cell r="N215">
            <v>0.22132393834410777</v>
          </cell>
          <cell r="P215">
            <v>0.20044507859954702</v>
          </cell>
          <cell r="R215">
            <v>0.21958507073947431</v>
          </cell>
          <cell r="T215">
            <v>0.21632838196286461</v>
          </cell>
          <cell r="V215">
            <v>0.20938421052631581</v>
          </cell>
        </row>
        <row r="216">
          <cell r="L216">
            <v>0.32179419871374249</v>
          </cell>
          <cell r="N216">
            <v>0.26460386774797284</v>
          </cell>
          <cell r="P216">
            <v>0.1544163549956416</v>
          </cell>
          <cell r="R216">
            <v>0.2909603780253151</v>
          </cell>
          <cell r="T216">
            <v>0.20562798121126319</v>
          </cell>
          <cell r="V216">
            <v>0.18700854700854755</v>
          </cell>
        </row>
        <row r="217">
          <cell r="L217">
            <v>21.905999999999999</v>
          </cell>
          <cell r="M217">
            <v>0.12876797031998755</v>
          </cell>
          <cell r="N217">
            <v>29.702999999999999</v>
          </cell>
          <cell r="O217">
            <v>0.3559298822240482</v>
          </cell>
          <cell r="P217">
            <v>44.01</v>
          </cell>
          <cell r="Q217">
            <v>0.48166851833148172</v>
          </cell>
          <cell r="R217">
            <v>43.844999999999999</v>
          </cell>
          <cell r="S217">
            <v>-3.7491479209270651E-3</v>
          </cell>
          <cell r="T217">
            <v>53.035250000000005</v>
          </cell>
          <cell r="U217">
            <v>0.20960770897479764</v>
          </cell>
          <cell r="V217">
            <v>63.787999999999997</v>
          </cell>
          <cell r="W217">
            <v>0.20274722943702517</v>
          </cell>
        </row>
        <row r="218">
          <cell r="L218">
            <v>8.0608779166681993E-2</v>
          </cell>
          <cell r="N218">
            <v>7.5776438714022579E-2</v>
          </cell>
          <cell r="P218">
            <v>7.7239389456059876E-2</v>
          </cell>
          <cell r="R218">
            <v>6.0678318416897192E-2</v>
          </cell>
          <cell r="T218">
            <v>5.6270822281167115E-2</v>
          </cell>
          <cell r="V218">
            <v>5.1650202429149798E-2</v>
          </cell>
        </row>
        <row r="220">
          <cell r="L220">
            <v>0.68599999999999994</v>
          </cell>
          <cell r="M220">
            <v>-0.50397686189443247</v>
          </cell>
          <cell r="N220">
            <v>1.7230000000000001</v>
          </cell>
          <cell r="O220">
            <v>1.5116618075801753</v>
          </cell>
          <cell r="P220">
            <v>2.0059999999999998</v>
          </cell>
          <cell r="Q220">
            <v>0.16424840394660456</v>
          </cell>
          <cell r="R220">
            <v>2.851</v>
          </cell>
          <cell r="S220">
            <v>0.42123629112662031</v>
          </cell>
          <cell r="T220">
            <v>3.2839999999999998</v>
          </cell>
          <cell r="U220">
            <v>0.15187653454928096</v>
          </cell>
          <cell r="V220">
            <v>3.28</v>
          </cell>
          <cell r="W220">
            <v>-1.2180267965895553E-3</v>
          </cell>
        </row>
        <row r="221">
          <cell r="L221">
            <v>2.5243140011112866E-3</v>
          </cell>
          <cell r="N221">
            <v>4.395610002500115E-3</v>
          </cell>
          <cell r="P221">
            <v>3.5206138434186796E-3</v>
          </cell>
          <cell r="R221">
            <v>3.9455784195820253E-3</v>
          </cell>
          <cell r="T221">
            <v>3.4843501326259946E-3</v>
          </cell>
          <cell r="V221">
            <v>2.6558704453441295E-3</v>
          </cell>
        </row>
        <row r="222">
          <cell r="L222">
            <v>32.351000000000013</v>
          </cell>
          <cell r="M222">
            <v>1.2251186463993435</v>
          </cell>
          <cell r="N222">
            <v>55.32900000000005</v>
          </cell>
          <cell r="O222">
            <v>0.71027170721152455</v>
          </cell>
          <cell r="P222">
            <v>68.195000000000135</v>
          </cell>
          <cell r="Q222">
            <v>0.23253628296191997</v>
          </cell>
          <cell r="R222">
            <v>111.97200000000012</v>
          </cell>
          <cell r="S222">
            <v>0.64193855854534654</v>
          </cell>
          <cell r="T222">
            <v>147.57024999999987</v>
          </cell>
          <cell r="U222">
            <v>0.31792099810666685</v>
          </cell>
          <cell r="V222">
            <v>191.52150000000003</v>
          </cell>
          <cell r="W222">
            <v>0.29783272712487907</v>
          </cell>
        </row>
        <row r="223">
          <cell r="L223">
            <v>0.11904385167631382</v>
          </cell>
          <cell r="N223">
            <v>0.14115188962758507</v>
          </cell>
          <cell r="P223">
            <v>0.11968507530006847</v>
          </cell>
          <cell r="R223">
            <v>0.1549611739029951</v>
          </cell>
          <cell r="T223">
            <v>0.15657320954907147</v>
          </cell>
          <cell r="V223">
            <v>0.15507813765182188</v>
          </cell>
        </row>
        <row r="224">
          <cell r="L224">
            <v>0.29222995143719704</v>
          </cell>
          <cell r="N224">
            <v>0.19112497400707035</v>
          </cell>
          <cell r="P224">
            <v>7.2360169848992295E-2</v>
          </cell>
          <cell r="R224">
            <v>0.28650994148984904</v>
          </cell>
          <cell r="T224">
            <v>0.16186982479912956</v>
          </cell>
          <cell r="V224">
            <v>0.1502606837606843</v>
          </cell>
        </row>
        <row r="226">
          <cell r="L226">
            <v>0.84099999999999997</v>
          </cell>
          <cell r="M226">
            <v>-0.48656898656898651</v>
          </cell>
          <cell r="N226">
            <v>1.345</v>
          </cell>
          <cell r="O226">
            <v>0.59928656361474442</v>
          </cell>
          <cell r="P226">
            <v>2.4620000000000002</v>
          </cell>
          <cell r="Q226">
            <v>0.83048327137546485</v>
          </cell>
          <cell r="R226">
            <v>0.68799999999999994</v>
          </cell>
          <cell r="S226">
            <v>-0.72055239642567015</v>
          </cell>
          <cell r="T226">
            <v>-6.4</v>
          </cell>
          <cell r="U226" t="str">
            <v xml:space="preserve">     N.M.</v>
          </cell>
          <cell r="V226">
            <v>-7.6999999999999993</v>
          </cell>
          <cell r="W226">
            <v>0.20312499999999978</v>
          </cell>
        </row>
        <row r="227">
          <cell r="L227">
            <v>0</v>
          </cell>
          <cell r="M227">
            <v>-1</v>
          </cell>
          <cell r="N227">
            <v>0</v>
          </cell>
          <cell r="O227" t="str">
            <v xml:space="preserve">      N.M.</v>
          </cell>
          <cell r="P227">
            <v>8.8759999999999994</v>
          </cell>
          <cell r="Q227" t="str">
            <v xml:space="preserve">      N.M.</v>
          </cell>
          <cell r="R227">
            <v>3.9449999999999998</v>
          </cell>
          <cell r="S227">
            <v>-0.55554303740423605</v>
          </cell>
          <cell r="T227">
            <v>0</v>
          </cell>
          <cell r="U227">
            <v>-1</v>
          </cell>
          <cell r="V227">
            <v>0</v>
          </cell>
          <cell r="W227" t="str">
            <v xml:space="preserve">      N.M.</v>
          </cell>
        </row>
        <row r="228">
          <cell r="L228">
            <v>31.510000000000012</v>
          </cell>
          <cell r="M228" t="str">
            <v xml:space="preserve">     N.M.</v>
          </cell>
          <cell r="N228">
            <v>53.984000000000052</v>
          </cell>
          <cell r="O228">
            <v>0.71323389400190518</v>
          </cell>
          <cell r="P228">
            <v>56.857000000000134</v>
          </cell>
          <cell r="Q228">
            <v>5.3219472436278892E-2</v>
          </cell>
          <cell r="R228">
            <v>107.33900000000013</v>
          </cell>
          <cell r="S228">
            <v>0.88787660270502977</v>
          </cell>
          <cell r="T228">
            <v>153.97024999999988</v>
          </cell>
          <cell r="U228">
            <v>0.43442970402183456</v>
          </cell>
          <cell r="V228">
            <v>199.22150000000002</v>
          </cell>
          <cell r="W228">
            <v>0.29389606108972455</v>
          </cell>
        </row>
        <row r="229">
          <cell r="L229">
            <v>0.11594917518224006</v>
          </cell>
          <cell r="N229">
            <v>0.1377206096198296</v>
          </cell>
          <cell r="P229">
            <v>9.9786411413388024E-2</v>
          </cell>
          <cell r="R229">
            <v>0.14854943598018783</v>
          </cell>
          <cell r="T229">
            <v>0.16336366047745346</v>
          </cell>
          <cell r="V229">
            <v>0.16131295546558705</v>
          </cell>
        </row>
        <row r="231">
          <cell r="L231">
            <v>11.257</v>
          </cell>
          <cell r="M231">
            <v>2.4341061622940821</v>
          </cell>
          <cell r="N231">
            <v>17.419</v>
          </cell>
          <cell r="O231">
            <v>0.54739273341032257</v>
          </cell>
          <cell r="P231">
            <v>26.332000000000001</v>
          </cell>
          <cell r="Q231">
            <v>0.51168264538722075</v>
          </cell>
          <cell r="R231">
            <v>39.188000000000002</v>
          </cell>
          <cell r="S231">
            <v>0.48822725201276018</v>
          </cell>
          <cell r="T231">
            <v>56.199141249999997</v>
          </cell>
          <cell r="U231">
            <v>0.43409056981729077</v>
          </cell>
          <cell r="V231">
            <v>72.71584750000001</v>
          </cell>
          <cell r="W231">
            <v>0.29389606108972366</v>
          </cell>
        </row>
        <row r="232">
          <cell r="L232">
            <v>0.3572516661377339</v>
          </cell>
          <cell r="N232">
            <v>0.32266967990515677</v>
          </cell>
          <cell r="P232">
            <v>0.46312679177585764</v>
          </cell>
          <cell r="R232">
            <v>0.36508631531875607</v>
          </cell>
          <cell r="T232">
            <v>0.36500000000000027</v>
          </cell>
          <cell r="V232">
            <v>0.36499999999999999</v>
          </cell>
        </row>
        <row r="233">
          <cell r="L233">
            <v>0</v>
          </cell>
          <cell r="M233" t="str">
            <v xml:space="preserve">      N.M.</v>
          </cell>
          <cell r="N233">
            <v>0</v>
          </cell>
          <cell r="O233" t="str">
            <v xml:space="preserve">      N.M.</v>
          </cell>
          <cell r="P233">
            <v>0</v>
          </cell>
          <cell r="Q233" t="str">
            <v xml:space="preserve">      N.M.</v>
          </cell>
          <cell r="R233">
            <v>0</v>
          </cell>
          <cell r="S233" t="str">
            <v xml:space="preserve">      N.M.</v>
          </cell>
          <cell r="T233">
            <v>0</v>
          </cell>
          <cell r="U233" t="str">
            <v xml:space="preserve">      N.M.</v>
          </cell>
          <cell r="V233">
            <v>0</v>
          </cell>
          <cell r="W233" t="str">
            <v xml:space="preserve">      N.M.</v>
          </cell>
        </row>
        <row r="234">
          <cell r="L234">
            <v>20.253000000000014</v>
          </cell>
          <cell r="M234" t="str">
            <v xml:space="preserve">     N.M.</v>
          </cell>
          <cell r="N234">
            <v>36.565000000000055</v>
          </cell>
          <cell r="O234">
            <v>0.80541154396879611</v>
          </cell>
          <cell r="P234">
            <v>30.525000000000134</v>
          </cell>
          <cell r="Q234">
            <v>-0.16518528647613595</v>
          </cell>
          <cell r="R234">
            <v>68.151000000000124</v>
          </cell>
          <cell r="S234">
            <v>1.2326289926289871</v>
          </cell>
          <cell r="T234">
            <v>97.771108749999883</v>
          </cell>
          <cell r="U234">
            <v>0.43462471203650277</v>
          </cell>
          <cell r="V234">
            <v>126.50565250000001</v>
          </cell>
          <cell r="W234">
            <v>0.29389606108972521</v>
          </cell>
        </row>
        <row r="235">
          <cell r="L235">
            <v>1.833</v>
          </cell>
          <cell r="M235">
            <v>-0.81971082915314253</v>
          </cell>
          <cell r="N235">
            <v>0</v>
          </cell>
          <cell r="O235">
            <v>-1</v>
          </cell>
          <cell r="P235">
            <v>0</v>
          </cell>
          <cell r="Q235" t="str">
            <v xml:space="preserve">      N.M.</v>
          </cell>
          <cell r="R235">
            <v>0</v>
          </cell>
          <cell r="S235" t="str">
            <v xml:space="preserve">      N.M.</v>
          </cell>
          <cell r="T235">
            <v>0</v>
          </cell>
          <cell r="U235" t="str">
            <v xml:space="preserve">      N.M.</v>
          </cell>
          <cell r="V235">
            <v>0</v>
          </cell>
          <cell r="W235" t="str">
            <v xml:space="preserve">      N.M.</v>
          </cell>
        </row>
        <row r="236">
          <cell r="L236">
            <v>0</v>
          </cell>
          <cell r="M236" t="str">
            <v xml:space="preserve">      N.M.</v>
          </cell>
          <cell r="N236">
            <v>0</v>
          </cell>
          <cell r="O236" t="str">
            <v xml:space="preserve">      N.M.</v>
          </cell>
          <cell r="P236">
            <v>0</v>
          </cell>
          <cell r="Q236" t="str">
            <v xml:space="preserve">      N.M.</v>
          </cell>
          <cell r="R236">
            <v>0</v>
          </cell>
          <cell r="S236" t="str">
            <v xml:space="preserve">      N.M.</v>
          </cell>
          <cell r="T236">
            <v>0</v>
          </cell>
          <cell r="U236" t="str">
            <v xml:space="preserve">      N.M.</v>
          </cell>
          <cell r="V236">
            <v>0</v>
          </cell>
          <cell r="W236" t="str">
            <v xml:space="preserve">      N.M.</v>
          </cell>
        </row>
        <row r="237">
          <cell r="L237">
            <v>22.086000000000013</v>
          </cell>
          <cell r="M237">
            <v>6.6927899686520957</v>
          </cell>
          <cell r="N237">
            <v>36.565000000000055</v>
          </cell>
          <cell r="O237">
            <v>0.65557366657611316</v>
          </cell>
          <cell r="P237">
            <v>30.525000000000134</v>
          </cell>
          <cell r="Q237">
            <v>-0.16518528647613595</v>
          </cell>
          <cell r="R237">
            <v>68.151000000000124</v>
          </cell>
          <cell r="S237">
            <v>1.2326289926289871</v>
          </cell>
          <cell r="T237">
            <v>97.771108749999883</v>
          </cell>
          <cell r="U237">
            <v>0.43462471203650277</v>
          </cell>
          <cell r="V237">
            <v>126.50565250000001</v>
          </cell>
          <cell r="W237">
            <v>0.29389606108972521</v>
          </cell>
        </row>
        <row r="238">
          <cell r="L238">
            <v>0</v>
          </cell>
          <cell r="M238" t="str">
            <v xml:space="preserve">      N.M.</v>
          </cell>
          <cell r="N238">
            <v>0</v>
          </cell>
          <cell r="O238" t="str">
            <v xml:space="preserve">      N.M.</v>
          </cell>
          <cell r="P238">
            <v>0</v>
          </cell>
          <cell r="Q238" t="str">
            <v xml:space="preserve">      N.M.</v>
          </cell>
          <cell r="R238">
            <v>0</v>
          </cell>
          <cell r="S238" t="str">
            <v xml:space="preserve">      N.M.</v>
          </cell>
          <cell r="T238">
            <v>0</v>
          </cell>
          <cell r="U238" t="str">
            <v xml:space="preserve">      N.M.</v>
          </cell>
          <cell r="V238">
            <v>0</v>
          </cell>
          <cell r="W238" t="str">
            <v xml:space="preserve">      N.M.</v>
          </cell>
        </row>
        <row r="239">
          <cell r="L239">
            <v>22.086000000000013</v>
          </cell>
          <cell r="M239">
            <v>6.6927899686520957</v>
          </cell>
          <cell r="N239">
            <v>36.565000000000055</v>
          </cell>
          <cell r="O239">
            <v>0.65557366657611316</v>
          </cell>
          <cell r="P239">
            <v>30.525000000000134</v>
          </cell>
          <cell r="Q239">
            <v>-0.16518528647613595</v>
          </cell>
          <cell r="R239">
            <v>68.151000000000124</v>
          </cell>
          <cell r="S239">
            <v>1.2326289926289871</v>
          </cell>
          <cell r="T239">
            <v>97.771108749999883</v>
          </cell>
          <cell r="U239">
            <v>0.43462471203650277</v>
          </cell>
          <cell r="V239">
            <v>126.50565250000001</v>
          </cell>
          <cell r="W239">
            <v>0.29389606108972521</v>
          </cell>
        </row>
        <row r="240">
          <cell r="L240">
            <v>8.1271135610122322E-2</v>
          </cell>
          <cell r="N240">
            <v>9.3282344597456143E-2</v>
          </cell>
          <cell r="P240">
            <v>5.35726508326798E-2</v>
          </cell>
          <cell r="R240">
            <v>9.4316069755501608E-2</v>
          </cell>
          <cell r="T240">
            <v>0.1037359244031829</v>
          </cell>
          <cell r="V240">
            <v>0.10243372672064778</v>
          </cell>
        </row>
        <row r="242">
          <cell r="L242">
            <v>39.576000000000001</v>
          </cell>
          <cell r="M242">
            <v>0.12457376676517384</v>
          </cell>
          <cell r="N242">
            <v>41.368000000000002</v>
          </cell>
          <cell r="O242">
            <v>4.527996765716602E-2</v>
          </cell>
          <cell r="P242">
            <v>40.432000000000002</v>
          </cell>
          <cell r="Q242">
            <v>-2.2626184490427415E-2</v>
          </cell>
          <cell r="R242">
            <v>42.356000000000002</v>
          </cell>
          <cell r="S242">
            <v>4.7586070439256112E-2</v>
          </cell>
          <cell r="T242">
            <v>52.025000000000006</v>
          </cell>
          <cell r="U242">
            <v>0.22827934649164239</v>
          </cell>
          <cell r="V242">
            <v>50.8</v>
          </cell>
          <cell r="W242">
            <v>-2.3546371936569166E-2</v>
          </cell>
        </row>
        <row r="243">
          <cell r="L243">
            <v>40.781999999999996</v>
          </cell>
          <cell r="M243">
            <v>0.10929169840060915</v>
          </cell>
          <cell r="N243">
            <v>47.927999999999997</v>
          </cell>
          <cell r="O243">
            <v>0.17522436368986316</v>
          </cell>
          <cell r="P243">
            <v>49.426000000000002</v>
          </cell>
          <cell r="Q243">
            <v>3.1255216157569876E-2</v>
          </cell>
          <cell r="R243">
            <v>50.4</v>
          </cell>
          <cell r="S243">
            <v>1.9706227491603556E-2</v>
          </cell>
          <cell r="T243">
            <v>52.025000000000006</v>
          </cell>
          <cell r="U243">
            <v>3.2242063492063711E-2</v>
          </cell>
          <cell r="V243">
            <v>53.3</v>
          </cell>
          <cell r="W243">
            <v>2.4507448342143023E-2</v>
          </cell>
        </row>
        <row r="245">
          <cell r="L245">
            <v>0.51427632908833654</v>
          </cell>
          <cell r="M245" t="str">
            <v xml:space="preserve">     N.M.</v>
          </cell>
          <cell r="N245">
            <v>0.88389576484239218</v>
          </cell>
          <cell r="O245">
            <v>0.71871757428401217</v>
          </cell>
          <cell r="P245">
            <v>0.75497130985358252</v>
          </cell>
          <cell r="Q245">
            <v>-0.14585934237596243</v>
          </cell>
          <cell r="R245">
            <v>1.609004627443573</v>
          </cell>
          <cell r="S245">
            <v>1.1312129433840603</v>
          </cell>
          <cell r="T245">
            <v>1.8793101153291685</v>
          </cell>
          <cell r="U245">
            <v>0.16799546954384059</v>
          </cell>
          <cell r="V245">
            <v>2.4902687500000003</v>
          </cell>
          <cell r="W245">
            <v>0.32509729484631644</v>
          </cell>
        </row>
        <row r="246">
          <cell r="L246">
            <v>0.56059227814837287</v>
          </cell>
          <cell r="M246">
            <v>5.871599948658158</v>
          </cell>
          <cell r="N246">
            <v>0.88389576484239218</v>
          </cell>
          <cell r="O246">
            <v>0.57671769536656026</v>
          </cell>
          <cell r="P246">
            <v>0.75497130985358274</v>
          </cell>
          <cell r="Q246">
            <v>-0.14585934237596221</v>
          </cell>
          <cell r="R246">
            <v>1.609004627443573</v>
          </cell>
          <cell r="S246">
            <v>1.1312129433840594</v>
          </cell>
          <cell r="T246">
            <v>1.8793101153291685</v>
          </cell>
          <cell r="U246">
            <v>0.16799546954384059</v>
          </cell>
          <cell r="V246">
            <v>2.4902687500000003</v>
          </cell>
          <cell r="W246">
            <v>0.32509729484631644</v>
          </cell>
        </row>
        <row r="247">
          <cell r="L247">
            <v>0.50397234073856134</v>
          </cell>
          <cell r="M247" t="str">
            <v xml:space="preserve">     N.M.</v>
          </cell>
          <cell r="N247">
            <v>0.82759556000667844</v>
          </cell>
          <cell r="O247">
            <v>0.64214480261725027</v>
          </cell>
          <cell r="P247">
            <v>0.68132157164245633</v>
          </cell>
          <cell r="Q247">
            <v>-0.17674573841725505</v>
          </cell>
          <cell r="R247">
            <v>1.43156746031746</v>
          </cell>
          <cell r="S247">
            <v>1.1011626813259294</v>
          </cell>
          <cell r="T247">
            <v>1.8793101153291685</v>
          </cell>
          <cell r="U247">
            <v>0.31276392305844847</v>
          </cell>
          <cell r="V247">
            <v>2.373464399624766</v>
          </cell>
          <cell r="W247">
            <v>0.26294451366215554</v>
          </cell>
        </row>
        <row r="248">
          <cell r="L248">
            <v>1.038767103133736</v>
          </cell>
          <cell r="M248">
            <v>0.51286431009027056</v>
          </cell>
          <cell r="N248">
            <v>1.437218327491238</v>
          </cell>
          <cell r="O248">
            <v>0.38358090389603294</v>
          </cell>
          <cell r="P248">
            <v>1.5929267996601006</v>
          </cell>
          <cell r="Q248">
            <v>0.10834016599319485</v>
          </cell>
          <cell r="R248">
            <v>2.6838293650793679</v>
          </cell>
          <cell r="S248">
            <v>0.68484161711137292</v>
          </cell>
          <cell r="T248">
            <v>3.4900576645843318</v>
          </cell>
          <cell r="U248">
            <v>0.30040222004990302</v>
          </cell>
          <cell r="V248">
            <v>3.5932739212007512</v>
          </cell>
          <cell r="W248">
            <v>2.9574369977841686E-2</v>
          </cell>
        </row>
        <row r="249">
          <cell r="L249">
            <v>0</v>
          </cell>
          <cell r="M249" t="str">
            <v xml:space="preserve">      N.M.</v>
          </cell>
          <cell r="N249">
            <v>0</v>
          </cell>
          <cell r="O249" t="str">
            <v xml:space="preserve">      N.M.</v>
          </cell>
          <cell r="P249">
            <v>0</v>
          </cell>
          <cell r="Q249" t="str">
            <v xml:space="preserve">      N.M.</v>
          </cell>
          <cell r="R249">
            <v>0</v>
          </cell>
          <cell r="S249" t="str">
            <v xml:space="preserve">      N.M.</v>
          </cell>
          <cell r="T249">
            <v>0</v>
          </cell>
          <cell r="U249" t="str">
            <v xml:space="preserve">      N.M.</v>
          </cell>
          <cell r="V249">
            <v>0</v>
          </cell>
          <cell r="W249" t="str">
            <v xml:space="preserve">      N.M.</v>
          </cell>
        </row>
        <row r="251">
          <cell r="L251">
            <v>9.6572090330052109</v>
          </cell>
          <cell r="M251">
            <v>-0.24905618286628328</v>
          </cell>
          <cell r="N251">
            <v>8.7038610699212953</v>
          </cell>
          <cell r="O251">
            <v>-9.8718787159486898E-2</v>
          </cell>
          <cell r="P251">
            <v>8.6975181366933949</v>
          </cell>
          <cell r="Q251">
            <v>-7.2874936501687859E-4</v>
          </cell>
          <cell r="R251">
            <v>8.6150144369586155</v>
          </cell>
          <cell r="S251">
            <v>-9.4858899329809399E-3</v>
          </cell>
          <cell r="T251">
            <v>8.8747033697199829</v>
          </cell>
          <cell r="U251">
            <v>3.0143760600945146E-2</v>
          </cell>
          <cell r="V251">
            <v>7.9706979591836733</v>
          </cell>
          <cell r="W251">
            <v>-0.10186316915343085</v>
          </cell>
        </row>
        <row r="252">
          <cell r="L252">
            <v>43.359177500487569</v>
          </cell>
          <cell r="M252">
            <v>0.36629228222184573</v>
          </cell>
          <cell r="N252">
            <v>41.504762973810017</v>
          </cell>
          <cell r="O252">
            <v>-4.2768673982727212E-2</v>
          </cell>
          <cell r="P252">
            <v>40.505030827309149</v>
          </cell>
          <cell r="Q252">
            <v>-2.4087166745939803E-2</v>
          </cell>
          <cell r="R252">
            <v>43.410385825256952</v>
          </cell>
          <cell r="S252">
            <v>7.1728250506328806E-2</v>
          </cell>
          <cell r="T252">
            <v>42.384509283819632</v>
          </cell>
          <cell r="U252">
            <v>-2.3632053065984149E-2</v>
          </cell>
          <cell r="V252">
            <v>46.639676113360323</v>
          </cell>
          <cell r="W252">
            <v>0.10039438704001014</v>
          </cell>
        </row>
        <row r="253">
          <cell r="L253">
            <v>0</v>
          </cell>
          <cell r="N253">
            <v>0</v>
          </cell>
          <cell r="P253">
            <v>0</v>
          </cell>
          <cell r="R253">
            <v>0.60047483949896274</v>
          </cell>
          <cell r="T253">
            <v>0.66521485411140591</v>
          </cell>
          <cell r="V253">
            <v>0.67</v>
          </cell>
        </row>
        <row r="254">
          <cell r="L254">
            <v>0</v>
          </cell>
          <cell r="N254">
            <v>0</v>
          </cell>
          <cell r="P254">
            <v>0</v>
          </cell>
          <cell r="R254">
            <v>0.71403449578663158</v>
          </cell>
          <cell r="T254">
            <v>0.7852148541114059</v>
          </cell>
          <cell r="V254">
            <v>0.79</v>
          </cell>
        </row>
        <row r="255">
          <cell r="L255">
            <v>27.349281000000012</v>
          </cell>
          <cell r="M255" t="str">
            <v xml:space="preserve">      N.M.</v>
          </cell>
          <cell r="N255">
            <v>135.36521399999998</v>
          </cell>
          <cell r="O255">
            <v>3.9494980873537378</v>
          </cell>
          <cell r="P255">
            <v>118.717918</v>
          </cell>
          <cell r="Q255">
            <v>-0.12298060563772306</v>
          </cell>
          <cell r="R255">
            <v>110.71861000000001</v>
          </cell>
          <cell r="S255">
            <v>-6.738079756418891E-2</v>
          </cell>
          <cell r="T255">
            <v>115.5</v>
          </cell>
          <cell r="U255">
            <v>4.3185061662172064E-2</v>
          </cell>
          <cell r="V255">
            <v>123.5</v>
          </cell>
          <cell r="W255">
            <v>6.9264069264069361E-2</v>
          </cell>
        </row>
        <row r="256">
          <cell r="L256">
            <v>244.40771899999999</v>
          </cell>
          <cell r="M256" t="str">
            <v xml:space="preserve">      N.M.</v>
          </cell>
          <cell r="N256">
            <v>256.61678599999999</v>
          </cell>
          <cell r="O256">
            <v>4.9953688246646699E-2</v>
          </cell>
          <cell r="P256">
            <v>451.98208199999999</v>
          </cell>
          <cell r="Q256">
            <v>0.76131144437293363</v>
          </cell>
          <cell r="R256">
            <v>611.86239</v>
          </cell>
          <cell r="S256">
            <v>0.35373151805606318</v>
          </cell>
          <cell r="T256">
            <v>827</v>
          </cell>
          <cell r="U256">
            <v>0.35161110327438161</v>
          </cell>
          <cell r="V256">
            <v>1111.5</v>
          </cell>
          <cell r="W256">
            <v>0.34401451027811358</v>
          </cell>
        </row>
        <row r="263">
          <cell r="F263" t="str">
            <v>Sanmina Corporation</v>
          </cell>
        </row>
        <row r="264">
          <cell r="F264" t="str">
            <v>Statement Of Changes In Fin'l Position</v>
          </cell>
        </row>
        <row r="265">
          <cell r="F265" t="str">
            <v>($ In Millions Except Per Share Data)</v>
          </cell>
        </row>
        <row r="266">
          <cell r="D266" t="str">
            <v>Estimated Restated for Elexsys Acquisition</v>
          </cell>
        </row>
        <row r="267">
          <cell r="B267" t="str">
            <v xml:space="preserve">    1991A</v>
          </cell>
          <cell r="C267" t="str">
            <v xml:space="preserve">    1992A</v>
          </cell>
          <cell r="D267" t="str">
            <v>1993RE</v>
          </cell>
          <cell r="E267" t="str">
            <v>1994RE</v>
          </cell>
          <cell r="F267" t="str">
            <v>1995RE</v>
          </cell>
          <cell r="G267" t="str">
            <v>1996RE</v>
          </cell>
          <cell r="H267" t="str">
            <v>1997RE</v>
          </cell>
          <cell r="I267" t="str">
            <v>1998P</v>
          </cell>
          <cell r="J267" t="str">
            <v>1999E</v>
          </cell>
          <cell r="K267" t="str">
            <v>2000E</v>
          </cell>
        </row>
        <row r="269">
          <cell r="B269">
            <v>-13.233000000000009</v>
          </cell>
          <cell r="C269">
            <v>-14.124000000000006</v>
          </cell>
          <cell r="D269">
            <v>-11.234000000000002</v>
          </cell>
          <cell r="E269">
            <v>2.87099999999998</v>
          </cell>
          <cell r="F269">
            <v>22.086000000000013</v>
          </cell>
          <cell r="G269">
            <v>36.565000000000055</v>
          </cell>
          <cell r="H269">
            <v>30.525000000000134</v>
          </cell>
          <cell r="I269">
            <v>68.151000000000124</v>
          </cell>
          <cell r="J269">
            <v>97.771108749999883</v>
          </cell>
          <cell r="K269">
            <v>126.50565250000001</v>
          </cell>
        </row>
        <row r="270">
          <cell r="B270">
            <v>4.2969999999999997</v>
          </cell>
          <cell r="C270">
            <v>4.274</v>
          </cell>
          <cell r="D270">
            <v>11.794</v>
          </cell>
          <cell r="E270">
            <v>10.704000000000001</v>
          </cell>
          <cell r="F270">
            <v>10.012</v>
          </cell>
          <cell r="G270">
            <v>13.554</v>
          </cell>
          <cell r="H270">
            <v>19.413</v>
          </cell>
          <cell r="I270">
            <v>27.238</v>
          </cell>
          <cell r="J270">
            <v>34</v>
          </cell>
          <cell r="K270">
            <v>37</v>
          </cell>
        </row>
        <row r="271">
          <cell r="B271">
            <v>0</v>
          </cell>
          <cell r="C271">
            <v>0</v>
          </cell>
          <cell r="D271">
            <v>0</v>
          </cell>
          <cell r="E271">
            <v>0</v>
          </cell>
          <cell r="F271">
            <v>0</v>
          </cell>
          <cell r="G271">
            <v>0</v>
          </cell>
          <cell r="H271">
            <v>0</v>
          </cell>
          <cell r="I271">
            <v>0</v>
          </cell>
          <cell r="J271">
            <v>0</v>
          </cell>
          <cell r="K271">
            <v>0</v>
          </cell>
        </row>
        <row r="272">
          <cell r="B272">
            <v>1.321</v>
          </cell>
          <cell r="C272">
            <v>0.95199999999999996</v>
          </cell>
          <cell r="D272">
            <v>3.8239999999999998</v>
          </cell>
          <cell r="E272">
            <v>6.7519999999999989</v>
          </cell>
          <cell r="F272">
            <v>-1.833</v>
          </cell>
          <cell r="G272">
            <v>0</v>
          </cell>
          <cell r="H272">
            <v>19</v>
          </cell>
          <cell r="I272">
            <v>0</v>
          </cell>
          <cell r="J272">
            <v>0</v>
          </cell>
          <cell r="K272">
            <v>0</v>
          </cell>
        </row>
        <row r="273">
          <cell r="B273">
            <v>1.177</v>
          </cell>
          <cell r="C273">
            <v>1.0579999999999998</v>
          </cell>
          <cell r="D273">
            <v>0.52600000000000002</v>
          </cell>
          <cell r="E273">
            <v>0.27900000000000003</v>
          </cell>
          <cell r="F273">
            <v>0.36099999999999999</v>
          </cell>
          <cell r="G273">
            <v>0.55200000000000005</v>
          </cell>
          <cell r="H273">
            <v>0.5</v>
          </cell>
          <cell r="I273">
            <v>0.5</v>
          </cell>
          <cell r="J273">
            <v>0.5</v>
          </cell>
          <cell r="K273">
            <v>0.5</v>
          </cell>
        </row>
        <row r="274">
          <cell r="B274">
            <v>-6.4380000000000113</v>
          </cell>
          <cell r="C274">
            <v>-7.8400000000000052</v>
          </cell>
          <cell r="D274">
            <v>4.9099999999999984</v>
          </cell>
          <cell r="E274">
            <v>20.60599999999998</v>
          </cell>
          <cell r="F274">
            <v>30.626000000000015</v>
          </cell>
          <cell r="G274">
            <v>50.671000000000056</v>
          </cell>
          <cell r="H274">
            <v>69.43800000000013</v>
          </cell>
          <cell r="I274">
            <v>95.889000000000124</v>
          </cell>
          <cell r="J274">
            <v>132.27110874999988</v>
          </cell>
          <cell r="K274">
            <v>164.0056525</v>
          </cell>
        </row>
        <row r="278">
          <cell r="B278">
            <v>-3.6999999999999998E-2</v>
          </cell>
          <cell r="C278">
            <v>-1.2470000000000001</v>
          </cell>
          <cell r="D278">
            <v>-0.17300000000000004</v>
          </cell>
          <cell r="E278">
            <v>-5.7149999999999999</v>
          </cell>
          <cell r="F278">
            <v>-11.818</v>
          </cell>
          <cell r="G278">
            <v>-8.1199999999999992</v>
          </cell>
          <cell r="H278">
            <v>-26.450000000000003</v>
          </cell>
          <cell r="I278">
            <v>-19.596000000000004</v>
          </cell>
          <cell r="J278">
            <v>-28.069999999999993</v>
          </cell>
          <cell r="K278">
            <v>-35</v>
          </cell>
        </row>
        <row r="279">
          <cell r="B279">
            <v>-0.39100000000000001</v>
          </cell>
          <cell r="C279">
            <v>2.0859999999999999</v>
          </cell>
          <cell r="D279">
            <v>-5.7089999999999996</v>
          </cell>
          <cell r="E279">
            <v>0.36900000000000011</v>
          </cell>
          <cell r="F279">
            <v>-4.4319999999999995</v>
          </cell>
          <cell r="G279">
            <v>-12.066000000000001</v>
          </cell>
          <cell r="H279">
            <v>-19.161999999999999</v>
          </cell>
          <cell r="I279">
            <v>-6.9920000000000044</v>
          </cell>
          <cell r="J279">
            <v>-28.546999999999997</v>
          </cell>
          <cell r="K279">
            <v>-25</v>
          </cell>
        </row>
        <row r="280">
          <cell r="B280">
            <v>1.2E-2</v>
          </cell>
          <cell r="C280">
            <v>-4.9999999999999989E-2</v>
          </cell>
          <cell r="D280">
            <v>0.94799999999999995</v>
          </cell>
          <cell r="E280">
            <v>4.7E-2</v>
          </cell>
          <cell r="F280">
            <v>-2.899999999999997E-2</v>
          </cell>
          <cell r="G280">
            <v>-0.56999999999999995</v>
          </cell>
          <cell r="H280">
            <v>-3.3</v>
          </cell>
          <cell r="I280">
            <v>-8.1130000000000013</v>
          </cell>
          <cell r="J280">
            <v>0</v>
          </cell>
          <cell r="K280">
            <v>0</v>
          </cell>
        </row>
        <row r="282">
          <cell r="B282">
            <v>1.1319999999999999</v>
          </cell>
          <cell r="C282">
            <v>1.69</v>
          </cell>
          <cell r="D282">
            <v>1.03</v>
          </cell>
          <cell r="E282">
            <v>-4.2780000000000005</v>
          </cell>
          <cell r="F282">
            <v>13.689</v>
          </cell>
          <cell r="G282">
            <v>4.5140000000000002</v>
          </cell>
          <cell r="H282">
            <v>23.83</v>
          </cell>
          <cell r="I282">
            <v>24.634999999999991</v>
          </cell>
          <cell r="J282">
            <v>21.5</v>
          </cell>
          <cell r="K282">
            <v>37.5</v>
          </cell>
        </row>
        <row r="283">
          <cell r="B283">
            <v>0</v>
          </cell>
          <cell r="C283">
            <v>0.45700000000000002</v>
          </cell>
          <cell r="D283">
            <v>2.3860000000000001</v>
          </cell>
          <cell r="E283">
            <v>0.15</v>
          </cell>
          <cell r="F283">
            <v>1.042</v>
          </cell>
          <cell r="G283">
            <v>0.432</v>
          </cell>
          <cell r="H283">
            <v>0</v>
          </cell>
          <cell r="I283">
            <v>-0.5</v>
          </cell>
          <cell r="J283">
            <v>0</v>
          </cell>
          <cell r="K283">
            <v>0</v>
          </cell>
        </row>
        <row r="284">
          <cell r="B284">
            <v>-0.74099999999999999</v>
          </cell>
          <cell r="C284">
            <v>0</v>
          </cell>
          <cell r="D284">
            <v>-0.9880000000000001</v>
          </cell>
          <cell r="E284">
            <v>-1.6159999999999999</v>
          </cell>
          <cell r="F284">
            <v>-1.452</v>
          </cell>
          <cell r="G284">
            <v>-1.0009999999999999</v>
          </cell>
          <cell r="H284">
            <v>0</v>
          </cell>
          <cell r="I284">
            <v>0</v>
          </cell>
          <cell r="J284">
            <v>0</v>
          </cell>
          <cell r="K284">
            <v>0</v>
          </cell>
        </row>
        <row r="285">
          <cell r="B285">
            <v>-2.5000000000000022E-2</v>
          </cell>
          <cell r="C285">
            <v>2.9359999999999995</v>
          </cell>
          <cell r="D285">
            <v>-2.5059999999999989</v>
          </cell>
          <cell r="E285">
            <v>-11.043000000000001</v>
          </cell>
          <cell r="F285">
            <v>-3</v>
          </cell>
          <cell r="G285">
            <v>-16.811</v>
          </cell>
          <cell r="H285">
            <v>-25.082000000000001</v>
          </cell>
          <cell r="I285">
            <v>-10.566000000000017</v>
          </cell>
          <cell r="J285">
            <v>-35.11699999999999</v>
          </cell>
          <cell r="K285">
            <v>-22.5</v>
          </cell>
        </row>
        <row r="286">
          <cell r="B286">
            <v>-6.4630000000000116</v>
          </cell>
          <cell r="C286">
            <v>-4.9040000000000052</v>
          </cell>
          <cell r="D286">
            <v>2.4039999999999995</v>
          </cell>
          <cell r="E286">
            <v>9.5629999999999793</v>
          </cell>
          <cell r="F286">
            <v>27.626000000000015</v>
          </cell>
          <cell r="G286">
            <v>33.860000000000056</v>
          </cell>
          <cell r="H286">
            <v>44.35600000000013</v>
          </cell>
          <cell r="I286">
            <v>85.323000000000107</v>
          </cell>
          <cell r="J286">
            <v>97.154108749999892</v>
          </cell>
          <cell r="K286">
            <v>141.5056525</v>
          </cell>
        </row>
        <row r="289">
          <cell r="B289">
            <v>-3.2690000000000001</v>
          </cell>
          <cell r="C289">
            <v>-2.0550000000000002</v>
          </cell>
          <cell r="D289">
            <v>-7.798</v>
          </cell>
          <cell r="E289">
            <v>-6.7519999999999998</v>
          </cell>
          <cell r="F289">
            <v>-14.608000000000001</v>
          </cell>
          <cell r="G289">
            <v>-29.675000000000001</v>
          </cell>
          <cell r="H289">
            <v>-33.4</v>
          </cell>
          <cell r="I289">
            <v>-34.5</v>
          </cell>
          <cell r="J289">
            <v>-35</v>
          </cell>
          <cell r="K289">
            <v>-37.5</v>
          </cell>
        </row>
        <row r="290">
          <cell r="B290">
            <v>0</v>
          </cell>
          <cell r="C290">
            <v>0</v>
          </cell>
          <cell r="D290">
            <v>0</v>
          </cell>
          <cell r="E290">
            <v>0</v>
          </cell>
          <cell r="F290">
            <v>-9.6210000000000004</v>
          </cell>
          <cell r="G290">
            <v>-6.6869999999999994</v>
          </cell>
          <cell r="H290">
            <v>-6.3550000000000004</v>
          </cell>
          <cell r="I290">
            <v>-31</v>
          </cell>
          <cell r="J290">
            <v>0</v>
          </cell>
          <cell r="K290">
            <v>0</v>
          </cell>
        </row>
        <row r="291">
          <cell r="B291">
            <v>0</v>
          </cell>
          <cell r="C291">
            <v>0</v>
          </cell>
          <cell r="D291">
            <v>0.69</v>
          </cell>
          <cell r="E291">
            <v>7.9000000000000001E-2</v>
          </cell>
          <cell r="F291">
            <v>0.64399999999999991</v>
          </cell>
          <cell r="G291">
            <v>2.7E-2</v>
          </cell>
          <cell r="H291">
            <v>0</v>
          </cell>
          <cell r="I291">
            <v>8</v>
          </cell>
          <cell r="J291">
            <v>0</v>
          </cell>
          <cell r="K291">
            <v>0</v>
          </cell>
        </row>
        <row r="292">
          <cell r="B292">
            <v>0</v>
          </cell>
          <cell r="C292">
            <v>0</v>
          </cell>
          <cell r="D292">
            <v>0</v>
          </cell>
          <cell r="E292">
            <v>0</v>
          </cell>
          <cell r="F292">
            <v>0</v>
          </cell>
          <cell r="G292">
            <v>0</v>
          </cell>
          <cell r="H292">
            <v>0</v>
          </cell>
          <cell r="I292">
            <v>0</v>
          </cell>
          <cell r="J292">
            <v>0</v>
          </cell>
          <cell r="K292">
            <v>0</v>
          </cell>
        </row>
        <row r="293">
          <cell r="B293">
            <v>0</v>
          </cell>
          <cell r="C293">
            <v>0</v>
          </cell>
          <cell r="D293">
            <v>0</v>
          </cell>
          <cell r="E293">
            <v>0</v>
          </cell>
          <cell r="F293">
            <v>-2.1999999999999999E-2</v>
          </cell>
          <cell r="G293">
            <v>0</v>
          </cell>
          <cell r="H293">
            <v>0</v>
          </cell>
          <cell r="I293">
            <v>0</v>
          </cell>
          <cell r="J293">
            <v>0</v>
          </cell>
          <cell r="K293">
            <v>0</v>
          </cell>
        </row>
        <row r="294">
          <cell r="B294">
            <v>0</v>
          </cell>
          <cell r="C294">
            <v>0</v>
          </cell>
          <cell r="D294">
            <v>10.010999999999999</v>
          </cell>
          <cell r="E294">
            <v>-7.17</v>
          </cell>
          <cell r="F294">
            <v>4.352999999999998</v>
          </cell>
          <cell r="G294">
            <v>-78.538000000000011</v>
          </cell>
          <cell r="H294">
            <v>0</v>
          </cell>
          <cell r="I294">
            <v>0</v>
          </cell>
          <cell r="J294">
            <v>0</v>
          </cell>
          <cell r="K294">
            <v>0</v>
          </cell>
        </row>
        <row r="295">
          <cell r="B295">
            <v>-3.2690000000000001</v>
          </cell>
          <cell r="C295">
            <v>-2.0550000000000002</v>
          </cell>
          <cell r="D295">
            <v>2.9029999999999987</v>
          </cell>
          <cell r="E295">
            <v>-13.843</v>
          </cell>
          <cell r="F295">
            <v>-19.254000000000001</v>
          </cell>
          <cell r="G295">
            <v>-114.87300000000002</v>
          </cell>
          <cell r="H295">
            <v>-39.754999999999995</v>
          </cell>
          <cell r="I295">
            <v>-57.5</v>
          </cell>
          <cell r="J295">
            <v>-35</v>
          </cell>
          <cell r="K295">
            <v>-37.5</v>
          </cell>
        </row>
        <row r="296">
          <cell r="B296">
            <v>-9.7320000000000118</v>
          </cell>
          <cell r="C296">
            <v>-6.959000000000005</v>
          </cell>
          <cell r="D296">
            <v>5.3069999999999986</v>
          </cell>
          <cell r="E296">
            <v>-4.2800000000000207</v>
          </cell>
          <cell r="F296">
            <v>8.3720000000000141</v>
          </cell>
          <cell r="G296">
            <v>-81.012999999999963</v>
          </cell>
          <cell r="H296">
            <v>4.6010000000001341</v>
          </cell>
          <cell r="I296">
            <v>27.823000000000107</v>
          </cell>
          <cell r="J296">
            <v>62.154108749999892</v>
          </cell>
          <cell r="K296">
            <v>104.0056525</v>
          </cell>
        </row>
        <row r="299">
          <cell r="B299">
            <v>1</v>
          </cell>
          <cell r="C299">
            <v>0</v>
          </cell>
          <cell r="D299">
            <v>-4.431</v>
          </cell>
          <cell r="E299">
            <v>-0.98199999999999976</v>
          </cell>
          <cell r="F299">
            <v>-0.20799999999999999</v>
          </cell>
          <cell r="G299">
            <v>0.51599999999999979</v>
          </cell>
          <cell r="H299">
            <v>0</v>
          </cell>
          <cell r="I299">
            <v>-8.7880000000000003</v>
          </cell>
          <cell r="J299">
            <v>0</v>
          </cell>
          <cell r="K299">
            <v>0</v>
          </cell>
        </row>
        <row r="300">
          <cell r="B300">
            <v>-3.3730000000000002</v>
          </cell>
          <cell r="C300">
            <v>-3.0670000000000002</v>
          </cell>
          <cell r="D300">
            <v>-26.32</v>
          </cell>
          <cell r="E300">
            <v>-4.4999999999999998E-2</v>
          </cell>
          <cell r="F300">
            <v>81.14200000000001</v>
          </cell>
          <cell r="G300">
            <v>-0.748</v>
          </cell>
          <cell r="H300">
            <v>0</v>
          </cell>
          <cell r="I300">
            <v>-99.740000000000009</v>
          </cell>
          <cell r="J300">
            <v>0</v>
          </cell>
          <cell r="K300">
            <v>0</v>
          </cell>
        </row>
        <row r="301">
          <cell r="B301">
            <v>0</v>
          </cell>
          <cell r="C301">
            <v>0</v>
          </cell>
          <cell r="D301">
            <v>20.905000000000001</v>
          </cell>
          <cell r="E301">
            <v>21.858000000000001</v>
          </cell>
          <cell r="F301">
            <v>1.9570000000000001</v>
          </cell>
          <cell r="G301">
            <v>0</v>
          </cell>
          <cell r="H301">
            <v>0</v>
          </cell>
          <cell r="I301">
            <v>0</v>
          </cell>
          <cell r="J301">
            <v>0</v>
          </cell>
          <cell r="K301">
            <v>0</v>
          </cell>
        </row>
        <row r="302">
          <cell r="B302">
            <v>0</v>
          </cell>
          <cell r="C302">
            <v>0</v>
          </cell>
          <cell r="D302">
            <v>0</v>
          </cell>
          <cell r="E302">
            <v>0</v>
          </cell>
          <cell r="F302">
            <v>0.68799999999999994</v>
          </cell>
          <cell r="G302">
            <v>3.6949999999999998</v>
          </cell>
          <cell r="H302">
            <v>11.3</v>
          </cell>
          <cell r="I302">
            <v>172.33500000000001</v>
          </cell>
          <cell r="J302">
            <v>0</v>
          </cell>
          <cell r="K302">
            <v>0</v>
          </cell>
        </row>
        <row r="303">
          <cell r="B303">
            <v>2.7E-2</v>
          </cell>
          <cell r="C303">
            <v>5.0000000000000001E-3</v>
          </cell>
          <cell r="D303">
            <v>3.5000000000000003E-2</v>
          </cell>
          <cell r="E303">
            <v>9.2999999999999999E-2</v>
          </cell>
          <cell r="F303">
            <v>0</v>
          </cell>
          <cell r="G303">
            <v>0</v>
          </cell>
          <cell r="H303">
            <v>-5.25</v>
          </cell>
          <cell r="I303">
            <v>0</v>
          </cell>
          <cell r="J303">
            <v>0</v>
          </cell>
          <cell r="K303">
            <v>0</v>
          </cell>
        </row>
        <row r="304">
          <cell r="B304">
            <v>-2.3460000000000001</v>
          </cell>
          <cell r="C304">
            <v>-3.0620000000000003</v>
          </cell>
          <cell r="D304">
            <v>-9.8109999999999999</v>
          </cell>
          <cell r="E304">
            <v>20.923999999999999</v>
          </cell>
          <cell r="F304">
            <v>83.579000000000008</v>
          </cell>
          <cell r="G304">
            <v>3.4629999999999996</v>
          </cell>
          <cell r="H304">
            <v>6.0500000000000007</v>
          </cell>
          <cell r="I304">
            <v>63.807000000000002</v>
          </cell>
          <cell r="J304">
            <v>0</v>
          </cell>
          <cell r="K304">
            <v>0</v>
          </cell>
        </row>
        <row r="306">
          <cell r="B306">
            <v>-12.078000000000012</v>
          </cell>
          <cell r="C306">
            <v>-10.021000000000004</v>
          </cell>
          <cell r="D306">
            <v>-4.5040000000000013</v>
          </cell>
          <cell r="E306">
            <v>16.643999999999977</v>
          </cell>
          <cell r="F306">
            <v>91.951000000000022</v>
          </cell>
          <cell r="G306">
            <v>-77.549999999999969</v>
          </cell>
          <cell r="H306">
            <v>10.651000000000135</v>
          </cell>
          <cell r="I306">
            <v>91.630000000000109</v>
          </cell>
          <cell r="J306">
            <v>62.154108749999892</v>
          </cell>
          <cell r="K306">
            <v>104.0056525</v>
          </cell>
        </row>
        <row r="307">
          <cell r="B307">
            <v>2.0049999999999999</v>
          </cell>
          <cell r="C307">
            <v>-10.073000000000011</v>
          </cell>
          <cell r="D307">
            <v>7.5280000000000058</v>
          </cell>
          <cell r="E307">
            <v>3.0240000000000045</v>
          </cell>
          <cell r="F307">
            <v>19.667999999999981</v>
          </cell>
          <cell r="G307">
            <v>111.619</v>
          </cell>
          <cell r="H307">
            <v>34.069000000000031</v>
          </cell>
          <cell r="I307">
            <v>44.720000000000169</v>
          </cell>
          <cell r="J307">
            <v>136.35000000000028</v>
          </cell>
          <cell r="K307">
            <v>198.50410875000017</v>
          </cell>
        </row>
        <row r="308">
          <cell r="B308">
            <v>-10.073000000000011</v>
          </cell>
          <cell r="C308">
            <v>7.5280000000000058</v>
          </cell>
          <cell r="D308">
            <v>3.0240000000000045</v>
          </cell>
          <cell r="E308">
            <v>19.667999999999981</v>
          </cell>
          <cell r="F308">
            <v>111.619</v>
          </cell>
          <cell r="G308">
            <v>34.069000000000031</v>
          </cell>
          <cell r="H308">
            <v>44.720000000000169</v>
          </cell>
          <cell r="I308">
            <v>136.35000000000028</v>
          </cell>
          <cell r="J308">
            <v>198.50410875000017</v>
          </cell>
          <cell r="K308">
            <v>302.50976125000017</v>
          </cell>
        </row>
        <row r="311">
          <cell r="B311">
            <v>-0.4094935038273167</v>
          </cell>
          <cell r="C311">
            <v>-0.45211774706743146</v>
          </cell>
          <cell r="D311">
            <v>2.0898579195165811E-2</v>
          </cell>
          <cell r="E311">
            <v>0.3857410775176171</v>
          </cell>
          <cell r="F311">
            <v>0.8110470992520723</v>
          </cell>
          <cell r="G311">
            <v>1.2115403210210804</v>
          </cell>
          <cell r="H311">
            <v>1.2351108033241029</v>
          </cell>
          <cell r="I311">
            <v>2.252077627726889</v>
          </cell>
          <cell r="J311">
            <v>2.5328420711196515</v>
          </cell>
          <cell r="K311">
            <v>3.2186152066929137</v>
          </cell>
        </row>
        <row r="312">
          <cell r="B312">
            <v>-0.55929590579816457</v>
          </cell>
          <cell r="C312">
            <v>-0.54644282018657575</v>
          </cell>
          <cell r="D312">
            <v>-0.27011413609751878</v>
          </cell>
          <cell r="E312">
            <v>0.19387929074789673</v>
          </cell>
          <cell r="F312">
            <v>0.44193450576106763</v>
          </cell>
          <cell r="G312">
            <v>0.49419841423322508</v>
          </cell>
          <cell r="H312">
            <v>0.40903244954491813</v>
          </cell>
          <cell r="I312">
            <v>1.4375531211634744</v>
          </cell>
          <cell r="J312">
            <v>1.8600885872176813</v>
          </cell>
          <cell r="K312">
            <v>2.4804262303149609</v>
          </cell>
        </row>
        <row r="313">
          <cell r="B313">
            <v>-0.56044153444584621</v>
          </cell>
          <cell r="C313">
            <v>-0.41167960136525816</v>
          </cell>
          <cell r="D313">
            <v>-0.36363527799588596</v>
          </cell>
          <cell r="E313">
            <v>-0.1199136167310758</v>
          </cell>
          <cell r="F313">
            <v>0.36613098847786568</v>
          </cell>
          <cell r="G313">
            <v>8.7821504544576864E-2</v>
          </cell>
          <cell r="H313">
            <v>-0.21131776810446845</v>
          </cell>
          <cell r="I313">
            <v>1.1880961375011829</v>
          </cell>
          <cell r="J313">
            <v>1.1850861845266676</v>
          </cell>
          <cell r="K313">
            <v>2.0375128444881891</v>
          </cell>
        </row>
        <row r="314">
          <cell r="B314">
            <v>0</v>
          </cell>
          <cell r="C314">
            <v>0</v>
          </cell>
          <cell r="D314">
            <v>0</v>
          </cell>
          <cell r="E314">
            <v>0</v>
          </cell>
          <cell r="F314">
            <v>0</v>
          </cell>
          <cell r="G314">
            <v>0</v>
          </cell>
          <cell r="H314">
            <v>0</v>
          </cell>
          <cell r="I314">
            <v>0</v>
          </cell>
          <cell r="J314">
            <v>0</v>
          </cell>
          <cell r="K314">
            <v>0</v>
          </cell>
        </row>
        <row r="315">
          <cell r="B315">
            <v>0</v>
          </cell>
          <cell r="C315">
            <v>0.17602756954351281</v>
          </cell>
          <cell r="D315">
            <v>2.2727204874743039E-2</v>
          </cell>
          <cell r="E315">
            <v>0.77892702887019716</v>
          </cell>
          <cell r="F315">
            <v>2.9060541742470183</v>
          </cell>
          <cell r="G315">
            <v>2.8045107329336685</v>
          </cell>
          <cell r="H315">
            <v>3.0458300356153538</v>
          </cell>
          <cell r="I315">
            <v>3.6033147606006235</v>
          </cell>
          <cell r="J315">
            <v>4.1283250120134509</v>
          </cell>
          <cell r="K315">
            <v>6.2752315206692879</v>
          </cell>
        </row>
        <row r="323">
          <cell r="F323" t="str">
            <v>Sanmina Corporation</v>
          </cell>
        </row>
        <row r="324">
          <cell r="F324" t="str">
            <v>Balance Sheet</v>
          </cell>
        </row>
        <row r="325">
          <cell r="F325" t="str">
            <v>($ In Millions Except Per Share Data)</v>
          </cell>
        </row>
        <row r="328">
          <cell r="B328" t="str">
            <v xml:space="preserve">    1991A</v>
          </cell>
          <cell r="C328" t="str">
            <v xml:space="preserve">    1992A</v>
          </cell>
          <cell r="D328" t="str">
            <v xml:space="preserve">    1993A</v>
          </cell>
          <cell r="E328" t="str">
            <v>1994RE</v>
          </cell>
          <cell r="F328" t="str">
            <v>1995RE</v>
          </cell>
          <cell r="G328" t="str">
            <v>1996R</v>
          </cell>
          <cell r="H328" t="str">
            <v>1997R</v>
          </cell>
          <cell r="I328" t="str">
            <v>1998A</v>
          </cell>
          <cell r="J328" t="str">
            <v>1999E</v>
          </cell>
          <cell r="K328" t="str">
            <v>2000E</v>
          </cell>
        </row>
        <row r="331">
          <cell r="C331">
            <v>3.8350000000000057</v>
          </cell>
          <cell r="D331">
            <v>0.60900000000000443</v>
          </cell>
          <cell r="E331">
            <v>27.411999999999978</v>
          </cell>
          <cell r="F331">
            <v>115.01</v>
          </cell>
          <cell r="G331">
            <v>116.017</v>
          </cell>
          <cell r="H331">
            <v>123.149</v>
          </cell>
          <cell r="I331">
            <v>152.62200000000001</v>
          </cell>
          <cell r="J331">
            <v>214.77610874999982</v>
          </cell>
          <cell r="K331">
            <v>318.78176124999982</v>
          </cell>
        </row>
        <row r="332">
          <cell r="C332">
            <v>9.7919999999999998</v>
          </cell>
          <cell r="D332">
            <v>11.204000000000001</v>
          </cell>
          <cell r="E332">
            <v>25.962000000000003</v>
          </cell>
          <cell r="F332">
            <v>39.5</v>
          </cell>
          <cell r="G332">
            <v>50.884</v>
          </cell>
          <cell r="H332">
            <v>77.334000000000003</v>
          </cell>
          <cell r="I332">
            <v>96.93</v>
          </cell>
          <cell r="J332">
            <v>125</v>
          </cell>
          <cell r="K332">
            <v>160</v>
          </cell>
        </row>
        <row r="333">
          <cell r="C333">
            <v>5.8440000000000003</v>
          </cell>
          <cell r="D333">
            <v>9.7249999999999996</v>
          </cell>
          <cell r="E333">
            <v>17.565000000000001</v>
          </cell>
          <cell r="F333">
            <v>27.337</v>
          </cell>
          <cell r="G333">
            <v>42.798999999999999</v>
          </cell>
          <cell r="H333">
            <v>61.960999999999999</v>
          </cell>
          <cell r="I333">
            <v>68.953000000000003</v>
          </cell>
          <cell r="J333">
            <v>97.5</v>
          </cell>
          <cell r="K333">
            <v>122.5</v>
          </cell>
        </row>
        <row r="334">
          <cell r="C334">
            <v>2.016</v>
          </cell>
          <cell r="D334">
            <v>1.8480000000000001</v>
          </cell>
          <cell r="E334">
            <v>3.1280000000000001</v>
          </cell>
          <cell r="F334">
            <v>5.8010000000000002</v>
          </cell>
          <cell r="G334">
            <v>9.298</v>
          </cell>
          <cell r="H334">
            <v>15.708</v>
          </cell>
          <cell r="I334">
            <v>23.821000000000002</v>
          </cell>
          <cell r="J334">
            <v>23.821000000000002</v>
          </cell>
          <cell r="K334">
            <v>23.821000000000002</v>
          </cell>
        </row>
        <row r="335">
          <cell r="C335">
            <v>21.487000000000009</v>
          </cell>
          <cell r="D335">
            <v>23.386000000000003</v>
          </cell>
          <cell r="E335">
            <v>74.066999999999979</v>
          </cell>
          <cell r="F335">
            <v>187.64799999999997</v>
          </cell>
          <cell r="G335">
            <v>218.99800000000002</v>
          </cell>
          <cell r="H335">
            <v>278.15200000000004</v>
          </cell>
          <cell r="I335">
            <v>342.32600000000002</v>
          </cell>
          <cell r="J335">
            <v>461.09710874999985</v>
          </cell>
          <cell r="K335">
            <v>625.10276124999984</v>
          </cell>
        </row>
        <row r="338">
          <cell r="C338">
            <v>9.0169999999999995</v>
          </cell>
          <cell r="D338">
            <v>8.2360000000000007</v>
          </cell>
          <cell r="E338">
            <v>26.360999999999997</v>
          </cell>
          <cell r="F338">
            <v>37.778999999999996</v>
          </cell>
          <cell r="G338">
            <v>59.686</v>
          </cell>
          <cell r="H338">
            <v>92.707999999999998</v>
          </cell>
          <cell r="I338">
            <v>107.881</v>
          </cell>
          <cell r="J338">
            <v>108.881</v>
          </cell>
          <cell r="K338">
            <v>109.381</v>
          </cell>
        </row>
        <row r="339">
          <cell r="C339">
            <v>0.76900000000000002</v>
          </cell>
          <cell r="D339">
            <v>0.10100000000000001</v>
          </cell>
          <cell r="E339">
            <v>0.1</v>
          </cell>
          <cell r="F339">
            <v>2.7040000000000002</v>
          </cell>
          <cell r="G339">
            <v>2.3359999999999999</v>
          </cell>
          <cell r="H339">
            <v>0</v>
          </cell>
          <cell r="I339">
            <v>0</v>
          </cell>
          <cell r="J339">
            <v>0</v>
          </cell>
          <cell r="K339">
            <v>0</v>
          </cell>
        </row>
        <row r="340">
          <cell r="C340">
            <v>14.494999999999999</v>
          </cell>
          <cell r="D340">
            <v>13.83</v>
          </cell>
          <cell r="E340">
            <v>0.92200000000000004</v>
          </cell>
          <cell r="F340">
            <v>5.1139999999999999</v>
          </cell>
          <cell r="G340">
            <v>11.625999999999999</v>
          </cell>
          <cell r="H340">
            <v>11.067</v>
          </cell>
          <cell r="I340">
            <v>17.373000000000001</v>
          </cell>
          <cell r="J340">
            <v>17.373000000000001</v>
          </cell>
          <cell r="K340">
            <v>17.373000000000001</v>
          </cell>
        </row>
        <row r="341">
          <cell r="C341">
            <v>24.280999999999999</v>
          </cell>
          <cell r="D341">
            <v>22.167000000000002</v>
          </cell>
          <cell r="E341">
            <v>27.382999999999999</v>
          </cell>
          <cell r="F341">
            <v>45.596999999999994</v>
          </cell>
          <cell r="G341">
            <v>73.647999999999996</v>
          </cell>
          <cell r="H341">
            <v>103.77500000000001</v>
          </cell>
          <cell r="I341">
            <v>125.254</v>
          </cell>
          <cell r="J341">
            <v>126.254</v>
          </cell>
          <cell r="K341">
            <v>126.754</v>
          </cell>
        </row>
        <row r="342">
          <cell r="C342">
            <v>45.768000000000008</v>
          </cell>
          <cell r="D342">
            <v>45.553000000000004</v>
          </cell>
          <cell r="E342">
            <v>101.44999999999997</v>
          </cell>
          <cell r="F342">
            <v>233.24499999999995</v>
          </cell>
          <cell r="G342">
            <v>292.64600000000002</v>
          </cell>
          <cell r="H342">
            <v>381.92700000000002</v>
          </cell>
          <cell r="I342">
            <v>467.58000000000004</v>
          </cell>
          <cell r="J342">
            <v>587.35110874999987</v>
          </cell>
          <cell r="K342">
            <v>751.85676124999986</v>
          </cell>
        </row>
        <row r="346">
          <cell r="C346">
            <v>10.514999999999999</v>
          </cell>
          <cell r="D346">
            <v>12.666</v>
          </cell>
          <cell r="E346">
            <v>24.308</v>
          </cell>
          <cell r="F346">
            <v>42.188999999999993</v>
          </cell>
          <cell r="G346">
            <v>51.13</v>
          </cell>
          <cell r="H346">
            <v>90.211000000000013</v>
          </cell>
          <cell r="I346">
            <v>114.846</v>
          </cell>
          <cell r="J346">
            <v>136.846</v>
          </cell>
          <cell r="K346">
            <v>174.846</v>
          </cell>
        </row>
        <row r="347">
          <cell r="C347">
            <v>3.9820000000000002</v>
          </cell>
          <cell r="D347">
            <v>0</v>
          </cell>
          <cell r="E347">
            <v>3.5059999999999998</v>
          </cell>
          <cell r="F347">
            <v>3.6860000000000004</v>
          </cell>
          <cell r="G347">
            <v>6.5849999999999991</v>
          </cell>
          <cell r="H347">
            <v>8.7880000000000003</v>
          </cell>
          <cell r="I347">
            <v>0</v>
          </cell>
          <cell r="J347">
            <v>0</v>
          </cell>
          <cell r="K347">
            <v>0</v>
          </cell>
        </row>
        <row r="348">
          <cell r="C348">
            <v>2.1999999999999999E-2</v>
          </cell>
          <cell r="D348">
            <v>2.3260000000000001</v>
          </cell>
          <cell r="E348">
            <v>4.407</v>
          </cell>
          <cell r="F348">
            <v>5.6950000000000003</v>
          </cell>
          <cell r="G348">
            <v>5.4039999999999999</v>
          </cell>
          <cell r="H348">
            <v>2.2170000000000001</v>
          </cell>
          <cell r="I348">
            <v>0</v>
          </cell>
          <cell r="J348">
            <v>0</v>
          </cell>
          <cell r="K348">
            <v>0</v>
          </cell>
        </row>
        <row r="349">
          <cell r="C349">
            <v>14.519</v>
          </cell>
          <cell r="D349">
            <v>14.992000000000001</v>
          </cell>
          <cell r="E349">
            <v>32.221000000000004</v>
          </cell>
          <cell r="F349">
            <v>51.569999999999993</v>
          </cell>
          <cell r="G349">
            <v>63.119</v>
          </cell>
          <cell r="H349">
            <v>101.21600000000001</v>
          </cell>
          <cell r="I349">
            <v>114.846</v>
          </cell>
          <cell r="J349">
            <v>136.846</v>
          </cell>
          <cell r="K349">
            <v>174.846</v>
          </cell>
        </row>
        <row r="352">
          <cell r="C352">
            <v>31.163</v>
          </cell>
          <cell r="D352">
            <v>4.4379999999999997</v>
          </cell>
          <cell r="E352">
            <v>16.405999999999999</v>
          </cell>
          <cell r="F352">
            <v>99.53</v>
          </cell>
          <cell r="G352">
            <v>100.69799999999999</v>
          </cell>
          <cell r="H352">
            <v>108.38200000000001</v>
          </cell>
          <cell r="I352">
            <v>8.6419999999999995</v>
          </cell>
          <cell r="J352">
            <v>8.6419999999999995</v>
          </cell>
          <cell r="K352">
            <v>8.6419999999999995</v>
          </cell>
        </row>
        <row r="353">
          <cell r="C353">
            <v>0</v>
          </cell>
          <cell r="D353">
            <v>0</v>
          </cell>
          <cell r="E353">
            <v>0</v>
          </cell>
          <cell r="F353">
            <v>0</v>
          </cell>
          <cell r="G353">
            <v>0</v>
          </cell>
          <cell r="H353">
            <v>0</v>
          </cell>
          <cell r="I353">
            <v>0</v>
          </cell>
          <cell r="J353">
            <v>0</v>
          </cell>
          <cell r="K353">
            <v>0</v>
          </cell>
        </row>
        <row r="354">
          <cell r="C354">
            <v>0</v>
          </cell>
          <cell r="D354">
            <v>0</v>
          </cell>
          <cell r="E354">
            <v>0</v>
          </cell>
          <cell r="F354">
            <v>1.056</v>
          </cell>
          <cell r="G354">
            <v>0.59199999999999997</v>
          </cell>
          <cell r="H354">
            <v>0.55200000000000005</v>
          </cell>
          <cell r="I354">
            <v>0</v>
          </cell>
          <cell r="J354">
            <v>0</v>
          </cell>
          <cell r="K354">
            <v>0</v>
          </cell>
        </row>
        <row r="355">
          <cell r="C355">
            <v>31.163</v>
          </cell>
          <cell r="D355">
            <v>4.4379999999999997</v>
          </cell>
          <cell r="E355">
            <v>16.405999999999999</v>
          </cell>
          <cell r="F355">
            <v>100.586</v>
          </cell>
          <cell r="G355">
            <v>101.28999999999999</v>
          </cell>
          <cell r="H355">
            <v>108.93400000000001</v>
          </cell>
          <cell r="I355">
            <v>8.6419999999999995</v>
          </cell>
          <cell r="J355">
            <v>8.6419999999999995</v>
          </cell>
          <cell r="K355">
            <v>8.6419999999999995</v>
          </cell>
        </row>
        <row r="356">
          <cell r="C356">
            <v>45.682000000000002</v>
          </cell>
          <cell r="D356">
            <v>19.43</v>
          </cell>
          <cell r="E356">
            <v>48.627000000000002</v>
          </cell>
          <cell r="F356">
            <v>152.15600000000001</v>
          </cell>
          <cell r="G356">
            <v>164.40899999999999</v>
          </cell>
          <cell r="H356">
            <v>210.15000000000003</v>
          </cell>
          <cell r="I356">
            <v>123.488</v>
          </cell>
          <cell r="J356">
            <v>145.488</v>
          </cell>
          <cell r="K356">
            <v>183.488</v>
          </cell>
        </row>
        <row r="358">
          <cell r="C358">
            <v>0</v>
          </cell>
          <cell r="D358">
            <v>0</v>
          </cell>
          <cell r="E358">
            <v>0</v>
          </cell>
          <cell r="F358">
            <v>0</v>
          </cell>
          <cell r="G358">
            <v>0</v>
          </cell>
          <cell r="H358">
            <v>0</v>
          </cell>
          <cell r="I358">
            <v>0</v>
          </cell>
          <cell r="J358">
            <v>0</v>
          </cell>
          <cell r="K358">
            <v>0</v>
          </cell>
        </row>
        <row r="361">
          <cell r="C361">
            <v>8.5999999999999993E-2</v>
          </cell>
          <cell r="D361">
            <v>26.123000000000001</v>
          </cell>
          <cell r="E361">
            <v>52.823</v>
          </cell>
          <cell r="F361">
            <v>81.11099999999999</v>
          </cell>
          <cell r="G361">
            <v>128.25899999999999</v>
          </cell>
          <cell r="H361">
            <v>171.75699999999998</v>
          </cell>
          <cell r="I361">
            <v>344.09199999999998</v>
          </cell>
          <cell r="J361">
            <v>441.86310874999987</v>
          </cell>
          <cell r="K361">
            <v>568.36876124999992</v>
          </cell>
        </row>
        <row r="362">
          <cell r="C362">
            <v>0</v>
          </cell>
          <cell r="D362">
            <v>0</v>
          </cell>
          <cell r="E362">
            <v>0</v>
          </cell>
          <cell r="F362">
            <v>-2.1999999999999999E-2</v>
          </cell>
          <cell r="G362">
            <v>-2.1999999999999999E-2</v>
          </cell>
          <cell r="H362">
            <v>0.02</v>
          </cell>
          <cell r="I362">
            <v>0</v>
          </cell>
          <cell r="J362">
            <v>0</v>
          </cell>
          <cell r="K362">
            <v>0</v>
          </cell>
        </row>
        <row r="363">
          <cell r="C363">
            <v>0</v>
          </cell>
          <cell r="D363">
            <v>0</v>
          </cell>
          <cell r="E363">
            <v>0</v>
          </cell>
          <cell r="F363">
            <v>0</v>
          </cell>
          <cell r="G363">
            <v>0</v>
          </cell>
          <cell r="H363">
            <v>0</v>
          </cell>
          <cell r="I363">
            <v>0</v>
          </cell>
          <cell r="J363">
            <v>0</v>
          </cell>
          <cell r="K363">
            <v>0</v>
          </cell>
        </row>
        <row r="364">
          <cell r="C364">
            <v>8.5999999999999993E-2</v>
          </cell>
          <cell r="D364">
            <v>26.123000000000001</v>
          </cell>
          <cell r="E364">
            <v>52.823</v>
          </cell>
          <cell r="F364">
            <v>81.088999999999984</v>
          </cell>
          <cell r="G364">
            <v>128.23699999999999</v>
          </cell>
          <cell r="H364">
            <v>171.77699999999999</v>
          </cell>
          <cell r="I364">
            <v>344.09199999999998</v>
          </cell>
          <cell r="J364">
            <v>441.86310874999987</v>
          </cell>
          <cell r="K364">
            <v>568.36876124999992</v>
          </cell>
        </row>
        <row r="366">
          <cell r="C366">
            <v>45.768000000000001</v>
          </cell>
          <cell r="D366">
            <v>45.552999999999997</v>
          </cell>
          <cell r="E366">
            <v>101.45</v>
          </cell>
          <cell r="F366">
            <v>233.245</v>
          </cell>
          <cell r="G366">
            <v>292.64599999999996</v>
          </cell>
          <cell r="H366">
            <v>381.92700000000002</v>
          </cell>
          <cell r="I366">
            <v>467.58</v>
          </cell>
          <cell r="J366">
            <v>587.35110874999987</v>
          </cell>
          <cell r="K366">
            <v>751.85676124999986</v>
          </cell>
        </row>
        <row r="369">
          <cell r="C369">
            <v>4.1851860750066125E-2</v>
          </cell>
          <cell r="D369">
            <v>4.0911657239035747E-2</v>
          </cell>
          <cell r="E369">
            <v>0.11916225895970201</v>
          </cell>
          <cell r="F369">
            <v>0.32735863289630063</v>
          </cell>
          <cell r="G369">
            <v>0.37241123316886998</v>
          </cell>
          <cell r="H369">
            <v>0.2920521177211835</v>
          </cell>
          <cell r="I369">
            <v>0.27984129114936596</v>
          </cell>
          <cell r="J369">
            <v>0.29269554840848799</v>
          </cell>
          <cell r="K369">
            <v>0.31356593927125492</v>
          </cell>
        </row>
        <row r="370">
          <cell r="C370">
            <v>5.8813636691252433E-2</v>
          </cell>
          <cell r="D370">
            <v>2.9994816498597181E-2</v>
          </cell>
          <cell r="E370">
            <v>6.1649379323304949E-2</v>
          </cell>
          <cell r="F370">
            <v>7.2788648276444226E-2</v>
          </cell>
          <cell r="G370">
            <v>6.4998888530948415E-2</v>
          </cell>
          <cell r="H370">
            <v>6.7919239021363195E-2</v>
          </cell>
          <cell r="I370">
            <v>6.7119062941747257E-2</v>
          </cell>
          <cell r="J370">
            <v>6.6348604277422674E-2</v>
          </cell>
          <cell r="K370">
            <v>6.4804189718330948E-2</v>
          </cell>
        </row>
        <row r="371">
          <cell r="C371">
            <v>3.7511794647957841E-2</v>
          </cell>
          <cell r="D371">
            <v>2.9476538951702186E-2</v>
          </cell>
          <cell r="E371">
            <v>5.0133569658961055E-2</v>
          </cell>
          <cell r="F371">
            <v>6.3158129940084504E-2</v>
          </cell>
          <cell r="G371">
            <v>7.0213575682918097E-2</v>
          </cell>
          <cell r="H371">
            <v>6.8079983993541052E-2</v>
          </cell>
          <cell r="I371">
            <v>6.1198340864631197E-2</v>
          </cell>
          <cell r="J371">
            <v>6.6043739116127251E-2</v>
          </cell>
          <cell r="K371">
            <v>6.2763583420659713E-2</v>
          </cell>
        </row>
        <row r="372">
          <cell r="C372">
            <v>0.99755896795435839</v>
          </cell>
          <cell r="D372">
            <v>0.14521776119891364</v>
          </cell>
          <cell r="E372">
            <v>0.27376091290300403</v>
          </cell>
          <cell r="F372">
            <v>0.56002821410162507</v>
          </cell>
          <cell r="G372">
            <v>0.45551545516304348</v>
          </cell>
          <cell r="H372">
            <v>0.40550689226744008</v>
          </cell>
          <cell r="I372">
            <v>2.4500048194957106E-2</v>
          </cell>
          <cell r="J372">
            <v>1.9182912318083677E-2</v>
          </cell>
          <cell r="K372">
            <v>1.4977190340919313E-2</v>
          </cell>
        </row>
        <row r="373">
          <cell r="C373">
            <v>0.99724791193318196</v>
          </cell>
          <cell r="D373">
            <v>0.14521776119891364</v>
          </cell>
          <cell r="E373">
            <v>0.23698161175230031</v>
          </cell>
          <cell r="F373">
            <v>0.55104944662521671</v>
          </cell>
          <cell r="G373">
            <v>0.43985410706095612</v>
          </cell>
          <cell r="H373">
            <v>0.38685889084412783</v>
          </cell>
          <cell r="I373">
            <v>2.4500048194957106E-2</v>
          </cell>
          <cell r="J373">
            <v>1.9182912318083677E-2</v>
          </cell>
          <cell r="K373">
            <v>1.4977190340919313E-2</v>
          </cell>
        </row>
        <row r="374">
          <cell r="C374">
            <v>1.0026560849947197</v>
          </cell>
          <cell r="D374">
            <v>0.2014004777330583</v>
          </cell>
          <cell r="E374">
            <v>-4.4677808432881869E-2</v>
          </cell>
          <cell r="F374">
            <v>-3.376721164440067E-2</v>
          </cell>
          <cell r="G374">
            <v>-1.4545613383711527E-2</v>
          </cell>
          <cell r="H374">
            <v>-1.3428089049432646E-2</v>
          </cell>
          <cell r="I374">
            <v>-0.40818293671718642</v>
          </cell>
          <cell r="J374">
            <v>-0.45756220017560428</v>
          </cell>
          <cell r="K374">
            <v>-0.53749389453003005</v>
          </cell>
        </row>
        <row r="375">
          <cell r="E375">
            <v>11.17</v>
          </cell>
          <cell r="F375">
            <v>6.8170000000000073</v>
          </cell>
          <cell r="G375">
            <v>85.373999999999995</v>
          </cell>
          <cell r="H375">
            <v>80.804000000000002</v>
          </cell>
          <cell r="I375">
            <v>16.271999999999736</v>
          </cell>
          <cell r="J375">
            <v>16.27199999999965</v>
          </cell>
          <cell r="K375">
            <v>16.27199999999965</v>
          </cell>
        </row>
        <row r="385">
          <cell r="F385" t="str">
            <v>Sanmina Corporation</v>
          </cell>
        </row>
        <row r="386">
          <cell r="F386" t="str">
            <v>Key Financial Ratios</v>
          </cell>
        </row>
        <row r="389">
          <cell r="C389" t="str">
            <v xml:space="preserve">    1992A</v>
          </cell>
          <cell r="D389" t="str">
            <v xml:space="preserve">    1993A</v>
          </cell>
          <cell r="E389" t="str">
            <v>1994RE</v>
          </cell>
          <cell r="F389" t="str">
            <v>1995RE</v>
          </cell>
          <cell r="G389" t="str">
            <v>1996R</v>
          </cell>
          <cell r="H389" t="str">
            <v>1997R</v>
          </cell>
          <cell r="I389" t="str">
            <v>1998A</v>
          </cell>
          <cell r="J389" t="str">
            <v>1999E</v>
          </cell>
          <cell r="K389" t="str">
            <v>2000E</v>
          </cell>
        </row>
        <row r="390">
          <cell r="C390">
            <v>-8.3781803329889756E-2</v>
          </cell>
          <cell r="D390">
            <v>-3.4429495169004939E-2</v>
          </cell>
          <cell r="E390">
            <v>-1.9060268968952444E-2</v>
          </cell>
          <cell r="F390">
            <v>0.11594917518224006</v>
          </cell>
          <cell r="G390">
            <v>0.1377206096198296</v>
          </cell>
          <cell r="H390">
            <v>9.9786411413388024E-2</v>
          </cell>
          <cell r="I390">
            <v>0.14854943598018783</v>
          </cell>
          <cell r="J390">
            <v>0.16336366047745346</v>
          </cell>
          <cell r="K390">
            <v>0.16131295546558705</v>
          </cell>
        </row>
        <row r="392">
          <cell r="C392">
            <v>3.6377381576647432</v>
          </cell>
          <cell r="D392">
            <v>4.1214848637850414</v>
          </cell>
          <cell r="E392">
            <v>2.0779201577131596</v>
          </cell>
          <cell r="F392">
            <v>1.1651139359900538</v>
          </cell>
          <cell r="G392">
            <v>1.3394408261175619</v>
          </cell>
          <cell r="H392">
            <v>1.4918741015953314</v>
          </cell>
          <cell r="I392">
            <v>1.5453633602805938</v>
          </cell>
          <cell r="J392">
            <v>1.6046619917102527</v>
          </cell>
          <cell r="K392">
            <v>1.642600111684505</v>
          </cell>
        </row>
        <row r="393">
          <cell r="C393">
            <v>-0.30477626289110299</v>
          </cell>
          <cell r="D393">
            <v>-0.14190064320681406</v>
          </cell>
          <cell r="E393">
            <v>-3.9605717102020904E-2</v>
          </cell>
          <cell r="F393">
            <v>0.13509399987137996</v>
          </cell>
          <cell r="G393">
            <v>0.1844686071225988</v>
          </cell>
          <cell r="H393">
            <v>0.14886876287877038</v>
          </cell>
          <cell r="I393">
            <v>0.22956285555413</v>
          </cell>
          <cell r="J393">
            <v>0.26214345679482798</v>
          </cell>
          <cell r="K393">
            <v>0.26497267866393087</v>
          </cell>
        </row>
        <row r="395">
          <cell r="C395">
            <v>532.18604651162809</v>
          </cell>
          <cell r="D395">
            <v>1.7437889982008192</v>
          </cell>
          <cell r="E395">
            <v>1.9205649054389182</v>
          </cell>
          <cell r="F395">
            <v>2.8764074042101888</v>
          </cell>
          <cell r="G395">
            <v>2.2820714770308101</v>
          </cell>
          <cell r="H395">
            <v>2.2233884629490563</v>
          </cell>
          <cell r="I395">
            <v>1.358880764446718</v>
          </cell>
          <cell r="J395">
            <v>1.3292603458378218</v>
          </cell>
          <cell r="K395">
            <v>1.3228326616622264</v>
          </cell>
        </row>
        <row r="396">
          <cell r="C396">
            <v>-162.19767441860472</v>
          </cell>
          <cell r="D396">
            <v>-0.24744478046166218</v>
          </cell>
          <cell r="E396">
            <v>-7.6065350320883324E-2</v>
          </cell>
          <cell r="F396">
            <v>0.38858538149440763</v>
          </cell>
          <cell r="G396">
            <v>0.42097054672208528</v>
          </cell>
          <cell r="H396">
            <v>0.33099308987815679</v>
          </cell>
          <cell r="I396">
            <v>0.3119485486439677</v>
          </cell>
          <cell r="J396">
            <v>0.34845690203821517</v>
          </cell>
          <cell r="K396">
            <v>0.35051451378477749</v>
          </cell>
        </row>
        <row r="398">
          <cell r="C398">
            <v>1.0125457022008746</v>
          </cell>
          <cell r="D398">
            <v>1.6104579207920791</v>
          </cell>
          <cell r="E398">
            <v>1.8158287705325991</v>
          </cell>
          <cell r="F398">
            <v>0.64274833386226615</v>
          </cell>
          <cell r="G398">
            <v>0.67733032009484329</v>
          </cell>
          <cell r="H398">
            <v>0.53687320822414231</v>
          </cell>
          <cell r="I398">
            <v>0.63491368468124398</v>
          </cell>
          <cell r="J398">
            <v>0.63499999999999979</v>
          </cell>
          <cell r="K398">
            <v>0.63500000000000001</v>
          </cell>
        </row>
        <row r="399">
          <cell r="C399">
            <v>-164.23255813953494</v>
          </cell>
          <cell r="D399">
            <v>-0.39849940665314093</v>
          </cell>
          <cell r="E399">
            <v>-0.138121651553301</v>
          </cell>
          <cell r="F399">
            <v>0.24976260651876359</v>
          </cell>
          <cell r="G399">
            <v>0.28513611516177123</v>
          </cell>
          <cell r="H399">
            <v>0.17770132206290792</v>
          </cell>
          <cell r="I399">
            <v>0.19806040245050782</v>
          </cell>
          <cell r="J399">
            <v>0.22127013279426655</v>
          </cell>
          <cell r="K399">
            <v>0.22257671625333372</v>
          </cell>
        </row>
        <row r="401">
          <cell r="C401">
            <v>-164.23255813953497</v>
          </cell>
          <cell r="D401">
            <v>-0.43004249129119937</v>
          </cell>
          <cell r="E401">
            <v>5.4351324233761426E-2</v>
          </cell>
          <cell r="F401">
            <v>0.27236739878405231</v>
          </cell>
          <cell r="G401">
            <v>0.28513611516177123</v>
          </cell>
          <cell r="H401">
            <v>0.17770132206290792</v>
          </cell>
          <cell r="I401">
            <v>0.19806040245050779</v>
          </cell>
          <cell r="J401">
            <v>0.22127013279426649</v>
          </cell>
          <cell r="K401">
            <v>0.22257671625333372</v>
          </cell>
        </row>
        <row r="405">
          <cell r="C405" t="str">
            <v xml:space="preserve">    1992A</v>
          </cell>
          <cell r="D405" t="str">
            <v xml:space="preserve">    1993A</v>
          </cell>
          <cell r="E405" t="str">
            <v>1994RE</v>
          </cell>
          <cell r="F405" t="str">
            <v>1995RE</v>
          </cell>
          <cell r="G405" t="str">
            <v>1996R</v>
          </cell>
          <cell r="H405" t="str">
            <v>1997R</v>
          </cell>
          <cell r="I405" t="str">
            <v>1998A</v>
          </cell>
          <cell r="J405" t="str">
            <v>1999E</v>
          </cell>
          <cell r="K405" t="str">
            <v>2000E</v>
          </cell>
        </row>
        <row r="407">
          <cell r="C407">
            <v>-3.99270542801974</v>
          </cell>
          <cell r="D407">
            <v>-2.625345737993463</v>
          </cell>
          <cell r="E407">
            <v>-3.4529914529914656</v>
          </cell>
          <cell r="F407">
            <v>36.467300832342467</v>
          </cell>
          <cell r="G407">
            <v>39.136802973977737</v>
          </cell>
          <cell r="H407">
            <v>22.093826157595501</v>
          </cell>
          <cell r="I407">
            <v>155.0159883720932</v>
          </cell>
          <cell r="J407">
            <v>-25.05785156249998</v>
          </cell>
          <cell r="K407">
            <v>-26.87292207792208</v>
          </cell>
        </row>
        <row r="408">
          <cell r="C408">
            <v>1.4799228597010818</v>
          </cell>
          <cell r="D408">
            <v>1.5598986125933831</v>
          </cell>
          <cell r="E408">
            <v>2.2987182272431013</v>
          </cell>
          <cell r="F408">
            <v>3.6387046732596469</v>
          </cell>
          <cell r="G408">
            <v>3.4696050317653957</v>
          </cell>
          <cell r="H408">
            <v>2.7481030667088211</v>
          </cell>
          <cell r="I408">
            <v>2.9807394249690891</v>
          </cell>
          <cell r="J408">
            <v>3.3694598946991499</v>
          </cell>
          <cell r="K408">
            <v>3.5751619210619623</v>
          </cell>
        </row>
        <row r="409">
          <cell r="C409">
            <v>0.99724791193318196</v>
          </cell>
          <cell r="D409">
            <v>0.14521776119891364</v>
          </cell>
          <cell r="E409">
            <v>0.23698161175230031</v>
          </cell>
          <cell r="F409">
            <v>0.55104944662521671</v>
          </cell>
          <cell r="G409">
            <v>0.43985410706095612</v>
          </cell>
          <cell r="H409">
            <v>0.38685889084412783</v>
          </cell>
          <cell r="I409">
            <v>2.4500048194957106E-2</v>
          </cell>
          <cell r="J409">
            <v>1.9182912318083677E-2</v>
          </cell>
          <cell r="K409">
            <v>1.4977190340919313E-2</v>
          </cell>
        </row>
        <row r="410">
          <cell r="C410">
            <v>1.1246759896316683</v>
          </cell>
          <cell r="D410">
            <v>0.14521776119891364</v>
          </cell>
          <cell r="E410">
            <v>0.28762512819772063</v>
          </cell>
          <cell r="F410">
            <v>0.57145704493990124</v>
          </cell>
          <cell r="G410">
            <v>0.46861772992334061</v>
          </cell>
          <cell r="H410">
            <v>0.41822679264274931</v>
          </cell>
          <cell r="I410">
            <v>2.4500048194957106E-2</v>
          </cell>
          <cell r="J410">
            <v>1.9182912318083677E-2</v>
          </cell>
          <cell r="K410">
            <v>1.4977190340919313E-2</v>
          </cell>
        </row>
        <row r="411">
          <cell r="C411">
            <v>-0.54644282018657575</v>
          </cell>
          <cell r="D411">
            <v>-0.27011413609751878</v>
          </cell>
          <cell r="E411">
            <v>0.19387929074789673</v>
          </cell>
          <cell r="F411">
            <v>0.44193450576106763</v>
          </cell>
          <cell r="G411">
            <v>0.49419841423322508</v>
          </cell>
          <cell r="H411">
            <v>0.40903244954491813</v>
          </cell>
          <cell r="I411">
            <v>1.4375531211634744</v>
          </cell>
          <cell r="J411">
            <v>1.8600885872176813</v>
          </cell>
          <cell r="K411">
            <v>2.4804262303149609</v>
          </cell>
        </row>
        <row r="413">
          <cell r="C413">
            <v>3.9474239845481299E-3</v>
          </cell>
          <cell r="D413">
            <v>0.97488140056306749</v>
          </cell>
          <cell r="E413">
            <v>1.5009945442145942</v>
          </cell>
          <cell r="F413">
            <v>2.0489438043258534</v>
          </cell>
          <cell r="G413">
            <v>3.0999081415586924</v>
          </cell>
          <cell r="H413">
            <v>4.2485407597942215</v>
          </cell>
          <cell r="I413">
            <v>8.1238077249976381</v>
          </cell>
          <cell r="J413">
            <v>8.4932841662662142</v>
          </cell>
          <cell r="K413">
            <v>11.188361441929134</v>
          </cell>
        </row>
        <row r="414">
          <cell r="C414">
            <v>0.15327779905527897</v>
          </cell>
          <cell r="D414">
            <v>0.11521327393496414</v>
          </cell>
          <cell r="E414">
            <v>0.9168843892880425</v>
          </cell>
          <cell r="F414">
            <v>-0.13484551784160193</v>
          </cell>
          <cell r="G414">
            <v>-0.11591897337999768</v>
          </cell>
          <cell r="H414">
            <v>-0.26840101522842591</v>
          </cell>
          <cell r="I414">
            <v>-1.0660475694115417E-2</v>
          </cell>
          <cell r="J414">
            <v>8.1573405030624935E-3</v>
          </cell>
          <cell r="K414">
            <v>1.3655542938866932E-2</v>
          </cell>
        </row>
        <row r="417">
          <cell r="C417">
            <v>10.586454604425438</v>
          </cell>
          <cell r="D417">
            <v>20.129749768303984</v>
          </cell>
          <cell r="E417">
            <v>31.734920898460665</v>
          </cell>
          <cell r="F417">
            <v>43.359177500487569</v>
          </cell>
          <cell r="G417">
            <v>41.504762973810024</v>
          </cell>
          <cell r="H417">
            <v>40.505030827309149</v>
          </cell>
          <cell r="I417">
            <v>43.410385825256952</v>
          </cell>
          <cell r="J417">
            <v>42.384509283819632</v>
          </cell>
          <cell r="K417">
            <v>41.53846153846154</v>
          </cell>
        </row>
        <row r="418">
          <cell r="C418">
            <v>11.368113783244839</v>
          </cell>
          <cell r="D418">
            <v>22.224601323064135</v>
          </cell>
          <cell r="E418">
            <v>31.570977917981075</v>
          </cell>
          <cell r="F418">
            <v>44.04471641944825</v>
          </cell>
          <cell r="G418">
            <v>42.852528942655525</v>
          </cell>
          <cell r="H418">
            <v>44.650685256069359</v>
          </cell>
          <cell r="I418">
            <v>51.081138308369567</v>
          </cell>
          <cell r="J418">
            <v>48.068498673740059</v>
          </cell>
          <cell r="K418">
            <v>45.428793522267213</v>
          </cell>
        </row>
        <row r="419">
          <cell r="C419">
            <v>53.316563997262143</v>
          </cell>
          <cell r="D419">
            <v>21.272785663819132</v>
          </cell>
          <cell r="E419">
            <v>12.860095272993773</v>
          </cell>
          <cell r="F419">
            <v>9.6572090330052109</v>
          </cell>
          <cell r="G419">
            <v>8.7038610699212953</v>
          </cell>
          <cell r="H419">
            <v>8.6975181366933949</v>
          </cell>
          <cell r="I419">
            <v>8.6150144369586155</v>
          </cell>
          <cell r="J419">
            <v>8.8747033697199829</v>
          </cell>
          <cell r="K419">
            <v>8.8764590909090906</v>
          </cell>
        </row>
        <row r="420">
          <cell r="C420">
            <v>1.7992813141683774</v>
          </cell>
          <cell r="D420">
            <v>1.3024164524421595</v>
          </cell>
          <cell r="E420">
            <v>1.383888414460575</v>
          </cell>
          <cell r="F420">
            <v>1.5432929728938798</v>
          </cell>
          <cell r="G420">
            <v>1.1946540807028203</v>
          </cell>
          <cell r="H420">
            <v>1.4559319571988834</v>
          </cell>
          <cell r="I420">
            <v>1.6655693008281003</v>
          </cell>
          <cell r="J420">
            <v>1.403548717948718</v>
          </cell>
          <cell r="K420">
            <v>1.4273142857142858</v>
          </cell>
        </row>
        <row r="421">
          <cell r="C421">
            <v>2.0925930375033062E-2</v>
          </cell>
          <cell r="D421">
            <v>5.9468643805993253E-2</v>
          </cell>
          <cell r="E421">
            <v>0.13907165389815226</v>
          </cell>
          <cell r="F421">
            <v>0.40435020993019483</v>
          </cell>
          <cell r="G421">
            <v>0.5459880810853559</v>
          </cell>
          <cell r="H421">
            <v>0.42883919780549568</v>
          </cell>
          <cell r="I421">
            <v>0.40227462388299717</v>
          </cell>
          <cell r="J421">
            <v>0.41337459350132622</v>
          </cell>
          <cell r="K421">
            <v>0.44484169180161931</v>
          </cell>
        </row>
        <row r="422">
          <cell r="C422">
            <v>7.2754763153294864</v>
          </cell>
          <cell r="D422">
            <v>4.1117815179422035</v>
          </cell>
          <cell r="E422">
            <v>2.8680367067338763</v>
          </cell>
          <cell r="F422">
            <v>1.6239083344537568</v>
          </cell>
          <cell r="G422">
            <v>1.4907347720345092</v>
          </cell>
          <cell r="H422">
            <v>1.6893264331658695</v>
          </cell>
          <cell r="I422">
            <v>1.7011772710525048</v>
          </cell>
          <cell r="J422">
            <v>1.7868465384754442</v>
          </cell>
          <cell r="K422">
            <v>1.8443738685615703</v>
          </cell>
        </row>
        <row r="425">
          <cell r="C425">
            <v>-0.61719979024646054</v>
          </cell>
          <cell r="D425">
            <v>-0.24603322346448245</v>
          </cell>
          <cell r="E425">
            <v>3.9060427338217317E-2</v>
          </cell>
          <cell r="F425">
            <v>0.13197687446779915</v>
          </cell>
          <cell r="G425">
            <v>0.13905923470833331</v>
          </cell>
          <cell r="H425">
            <v>9.0501695146411515E-2</v>
          </cell>
          <cell r="I425">
            <v>0.16044835416306191</v>
          </cell>
          <cell r="J425">
            <v>0.18536017743537772</v>
          </cell>
          <cell r="K425">
            <v>0.18892608882293985</v>
          </cell>
        </row>
        <row r="426">
          <cell r="C426">
            <v>-328.46511627906995</v>
          </cell>
          <cell r="D426">
            <v>-0.85726277233011572</v>
          </cell>
          <cell r="E426">
            <v>7.2733260709851796E-2</v>
          </cell>
          <cell r="F426">
            <v>0.32985841448115205</v>
          </cell>
          <cell r="G426">
            <v>0.3493593724620932</v>
          </cell>
          <cell r="H426">
            <v>0.2034905037764913</v>
          </cell>
          <cell r="I426">
            <v>0.26421824145277245</v>
          </cell>
          <cell r="J426">
            <v>0.24879565680410726</v>
          </cell>
          <cell r="K426">
            <v>0.25044874598937378</v>
          </cell>
        </row>
        <row r="427">
          <cell r="C427">
            <v>6.4273358479686682E-2</v>
          </cell>
          <cell r="D427">
            <v>0.11796789279132443</v>
          </cell>
          <cell r="E427">
            <v>0.16759090154408091</v>
          </cell>
          <cell r="F427">
            <v>0.20217694484410709</v>
          </cell>
          <cell r="G427">
            <v>0.22132393834410777</v>
          </cell>
          <cell r="H427">
            <v>0.20044507859954702</v>
          </cell>
          <cell r="I427">
            <v>0.21958507073947431</v>
          </cell>
          <cell r="J427">
            <v>0.21632838196286461</v>
          </cell>
          <cell r="K427">
            <v>0.20938421052631581</v>
          </cell>
        </row>
        <row r="428">
          <cell r="C428">
            <v>-8.4832904884318813E-2</v>
          </cell>
          <cell r="D428">
            <v>-5.9836161622617796E-2</v>
          </cell>
          <cell r="E428">
            <v>1.3619221555465856E-2</v>
          </cell>
          <cell r="F428">
            <v>8.1271135610122322E-2</v>
          </cell>
          <cell r="G428">
            <v>9.3282344597456143E-2</v>
          </cell>
          <cell r="H428">
            <v>5.35726508326798E-2</v>
          </cell>
          <cell r="I428">
            <v>9.4316069755501608E-2</v>
          </cell>
          <cell r="J428">
            <v>0.1037359244031829</v>
          </cell>
          <cell r="K428">
            <v>0.10243372672064778</v>
          </cell>
        </row>
        <row r="431">
          <cell r="C431">
            <v>1.0536793804170941E-2</v>
          </cell>
          <cell r="D431">
            <v>0.12765778535905636</v>
          </cell>
          <cell r="E431">
            <v>0.12282019323980276</v>
          </cell>
          <cell r="F431">
            <v>0.28913925191527712</v>
          </cell>
          <cell r="G431">
            <v>0.4423989078478201</v>
          </cell>
          <cell r="H431">
            <v>0.4536050124750628</v>
          </cell>
          <cell r="I431">
            <v>0.26815985622697602</v>
          </cell>
          <cell r="J431">
            <v>0.30435203804140976</v>
          </cell>
          <cell r="K431">
            <v>0.31034482758620685</v>
          </cell>
        </row>
        <row r="432">
          <cell r="C432">
            <v>0.18763911321815296</v>
          </cell>
          <cell r="D432">
            <v>-0.40075222443358349</v>
          </cell>
          <cell r="E432">
            <v>-0.46634398045665315</v>
          </cell>
          <cell r="F432" t="str">
            <v xml:space="preserve">     N.M.</v>
          </cell>
          <cell r="G432">
            <v>0.71871757428401217</v>
          </cell>
          <cell r="H432">
            <v>-0.14585934237596243</v>
          </cell>
          <cell r="I432">
            <v>1.1312129433840603</v>
          </cell>
          <cell r="J432">
            <v>0.16799546954384059</v>
          </cell>
          <cell r="K432">
            <v>0.32509729484631644</v>
          </cell>
        </row>
        <row r="433">
          <cell r="C433" t="str">
            <v xml:space="preserve">      N.M.</v>
          </cell>
          <cell r="D433" t="str">
            <v xml:space="preserve">      N.M.</v>
          </cell>
          <cell r="E433" t="str">
            <v xml:space="preserve">      N.M.</v>
          </cell>
          <cell r="F433" t="str">
            <v xml:space="preserve">      N.M.</v>
          </cell>
          <cell r="G433" t="str">
            <v xml:space="preserve">      N.M.</v>
          </cell>
          <cell r="H433" t="str">
            <v xml:space="preserve">      N.M.</v>
          </cell>
          <cell r="I433" t="str">
            <v xml:space="preserve">      N.M.</v>
          </cell>
          <cell r="J433" t="str">
            <v xml:space="preserve">      N.M.</v>
          </cell>
          <cell r="K433" t="str">
            <v xml:space="preserve">      N.M.</v>
          </cell>
        </row>
        <row r="436">
          <cell r="C436">
            <v>-0.40985241324291938</v>
          </cell>
          <cell r="D436">
            <v>0.83786397335339002</v>
          </cell>
          <cell r="E436">
            <v>0.26748009349126511</v>
          </cell>
          <cell r="F436">
            <v>0.34482921417274492</v>
          </cell>
          <cell r="G436">
            <v>0.43080295573653843</v>
          </cell>
          <cell r="H436">
            <v>0.42422394960117787</v>
          </cell>
          <cell r="I436">
            <v>0.25505489224854888</v>
          </cell>
          <cell r="J436">
            <v>0.19276285624985384</v>
          </cell>
          <cell r="K436">
            <v>0.19580047148753532</v>
          </cell>
        </row>
        <row r="437">
          <cell r="C437">
            <v>-1.0757348208538953</v>
          </cell>
          <cell r="D437">
            <v>2.34020618556701</v>
          </cell>
          <cell r="E437">
            <v>15.410866910866901</v>
          </cell>
          <cell r="F437">
            <v>50.372175980975058</v>
          </cell>
          <cell r="G437">
            <v>51.214126394052087</v>
          </cell>
          <cell r="H437">
            <v>31.978878960195019</v>
          </cell>
          <cell r="I437">
            <v>196.60610465116298</v>
          </cell>
          <cell r="J437">
            <v>-28.37035156249998</v>
          </cell>
          <cell r="K437">
            <v>-24.872922077922084</v>
          </cell>
        </row>
        <row r="438">
          <cell r="C438">
            <v>-7.0093737534902205</v>
          </cell>
          <cell r="D438">
            <v>0.4768453851939401</v>
          </cell>
          <cell r="E438">
            <v>0.788812740165591</v>
          </cell>
          <cell r="F438">
            <v>2.4364657838207862</v>
          </cell>
          <cell r="G438">
            <v>1.5574670092765981</v>
          </cell>
          <cell r="H438">
            <v>1.4882131788853299</v>
          </cell>
          <cell r="I438">
            <v>6.3889402284404623E-2</v>
          </cell>
          <cell r="J438">
            <v>4.7595902963178192E-2</v>
          </cell>
          <cell r="K438">
            <v>4.5122871322540802E-2</v>
          </cell>
        </row>
      </sheetData>
      <sheetData sheetId="9"/>
      <sheetData sheetId="10"/>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PID2"/>
      <sheetName val="Annual"/>
      <sheetName val="Quarterly"/>
      <sheetName val="Model2Wizard"/>
      <sheetName val="Valuation"/>
      <sheetName val="BS"/>
      <sheetName val="CF"/>
      <sheetName val="Revenues"/>
      <sheetName val="MS Model"/>
    </sheetNames>
    <sheetDataSet>
      <sheetData sheetId="0" refreshError="1">
        <row r="1">
          <cell r="C1" t="str">
            <v>TICKER</v>
          </cell>
          <cell r="D1" t="str">
            <v>Ticker</v>
          </cell>
          <cell r="E1" t="str">
            <v>$D$11</v>
          </cell>
          <cell r="F1" t="str">
            <v>T5</v>
          </cell>
          <cell r="G1" t="e">
            <v>#NULL!</v>
          </cell>
        </row>
        <row r="2">
          <cell r="C2" t="str">
            <v>DATEOFSUBMISSION</v>
          </cell>
          <cell r="D2" t="str">
            <v>Date of Submission</v>
          </cell>
          <cell r="E2" t="str">
            <v>$J$11</v>
          </cell>
          <cell r="F2" t="str">
            <v>D</v>
          </cell>
          <cell r="G2" t="e">
            <v>#NULL!</v>
          </cell>
        </row>
        <row r="3">
          <cell r="C3" t="str">
            <v>CURRENTRATING</v>
          </cell>
          <cell r="D3" t="str">
            <v>Current Rating</v>
          </cell>
          <cell r="E3" t="str">
            <v>$D$14</v>
          </cell>
          <cell r="F3" t="str">
            <v>T20</v>
          </cell>
          <cell r="G3" t="e">
            <v>#NULL!</v>
          </cell>
        </row>
        <row r="4">
          <cell r="C4" t="str">
            <v>SHARESOUTSTANDING</v>
          </cell>
          <cell r="D4" t="str">
            <v>Shares Outstanding (MM)</v>
          </cell>
          <cell r="E4" t="str">
            <v>$D$19</v>
          </cell>
          <cell r="F4" t="str">
            <v>N</v>
          </cell>
          <cell r="G4" t="e">
            <v>#NULL!</v>
          </cell>
        </row>
        <row r="5">
          <cell r="C5" t="str">
            <v>MARKETCAP</v>
          </cell>
          <cell r="D5" t="str">
            <v>Market Capitalization (MM)</v>
          </cell>
          <cell r="E5" t="str">
            <v>$D$20</v>
          </cell>
          <cell r="F5" t="str">
            <v>N</v>
          </cell>
          <cell r="G5" t="e">
            <v>#NULL!</v>
          </cell>
        </row>
        <row r="6">
          <cell r="C6" t="str">
            <v>AVERAGETRADINGVOLUME</v>
          </cell>
          <cell r="D6" t="str">
            <v>Average Trading Volume (000)</v>
          </cell>
          <cell r="E6" t="str">
            <v>$D$21</v>
          </cell>
          <cell r="F6" t="str">
            <v>N</v>
          </cell>
          <cell r="G6" t="e">
            <v>#NULL!</v>
          </cell>
        </row>
        <row r="7">
          <cell r="C7" t="str">
            <v>BOOKVALUEPERSHARE</v>
          </cell>
          <cell r="D7" t="str">
            <v>Book Value/Share</v>
          </cell>
          <cell r="E7" t="str">
            <v>$D$22</v>
          </cell>
          <cell r="F7" t="str">
            <v>N</v>
          </cell>
          <cell r="G7" t="e">
            <v>#NULL!</v>
          </cell>
        </row>
        <row r="8">
          <cell r="C8" t="str">
            <v>ROAE</v>
          </cell>
          <cell r="D8" t="str">
            <v>current year's estimated ROE/ROAE</v>
          </cell>
          <cell r="F8" t="str">
            <v>N</v>
          </cell>
        </row>
        <row r="9">
          <cell r="C9" t="str">
            <v>ROIC</v>
          </cell>
          <cell r="D9" t="str">
            <v>current year's estimated ROIC</v>
          </cell>
          <cell r="F9" t="str">
            <v>N</v>
          </cell>
        </row>
        <row r="10">
          <cell r="C10" t="str">
            <v>NETCASHPERSHARE</v>
          </cell>
          <cell r="D10" t="str">
            <v>Net Cash/Share</v>
          </cell>
          <cell r="E10" t="str">
            <v>$D$25</v>
          </cell>
          <cell r="F10" t="str">
            <v>N</v>
          </cell>
          <cell r="G10" t="e">
            <v>#NULL!</v>
          </cell>
        </row>
        <row r="11">
          <cell r="C11" t="str">
            <v>SECULARGROWTHRATE</v>
          </cell>
          <cell r="D11" t="str">
            <v>Secular Growth Rate</v>
          </cell>
          <cell r="F11" t="str">
            <v>T</v>
          </cell>
        </row>
        <row r="12">
          <cell r="C12" t="str">
            <v>EARNINGS</v>
          </cell>
          <cell r="D12" t="str">
            <v>Earnings/FFO/EBITDA region including year headings</v>
          </cell>
          <cell r="E12" t="str">
            <v>$F$15:$J$21</v>
          </cell>
          <cell r="G12" t="e">
            <v>#NULL!</v>
          </cell>
        </row>
        <row r="13">
          <cell r="C13" t="str">
            <v>REVENUES</v>
          </cell>
          <cell r="D13" t="str">
            <v>Revenues region including year headings</v>
          </cell>
          <cell r="E13" t="str">
            <v>$F$22:$J$28</v>
          </cell>
          <cell r="G13" t="e">
            <v>#NULL!</v>
          </cell>
        </row>
        <row r="15">
          <cell r="C15" t="str">
            <v>Y1E</v>
          </cell>
          <cell r="D15" t="str">
            <v>Earnings Year 1</v>
          </cell>
          <cell r="E15" t="str">
            <v>$G$15</v>
          </cell>
          <cell r="F15" t="str">
            <v>Y</v>
          </cell>
          <cell r="G15" t="e">
            <v>#NULL!</v>
          </cell>
        </row>
        <row r="16">
          <cell r="C16" t="str">
            <v>Y2E</v>
          </cell>
          <cell r="D16" t="str">
            <v>Earnings Year 2</v>
          </cell>
          <cell r="E16" t="str">
            <v>$H$15</v>
          </cell>
          <cell r="F16" t="str">
            <v>Y</v>
          </cell>
          <cell r="G16" t="e">
            <v>#NULL!</v>
          </cell>
        </row>
        <row r="17">
          <cell r="C17" t="str">
            <v>Y3E</v>
          </cell>
          <cell r="D17" t="str">
            <v>Earnings Year 3</v>
          </cell>
          <cell r="E17" t="str">
            <v>$J$15</v>
          </cell>
          <cell r="F17" t="str">
            <v>Y</v>
          </cell>
          <cell r="G17" t="e">
            <v>#NULL!</v>
          </cell>
        </row>
        <row r="18">
          <cell r="C18" t="str">
            <v>Y4E</v>
          </cell>
          <cell r="D18" t="str">
            <v>Earnings Year 4</v>
          </cell>
          <cell r="F18" t="str">
            <v>Y</v>
          </cell>
        </row>
        <row r="19">
          <cell r="C19" t="str">
            <v>Y1Q1E</v>
          </cell>
          <cell r="D19" t="str">
            <v>Year 1 Quarter 1 Earnings</v>
          </cell>
          <cell r="E19" t="str">
            <v>$G$16</v>
          </cell>
          <cell r="F19" t="str">
            <v>N</v>
          </cell>
          <cell r="G19" t="e">
            <v>#NULL!</v>
          </cell>
        </row>
        <row r="20">
          <cell r="C20" t="str">
            <v>Y1Q2E</v>
          </cell>
          <cell r="D20" t="str">
            <v>Year 1 Quarter 2 Earnings</v>
          </cell>
          <cell r="E20" t="str">
            <v>$G$17</v>
          </cell>
          <cell r="F20" t="str">
            <v>N</v>
          </cell>
          <cell r="G20" t="e">
            <v>#NULL!</v>
          </cell>
        </row>
        <row r="21">
          <cell r="C21" t="str">
            <v>Y1Q3E</v>
          </cell>
          <cell r="D21" t="str">
            <v>Year 1 Quarter 3 Earnings</v>
          </cell>
          <cell r="E21" t="str">
            <v>$G$18</v>
          </cell>
          <cell r="F21" t="str">
            <v>N</v>
          </cell>
          <cell r="G21" t="e">
            <v>#NULL!</v>
          </cell>
        </row>
        <row r="22">
          <cell r="C22" t="str">
            <v>Y1Q4E</v>
          </cell>
          <cell r="D22" t="str">
            <v>Year 1 Quarter 4 Earnings</v>
          </cell>
          <cell r="E22" t="str">
            <v>$G$19</v>
          </cell>
          <cell r="F22" t="str">
            <v>N</v>
          </cell>
          <cell r="G22" t="e">
            <v>#NULL!</v>
          </cell>
        </row>
        <row r="23">
          <cell r="C23" t="str">
            <v>Y1YearE</v>
          </cell>
          <cell r="D23" t="str">
            <v>Year 1 Earnings</v>
          </cell>
          <cell r="E23" t="str">
            <v>$G$20</v>
          </cell>
          <cell r="F23" t="str">
            <v>N</v>
          </cell>
          <cell r="G23" t="e">
            <v>#NULL!</v>
          </cell>
        </row>
        <row r="24">
          <cell r="C24" t="str">
            <v>Y1PEE</v>
          </cell>
          <cell r="D24" t="str">
            <v>Year 1 P/E</v>
          </cell>
          <cell r="E24" t="str">
            <v>$G$21</v>
          </cell>
          <cell r="F24" t="str">
            <v>N</v>
          </cell>
          <cell r="G24" t="e">
            <v>#NULL!</v>
          </cell>
        </row>
        <row r="25">
          <cell r="C25" t="str">
            <v>Y1CYE</v>
          </cell>
          <cell r="D25" t="str">
            <v>Year 1 CY</v>
          </cell>
          <cell r="F25" t="str">
            <v>N</v>
          </cell>
        </row>
        <row r="26">
          <cell r="C26" t="str">
            <v>Y1CYPEE</v>
          </cell>
          <cell r="D26" t="str">
            <v>Year 1 CY P/E</v>
          </cell>
          <cell r="F26" t="str">
            <v>N</v>
          </cell>
        </row>
        <row r="27">
          <cell r="C27" t="str">
            <v>Y2Q1E</v>
          </cell>
          <cell r="D27" t="str">
            <v>Year 2 Quarter 1 Earnings</v>
          </cell>
          <cell r="E27" t="str">
            <v>$H$16</v>
          </cell>
          <cell r="F27" t="str">
            <v>N</v>
          </cell>
          <cell r="G27" t="e">
            <v>#NULL!</v>
          </cell>
        </row>
        <row r="28">
          <cell r="C28" t="str">
            <v>Y2Q2E</v>
          </cell>
          <cell r="D28" t="str">
            <v>Year 2 Quarter 2 Earnings</v>
          </cell>
          <cell r="E28" t="str">
            <v>$H$17</v>
          </cell>
          <cell r="F28" t="str">
            <v>N</v>
          </cell>
          <cell r="G28" t="e">
            <v>#NULL!</v>
          </cell>
        </row>
        <row r="29">
          <cell r="C29" t="str">
            <v>Y2Q3E</v>
          </cell>
          <cell r="D29" t="str">
            <v>Year 2 Quarter 3 Earnings</v>
          </cell>
          <cell r="E29" t="str">
            <v>$H$18</v>
          </cell>
          <cell r="F29" t="str">
            <v>N</v>
          </cell>
          <cell r="G29" t="e">
            <v>#NULL!</v>
          </cell>
        </row>
        <row r="30">
          <cell r="C30" t="str">
            <v>Y2Q4E</v>
          </cell>
          <cell r="D30" t="str">
            <v>Year 2 Quarter 4 Earnings</v>
          </cell>
          <cell r="E30" t="str">
            <v>$H$19</v>
          </cell>
          <cell r="F30" t="str">
            <v>N</v>
          </cell>
          <cell r="G30" t="e">
            <v>#NULL!</v>
          </cell>
        </row>
        <row r="31">
          <cell r="C31" t="str">
            <v>Y2YearE</v>
          </cell>
          <cell r="D31" t="str">
            <v>Year 2 Earnings</v>
          </cell>
          <cell r="E31" t="str">
            <v>$H$20</v>
          </cell>
          <cell r="F31" t="str">
            <v>N</v>
          </cell>
          <cell r="G31" t="e">
            <v>#NULL!</v>
          </cell>
        </row>
        <row r="32">
          <cell r="C32" t="str">
            <v>Y2PEE</v>
          </cell>
          <cell r="D32" t="str">
            <v>Year 2 P/E</v>
          </cell>
          <cell r="E32" t="str">
            <v>$H$21</v>
          </cell>
          <cell r="F32" t="str">
            <v>N</v>
          </cell>
          <cell r="G32" t="e">
            <v>#NULL!</v>
          </cell>
        </row>
        <row r="33">
          <cell r="C33" t="str">
            <v>Y2CYE</v>
          </cell>
          <cell r="D33" t="str">
            <v>Year 2 CY</v>
          </cell>
          <cell r="F33" t="str">
            <v>N</v>
          </cell>
        </row>
        <row r="34">
          <cell r="C34" t="str">
            <v>Y2CYPEE</v>
          </cell>
          <cell r="D34" t="str">
            <v>Year 2 CY P/E</v>
          </cell>
          <cell r="F34" t="str">
            <v>N</v>
          </cell>
        </row>
        <row r="35">
          <cell r="C35" t="str">
            <v>Y3Q1E</v>
          </cell>
          <cell r="D35" t="str">
            <v>Year 3 Quarter 1 Earnings</v>
          </cell>
          <cell r="E35" t="str">
            <v>$J$16</v>
          </cell>
          <cell r="F35" t="str">
            <v>N</v>
          </cell>
          <cell r="G35" t="e">
            <v>#NULL!</v>
          </cell>
        </row>
        <row r="36">
          <cell r="C36" t="str">
            <v>Y3Q2E</v>
          </cell>
          <cell r="D36" t="str">
            <v>Year 3 Quarter 2 Earnings</v>
          </cell>
          <cell r="E36" t="str">
            <v>$J$17</v>
          </cell>
          <cell r="F36" t="str">
            <v>N</v>
          </cell>
          <cell r="G36" t="e">
            <v>#NULL!</v>
          </cell>
        </row>
        <row r="37">
          <cell r="C37" t="str">
            <v>Y3Q3E</v>
          </cell>
          <cell r="D37" t="str">
            <v>Year 3 Quarter 3 Earnings</v>
          </cell>
          <cell r="E37" t="str">
            <v>$J$18</v>
          </cell>
          <cell r="F37" t="str">
            <v>N</v>
          </cell>
          <cell r="G37" t="e">
            <v>#NULL!</v>
          </cell>
        </row>
        <row r="38">
          <cell r="C38" t="str">
            <v>Y3Q4E</v>
          </cell>
          <cell r="D38" t="str">
            <v>Year 3 Quarter 4 Earnings</v>
          </cell>
          <cell r="E38" t="str">
            <v>$J$19</v>
          </cell>
          <cell r="F38" t="str">
            <v>N</v>
          </cell>
          <cell r="G38" t="e">
            <v>#NULL!</v>
          </cell>
        </row>
        <row r="39">
          <cell r="C39" t="str">
            <v>Y3YearE</v>
          </cell>
          <cell r="D39" t="str">
            <v>Year 3 Earnings</v>
          </cell>
          <cell r="E39" t="str">
            <v>$J$20</v>
          </cell>
          <cell r="F39" t="str">
            <v>N</v>
          </cell>
          <cell r="G39" t="e">
            <v>#NULL!</v>
          </cell>
        </row>
        <row r="40">
          <cell r="C40" t="str">
            <v>Y3PEE</v>
          </cell>
          <cell r="D40" t="str">
            <v>Year 3 P/E</v>
          </cell>
          <cell r="E40" t="str">
            <v>$J$21</v>
          </cell>
          <cell r="F40" t="str">
            <v>N</v>
          </cell>
          <cell r="G40" t="e">
            <v>#NULL!</v>
          </cell>
        </row>
        <row r="41">
          <cell r="C41" t="str">
            <v>Y3CYE</v>
          </cell>
          <cell r="D41" t="str">
            <v>Year 3 CY</v>
          </cell>
          <cell r="F41" t="str">
            <v>N</v>
          </cell>
        </row>
        <row r="42">
          <cell r="C42" t="str">
            <v>Y3CYPEE</v>
          </cell>
          <cell r="D42" t="str">
            <v>Year 3 CY P/E</v>
          </cell>
          <cell r="F42" t="str">
            <v>N</v>
          </cell>
        </row>
        <row r="43">
          <cell r="C43" t="str">
            <v>Y4Q1E</v>
          </cell>
          <cell r="D43" t="str">
            <v>Year 4 Quarter 1 Earnings</v>
          </cell>
          <cell r="F43" t="str">
            <v>N</v>
          </cell>
        </row>
        <row r="44">
          <cell r="C44" t="str">
            <v>Y4Q2E</v>
          </cell>
          <cell r="D44" t="str">
            <v>Year 4 Quarter 2 Earnings</v>
          </cell>
          <cell r="F44" t="str">
            <v>N</v>
          </cell>
        </row>
        <row r="45">
          <cell r="C45" t="str">
            <v>Y4Q3E</v>
          </cell>
          <cell r="D45" t="str">
            <v>Year 4 Quarter 3 Earnings</v>
          </cell>
          <cell r="F45" t="str">
            <v>N</v>
          </cell>
        </row>
        <row r="46">
          <cell r="C46" t="str">
            <v>Y4Q4E</v>
          </cell>
          <cell r="D46" t="str">
            <v>Year 4 Quarter 4 Earnings</v>
          </cell>
          <cell r="F46" t="str">
            <v>N</v>
          </cell>
        </row>
        <row r="47">
          <cell r="C47" t="str">
            <v>Y4YearE</v>
          </cell>
          <cell r="D47" t="str">
            <v>Year 4 Earnings</v>
          </cell>
          <cell r="F47" t="str">
            <v>N</v>
          </cell>
        </row>
        <row r="48">
          <cell r="C48" t="str">
            <v>Y4PEE</v>
          </cell>
          <cell r="D48" t="str">
            <v>Year 4 P/E</v>
          </cell>
          <cell r="F48" t="str">
            <v>N</v>
          </cell>
        </row>
        <row r="49">
          <cell r="C49" t="str">
            <v>Y4CYE</v>
          </cell>
          <cell r="D49" t="str">
            <v>Year 4 CY</v>
          </cell>
          <cell r="F49" t="str">
            <v>N</v>
          </cell>
        </row>
        <row r="50">
          <cell r="C50" t="str">
            <v>Y4CYPEE</v>
          </cell>
          <cell r="D50" t="str">
            <v>Year 4 CY P/E</v>
          </cell>
          <cell r="F50" t="str">
            <v>N</v>
          </cell>
        </row>
        <row r="51">
          <cell r="C51" t="str">
            <v>Y1R</v>
          </cell>
          <cell r="D51" t="str">
            <v>Revenues Year 1</v>
          </cell>
          <cell r="E51" t="str">
            <v>$G$22</v>
          </cell>
          <cell r="F51" t="str">
            <v>Y</v>
          </cell>
          <cell r="G51" t="e">
            <v>#NULL!</v>
          </cell>
        </row>
        <row r="52">
          <cell r="C52" t="str">
            <v>Y2R</v>
          </cell>
          <cell r="D52" t="str">
            <v>Revenues Year 2</v>
          </cell>
          <cell r="E52" t="str">
            <v>$H$22</v>
          </cell>
          <cell r="F52" t="str">
            <v>Y</v>
          </cell>
          <cell r="G52" t="e">
            <v>#NULL!</v>
          </cell>
        </row>
        <row r="53">
          <cell r="C53" t="str">
            <v>Y3R</v>
          </cell>
          <cell r="D53" t="str">
            <v>Revenues Year 3</v>
          </cell>
          <cell r="E53" t="str">
            <v>$J$22</v>
          </cell>
          <cell r="F53" t="str">
            <v>Y</v>
          </cell>
          <cell r="G53" t="e">
            <v>#NULL!</v>
          </cell>
        </row>
        <row r="54">
          <cell r="C54" t="str">
            <v>Y4R</v>
          </cell>
          <cell r="D54" t="str">
            <v>Revenues Year 4</v>
          </cell>
          <cell r="F54" t="str">
            <v>Y</v>
          </cell>
        </row>
        <row r="55">
          <cell r="C55" t="str">
            <v>Y1Q1R</v>
          </cell>
          <cell r="D55" t="str">
            <v>Year 1 Quarter 1 Revenue</v>
          </cell>
          <cell r="E55" t="str">
            <v>$G$23</v>
          </cell>
          <cell r="F55" t="str">
            <v>N</v>
          </cell>
          <cell r="G55" t="e">
            <v>#NULL!</v>
          </cell>
        </row>
        <row r="56">
          <cell r="C56" t="str">
            <v>Y1Q2R</v>
          </cell>
          <cell r="D56" t="str">
            <v>Year 1 Quarter 2 Revenue</v>
          </cell>
          <cell r="E56" t="str">
            <v>$G$24</v>
          </cell>
          <cell r="F56" t="str">
            <v>N</v>
          </cell>
          <cell r="G56" t="e">
            <v>#NULL!</v>
          </cell>
        </row>
        <row r="57">
          <cell r="C57" t="str">
            <v>Y1Q3R</v>
          </cell>
          <cell r="D57" t="str">
            <v>Year 1 Quarter 3 Revenue</v>
          </cell>
          <cell r="E57" t="str">
            <v>$G$25</v>
          </cell>
          <cell r="F57" t="str">
            <v>N</v>
          </cell>
          <cell r="G57" t="e">
            <v>#NULL!</v>
          </cell>
        </row>
        <row r="58">
          <cell r="C58" t="str">
            <v>Y1Q4R</v>
          </cell>
          <cell r="D58" t="str">
            <v>Year 1 Quarter 4 Revenue</v>
          </cell>
          <cell r="E58" t="str">
            <v>$G$26</v>
          </cell>
          <cell r="F58" t="str">
            <v>N</v>
          </cell>
          <cell r="G58" t="e">
            <v>#NULL!</v>
          </cell>
        </row>
        <row r="59">
          <cell r="C59" t="str">
            <v>Y1YearR</v>
          </cell>
          <cell r="D59" t="str">
            <v>Year 1 Revenue</v>
          </cell>
          <cell r="E59" t="str">
            <v>$G$27</v>
          </cell>
          <cell r="F59" t="str">
            <v>N</v>
          </cell>
          <cell r="G59" t="e">
            <v>#NULL!</v>
          </cell>
        </row>
        <row r="60">
          <cell r="C60" t="str">
            <v>Y1Cap/RevR</v>
          </cell>
          <cell r="D60" t="str">
            <v>Year 1 Cap/Revs</v>
          </cell>
          <cell r="E60" t="str">
            <v>$G$28</v>
          </cell>
          <cell r="F60" t="str">
            <v>N</v>
          </cell>
          <cell r="G60" t="e">
            <v>#NULL!</v>
          </cell>
        </row>
        <row r="61">
          <cell r="C61" t="str">
            <v>Y2Q1R</v>
          </cell>
          <cell r="D61" t="str">
            <v>Year 2 Quarter 1 Revenue</v>
          </cell>
          <cell r="E61" t="str">
            <v>$H$23</v>
          </cell>
          <cell r="F61" t="str">
            <v>N</v>
          </cell>
          <cell r="G61" t="e">
            <v>#NULL!</v>
          </cell>
        </row>
        <row r="62">
          <cell r="C62" t="str">
            <v>Y2Q2R</v>
          </cell>
          <cell r="D62" t="str">
            <v>Year 2 Quarter 2 Revenue</v>
          </cell>
          <cell r="E62" t="str">
            <v>$H$24</v>
          </cell>
          <cell r="F62" t="str">
            <v>N</v>
          </cell>
          <cell r="G62" t="e">
            <v>#NULL!</v>
          </cell>
        </row>
        <row r="63">
          <cell r="C63" t="str">
            <v>Y2Q3R</v>
          </cell>
          <cell r="D63" t="str">
            <v>Year 2 Quarter 3 Revenue</v>
          </cell>
          <cell r="E63" t="str">
            <v>$H$25</v>
          </cell>
          <cell r="F63" t="str">
            <v>N</v>
          </cell>
          <cell r="G63" t="e">
            <v>#NULL!</v>
          </cell>
        </row>
        <row r="64">
          <cell r="C64" t="str">
            <v>Y2Q4R</v>
          </cell>
          <cell r="D64" t="str">
            <v>Year 2 Quarter 4 Revenue</v>
          </cell>
          <cell r="E64" t="str">
            <v>$H$26</v>
          </cell>
          <cell r="F64" t="str">
            <v>N</v>
          </cell>
          <cell r="G64" t="e">
            <v>#NULL!</v>
          </cell>
        </row>
        <row r="65">
          <cell r="C65" t="str">
            <v>Y2YearR</v>
          </cell>
          <cell r="D65" t="str">
            <v>Year 2 Revenue</v>
          </cell>
          <cell r="E65" t="str">
            <v>$H$27</v>
          </cell>
          <cell r="F65" t="str">
            <v>N</v>
          </cell>
          <cell r="G65" t="e">
            <v>#NULL!</v>
          </cell>
        </row>
        <row r="66">
          <cell r="C66" t="str">
            <v>Y2Cap/RevR</v>
          </cell>
          <cell r="D66" t="str">
            <v>Year 2 Cap/Revs</v>
          </cell>
          <cell r="E66" t="str">
            <v>$H$28</v>
          </cell>
          <cell r="F66" t="str">
            <v>N</v>
          </cell>
          <cell r="G66" t="e">
            <v>#NULL!</v>
          </cell>
        </row>
        <row r="67">
          <cell r="C67" t="str">
            <v>Y3Q1R</v>
          </cell>
          <cell r="D67" t="str">
            <v>Year 3 Quarter 1 Revenue</v>
          </cell>
          <cell r="E67" t="str">
            <v>$J$23</v>
          </cell>
          <cell r="F67" t="str">
            <v>N</v>
          </cell>
          <cell r="G67" t="e">
            <v>#NULL!</v>
          </cell>
        </row>
        <row r="68">
          <cell r="C68" t="str">
            <v>Y3Q2R</v>
          </cell>
          <cell r="D68" t="str">
            <v>Year 3 Quarter 2 Revenue</v>
          </cell>
          <cell r="E68" t="str">
            <v>$J$24</v>
          </cell>
          <cell r="F68" t="str">
            <v>N</v>
          </cell>
          <cell r="G68" t="e">
            <v>#NULL!</v>
          </cell>
        </row>
        <row r="69">
          <cell r="C69" t="str">
            <v>Y3Q3R</v>
          </cell>
          <cell r="D69" t="str">
            <v>Year 3 Quarter 3 Revenue</v>
          </cell>
          <cell r="E69" t="str">
            <v>$J$25</v>
          </cell>
          <cell r="F69" t="str">
            <v>N</v>
          </cell>
          <cell r="G69" t="e">
            <v>#NULL!</v>
          </cell>
        </row>
        <row r="70">
          <cell r="C70" t="str">
            <v>Y3Q4R</v>
          </cell>
          <cell r="D70" t="str">
            <v>Year 3 Quarter 4 Revenue</v>
          </cell>
          <cell r="E70" t="str">
            <v>$J$26</v>
          </cell>
          <cell r="F70" t="str">
            <v>N</v>
          </cell>
          <cell r="G70" t="e">
            <v>#NULL!</v>
          </cell>
        </row>
        <row r="71">
          <cell r="C71" t="str">
            <v>Y3YearR</v>
          </cell>
          <cell r="D71" t="str">
            <v>Year 3 Revenue</v>
          </cell>
          <cell r="E71" t="str">
            <v>$J$27</v>
          </cell>
          <cell r="F71" t="str">
            <v>N</v>
          </cell>
          <cell r="G71" t="e">
            <v>#NULL!</v>
          </cell>
        </row>
        <row r="72">
          <cell r="C72" t="str">
            <v>Y3Cap/RevR</v>
          </cell>
          <cell r="D72" t="str">
            <v>Year 3 Cap/Revs</v>
          </cell>
          <cell r="E72" t="str">
            <v>$J$28</v>
          </cell>
          <cell r="F72" t="str">
            <v>N</v>
          </cell>
          <cell r="G72" t="e">
            <v>#NULL!</v>
          </cell>
        </row>
        <row r="73">
          <cell r="C73" t="str">
            <v>Y4Q1R</v>
          </cell>
          <cell r="D73" t="str">
            <v>Year 4 Quarter 1 Revenue</v>
          </cell>
          <cell r="F73" t="str">
            <v>N</v>
          </cell>
        </row>
        <row r="74">
          <cell r="C74" t="str">
            <v>Y4Q2R</v>
          </cell>
          <cell r="D74" t="str">
            <v>Year 4 Quarter 2 Revenue</v>
          </cell>
          <cell r="F74" t="str">
            <v>N</v>
          </cell>
        </row>
        <row r="75">
          <cell r="C75" t="str">
            <v>Y4Q3R</v>
          </cell>
          <cell r="D75" t="str">
            <v>Year 4 Quarter 3 Revenue</v>
          </cell>
          <cell r="F75" t="str">
            <v>N</v>
          </cell>
        </row>
        <row r="76">
          <cell r="C76" t="str">
            <v>Y4Q4R</v>
          </cell>
          <cell r="D76" t="str">
            <v>Year 4 Quarter 4 Revenue</v>
          </cell>
          <cell r="F76" t="str">
            <v>N</v>
          </cell>
        </row>
        <row r="77">
          <cell r="C77" t="str">
            <v>Y4YearR</v>
          </cell>
          <cell r="D77" t="str">
            <v>Year 4 Revenue</v>
          </cell>
          <cell r="F77" t="str">
            <v>N</v>
          </cell>
        </row>
        <row r="78">
          <cell r="C78" t="str">
            <v>Y4Cap/RevR</v>
          </cell>
          <cell r="D78" t="str">
            <v>Year 4 Cap/Revs</v>
          </cell>
          <cell r="F78" t="str">
            <v>N</v>
          </cell>
        </row>
        <row r="80">
          <cell r="C80" t="str">
            <v>xCONTENTANALYSIS</v>
          </cell>
          <cell r="D80" t="str">
            <v>Analysis</v>
          </cell>
          <cell r="F80" t="str">
            <v>B</v>
          </cell>
          <cell r="G80" t="b">
            <v>0</v>
          </cell>
        </row>
        <row r="81">
          <cell r="C81" t="str">
            <v>xCONTENTESTIMATECHANGE</v>
          </cell>
          <cell r="D81" t="str">
            <v>Estimate Change</v>
          </cell>
          <cell r="F81" t="str">
            <v>B</v>
          </cell>
          <cell r="G81" t="b">
            <v>0</v>
          </cell>
        </row>
        <row r="82">
          <cell r="C82" t="str">
            <v>xCONTENTRATINGCHANGE</v>
          </cell>
          <cell r="D82" t="str">
            <v>Rating Change</v>
          </cell>
          <cell r="F82" t="str">
            <v>B</v>
          </cell>
          <cell r="G82" t="b">
            <v>0</v>
          </cell>
        </row>
        <row r="83">
          <cell r="C83" t="str">
            <v>xCONTENTUPDATE</v>
          </cell>
          <cell r="D83" t="str">
            <v>Update</v>
          </cell>
          <cell r="F83" t="str">
            <v>B</v>
          </cell>
          <cell r="G83" t="b">
            <v>0</v>
          </cell>
        </row>
        <row r="84">
          <cell r="C84" t="str">
            <v>xCONTENTINITIATE</v>
          </cell>
          <cell r="D84" t="str">
            <v>Initiate</v>
          </cell>
          <cell r="F84" t="str">
            <v>B</v>
          </cell>
          <cell r="G84" t="b">
            <v>0</v>
          </cell>
        </row>
        <row r="85">
          <cell r="C85" t="str">
            <v>xCONTENTECONOMIC</v>
          </cell>
          <cell r="D85" t="str">
            <v>Economic</v>
          </cell>
          <cell r="F85" t="str">
            <v>B</v>
          </cell>
          <cell r="G85" t="b">
            <v>0</v>
          </cell>
        </row>
        <row r="86">
          <cell r="C86" t="str">
            <v>xCONTENTPRCOMMENTS</v>
          </cell>
          <cell r="D86" t="str">
            <v>Pre-results Comments</v>
          </cell>
          <cell r="F86" t="str">
            <v>B</v>
          </cell>
          <cell r="G86" t="b">
            <v>0</v>
          </cell>
        </row>
        <row r="87">
          <cell r="C87" t="str">
            <v>xCONTENTOPERATINGRES</v>
          </cell>
          <cell r="D87" t="str">
            <v>Operating Results</v>
          </cell>
          <cell r="F87" t="str">
            <v>B</v>
          </cell>
          <cell r="G87" t="b">
            <v>0</v>
          </cell>
        </row>
        <row r="88">
          <cell r="C88" t="str">
            <v>xCONTENTINDUSTRYOVERVIEW</v>
          </cell>
          <cell r="D88" t="str">
            <v>Industry Overview</v>
          </cell>
          <cell r="F88" t="str">
            <v>B</v>
          </cell>
          <cell r="G88" t="b">
            <v>0</v>
          </cell>
        </row>
        <row r="89">
          <cell r="C89" t="str">
            <v>xCONTENTOTHER</v>
          </cell>
          <cell r="D89" t="str">
            <v>Other</v>
          </cell>
          <cell r="F89" t="str">
            <v>B</v>
          </cell>
          <cell r="G89" t="b">
            <v>0</v>
          </cell>
        </row>
        <row r="90">
          <cell r="C90" t="str">
            <v>xNEXTREPORTDATE</v>
          </cell>
          <cell r="D90" t="str">
            <v>Next Expected Report Date</v>
          </cell>
          <cell r="F90" t="str">
            <v>D</v>
          </cell>
        </row>
        <row r="91">
          <cell r="C91" t="str">
            <v>xHEADLINE</v>
          </cell>
          <cell r="D91" t="str">
            <v>Headline</v>
          </cell>
          <cell r="F91" t="str">
            <v>T</v>
          </cell>
        </row>
        <row r="92">
          <cell r="C92" t="str">
            <v>xSYNOPSIS</v>
          </cell>
          <cell r="D92" t="str">
            <v>Synopsis</v>
          </cell>
          <cell r="F92" t="str">
            <v>T</v>
          </cell>
        </row>
        <row r="93">
          <cell r="C93" t="str">
            <v>xOTHERCOMPANIES</v>
          </cell>
          <cell r="D93" t="str">
            <v>Other Companies Mentioned</v>
          </cell>
          <cell r="F93" t="str">
            <v>T</v>
          </cell>
        </row>
        <row r="94">
          <cell r="C94" t="str">
            <v>LASTACTUALYEAR</v>
          </cell>
          <cell r="D94" t="str">
            <v>Last Actual Year</v>
          </cell>
          <cell r="F94" t="str">
            <v>N</v>
          </cell>
          <cell r="G94">
            <v>1</v>
          </cell>
        </row>
        <row r="95">
          <cell r="C95" t="str">
            <v>LASTACTUALQUARTER</v>
          </cell>
          <cell r="D95" t="str">
            <v>Last Actual Quarter</v>
          </cell>
          <cell r="F95" t="str">
            <v>N</v>
          </cell>
          <cell r="G95">
            <v>4</v>
          </cell>
        </row>
        <row r="97">
          <cell r="C97" t="str">
            <v>RESULT</v>
          </cell>
          <cell r="D97" t="str">
            <v>Document Status</v>
          </cell>
          <cell r="F97" t="str">
            <v>N</v>
          </cell>
          <cell r="G97">
            <v>0</v>
          </cell>
          <cell r="J97" t="str">
            <v>quarterly earnings for 2001 and quarterly revenue for 1999, 2001 do not add up to year values</v>
          </cell>
        </row>
        <row r="98">
          <cell r="C98" t="str">
            <v>WIZARDDEFINED</v>
          </cell>
          <cell r="D98" t="str">
            <v>Wizard Defined</v>
          </cell>
          <cell r="F98" t="str">
            <v>D</v>
          </cell>
          <cell r="G98">
            <v>36557</v>
          </cell>
        </row>
        <row r="99">
          <cell r="C99" t="str">
            <v>WIZARDVERSION</v>
          </cell>
          <cell r="D99" t="str">
            <v>Wizard Version</v>
          </cell>
          <cell r="F99" t="str">
            <v>T</v>
          </cell>
          <cell r="G99" t="str">
            <v>Version 1.3a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sheetName val="MTC"/>
      <sheetName val="SEARLE - SALES"/>
      <sheetName val="SEARLE - QTRINC"/>
      <sheetName val="SEARLE-MARG"/>
      <sheetName val="MTC-QTRINC"/>
      <sheetName val="MTC-MARG"/>
      <sheetName val="MTC - IS"/>
      <sheetName val="MTC - MARGIN"/>
      <sheetName val="SEARLE - LOREX"/>
      <sheetName val="SEARLE - NEW PRODS"/>
      <sheetName val="Sheet1"/>
      <sheetName val="IndexInformation"/>
      <sheetName val="Link"/>
      <sheetName val="Chart1"/>
      <sheetName val="P_E2"/>
      <sheetName val="Product Table"/>
      <sheetName val="1997 Sales"/>
      <sheetName val="variance"/>
      <sheetName val="2004 ag Sales"/>
      <sheetName val="1997 ag EBIT"/>
      <sheetName val="2004 ag EBIT"/>
      <sheetName val="Charts"/>
      <sheetName val="MainCode"/>
      <sheetName val="SEARLE - IS"/>
      <sheetName val="SEARLE-MARGIN"/>
    </sheetNames>
    <sheetDataSet>
      <sheetData sheetId="0" refreshError="1"/>
      <sheetData sheetId="1" refreshError="1"/>
      <sheetData sheetId="2" refreshError="1">
        <row r="1">
          <cell r="N1">
            <v>36119.67398240741</v>
          </cell>
          <cell r="U1" t="str">
            <v>Table 10</v>
          </cell>
          <cell r="AD1">
            <v>36119.67398240741</v>
          </cell>
        </row>
        <row r="2">
          <cell r="U2" t="str">
            <v>Monsanto</v>
          </cell>
        </row>
        <row r="3">
          <cell r="U3" t="str">
            <v>Quarterly Sales 1995-2005E</v>
          </cell>
        </row>
        <row r="4">
          <cell r="I4" t="str">
            <v>Women's</v>
          </cell>
          <cell r="K4" t="str">
            <v>Sleep</v>
          </cell>
          <cell r="U4" t="str">
            <v>($ Millions)</v>
          </cell>
        </row>
        <row r="5">
          <cell r="B5" t="str">
            <v>Cardiovascular</v>
          </cell>
          <cell r="I5" t="str">
            <v>Health</v>
          </cell>
          <cell r="K5" t="str">
            <v>Disorder</v>
          </cell>
          <cell r="M5" t="str">
            <v>Arthritis</v>
          </cell>
          <cell r="V5" t="str">
            <v>New Products</v>
          </cell>
          <cell r="AG5" t="str">
            <v>Total</v>
          </cell>
          <cell r="AH5" t="str">
            <v>Royal-</v>
          </cell>
          <cell r="AI5" t="str">
            <v>One-</v>
          </cell>
          <cell r="AJ5" t="str">
            <v>Total</v>
          </cell>
        </row>
        <row r="6">
          <cell r="B6" t="str">
            <v>Calan/</v>
          </cell>
          <cell r="C6" t="str">
            <v>Spirono-</v>
          </cell>
          <cell r="D6" t="str">
            <v>Covera-</v>
          </cell>
          <cell r="F6" t="str">
            <v>Other</v>
          </cell>
          <cell r="P6" t="str">
            <v>Other</v>
          </cell>
          <cell r="Q6" t="str">
            <v>Total</v>
          </cell>
          <cell r="S6" t="str">
            <v>Other</v>
          </cell>
          <cell r="V6" t="str">
            <v>Xemilo-</v>
          </cell>
          <cell r="W6" t="str">
            <v>Orbo</v>
          </cell>
          <cell r="X6" t="str">
            <v>Eplere-</v>
          </cell>
          <cell r="Y6" t="str">
            <v>Tifa-</v>
          </cell>
          <cell r="AA6" t="str">
            <v>Dani-</v>
          </cell>
          <cell r="AB6" t="str">
            <v>Progeni-</v>
          </cell>
          <cell r="AC6" t="str">
            <v>Myelo-</v>
          </cell>
          <cell r="AD6" t="str">
            <v>Promega-</v>
          </cell>
          <cell r="AG6" t="str">
            <v>Product</v>
          </cell>
          <cell r="AH6" t="str">
            <v xml:space="preserve">ties/  </v>
          </cell>
          <cell r="AI6" t="str">
            <v>time</v>
          </cell>
          <cell r="AJ6" t="str">
            <v>Searle</v>
          </cell>
        </row>
        <row r="7">
          <cell r="B7" t="str">
            <v>Verapamil</v>
          </cell>
          <cell r="C7" t="str">
            <v>lactone</v>
          </cell>
          <cell r="D7" t="str">
            <v>HS</v>
          </cell>
          <cell r="E7" t="str">
            <v>Kerlone</v>
          </cell>
          <cell r="F7" t="str">
            <v>Cardio</v>
          </cell>
          <cell r="G7" t="str">
            <v>Total</v>
          </cell>
          <cell r="I7" t="str">
            <v xml:space="preserve">(a) </v>
          </cell>
          <cell r="K7" t="str">
            <v>Ambien</v>
          </cell>
          <cell r="M7" t="str">
            <v>Daypro</v>
          </cell>
          <cell r="N7" t="str">
            <v>Cytotec</v>
          </cell>
          <cell r="O7" t="str">
            <v>Arthrotec</v>
          </cell>
          <cell r="P7" t="str">
            <v>Arthritis</v>
          </cell>
          <cell r="Q7" t="str">
            <v>Arthritis</v>
          </cell>
          <cell r="S7" t="str">
            <v>(b)</v>
          </cell>
          <cell r="V7" t="str">
            <v>fiban</v>
          </cell>
          <cell r="W7" t="str">
            <v>fiban</v>
          </cell>
          <cell r="X7" t="str">
            <v>none</v>
          </cell>
          <cell r="Y7" t="str">
            <v>cogin</v>
          </cell>
          <cell r="Z7" t="str">
            <v>Celebra</v>
          </cell>
          <cell r="AA7" t="str">
            <v>plastin</v>
          </cell>
          <cell r="AB7" t="str">
            <v>poetin</v>
          </cell>
          <cell r="AC7" t="str">
            <v>poetin</v>
          </cell>
          <cell r="AD7" t="str">
            <v>poetin</v>
          </cell>
          <cell r="AE7" t="str">
            <v>Other</v>
          </cell>
          <cell r="AF7" t="str">
            <v>Total</v>
          </cell>
          <cell r="AG7" t="str">
            <v>Sales</v>
          </cell>
          <cell r="AH7" t="str">
            <v xml:space="preserve">Fees  </v>
          </cell>
          <cell r="AI7" t="str">
            <v>Items</v>
          </cell>
          <cell r="AJ7" t="str">
            <v>Revs.</v>
          </cell>
        </row>
        <row r="9">
          <cell r="U9" t="str">
            <v>1995</v>
          </cell>
        </row>
        <row r="10">
          <cell r="B10">
            <v>74</v>
          </cell>
          <cell r="C10">
            <v>54</v>
          </cell>
          <cell r="D10">
            <v>0</v>
          </cell>
          <cell r="E10">
            <v>3</v>
          </cell>
          <cell r="F10">
            <v>16</v>
          </cell>
          <cell r="G10">
            <v>147</v>
          </cell>
          <cell r="I10">
            <v>30</v>
          </cell>
          <cell r="K10">
            <v>43</v>
          </cell>
          <cell r="M10">
            <v>43</v>
          </cell>
          <cell r="N10">
            <v>38</v>
          </cell>
          <cell r="O10">
            <v>9</v>
          </cell>
          <cell r="P10">
            <v>4</v>
          </cell>
          <cell r="Q10">
            <v>94</v>
          </cell>
          <cell r="S10">
            <v>0</v>
          </cell>
          <cell r="U10" t="str">
            <v>1Q</v>
          </cell>
          <cell r="V10">
            <v>0</v>
          </cell>
          <cell r="W10">
            <v>0</v>
          </cell>
          <cell r="X10">
            <v>0</v>
          </cell>
          <cell r="Y10">
            <v>0</v>
          </cell>
          <cell r="Z10">
            <v>0</v>
          </cell>
          <cell r="AA10">
            <v>0</v>
          </cell>
          <cell r="AB10">
            <v>0</v>
          </cell>
          <cell r="AC10">
            <v>0</v>
          </cell>
          <cell r="AD10">
            <v>0</v>
          </cell>
          <cell r="AE10">
            <v>0</v>
          </cell>
          <cell r="AF10">
            <v>0</v>
          </cell>
          <cell r="AG10">
            <v>386</v>
          </cell>
          <cell r="AH10">
            <v>0</v>
          </cell>
          <cell r="AI10">
            <v>0</v>
          </cell>
          <cell r="AJ10">
            <v>386</v>
          </cell>
        </row>
        <row r="11">
          <cell r="B11">
            <v>42</v>
          </cell>
          <cell r="C11">
            <v>64</v>
          </cell>
          <cell r="D11">
            <v>0</v>
          </cell>
          <cell r="E11">
            <v>3</v>
          </cell>
          <cell r="F11">
            <v>17</v>
          </cell>
          <cell r="G11">
            <v>126</v>
          </cell>
          <cell r="I11">
            <v>27</v>
          </cell>
          <cell r="K11">
            <v>52</v>
          </cell>
          <cell r="M11">
            <v>56</v>
          </cell>
          <cell r="N11">
            <v>39</v>
          </cell>
          <cell r="O11">
            <v>12</v>
          </cell>
          <cell r="P11">
            <v>4</v>
          </cell>
          <cell r="Q11">
            <v>111</v>
          </cell>
          <cell r="S11">
            <v>0</v>
          </cell>
          <cell r="U11" t="str">
            <v>2Q</v>
          </cell>
          <cell r="V11">
            <v>0</v>
          </cell>
          <cell r="W11">
            <v>0</v>
          </cell>
          <cell r="X11">
            <v>0</v>
          </cell>
          <cell r="Y11">
            <v>0</v>
          </cell>
          <cell r="Z11">
            <v>0</v>
          </cell>
          <cell r="AA11">
            <v>0</v>
          </cell>
          <cell r="AB11">
            <v>0</v>
          </cell>
          <cell r="AC11">
            <v>0</v>
          </cell>
          <cell r="AD11">
            <v>0</v>
          </cell>
          <cell r="AE11">
            <v>0</v>
          </cell>
          <cell r="AF11">
            <v>0</v>
          </cell>
          <cell r="AG11">
            <v>402</v>
          </cell>
          <cell r="AH11">
            <v>0</v>
          </cell>
          <cell r="AI11">
            <v>0</v>
          </cell>
          <cell r="AJ11">
            <v>402</v>
          </cell>
        </row>
        <row r="12">
          <cell r="B12">
            <v>72</v>
          </cell>
          <cell r="C12">
            <v>61</v>
          </cell>
          <cell r="D12">
            <v>0</v>
          </cell>
          <cell r="E12">
            <v>3</v>
          </cell>
          <cell r="F12">
            <v>17</v>
          </cell>
          <cell r="G12">
            <v>153</v>
          </cell>
          <cell r="I12">
            <v>40</v>
          </cell>
          <cell r="K12">
            <v>44</v>
          </cell>
          <cell r="M12">
            <v>62</v>
          </cell>
          <cell r="N12">
            <v>43</v>
          </cell>
          <cell r="O12">
            <v>12</v>
          </cell>
          <cell r="P12">
            <v>6</v>
          </cell>
          <cell r="Q12">
            <v>123</v>
          </cell>
          <cell r="S12">
            <v>0</v>
          </cell>
          <cell r="U12" t="str">
            <v>3Q</v>
          </cell>
          <cell r="V12">
            <v>0</v>
          </cell>
          <cell r="W12">
            <v>0</v>
          </cell>
          <cell r="X12">
            <v>0</v>
          </cell>
          <cell r="Y12">
            <v>0</v>
          </cell>
          <cell r="Z12">
            <v>0</v>
          </cell>
          <cell r="AA12">
            <v>0</v>
          </cell>
          <cell r="AB12">
            <v>0</v>
          </cell>
          <cell r="AC12">
            <v>0</v>
          </cell>
          <cell r="AD12">
            <v>0</v>
          </cell>
          <cell r="AE12">
            <v>0</v>
          </cell>
          <cell r="AF12">
            <v>0</v>
          </cell>
          <cell r="AG12">
            <v>430</v>
          </cell>
          <cell r="AH12">
            <v>5</v>
          </cell>
          <cell r="AI12">
            <v>0</v>
          </cell>
          <cell r="AJ12">
            <v>435</v>
          </cell>
        </row>
        <row r="13">
          <cell r="B13">
            <v>71</v>
          </cell>
          <cell r="C13">
            <v>58</v>
          </cell>
          <cell r="D13">
            <v>0</v>
          </cell>
          <cell r="E13">
            <v>3</v>
          </cell>
          <cell r="F13">
            <v>17</v>
          </cell>
          <cell r="G13">
            <v>149</v>
          </cell>
          <cell r="I13">
            <v>56</v>
          </cell>
          <cell r="K13">
            <v>55</v>
          </cell>
          <cell r="M13">
            <v>73</v>
          </cell>
          <cell r="N13">
            <v>49</v>
          </cell>
          <cell r="O13">
            <v>17</v>
          </cell>
          <cell r="P13">
            <v>7</v>
          </cell>
          <cell r="Q13">
            <v>146</v>
          </cell>
          <cell r="S13">
            <v>0</v>
          </cell>
          <cell r="U13" t="str">
            <v>4Q</v>
          </cell>
          <cell r="V13">
            <v>0</v>
          </cell>
          <cell r="W13">
            <v>0</v>
          </cell>
          <cell r="X13">
            <v>0</v>
          </cell>
          <cell r="Y13">
            <v>0</v>
          </cell>
          <cell r="Z13">
            <v>0</v>
          </cell>
          <cell r="AA13">
            <v>0</v>
          </cell>
          <cell r="AB13">
            <v>0</v>
          </cell>
          <cell r="AC13">
            <v>0</v>
          </cell>
          <cell r="AD13">
            <v>0</v>
          </cell>
          <cell r="AE13">
            <v>0</v>
          </cell>
          <cell r="AF13">
            <v>0</v>
          </cell>
          <cell r="AG13">
            <v>483</v>
          </cell>
          <cell r="AH13">
            <v>5</v>
          </cell>
          <cell r="AI13">
            <v>0</v>
          </cell>
          <cell r="AJ13">
            <v>488</v>
          </cell>
        </row>
        <row r="15">
          <cell r="B15">
            <v>259</v>
          </cell>
          <cell r="C15">
            <v>237</v>
          </cell>
          <cell r="D15">
            <v>0</v>
          </cell>
          <cell r="E15">
            <v>12</v>
          </cell>
          <cell r="F15">
            <v>67</v>
          </cell>
          <cell r="G15">
            <v>575</v>
          </cell>
          <cell r="I15">
            <v>153</v>
          </cell>
          <cell r="K15">
            <v>194</v>
          </cell>
          <cell r="M15">
            <v>234</v>
          </cell>
          <cell r="N15">
            <v>169</v>
          </cell>
          <cell r="O15">
            <v>50</v>
          </cell>
          <cell r="P15">
            <v>21</v>
          </cell>
          <cell r="Q15">
            <v>474</v>
          </cell>
          <cell r="S15">
            <v>305</v>
          </cell>
          <cell r="U15" t="str">
            <v xml:space="preserve">Year </v>
          </cell>
          <cell r="V15">
            <v>0</v>
          </cell>
          <cell r="W15">
            <v>0</v>
          </cell>
          <cell r="X15">
            <v>0</v>
          </cell>
          <cell r="Y15">
            <v>0</v>
          </cell>
          <cell r="Z15">
            <v>0</v>
          </cell>
          <cell r="AA15">
            <v>0</v>
          </cell>
          <cell r="AB15">
            <v>0</v>
          </cell>
          <cell r="AC15">
            <v>0</v>
          </cell>
          <cell r="AD15">
            <v>0</v>
          </cell>
          <cell r="AE15">
            <v>0</v>
          </cell>
          <cell r="AF15">
            <v>0</v>
          </cell>
          <cell r="AG15">
            <v>1701</v>
          </cell>
          <cell r="AH15">
            <v>10</v>
          </cell>
          <cell r="AI15">
            <v>0</v>
          </cell>
          <cell r="AJ15">
            <v>1711</v>
          </cell>
        </row>
        <row r="17">
          <cell r="U17" t="str">
            <v>1996/95</v>
          </cell>
        </row>
        <row r="18">
          <cell r="B18">
            <v>-0.2432432432432432</v>
          </cell>
          <cell r="C18">
            <v>7.4074074074074181E-2</v>
          </cell>
          <cell r="D18" t="str">
            <v>NM</v>
          </cell>
          <cell r="E18">
            <v>0</v>
          </cell>
          <cell r="F18">
            <v>0.125</v>
          </cell>
          <cell r="G18">
            <v>-8.1632653061224469E-2</v>
          </cell>
          <cell r="I18">
            <v>1.1333333333333333</v>
          </cell>
          <cell r="K18">
            <v>0.88372093023255816</v>
          </cell>
          <cell r="M18">
            <v>0.37209302325581395</v>
          </cell>
          <cell r="N18">
            <v>0.10526315789473695</v>
          </cell>
          <cell r="O18">
            <v>0.55555555555555558</v>
          </cell>
          <cell r="P18">
            <v>1</v>
          </cell>
          <cell r="Q18">
            <v>0.3085106382978724</v>
          </cell>
          <cell r="S18" t="str">
            <v>NM</v>
          </cell>
          <cell r="U18" t="str">
            <v>1Q</v>
          </cell>
          <cell r="V18" t="str">
            <v>NM</v>
          </cell>
          <cell r="W18" t="str">
            <v>NM</v>
          </cell>
          <cell r="X18" t="str">
            <v>NM</v>
          </cell>
          <cell r="Y18" t="str">
            <v>NM</v>
          </cell>
          <cell r="Z18" t="str">
            <v>NM</v>
          </cell>
          <cell r="AA18" t="str">
            <v>NM</v>
          </cell>
          <cell r="AB18" t="str">
            <v>NM</v>
          </cell>
          <cell r="AC18" t="str">
            <v>NM</v>
          </cell>
          <cell r="AD18" t="str">
            <v>NM</v>
          </cell>
          <cell r="AE18" t="str">
            <v>NM</v>
          </cell>
          <cell r="AF18" t="str">
            <v>NM</v>
          </cell>
          <cell r="AG18">
            <v>0.23575129533678751</v>
          </cell>
          <cell r="AH18" t="str">
            <v>NM</v>
          </cell>
          <cell r="AI18" t="str">
            <v>NM</v>
          </cell>
          <cell r="AJ18">
            <v>0.23575129533678751</v>
          </cell>
        </row>
        <row r="19">
          <cell r="B19">
            <v>2.3809523809523725E-2</v>
          </cell>
          <cell r="C19">
            <v>-0.109375</v>
          </cell>
          <cell r="D19" t="str">
            <v>NM</v>
          </cell>
          <cell r="E19">
            <v>0</v>
          </cell>
          <cell r="F19">
            <v>0</v>
          </cell>
          <cell r="G19">
            <v>8.7301587301587213E-2</v>
          </cell>
          <cell r="I19">
            <v>1.1111111111111112</v>
          </cell>
          <cell r="K19">
            <v>-9.6153846153846145E-2</v>
          </cell>
          <cell r="M19">
            <v>7.1428571428571397E-2</v>
          </cell>
          <cell r="N19">
            <v>2.564102564102555E-2</v>
          </cell>
          <cell r="O19">
            <v>0.58333333333333326</v>
          </cell>
          <cell r="P19">
            <v>0.75</v>
          </cell>
          <cell r="Q19">
            <v>0.13513513513513509</v>
          </cell>
          <cell r="S19" t="str">
            <v>NM</v>
          </cell>
          <cell r="U19" t="str">
            <v>2Q</v>
          </cell>
          <cell r="V19" t="str">
            <v>NM</v>
          </cell>
          <cell r="W19" t="str">
            <v>NM</v>
          </cell>
          <cell r="X19" t="str">
            <v>NM</v>
          </cell>
          <cell r="Y19" t="str">
            <v>NM</v>
          </cell>
          <cell r="Z19" t="str">
            <v>NM</v>
          </cell>
          <cell r="AA19" t="str">
            <v>NM</v>
          </cell>
          <cell r="AB19" t="str">
            <v>NM</v>
          </cell>
          <cell r="AC19" t="str">
            <v>NM</v>
          </cell>
          <cell r="AD19" t="str">
            <v>NM</v>
          </cell>
          <cell r="AE19" t="str">
            <v>NM</v>
          </cell>
          <cell r="AF19" t="str">
            <v>NM</v>
          </cell>
          <cell r="AG19">
            <v>0.12189054726368154</v>
          </cell>
          <cell r="AH19" t="str">
            <v>NM</v>
          </cell>
          <cell r="AI19" t="str">
            <v>NM</v>
          </cell>
          <cell r="AJ19">
            <v>0.13432835820895517</v>
          </cell>
        </row>
        <row r="20">
          <cell r="B20">
            <v>-0.40277777777777779</v>
          </cell>
          <cell r="C20">
            <v>-6.557377049180324E-2</v>
          </cell>
          <cell r="D20" t="str">
            <v>NM</v>
          </cell>
          <cell r="E20">
            <v>0</v>
          </cell>
          <cell r="F20">
            <v>0.11764705882352944</v>
          </cell>
          <cell r="G20">
            <v>-0.20261437908496727</v>
          </cell>
          <cell r="I20">
            <v>0.39999999999999991</v>
          </cell>
          <cell r="K20">
            <v>0.95454545454545459</v>
          </cell>
          <cell r="M20">
            <v>0.19354838709677424</v>
          </cell>
          <cell r="N20">
            <v>2.3255813953488413E-2</v>
          </cell>
          <cell r="O20">
            <v>0.75</v>
          </cell>
          <cell r="P20">
            <v>0.83333333333333326</v>
          </cell>
          <cell r="Q20">
            <v>0.21951219512195119</v>
          </cell>
          <cell r="S20" t="str">
            <v>NM</v>
          </cell>
          <cell r="U20" t="str">
            <v>3Q</v>
          </cell>
          <cell r="V20" t="str">
            <v>NM</v>
          </cell>
          <cell r="W20" t="str">
            <v>NM</v>
          </cell>
          <cell r="X20" t="str">
            <v>NM</v>
          </cell>
          <cell r="Y20" t="str">
            <v>NM</v>
          </cell>
          <cell r="Z20" t="str">
            <v>NM</v>
          </cell>
          <cell r="AA20" t="str">
            <v>NM</v>
          </cell>
          <cell r="AB20" t="str">
            <v>NM</v>
          </cell>
          <cell r="AC20" t="str">
            <v>NM</v>
          </cell>
          <cell r="AD20" t="str">
            <v>NM</v>
          </cell>
          <cell r="AE20" t="str">
            <v>NM</v>
          </cell>
          <cell r="AF20" t="str">
            <v>NM</v>
          </cell>
          <cell r="AG20">
            <v>0.14418604651162781</v>
          </cell>
          <cell r="AH20" t="str">
            <v>NM</v>
          </cell>
          <cell r="AI20" t="str">
            <v>NM</v>
          </cell>
          <cell r="AJ20">
            <v>0.14252873563218382</v>
          </cell>
        </row>
        <row r="21">
          <cell r="B21">
            <v>-0.18309859154929575</v>
          </cell>
          <cell r="C21">
            <v>0</v>
          </cell>
          <cell r="D21" t="str">
            <v>NM</v>
          </cell>
          <cell r="E21">
            <v>-0.33333333333333337</v>
          </cell>
          <cell r="F21">
            <v>0.23529411764705888</v>
          </cell>
          <cell r="G21">
            <v>-4.0268456375838979E-2</v>
          </cell>
          <cell r="I21">
            <v>0.1964285714285714</v>
          </cell>
          <cell r="K21">
            <v>0.60000000000000009</v>
          </cell>
          <cell r="M21">
            <v>0.13698630136986312</v>
          </cell>
          <cell r="N21">
            <v>6.1224489795918435E-2</v>
          </cell>
          <cell r="O21">
            <v>0.64705882352941169</v>
          </cell>
          <cell r="P21">
            <v>0.71428571428571419</v>
          </cell>
          <cell r="Q21">
            <v>0.19863013698630128</v>
          </cell>
          <cell r="S21" t="str">
            <v>NM</v>
          </cell>
          <cell r="U21" t="str">
            <v>4Q</v>
          </cell>
          <cell r="V21" t="str">
            <v>NM</v>
          </cell>
          <cell r="W21" t="str">
            <v>NM</v>
          </cell>
          <cell r="X21" t="str">
            <v>NM</v>
          </cell>
          <cell r="Y21" t="str">
            <v>NM</v>
          </cell>
          <cell r="Z21" t="str">
            <v>NM</v>
          </cell>
          <cell r="AA21" t="str">
            <v>NM</v>
          </cell>
          <cell r="AB21" t="str">
            <v>NM</v>
          </cell>
          <cell r="AC21" t="str">
            <v>NM</v>
          </cell>
          <cell r="AD21" t="str">
            <v>NM</v>
          </cell>
          <cell r="AE21" t="str">
            <v>NM</v>
          </cell>
          <cell r="AF21" t="str">
            <v>NM</v>
          </cell>
          <cell r="AG21">
            <v>0.15942028985507251</v>
          </cell>
          <cell r="AH21" t="str">
            <v>NM</v>
          </cell>
          <cell r="AI21" t="str">
            <v>NM</v>
          </cell>
          <cell r="AJ21">
            <v>0.15778688524590168</v>
          </cell>
        </row>
        <row r="23">
          <cell r="B23">
            <v>-0.22779922779922779</v>
          </cell>
          <cell r="C23">
            <v>-2.9535864978902926E-2</v>
          </cell>
          <cell r="D23" t="str">
            <v>NM</v>
          </cell>
          <cell r="E23">
            <v>-8.333333333333337E-2</v>
          </cell>
          <cell r="F23">
            <v>0.11940298507462677</v>
          </cell>
          <cell r="G23">
            <v>-6.6086956521739126E-2</v>
          </cell>
          <cell r="I23">
            <v>0.59477124183006547</v>
          </cell>
          <cell r="K23">
            <v>0.55670103092783507</v>
          </cell>
          <cell r="M23">
            <v>0.17948717948717952</v>
          </cell>
          <cell r="N23">
            <v>5.3254437869822535E-2</v>
          </cell>
          <cell r="O23">
            <v>0.6399999999999999</v>
          </cell>
          <cell r="P23">
            <v>0.80952380952380953</v>
          </cell>
          <cell r="Q23">
            <v>0.21097046413502119</v>
          </cell>
          <cell r="S23">
            <v>5.9016393442622883E-2</v>
          </cell>
          <cell r="U23" t="str">
            <v>1996/95</v>
          </cell>
          <cell r="V23" t="str">
            <v>NM</v>
          </cell>
          <cell r="W23" t="str">
            <v>NM</v>
          </cell>
          <cell r="X23" t="str">
            <v>NM</v>
          </cell>
          <cell r="Y23" t="str">
            <v>NM</v>
          </cell>
          <cell r="Z23" t="str">
            <v>NM</v>
          </cell>
          <cell r="AA23" t="str">
            <v>NM</v>
          </cell>
          <cell r="AB23" t="str">
            <v>NM</v>
          </cell>
          <cell r="AC23" t="str">
            <v>NM</v>
          </cell>
          <cell r="AD23" t="str">
            <v>NM</v>
          </cell>
          <cell r="AE23" t="str">
            <v>NM</v>
          </cell>
          <cell r="AF23" t="str">
            <v>NM</v>
          </cell>
          <cell r="AG23">
            <v>0.16402116402116396</v>
          </cell>
          <cell r="AH23" t="str">
            <v>NM</v>
          </cell>
          <cell r="AI23" t="str">
            <v>NM</v>
          </cell>
          <cell r="AJ23">
            <v>0.16598480420806538</v>
          </cell>
        </row>
        <row r="25">
          <cell r="U25">
            <v>1996</v>
          </cell>
        </row>
        <row r="26">
          <cell r="B26">
            <v>56</v>
          </cell>
          <cell r="C26">
            <v>58</v>
          </cell>
          <cell r="D26">
            <v>0</v>
          </cell>
          <cell r="E26">
            <v>3</v>
          </cell>
          <cell r="F26">
            <v>18</v>
          </cell>
          <cell r="G26">
            <v>135</v>
          </cell>
          <cell r="I26">
            <v>64</v>
          </cell>
          <cell r="K26">
            <v>81</v>
          </cell>
          <cell r="M26">
            <v>59</v>
          </cell>
          <cell r="N26">
            <v>42</v>
          </cell>
          <cell r="O26">
            <v>14</v>
          </cell>
          <cell r="P26">
            <v>8</v>
          </cell>
          <cell r="Q26">
            <v>123</v>
          </cell>
          <cell r="S26">
            <v>74</v>
          </cell>
          <cell r="U26" t="str">
            <v>1Q</v>
          </cell>
          <cell r="V26">
            <v>0</v>
          </cell>
          <cell r="W26">
            <v>0</v>
          </cell>
          <cell r="X26">
            <v>0</v>
          </cell>
          <cell r="Y26">
            <v>0</v>
          </cell>
          <cell r="Z26">
            <v>0</v>
          </cell>
          <cell r="AA26">
            <v>0</v>
          </cell>
          <cell r="AB26">
            <v>0</v>
          </cell>
          <cell r="AC26">
            <v>0</v>
          </cell>
          <cell r="AD26">
            <v>0</v>
          </cell>
          <cell r="AE26">
            <v>0</v>
          </cell>
          <cell r="AF26">
            <v>0</v>
          </cell>
          <cell r="AG26">
            <v>477</v>
          </cell>
          <cell r="AH26">
            <v>0</v>
          </cell>
          <cell r="AI26">
            <v>0</v>
          </cell>
          <cell r="AJ26">
            <v>477</v>
          </cell>
        </row>
        <row r="27">
          <cell r="B27">
            <v>43</v>
          </cell>
          <cell r="C27">
            <v>57</v>
          </cell>
          <cell r="D27">
            <v>17</v>
          </cell>
          <cell r="E27">
            <v>3</v>
          </cell>
          <cell r="F27">
            <v>17</v>
          </cell>
          <cell r="G27">
            <v>137</v>
          </cell>
          <cell r="I27">
            <v>57</v>
          </cell>
          <cell r="K27">
            <v>47</v>
          </cell>
          <cell r="M27">
            <v>60</v>
          </cell>
          <cell r="N27">
            <v>40</v>
          </cell>
          <cell r="O27">
            <v>19</v>
          </cell>
          <cell r="P27">
            <v>7</v>
          </cell>
          <cell r="Q27">
            <v>126</v>
          </cell>
          <cell r="S27">
            <v>84</v>
          </cell>
          <cell r="U27" t="str">
            <v>2Q</v>
          </cell>
          <cell r="V27">
            <v>0</v>
          </cell>
          <cell r="W27">
            <v>0</v>
          </cell>
          <cell r="X27">
            <v>0</v>
          </cell>
          <cell r="Y27">
            <v>0</v>
          </cell>
          <cell r="Z27">
            <v>0</v>
          </cell>
          <cell r="AA27">
            <v>0</v>
          </cell>
          <cell r="AB27">
            <v>0</v>
          </cell>
          <cell r="AC27">
            <v>0</v>
          </cell>
          <cell r="AD27">
            <v>0</v>
          </cell>
          <cell r="AE27">
            <v>0</v>
          </cell>
          <cell r="AF27">
            <v>0</v>
          </cell>
          <cell r="AG27">
            <v>451</v>
          </cell>
          <cell r="AH27">
            <v>5</v>
          </cell>
          <cell r="AI27">
            <v>0</v>
          </cell>
          <cell r="AJ27">
            <v>456</v>
          </cell>
        </row>
        <row r="28">
          <cell r="B28">
            <v>43</v>
          </cell>
          <cell r="C28">
            <v>57</v>
          </cell>
          <cell r="D28">
            <v>0</v>
          </cell>
          <cell r="E28">
            <v>3</v>
          </cell>
          <cell r="F28">
            <v>19</v>
          </cell>
          <cell r="G28">
            <v>122</v>
          </cell>
          <cell r="I28">
            <v>56</v>
          </cell>
          <cell r="K28">
            <v>86</v>
          </cell>
          <cell r="M28">
            <v>74</v>
          </cell>
          <cell r="N28">
            <v>44</v>
          </cell>
          <cell r="O28">
            <v>21</v>
          </cell>
          <cell r="P28">
            <v>11</v>
          </cell>
          <cell r="Q28">
            <v>150</v>
          </cell>
          <cell r="S28">
            <v>78</v>
          </cell>
          <cell r="U28" t="str">
            <v>3Q</v>
          </cell>
          <cell r="V28">
            <v>0</v>
          </cell>
          <cell r="W28">
            <v>0</v>
          </cell>
          <cell r="X28">
            <v>0</v>
          </cell>
          <cell r="Y28">
            <v>0</v>
          </cell>
          <cell r="Z28">
            <v>0</v>
          </cell>
          <cell r="AA28">
            <v>0</v>
          </cell>
          <cell r="AB28">
            <v>0</v>
          </cell>
          <cell r="AC28">
            <v>0</v>
          </cell>
          <cell r="AD28">
            <v>0</v>
          </cell>
          <cell r="AE28">
            <v>0</v>
          </cell>
          <cell r="AF28">
            <v>0</v>
          </cell>
          <cell r="AG28">
            <v>492</v>
          </cell>
          <cell r="AH28">
            <v>5</v>
          </cell>
          <cell r="AI28">
            <v>0</v>
          </cell>
          <cell r="AJ28">
            <v>497</v>
          </cell>
        </row>
        <row r="29">
          <cell r="B29">
            <v>58</v>
          </cell>
          <cell r="C29">
            <v>58</v>
          </cell>
          <cell r="D29">
            <v>4</v>
          </cell>
          <cell r="E29">
            <v>2</v>
          </cell>
          <cell r="F29">
            <v>21</v>
          </cell>
          <cell r="G29">
            <v>143</v>
          </cell>
          <cell r="I29">
            <v>67</v>
          </cell>
          <cell r="K29">
            <v>88</v>
          </cell>
          <cell r="M29">
            <v>83</v>
          </cell>
          <cell r="N29">
            <v>52</v>
          </cell>
          <cell r="O29">
            <v>28</v>
          </cell>
          <cell r="P29">
            <v>12</v>
          </cell>
          <cell r="Q29">
            <v>175</v>
          </cell>
          <cell r="S29">
            <v>87</v>
          </cell>
          <cell r="U29" t="str">
            <v>4Q</v>
          </cell>
          <cell r="V29">
            <v>0</v>
          </cell>
          <cell r="W29">
            <v>0</v>
          </cell>
          <cell r="X29">
            <v>0</v>
          </cell>
          <cell r="Y29">
            <v>0</v>
          </cell>
          <cell r="Z29">
            <v>0</v>
          </cell>
          <cell r="AA29">
            <v>0</v>
          </cell>
          <cell r="AB29">
            <v>0</v>
          </cell>
          <cell r="AC29">
            <v>0</v>
          </cell>
          <cell r="AD29">
            <v>0</v>
          </cell>
          <cell r="AE29">
            <v>0</v>
          </cell>
          <cell r="AF29">
            <v>0</v>
          </cell>
          <cell r="AG29">
            <v>560</v>
          </cell>
          <cell r="AH29">
            <v>5</v>
          </cell>
          <cell r="AI29">
            <v>0</v>
          </cell>
          <cell r="AJ29">
            <v>565</v>
          </cell>
        </row>
        <row r="31">
          <cell r="B31">
            <v>200</v>
          </cell>
          <cell r="C31">
            <v>230</v>
          </cell>
          <cell r="D31">
            <v>21</v>
          </cell>
          <cell r="E31">
            <v>11</v>
          </cell>
          <cell r="F31">
            <v>75</v>
          </cell>
          <cell r="G31">
            <v>537</v>
          </cell>
          <cell r="I31">
            <v>244</v>
          </cell>
          <cell r="K31">
            <v>302</v>
          </cell>
          <cell r="M31">
            <v>276</v>
          </cell>
          <cell r="N31">
            <v>178</v>
          </cell>
          <cell r="O31">
            <v>82</v>
          </cell>
          <cell r="P31">
            <v>38</v>
          </cell>
          <cell r="Q31">
            <v>574</v>
          </cell>
          <cell r="S31">
            <v>323</v>
          </cell>
          <cell r="U31">
            <v>1996</v>
          </cell>
          <cell r="V31">
            <v>0</v>
          </cell>
          <cell r="W31">
            <v>0</v>
          </cell>
          <cell r="X31">
            <v>0</v>
          </cell>
          <cell r="Y31">
            <v>0</v>
          </cell>
          <cell r="Z31">
            <v>0</v>
          </cell>
          <cell r="AA31">
            <v>0</v>
          </cell>
          <cell r="AB31">
            <v>0</v>
          </cell>
          <cell r="AC31">
            <v>0</v>
          </cell>
          <cell r="AD31">
            <v>0</v>
          </cell>
          <cell r="AE31">
            <v>0</v>
          </cell>
          <cell r="AF31">
            <v>0</v>
          </cell>
          <cell r="AG31">
            <v>1980</v>
          </cell>
          <cell r="AH31">
            <v>15</v>
          </cell>
          <cell r="AI31">
            <v>0</v>
          </cell>
          <cell r="AJ31">
            <v>1995</v>
          </cell>
        </row>
        <row r="33">
          <cell r="U33" t="str">
            <v>1997/96</v>
          </cell>
        </row>
        <row r="34">
          <cell r="B34">
            <v>-0.1428571428571429</v>
          </cell>
          <cell r="C34">
            <v>-6.8965517241379337E-2</v>
          </cell>
          <cell r="D34" t="str">
            <v>NM</v>
          </cell>
          <cell r="E34" t="str">
            <v>NM</v>
          </cell>
          <cell r="F34">
            <v>0</v>
          </cell>
          <cell r="G34">
            <v>-2.9629629629629672E-2</v>
          </cell>
          <cell r="I34">
            <v>-9.375E-2</v>
          </cell>
          <cell r="K34">
            <v>-6.1728395061728447E-2</v>
          </cell>
          <cell r="M34">
            <v>0.18644067796610164</v>
          </cell>
          <cell r="N34">
            <v>9.5238095238095344E-2</v>
          </cell>
          <cell r="O34">
            <v>0.4285714285714286</v>
          </cell>
          <cell r="P34">
            <v>0.125</v>
          </cell>
          <cell r="Q34">
            <v>0.17886178861788626</v>
          </cell>
          <cell r="S34">
            <v>0.41891891891891886</v>
          </cell>
          <cell r="U34" t="str">
            <v>1Q</v>
          </cell>
          <cell r="V34" t="str">
            <v>NM</v>
          </cell>
          <cell r="W34" t="str">
            <v>NM</v>
          </cell>
          <cell r="X34" t="str">
            <v>NM</v>
          </cell>
          <cell r="Y34" t="str">
            <v>NM</v>
          </cell>
          <cell r="Z34" t="str">
            <v>NM</v>
          </cell>
          <cell r="AA34" t="str">
            <v>NM</v>
          </cell>
          <cell r="AB34" t="str">
            <v>NM</v>
          </cell>
          <cell r="AC34" t="str">
            <v>NM</v>
          </cell>
          <cell r="AD34" t="str">
            <v>NM</v>
          </cell>
          <cell r="AE34" t="str">
            <v>NM</v>
          </cell>
          <cell r="AF34" t="str">
            <v>NM</v>
          </cell>
          <cell r="AG34">
            <v>7.9664570230608023E-2</v>
          </cell>
          <cell r="AH34" t="str">
            <v>NM</v>
          </cell>
          <cell r="AI34" t="str">
            <v>NM</v>
          </cell>
          <cell r="AJ34">
            <v>7.9664570230608023E-2</v>
          </cell>
        </row>
        <row r="35">
          <cell r="B35">
            <v>-0.32558139534883723</v>
          </cell>
          <cell r="C35">
            <v>-7.0175438596491224E-2</v>
          </cell>
          <cell r="D35" t="str">
            <v>NM</v>
          </cell>
          <cell r="E35" t="str">
            <v>NM</v>
          </cell>
          <cell r="F35">
            <v>0</v>
          </cell>
          <cell r="G35">
            <v>-0.16788321167883213</v>
          </cell>
          <cell r="I35">
            <v>3.5087719298245723E-2</v>
          </cell>
          <cell r="K35">
            <v>1.1063829787234041</v>
          </cell>
          <cell r="M35">
            <v>1.6666666666666607E-2</v>
          </cell>
          <cell r="N35">
            <v>0</v>
          </cell>
          <cell r="O35">
            <v>0.26315789473684204</v>
          </cell>
          <cell r="P35">
            <v>0.5714285714285714</v>
          </cell>
          <cell r="Q35">
            <v>7.9365079365079305E-2</v>
          </cell>
          <cell r="S35">
            <v>-0.1071428571428571</v>
          </cell>
          <cell r="U35" t="str">
            <v>2Q</v>
          </cell>
          <cell r="V35" t="str">
            <v>NM</v>
          </cell>
          <cell r="W35" t="str">
            <v>NM</v>
          </cell>
          <cell r="X35" t="str">
            <v>NM</v>
          </cell>
          <cell r="Y35" t="str">
            <v>NM</v>
          </cell>
          <cell r="Z35" t="str">
            <v>NM</v>
          </cell>
          <cell r="AA35" t="str">
            <v>NM</v>
          </cell>
          <cell r="AB35" t="str">
            <v>NM</v>
          </cell>
          <cell r="AC35" t="str">
            <v>NM</v>
          </cell>
          <cell r="AD35" t="str">
            <v>NM</v>
          </cell>
          <cell r="AE35" t="str">
            <v>NM</v>
          </cell>
          <cell r="AF35" t="str">
            <v>NM</v>
          </cell>
          <cell r="AG35">
            <v>7.0953436807095427E-2</v>
          </cell>
          <cell r="AH35" t="str">
            <v>NM</v>
          </cell>
          <cell r="AI35" t="str">
            <v>NM</v>
          </cell>
          <cell r="AJ35">
            <v>0.125</v>
          </cell>
        </row>
        <row r="36">
          <cell r="B36">
            <v>-0.13953488372093026</v>
          </cell>
          <cell r="C36">
            <v>-7.0175438596491224E-2</v>
          </cell>
          <cell r="D36" t="str">
            <v>NM</v>
          </cell>
          <cell r="E36" t="str">
            <v>NM</v>
          </cell>
          <cell r="F36">
            <v>5.2631578947368363E-2</v>
          </cell>
          <cell r="G36">
            <v>4.9180327868852514E-2</v>
          </cell>
          <cell r="I36">
            <v>1.7857142857142794E-2</v>
          </cell>
          <cell r="K36">
            <v>4.6511627906976827E-2</v>
          </cell>
          <cell r="M36">
            <v>0.32432432432432434</v>
          </cell>
          <cell r="N36">
            <v>2.2727272727272707E-2</v>
          </cell>
          <cell r="O36">
            <v>0.19047619047619047</v>
          </cell>
          <cell r="P36">
            <v>0</v>
          </cell>
          <cell r="Q36">
            <v>0.19333333333333336</v>
          </cell>
          <cell r="S36">
            <v>0.30769230769230771</v>
          </cell>
          <cell r="U36" t="str">
            <v>3Q</v>
          </cell>
          <cell r="V36" t="str">
            <v>NM</v>
          </cell>
          <cell r="W36" t="str">
            <v>NM</v>
          </cell>
          <cell r="X36" t="str">
            <v>NM</v>
          </cell>
          <cell r="Y36" t="str">
            <v>NM</v>
          </cell>
          <cell r="Z36" t="str">
            <v>NM</v>
          </cell>
          <cell r="AA36" t="str">
            <v>NM</v>
          </cell>
          <cell r="AB36" t="str">
            <v>NM</v>
          </cell>
          <cell r="AC36" t="str">
            <v>NM</v>
          </cell>
          <cell r="AD36" t="str">
            <v>NM</v>
          </cell>
          <cell r="AE36" t="str">
            <v>NM</v>
          </cell>
          <cell r="AF36" t="str">
            <v>NM</v>
          </cell>
          <cell r="AG36">
            <v>0.13008130081300817</v>
          </cell>
          <cell r="AH36" t="str">
            <v>NM</v>
          </cell>
          <cell r="AI36" t="str">
            <v>NM</v>
          </cell>
          <cell r="AJ36">
            <v>0.21730382293762585</v>
          </cell>
        </row>
        <row r="37">
          <cell r="B37">
            <v>-0.56896551724137934</v>
          </cell>
          <cell r="C37">
            <v>3.4482758620689724E-2</v>
          </cell>
          <cell r="D37" t="str">
            <v>NM</v>
          </cell>
          <cell r="E37" t="str">
            <v>NM</v>
          </cell>
          <cell r="F37">
            <v>0</v>
          </cell>
          <cell r="G37">
            <v>-0.11188811188811187</v>
          </cell>
          <cell r="I37">
            <v>0.16417910447761197</v>
          </cell>
          <cell r="K37">
            <v>0.48863636363636354</v>
          </cell>
          <cell r="M37">
            <v>0.22891566265060237</v>
          </cell>
          <cell r="N37">
            <v>3.8461538461538547E-2</v>
          </cell>
          <cell r="O37">
            <v>0.1785714285714286</v>
          </cell>
          <cell r="P37">
            <v>8.3333333333333259E-2</v>
          </cell>
          <cell r="Q37">
            <v>0.15428571428571436</v>
          </cell>
          <cell r="S37">
            <v>6.8965517241379226E-2</v>
          </cell>
          <cell r="U37" t="str">
            <v>4Q</v>
          </cell>
          <cell r="V37" t="str">
            <v>NM</v>
          </cell>
          <cell r="W37" t="str">
            <v>NM</v>
          </cell>
          <cell r="X37" t="str">
            <v>NM</v>
          </cell>
          <cell r="Y37" t="str">
            <v>NM</v>
          </cell>
          <cell r="Z37" t="str">
            <v>NM</v>
          </cell>
          <cell r="AA37" t="str">
            <v>NM</v>
          </cell>
          <cell r="AB37" t="str">
            <v>NM</v>
          </cell>
          <cell r="AC37" t="str">
            <v>NM</v>
          </cell>
          <cell r="AD37" t="str">
            <v>NM</v>
          </cell>
          <cell r="AE37" t="str">
            <v>NM</v>
          </cell>
          <cell r="AF37" t="str">
            <v>NM</v>
          </cell>
          <cell r="AG37">
            <v>0.12678571428571428</v>
          </cell>
          <cell r="AH37" t="str">
            <v>NM</v>
          </cell>
          <cell r="AI37" t="str">
            <v>NM</v>
          </cell>
          <cell r="AJ37">
            <v>0.36991150442477871</v>
          </cell>
        </row>
        <row r="39">
          <cell r="B39">
            <v>-0.30500000000000005</v>
          </cell>
          <cell r="C39">
            <v>-4.3478260869565188E-2</v>
          </cell>
          <cell r="D39" t="str">
            <v>NM</v>
          </cell>
          <cell r="E39" t="str">
            <v>NM</v>
          </cell>
          <cell r="F39">
            <v>1.3333333333333419E-2</v>
          </cell>
          <cell r="G39">
            <v>-6.8901303538175029E-2</v>
          </cell>
          <cell r="I39">
            <v>3.2786885245901676E-2</v>
          </cell>
          <cell r="K39">
            <v>0.3112582781456954</v>
          </cell>
          <cell r="M39">
            <v>0.19927536231884058</v>
          </cell>
          <cell r="N39">
            <v>3.9325842696629199E-2</v>
          </cell>
          <cell r="O39">
            <v>0.24390243902439024</v>
          </cell>
          <cell r="P39">
            <v>0.15789473684210531</v>
          </cell>
          <cell r="Q39">
            <v>0.1533101045296168</v>
          </cell>
          <cell r="S39">
            <v>0.16099071207430349</v>
          </cell>
          <cell r="U39" t="str">
            <v xml:space="preserve">Year </v>
          </cell>
          <cell r="V39" t="str">
            <v>NM</v>
          </cell>
          <cell r="W39" t="str">
            <v>NM</v>
          </cell>
          <cell r="X39" t="str">
            <v>NM</v>
          </cell>
          <cell r="Y39" t="str">
            <v>NM</v>
          </cell>
          <cell r="Z39" t="str">
            <v>NM</v>
          </cell>
          <cell r="AA39" t="str">
            <v>NM</v>
          </cell>
          <cell r="AB39" t="str">
            <v>NM</v>
          </cell>
          <cell r="AC39" t="str">
            <v>NM</v>
          </cell>
          <cell r="AD39" t="str">
            <v>NM</v>
          </cell>
          <cell r="AE39" t="str">
            <v>NM</v>
          </cell>
          <cell r="AF39" t="str">
            <v>NM</v>
          </cell>
          <cell r="AG39">
            <v>0.10353535353535359</v>
          </cell>
          <cell r="AH39" t="str">
            <v>NM</v>
          </cell>
          <cell r="AI39" t="str">
            <v>NM</v>
          </cell>
          <cell r="AJ39">
            <v>0.20651629072681699</v>
          </cell>
        </row>
        <row r="41">
          <cell r="U41">
            <v>1997</v>
          </cell>
        </row>
        <row r="42">
          <cell r="B42">
            <v>48</v>
          </cell>
          <cell r="C42">
            <v>54</v>
          </cell>
          <cell r="D42">
            <v>8</v>
          </cell>
          <cell r="E42">
            <v>3</v>
          </cell>
          <cell r="F42">
            <v>18</v>
          </cell>
          <cell r="G42">
            <v>131</v>
          </cell>
          <cell r="I42">
            <v>58</v>
          </cell>
          <cell r="K42">
            <v>76</v>
          </cell>
          <cell r="M42">
            <v>70</v>
          </cell>
          <cell r="N42">
            <v>46</v>
          </cell>
          <cell r="O42">
            <v>20</v>
          </cell>
          <cell r="P42">
            <v>9</v>
          </cell>
          <cell r="Q42">
            <v>145</v>
          </cell>
          <cell r="S42">
            <v>105</v>
          </cell>
          <cell r="U42" t="str">
            <v>1Q</v>
          </cell>
          <cell r="V42">
            <v>0</v>
          </cell>
          <cell r="W42">
            <v>0</v>
          </cell>
          <cell r="X42">
            <v>0</v>
          </cell>
          <cell r="Y42">
            <v>0</v>
          </cell>
          <cell r="Z42">
            <v>0</v>
          </cell>
          <cell r="AA42">
            <v>0</v>
          </cell>
          <cell r="AB42">
            <v>0</v>
          </cell>
          <cell r="AC42">
            <v>0</v>
          </cell>
          <cell r="AD42">
            <v>0</v>
          </cell>
          <cell r="AE42">
            <v>0</v>
          </cell>
          <cell r="AF42">
            <v>0</v>
          </cell>
          <cell r="AG42">
            <v>515</v>
          </cell>
          <cell r="AH42">
            <v>0</v>
          </cell>
          <cell r="AI42">
            <v>0</v>
          </cell>
          <cell r="AJ42">
            <v>515</v>
          </cell>
        </row>
        <row r="43">
          <cell r="B43">
            <v>29</v>
          </cell>
          <cell r="C43">
            <v>53</v>
          </cell>
          <cell r="D43">
            <v>12</v>
          </cell>
          <cell r="E43">
            <v>3</v>
          </cell>
          <cell r="F43">
            <v>17</v>
          </cell>
          <cell r="G43">
            <v>114</v>
          </cell>
          <cell r="I43">
            <v>59</v>
          </cell>
          <cell r="K43">
            <v>99</v>
          </cell>
          <cell r="M43">
            <v>61</v>
          </cell>
          <cell r="N43">
            <v>40</v>
          </cell>
          <cell r="O43">
            <v>24</v>
          </cell>
          <cell r="P43">
            <v>11</v>
          </cell>
          <cell r="Q43">
            <v>136</v>
          </cell>
          <cell r="S43">
            <v>75</v>
          </cell>
          <cell r="U43" t="str">
            <v>2Q</v>
          </cell>
          <cell r="V43">
            <v>0</v>
          </cell>
          <cell r="W43">
            <v>0</v>
          </cell>
          <cell r="X43">
            <v>0</v>
          </cell>
          <cell r="Y43">
            <v>0</v>
          </cell>
          <cell r="Z43">
            <v>0</v>
          </cell>
          <cell r="AA43">
            <v>0</v>
          </cell>
          <cell r="AB43">
            <v>0</v>
          </cell>
          <cell r="AC43">
            <v>0</v>
          </cell>
          <cell r="AD43">
            <v>0</v>
          </cell>
          <cell r="AE43">
            <v>0</v>
          </cell>
          <cell r="AF43">
            <v>0</v>
          </cell>
          <cell r="AG43">
            <v>483</v>
          </cell>
          <cell r="AH43">
            <v>19</v>
          </cell>
          <cell r="AI43">
            <v>11</v>
          </cell>
          <cell r="AJ43">
            <v>513</v>
          </cell>
        </row>
        <row r="44">
          <cell r="B44">
            <v>37</v>
          </cell>
          <cell r="C44">
            <v>53</v>
          </cell>
          <cell r="D44">
            <v>16</v>
          </cell>
          <cell r="E44">
            <v>2</v>
          </cell>
          <cell r="F44">
            <v>20</v>
          </cell>
          <cell r="G44">
            <v>128</v>
          </cell>
          <cell r="I44">
            <v>57</v>
          </cell>
          <cell r="K44">
            <v>90</v>
          </cell>
          <cell r="M44">
            <v>98</v>
          </cell>
          <cell r="N44">
            <v>45</v>
          </cell>
          <cell r="O44">
            <v>25</v>
          </cell>
          <cell r="P44">
            <v>11</v>
          </cell>
          <cell r="Q44">
            <v>179</v>
          </cell>
          <cell r="S44">
            <v>102</v>
          </cell>
          <cell r="U44" t="str">
            <v>3Q</v>
          </cell>
          <cell r="V44">
            <v>0</v>
          </cell>
          <cell r="W44">
            <v>0</v>
          </cell>
          <cell r="X44">
            <v>0</v>
          </cell>
          <cell r="Y44">
            <v>0</v>
          </cell>
          <cell r="Z44">
            <v>0</v>
          </cell>
          <cell r="AA44">
            <v>0</v>
          </cell>
          <cell r="AB44">
            <v>0</v>
          </cell>
          <cell r="AC44">
            <v>0</v>
          </cell>
          <cell r="AD44">
            <v>0</v>
          </cell>
          <cell r="AE44">
            <v>0</v>
          </cell>
          <cell r="AF44">
            <v>0</v>
          </cell>
          <cell r="AG44">
            <v>556</v>
          </cell>
          <cell r="AH44">
            <v>0</v>
          </cell>
          <cell r="AI44">
            <v>49</v>
          </cell>
          <cell r="AJ44">
            <v>605</v>
          </cell>
        </row>
        <row r="45">
          <cell r="B45">
            <v>25</v>
          </cell>
          <cell r="C45">
            <v>60</v>
          </cell>
          <cell r="D45">
            <v>19</v>
          </cell>
          <cell r="E45">
            <v>2</v>
          </cell>
          <cell r="F45">
            <v>21</v>
          </cell>
          <cell r="G45">
            <v>127</v>
          </cell>
          <cell r="I45">
            <v>78</v>
          </cell>
          <cell r="K45">
            <v>131</v>
          </cell>
          <cell r="M45">
            <v>102</v>
          </cell>
          <cell r="N45">
            <v>54</v>
          </cell>
          <cell r="O45">
            <v>33</v>
          </cell>
          <cell r="P45">
            <v>13</v>
          </cell>
          <cell r="Q45">
            <v>202</v>
          </cell>
          <cell r="S45">
            <v>93</v>
          </cell>
          <cell r="U45" t="str">
            <v>4Q</v>
          </cell>
          <cell r="V45">
            <v>0</v>
          </cell>
          <cell r="W45">
            <v>0</v>
          </cell>
          <cell r="X45">
            <v>0</v>
          </cell>
          <cell r="Y45">
            <v>0</v>
          </cell>
          <cell r="Z45">
            <v>0</v>
          </cell>
          <cell r="AA45">
            <v>0</v>
          </cell>
          <cell r="AB45">
            <v>0</v>
          </cell>
          <cell r="AC45">
            <v>0</v>
          </cell>
          <cell r="AD45">
            <v>0</v>
          </cell>
          <cell r="AE45">
            <v>0</v>
          </cell>
          <cell r="AF45">
            <v>0</v>
          </cell>
          <cell r="AG45">
            <v>631</v>
          </cell>
          <cell r="AH45">
            <v>75</v>
          </cell>
          <cell r="AI45">
            <v>68</v>
          </cell>
          <cell r="AJ45">
            <v>774</v>
          </cell>
        </row>
        <row r="47">
          <cell r="B47">
            <v>139</v>
          </cell>
          <cell r="C47">
            <v>220</v>
          </cell>
          <cell r="D47">
            <v>55</v>
          </cell>
          <cell r="E47">
            <v>10</v>
          </cell>
          <cell r="F47">
            <v>76</v>
          </cell>
          <cell r="G47">
            <v>500</v>
          </cell>
          <cell r="I47">
            <v>252</v>
          </cell>
          <cell r="K47">
            <v>396</v>
          </cell>
          <cell r="M47">
            <v>331</v>
          </cell>
          <cell r="N47">
            <v>185</v>
          </cell>
          <cell r="O47">
            <v>102</v>
          </cell>
          <cell r="P47">
            <v>44</v>
          </cell>
          <cell r="Q47">
            <v>662</v>
          </cell>
          <cell r="S47">
            <v>375</v>
          </cell>
          <cell r="U47" t="str">
            <v xml:space="preserve">Year </v>
          </cell>
          <cell r="V47">
            <v>0</v>
          </cell>
          <cell r="W47">
            <v>0</v>
          </cell>
          <cell r="X47">
            <v>0</v>
          </cell>
          <cell r="Y47">
            <v>0</v>
          </cell>
          <cell r="Z47">
            <v>0</v>
          </cell>
          <cell r="AA47">
            <v>0</v>
          </cell>
          <cell r="AB47">
            <v>0</v>
          </cell>
          <cell r="AC47">
            <v>0</v>
          </cell>
          <cell r="AD47">
            <v>0</v>
          </cell>
          <cell r="AE47">
            <v>0</v>
          </cell>
          <cell r="AF47">
            <v>0</v>
          </cell>
          <cell r="AG47">
            <v>2185</v>
          </cell>
          <cell r="AH47">
            <v>94</v>
          </cell>
          <cell r="AI47">
            <v>128</v>
          </cell>
          <cell r="AJ47">
            <v>2407</v>
          </cell>
        </row>
        <row r="49">
          <cell r="U49" t="str">
            <v>1998E/97</v>
          </cell>
        </row>
        <row r="50">
          <cell r="B50">
            <v>-0.52083333333333326</v>
          </cell>
          <cell r="C50">
            <v>-0.2407407407407407</v>
          </cell>
          <cell r="D50">
            <v>0.5</v>
          </cell>
          <cell r="E50" t="str">
            <v>NM</v>
          </cell>
          <cell r="F50">
            <v>-0.16666666666666663</v>
          </cell>
          <cell r="G50">
            <v>-0.28244274809160308</v>
          </cell>
          <cell r="I50">
            <v>-0.24137931034482762</v>
          </cell>
          <cell r="K50">
            <v>-7.8947368421052655E-2</v>
          </cell>
          <cell r="M50">
            <v>-0.32857142857142863</v>
          </cell>
          <cell r="N50">
            <v>-0.47826086956521741</v>
          </cell>
          <cell r="O50">
            <v>1.4500000000000002</v>
          </cell>
          <cell r="P50">
            <v>0.11111111111111116</v>
          </cell>
          <cell r="Q50">
            <v>-0.10344827586206895</v>
          </cell>
          <cell r="S50">
            <v>-0.20952380952380956</v>
          </cell>
          <cell r="U50" t="str">
            <v>1QA</v>
          </cell>
          <cell r="V50" t="str">
            <v>NM</v>
          </cell>
          <cell r="W50" t="str">
            <v>NM</v>
          </cell>
          <cell r="X50" t="str">
            <v>NM</v>
          </cell>
          <cell r="Y50" t="str">
            <v>NM</v>
          </cell>
          <cell r="Z50" t="str">
            <v>NM</v>
          </cell>
          <cell r="AA50" t="str">
            <v>NM</v>
          </cell>
          <cell r="AB50" t="str">
            <v>NM</v>
          </cell>
          <cell r="AC50" t="str">
            <v>NM</v>
          </cell>
          <cell r="AD50" t="str">
            <v>NM</v>
          </cell>
          <cell r="AE50" t="str">
            <v>NM</v>
          </cell>
          <cell r="AF50" t="str">
            <v>NM</v>
          </cell>
          <cell r="AG50">
            <v>-0.18252427184466025</v>
          </cell>
          <cell r="AH50" t="str">
            <v>NM</v>
          </cell>
          <cell r="AI50" t="str">
            <v>NM</v>
          </cell>
          <cell r="AJ50">
            <v>1.1650485436893288E-2</v>
          </cell>
        </row>
        <row r="51">
          <cell r="B51">
            <v>-0.62068965517241381</v>
          </cell>
          <cell r="C51">
            <v>-1.8867924528301883E-2</v>
          </cell>
          <cell r="D51">
            <v>0.66666666666666674</v>
          </cell>
          <cell r="E51" t="str">
            <v>NM</v>
          </cell>
          <cell r="F51">
            <v>0.17647058823529416</v>
          </cell>
          <cell r="G51">
            <v>-7.0175438596491224E-2</v>
          </cell>
          <cell r="I51">
            <v>-1.6949152542372836E-2</v>
          </cell>
          <cell r="K51">
            <v>0.2525252525252526</v>
          </cell>
          <cell r="M51">
            <v>0.11475409836065564</v>
          </cell>
          <cell r="N51">
            <v>-0.19999999999999996</v>
          </cell>
          <cell r="O51">
            <v>2.3333333333333335</v>
          </cell>
          <cell r="P51">
            <v>9.0909090909090828E-2</v>
          </cell>
          <cell r="Q51">
            <v>0.41176470588235303</v>
          </cell>
          <cell r="S51">
            <v>0.4933333333333334</v>
          </cell>
          <cell r="U51" t="str">
            <v>2QA</v>
          </cell>
          <cell r="V51" t="str">
            <v>NM</v>
          </cell>
          <cell r="W51" t="str">
            <v>NM</v>
          </cell>
          <cell r="X51" t="str">
            <v>NM</v>
          </cell>
          <cell r="Y51" t="str">
            <v>NM</v>
          </cell>
          <cell r="Z51" t="str">
            <v>NM</v>
          </cell>
          <cell r="AA51" t="str">
            <v>NM</v>
          </cell>
          <cell r="AB51" t="str">
            <v>NM</v>
          </cell>
          <cell r="AC51" t="str">
            <v>NM</v>
          </cell>
          <cell r="AD51" t="str">
            <v>NM</v>
          </cell>
          <cell r="AE51" t="str">
            <v>NM</v>
          </cell>
          <cell r="AF51" t="str">
            <v>NM</v>
          </cell>
          <cell r="AG51">
            <v>0.22567287784679091</v>
          </cell>
          <cell r="AH51" t="str">
            <v>NM</v>
          </cell>
          <cell r="AI51" t="str">
            <v>NM</v>
          </cell>
          <cell r="AJ51">
            <v>0.15399610136452235</v>
          </cell>
        </row>
        <row r="52">
          <cell r="B52">
            <v>-0.59459459459459452</v>
          </cell>
          <cell r="C52">
            <v>-1.8867924528301883E-2</v>
          </cell>
          <cell r="D52">
            <v>0.4375</v>
          </cell>
          <cell r="E52" t="str">
            <v>NM</v>
          </cell>
          <cell r="F52">
            <v>-0.1</v>
          </cell>
          <cell r="G52">
            <v>-0.140625</v>
          </cell>
          <cell r="I52">
            <v>5.2631578947368363E-2</v>
          </cell>
          <cell r="K52">
            <v>-4.4444444444444398E-2</v>
          </cell>
          <cell r="M52">
            <v>0.1</v>
          </cell>
          <cell r="N52">
            <v>-0.2</v>
          </cell>
          <cell r="O52">
            <v>2.88</v>
          </cell>
          <cell r="P52">
            <v>0.05</v>
          </cell>
          <cell r="Q52">
            <v>0.39413407821229063</v>
          </cell>
          <cell r="S52">
            <v>0.41617647058823515</v>
          </cell>
          <cell r="U52" t="str">
            <v>3Q</v>
          </cell>
          <cell r="V52" t="str">
            <v>NM</v>
          </cell>
          <cell r="W52" t="str">
            <v>NM</v>
          </cell>
          <cell r="X52" t="str">
            <v>NM</v>
          </cell>
          <cell r="Y52" t="str">
            <v>NM</v>
          </cell>
          <cell r="Z52" t="str">
            <v>NM</v>
          </cell>
          <cell r="AA52" t="str">
            <v>NM</v>
          </cell>
          <cell r="AB52" t="str">
            <v>NM</v>
          </cell>
          <cell r="AC52" t="str">
            <v>NM</v>
          </cell>
          <cell r="AD52" t="str">
            <v>NM</v>
          </cell>
          <cell r="AE52" t="str">
            <v>NM</v>
          </cell>
          <cell r="AF52" t="str">
            <v>NM</v>
          </cell>
          <cell r="AG52">
            <v>0.16906474820143891</v>
          </cell>
          <cell r="AH52" t="str">
            <v>NM</v>
          </cell>
          <cell r="AI52" t="str">
            <v>NM</v>
          </cell>
          <cell r="AJ52">
            <v>0.30578512396694224</v>
          </cell>
        </row>
        <row r="53">
          <cell r="B53">
            <v>-0.4</v>
          </cell>
          <cell r="C53">
            <v>-0.1333333333333333</v>
          </cell>
          <cell r="D53">
            <v>0.42105263157894735</v>
          </cell>
          <cell r="E53" t="str">
            <v>NM</v>
          </cell>
          <cell r="F53">
            <v>-0.1</v>
          </cell>
          <cell r="G53">
            <v>-9.5275590551181066E-2</v>
          </cell>
          <cell r="I53">
            <v>-0.23076923076923073</v>
          </cell>
          <cell r="K53">
            <v>3.0534351145038219E-2</v>
          </cell>
          <cell r="M53">
            <v>0.1</v>
          </cell>
          <cell r="N53">
            <v>-0.2</v>
          </cell>
          <cell r="O53">
            <v>2.0303030303030303</v>
          </cell>
          <cell r="P53">
            <v>0.05</v>
          </cell>
          <cell r="Q53">
            <v>0.33193069306930689</v>
          </cell>
          <cell r="S53">
            <v>-8.6021505376344121E-2</v>
          </cell>
          <cell r="U53" t="str">
            <v>4Q</v>
          </cell>
          <cell r="V53" t="str">
            <v>NM</v>
          </cell>
          <cell r="W53" t="str">
            <v>NM</v>
          </cell>
          <cell r="X53" t="str">
            <v>NM</v>
          </cell>
          <cell r="Y53" t="str">
            <v>NM</v>
          </cell>
          <cell r="Z53" t="str">
            <v>NM</v>
          </cell>
          <cell r="AA53" t="str">
            <v>NM</v>
          </cell>
          <cell r="AB53" t="str">
            <v>NM</v>
          </cell>
          <cell r="AC53" t="str">
            <v>NM</v>
          </cell>
          <cell r="AD53" t="str">
            <v>NM</v>
          </cell>
          <cell r="AE53" t="str">
            <v>NM</v>
          </cell>
          <cell r="AF53" t="str">
            <v>NM</v>
          </cell>
          <cell r="AG53">
            <v>5.2218700475435975E-2</v>
          </cell>
          <cell r="AH53" t="str">
            <v>NM</v>
          </cell>
          <cell r="AI53" t="str">
            <v>NM</v>
          </cell>
          <cell r="AJ53">
            <v>-0.14218346253229963</v>
          </cell>
        </row>
        <row r="55">
          <cell r="B55">
            <v>-0.53956834532374098</v>
          </cell>
          <cell r="C55">
            <v>-0.1045454545454545</v>
          </cell>
          <cell r="D55">
            <v>0.49090909090909096</v>
          </cell>
          <cell r="E55" t="str">
            <v>NM</v>
          </cell>
          <cell r="F55">
            <v>-5.3947368421052522E-2</v>
          </cell>
          <cell r="G55">
            <v>-0.1502</v>
          </cell>
          <cell r="I55">
            <v>-0.11904761904761907</v>
          </cell>
          <cell r="K55">
            <v>4.7979797979798011E-2</v>
          </cell>
          <cell r="M55">
            <v>3.6253776435044571E-3</v>
          </cell>
          <cell r="N55">
            <v>-0.26918918918918922</v>
          </cell>
          <cell r="O55">
            <v>2.1960784313725492</v>
          </cell>
          <cell r="P55">
            <v>7.2727272727272529E-2</v>
          </cell>
          <cell r="Q55">
            <v>0.26978851963746209</v>
          </cell>
          <cell r="S55">
            <v>0.13186666666666658</v>
          </cell>
          <cell r="U55" t="str">
            <v xml:space="preserve">Year </v>
          </cell>
          <cell r="V55" t="str">
            <v>NM</v>
          </cell>
          <cell r="W55" t="str">
            <v>NM</v>
          </cell>
          <cell r="X55" t="str">
            <v>NM</v>
          </cell>
          <cell r="Y55" t="str">
            <v>NM</v>
          </cell>
          <cell r="Z55" t="str">
            <v>NM</v>
          </cell>
          <cell r="AA55" t="str">
            <v>NM</v>
          </cell>
          <cell r="AB55" t="str">
            <v>NM</v>
          </cell>
          <cell r="AC55" t="str">
            <v>NM</v>
          </cell>
          <cell r="AD55" t="str">
            <v>NM</v>
          </cell>
          <cell r="AE55" t="str">
            <v>NM</v>
          </cell>
          <cell r="AF55" t="str">
            <v>NM</v>
          </cell>
          <cell r="AG55">
            <v>6.4965675057208072E-2</v>
          </cell>
          <cell r="AH55" t="str">
            <v>NM</v>
          </cell>
          <cell r="AI55" t="str">
            <v>NM</v>
          </cell>
          <cell r="AJ55">
            <v>6.6452014956377203E-2</v>
          </cell>
        </row>
        <row r="57">
          <cell r="U57" t="str">
            <v>1998E</v>
          </cell>
        </row>
        <row r="58">
          <cell r="B58">
            <v>23</v>
          </cell>
          <cell r="C58">
            <v>41</v>
          </cell>
          <cell r="D58">
            <v>12</v>
          </cell>
          <cell r="E58">
            <v>3</v>
          </cell>
          <cell r="F58">
            <v>15</v>
          </cell>
          <cell r="G58">
            <v>94</v>
          </cell>
          <cell r="I58">
            <v>44</v>
          </cell>
          <cell r="K58">
            <v>70</v>
          </cell>
          <cell r="M58">
            <v>47</v>
          </cell>
          <cell r="N58">
            <v>24</v>
          </cell>
          <cell r="O58">
            <v>49</v>
          </cell>
          <cell r="P58">
            <v>10</v>
          </cell>
          <cell r="Q58">
            <v>130</v>
          </cell>
          <cell r="S58">
            <v>83</v>
          </cell>
          <cell r="U58" t="str">
            <v>1QA</v>
          </cell>
          <cell r="V58">
            <v>0</v>
          </cell>
          <cell r="W58">
            <v>0</v>
          </cell>
          <cell r="X58">
            <v>0</v>
          </cell>
          <cell r="Y58">
            <v>0</v>
          </cell>
          <cell r="Z58">
            <v>0</v>
          </cell>
          <cell r="AA58">
            <v>0</v>
          </cell>
          <cell r="AB58">
            <v>0</v>
          </cell>
          <cell r="AC58">
            <v>0</v>
          </cell>
          <cell r="AD58">
            <v>0</v>
          </cell>
          <cell r="AE58">
            <v>0</v>
          </cell>
          <cell r="AF58">
            <v>0</v>
          </cell>
          <cell r="AG58">
            <v>421</v>
          </cell>
          <cell r="AH58">
            <v>100</v>
          </cell>
          <cell r="AI58">
            <v>0</v>
          </cell>
          <cell r="AJ58">
            <v>521</v>
          </cell>
        </row>
        <row r="59">
          <cell r="B59">
            <v>11</v>
          </cell>
          <cell r="C59">
            <v>52</v>
          </cell>
          <cell r="D59">
            <v>20</v>
          </cell>
          <cell r="E59">
            <v>3</v>
          </cell>
          <cell r="F59">
            <v>20</v>
          </cell>
          <cell r="G59">
            <v>106</v>
          </cell>
          <cell r="I59">
            <v>58</v>
          </cell>
          <cell r="K59">
            <v>124</v>
          </cell>
          <cell r="M59">
            <v>68</v>
          </cell>
          <cell r="N59">
            <v>32</v>
          </cell>
          <cell r="O59">
            <v>80</v>
          </cell>
          <cell r="P59">
            <v>12</v>
          </cell>
          <cell r="Q59">
            <v>192</v>
          </cell>
          <cell r="S59">
            <v>112</v>
          </cell>
          <cell r="U59" t="str">
            <v>2QA</v>
          </cell>
          <cell r="V59">
            <v>0</v>
          </cell>
          <cell r="W59">
            <v>0</v>
          </cell>
          <cell r="X59">
            <v>0</v>
          </cell>
          <cell r="Y59">
            <v>0</v>
          </cell>
          <cell r="Z59">
            <v>0</v>
          </cell>
          <cell r="AA59">
            <v>0</v>
          </cell>
          <cell r="AB59">
            <v>0</v>
          </cell>
          <cell r="AC59">
            <v>0</v>
          </cell>
          <cell r="AD59">
            <v>0</v>
          </cell>
          <cell r="AE59">
            <v>0</v>
          </cell>
          <cell r="AF59">
            <v>0</v>
          </cell>
          <cell r="AG59">
            <v>592</v>
          </cell>
          <cell r="AH59">
            <v>0</v>
          </cell>
          <cell r="AI59">
            <v>0</v>
          </cell>
          <cell r="AJ59">
            <v>592</v>
          </cell>
        </row>
        <row r="60">
          <cell r="B60">
            <v>15</v>
          </cell>
          <cell r="C60">
            <v>52</v>
          </cell>
          <cell r="D60">
            <v>23</v>
          </cell>
          <cell r="E60">
            <v>2</v>
          </cell>
          <cell r="F60">
            <v>18</v>
          </cell>
          <cell r="G60">
            <v>110</v>
          </cell>
          <cell r="I60">
            <v>60</v>
          </cell>
          <cell r="K60">
            <v>86</v>
          </cell>
          <cell r="M60">
            <v>105</v>
          </cell>
          <cell r="N60">
            <v>36</v>
          </cell>
          <cell r="O60">
            <v>97</v>
          </cell>
          <cell r="P60">
            <v>11.55</v>
          </cell>
          <cell r="Q60">
            <v>249.55</v>
          </cell>
          <cell r="S60">
            <v>144.44999999999999</v>
          </cell>
          <cell r="U60" t="str">
            <v>3QA</v>
          </cell>
          <cell r="V60">
            <v>0</v>
          </cell>
          <cell r="W60">
            <v>0</v>
          </cell>
          <cell r="X60">
            <v>0</v>
          </cell>
          <cell r="Y60">
            <v>0</v>
          </cell>
          <cell r="Z60">
            <v>0</v>
          </cell>
          <cell r="AA60">
            <v>0</v>
          </cell>
          <cell r="AB60">
            <v>0</v>
          </cell>
          <cell r="AC60">
            <v>0</v>
          </cell>
          <cell r="AD60">
            <v>0</v>
          </cell>
          <cell r="AE60">
            <v>0</v>
          </cell>
          <cell r="AF60">
            <v>0</v>
          </cell>
          <cell r="AG60">
            <v>650</v>
          </cell>
          <cell r="AH60">
            <v>140</v>
          </cell>
          <cell r="AI60">
            <v>0</v>
          </cell>
          <cell r="AJ60">
            <v>790</v>
          </cell>
        </row>
        <row r="61">
          <cell r="B61">
            <v>15</v>
          </cell>
          <cell r="C61">
            <v>52</v>
          </cell>
          <cell r="D61">
            <v>27</v>
          </cell>
          <cell r="E61">
            <v>2</v>
          </cell>
          <cell r="F61">
            <v>18.900000000000002</v>
          </cell>
          <cell r="G61">
            <v>114.9</v>
          </cell>
          <cell r="I61">
            <v>60</v>
          </cell>
          <cell r="K61">
            <v>135</v>
          </cell>
          <cell r="M61">
            <v>112.2</v>
          </cell>
          <cell r="N61">
            <v>43.2</v>
          </cell>
          <cell r="O61">
            <v>100</v>
          </cell>
          <cell r="P61">
            <v>13.65</v>
          </cell>
          <cell r="Q61">
            <v>269.05</v>
          </cell>
          <cell r="S61">
            <v>85</v>
          </cell>
          <cell r="U61" t="str">
            <v>4Q</v>
          </cell>
          <cell r="V61">
            <v>0</v>
          </cell>
          <cell r="W61">
            <v>0</v>
          </cell>
          <cell r="X61">
            <v>0</v>
          </cell>
          <cell r="Y61">
            <v>0</v>
          </cell>
          <cell r="Z61">
            <v>0</v>
          </cell>
          <cell r="AA61">
            <v>0</v>
          </cell>
          <cell r="AB61">
            <v>0</v>
          </cell>
          <cell r="AC61">
            <v>0</v>
          </cell>
          <cell r="AD61">
            <v>0</v>
          </cell>
          <cell r="AE61">
            <v>0</v>
          </cell>
          <cell r="AF61">
            <v>0</v>
          </cell>
          <cell r="AG61">
            <v>663.95</v>
          </cell>
          <cell r="AH61">
            <v>200</v>
          </cell>
          <cell r="AI61">
            <v>0</v>
          </cell>
          <cell r="AJ61">
            <v>863.95</v>
          </cell>
        </row>
        <row r="63">
          <cell r="B63">
            <v>64</v>
          </cell>
          <cell r="C63">
            <v>197</v>
          </cell>
          <cell r="D63">
            <v>82</v>
          </cell>
          <cell r="E63">
            <v>10</v>
          </cell>
          <cell r="F63">
            <v>71.900000000000006</v>
          </cell>
          <cell r="G63">
            <v>424.9</v>
          </cell>
          <cell r="I63">
            <v>222</v>
          </cell>
          <cell r="K63">
            <v>415</v>
          </cell>
          <cell r="M63">
            <v>332.2</v>
          </cell>
          <cell r="N63">
            <v>135.19999999999999</v>
          </cell>
          <cell r="O63">
            <v>326</v>
          </cell>
          <cell r="P63">
            <v>47.199999999999996</v>
          </cell>
          <cell r="Q63">
            <v>840.59999999999991</v>
          </cell>
          <cell r="S63">
            <v>424.45</v>
          </cell>
          <cell r="U63" t="str">
            <v xml:space="preserve">Year </v>
          </cell>
          <cell r="V63">
            <v>0</v>
          </cell>
          <cell r="W63">
            <v>0</v>
          </cell>
          <cell r="X63">
            <v>0</v>
          </cell>
          <cell r="Y63">
            <v>0</v>
          </cell>
          <cell r="Z63">
            <v>0</v>
          </cell>
          <cell r="AA63">
            <v>0</v>
          </cell>
          <cell r="AB63">
            <v>0</v>
          </cell>
          <cell r="AC63">
            <v>0</v>
          </cell>
          <cell r="AD63">
            <v>0</v>
          </cell>
          <cell r="AE63">
            <v>0</v>
          </cell>
          <cell r="AF63">
            <v>0</v>
          </cell>
          <cell r="AG63">
            <v>2326.9499999999998</v>
          </cell>
          <cell r="AH63">
            <v>440</v>
          </cell>
          <cell r="AI63">
            <v>0</v>
          </cell>
          <cell r="AJ63">
            <v>2566.9499999999998</v>
          </cell>
        </row>
        <row r="65">
          <cell r="B65">
            <v>-0.15</v>
          </cell>
          <cell r="C65">
            <v>0</v>
          </cell>
          <cell r="D65">
            <v>0.35</v>
          </cell>
          <cell r="E65">
            <v>0</v>
          </cell>
          <cell r="F65">
            <v>0</v>
          </cell>
          <cell r="G65">
            <v>4.495175335373025E-2</v>
          </cell>
          <cell r="I65">
            <v>0.04</v>
          </cell>
          <cell r="K65">
            <v>0.12</v>
          </cell>
          <cell r="M65">
            <v>0.05</v>
          </cell>
          <cell r="N65">
            <v>-0.2</v>
          </cell>
          <cell r="O65">
            <v>0.25</v>
          </cell>
          <cell r="P65">
            <v>0</v>
          </cell>
          <cell r="Q65">
            <v>8.4546752319771823E-2</v>
          </cell>
          <cell r="S65">
            <v>-0.08</v>
          </cell>
          <cell r="U65" t="str">
            <v>1999/98E</v>
          </cell>
          <cell r="V65" t="str">
            <v>NM</v>
          </cell>
          <cell r="W65" t="str">
            <v>NM</v>
          </cell>
          <cell r="X65" t="str">
            <v>NM</v>
          </cell>
          <cell r="Y65" t="str">
            <v>NM</v>
          </cell>
          <cell r="Z65" t="str">
            <v>NM</v>
          </cell>
          <cell r="AA65" t="str">
            <v>NM</v>
          </cell>
          <cell r="AB65" t="str">
            <v>NM</v>
          </cell>
          <cell r="AC65" t="str">
            <v>NM</v>
          </cell>
          <cell r="AD65" t="str">
            <v>NM</v>
          </cell>
          <cell r="AE65" t="str">
            <v>NM</v>
          </cell>
          <cell r="AF65" t="str">
            <v>NM</v>
          </cell>
          <cell r="AG65" t="str">
            <v>NM</v>
          </cell>
          <cell r="AH65" t="str">
            <v>NM</v>
          </cell>
          <cell r="AI65" t="str">
            <v>NM</v>
          </cell>
          <cell r="AJ65">
            <v>0.27460371257718341</v>
          </cell>
        </row>
        <row r="66">
          <cell r="B66">
            <v>-0.1</v>
          </cell>
          <cell r="C66">
            <v>0</v>
          </cell>
          <cell r="D66">
            <v>0.25</v>
          </cell>
          <cell r="E66">
            <v>0</v>
          </cell>
          <cell r="F66">
            <v>0</v>
          </cell>
          <cell r="G66">
            <v>5.007882882882897E-2</v>
          </cell>
          <cell r="I66">
            <v>0.04</v>
          </cell>
          <cell r="K66">
            <v>0.1</v>
          </cell>
          <cell r="M66">
            <v>-0.1</v>
          </cell>
          <cell r="N66">
            <v>-0.15</v>
          </cell>
          <cell r="O66">
            <v>0.2</v>
          </cell>
          <cell r="P66">
            <v>0</v>
          </cell>
          <cell r="Q66">
            <v>3.333991466210362E-2</v>
          </cell>
          <cell r="S66">
            <v>0</v>
          </cell>
          <cell r="U66" t="str">
            <v>2000/99E</v>
          </cell>
          <cell r="V66" t="str">
            <v>NM</v>
          </cell>
          <cell r="W66" t="str">
            <v>NM</v>
          </cell>
          <cell r="X66" t="str">
            <v>NM</v>
          </cell>
          <cell r="Y66" t="str">
            <v>NM</v>
          </cell>
          <cell r="Z66" t="str">
            <v>NM</v>
          </cell>
          <cell r="AA66" t="str">
            <v>NM</v>
          </cell>
          <cell r="AB66" t="str">
            <v>NM</v>
          </cell>
          <cell r="AC66" t="str">
            <v>NM</v>
          </cell>
          <cell r="AD66" t="str">
            <v>NM</v>
          </cell>
          <cell r="AE66" t="str">
            <v>NM</v>
          </cell>
          <cell r="AF66" t="str">
            <v>NM</v>
          </cell>
          <cell r="AG66">
            <v>0.20289856382820703</v>
          </cell>
          <cell r="AH66" t="str">
            <v>NM</v>
          </cell>
          <cell r="AI66" t="str">
            <v>NM</v>
          </cell>
          <cell r="AJ66">
            <v>0.16912334451153521</v>
          </cell>
        </row>
        <row r="67">
          <cell r="B67">
            <v>-0.05</v>
          </cell>
          <cell r="C67">
            <v>0</v>
          </cell>
          <cell r="D67">
            <v>0.15</v>
          </cell>
          <cell r="E67">
            <v>0</v>
          </cell>
          <cell r="F67">
            <v>0</v>
          </cell>
          <cell r="G67">
            <v>3.926828745160682E-2</v>
          </cell>
          <cell r="I67">
            <v>0.04</v>
          </cell>
          <cell r="K67">
            <v>0.09</v>
          </cell>
          <cell r="M67">
            <v>-0.1</v>
          </cell>
          <cell r="N67">
            <v>-0.1</v>
          </cell>
          <cell r="O67">
            <v>0.15</v>
          </cell>
          <cell r="P67">
            <v>0</v>
          </cell>
          <cell r="Q67">
            <v>3.4778385780174226E-2</v>
          </cell>
          <cell r="S67">
            <v>0</v>
          </cell>
          <cell r="U67" t="str">
            <v>2001/00E</v>
          </cell>
          <cell r="V67" t="str">
            <v>NM</v>
          </cell>
          <cell r="W67" t="str">
            <v>NM</v>
          </cell>
          <cell r="X67" t="str">
            <v>NM</v>
          </cell>
          <cell r="Y67" t="str">
            <v>NM</v>
          </cell>
          <cell r="Z67" t="str">
            <v>NM</v>
          </cell>
          <cell r="AA67" t="str">
            <v>NM</v>
          </cell>
          <cell r="AB67" t="str">
            <v>NM</v>
          </cell>
          <cell r="AC67" t="str">
            <v>NM</v>
          </cell>
          <cell r="AD67" t="str">
            <v>NM</v>
          </cell>
          <cell r="AE67" t="str">
            <v>NM</v>
          </cell>
          <cell r="AF67">
            <v>0.42553191489361697</v>
          </cell>
          <cell r="AG67">
            <v>0.16286194483759364</v>
          </cell>
          <cell r="AH67" t="str">
            <v>NM</v>
          </cell>
          <cell r="AI67" t="str">
            <v>NM</v>
          </cell>
          <cell r="AJ67">
            <v>0.13246182907763093</v>
          </cell>
        </row>
        <row r="68">
          <cell r="B68">
            <v>-0.05</v>
          </cell>
          <cell r="C68">
            <v>0</v>
          </cell>
          <cell r="D68">
            <v>0.12</v>
          </cell>
          <cell r="E68">
            <v>0</v>
          </cell>
          <cell r="F68">
            <v>0</v>
          </cell>
          <cell r="G68">
            <v>3.4610223132816476E-2</v>
          </cell>
          <cell r="I68">
            <v>0.04</v>
          </cell>
          <cell r="K68">
            <v>0.08</v>
          </cell>
          <cell r="M68">
            <v>-0.05</v>
          </cell>
          <cell r="N68">
            <v>-0.05</v>
          </cell>
          <cell r="O68">
            <v>0.1</v>
          </cell>
          <cell r="P68">
            <v>0</v>
          </cell>
          <cell r="Q68">
            <v>3.8951543784368159E-2</v>
          </cell>
          <cell r="S68">
            <v>0</v>
          </cell>
          <cell r="U68" t="str">
            <v>2002/01E</v>
          </cell>
          <cell r="V68" t="str">
            <v>NM</v>
          </cell>
          <cell r="W68" t="str">
            <v>NM</v>
          </cell>
          <cell r="X68" t="str">
            <v>NM</v>
          </cell>
          <cell r="Y68" t="str">
            <v>NM</v>
          </cell>
          <cell r="Z68" t="str">
            <v>NM</v>
          </cell>
          <cell r="AA68" t="str">
            <v>NM</v>
          </cell>
          <cell r="AB68" t="str">
            <v>NM</v>
          </cell>
          <cell r="AC68" t="str">
            <v>NM</v>
          </cell>
          <cell r="AD68" t="str">
            <v>NM</v>
          </cell>
          <cell r="AE68" t="str">
            <v>NM</v>
          </cell>
          <cell r="AF68">
            <v>0.31343283582089554</v>
          </cell>
          <cell r="AG68">
            <v>5.3801363042966788E-2</v>
          </cell>
          <cell r="AH68" t="str">
            <v>NM</v>
          </cell>
          <cell r="AI68" t="str">
            <v>NM</v>
          </cell>
          <cell r="AJ68">
            <v>5.3801363042966788E-2</v>
          </cell>
        </row>
        <row r="69">
          <cell r="B69">
            <v>0</v>
          </cell>
          <cell r="C69">
            <v>0</v>
          </cell>
          <cell r="D69">
            <v>0.08</v>
          </cell>
          <cell r="E69">
            <v>0</v>
          </cell>
          <cell r="F69">
            <v>0</v>
          </cell>
          <cell r="G69">
            <v>2.844160957995534E-2</v>
          </cell>
          <cell r="I69">
            <v>0.04</v>
          </cell>
          <cell r="K69" t="str">
            <v>NM</v>
          </cell>
          <cell r="M69">
            <v>-0.05</v>
          </cell>
          <cell r="N69">
            <v>-0.05</v>
          </cell>
          <cell r="O69">
            <v>0.08</v>
          </cell>
          <cell r="P69">
            <v>0</v>
          </cell>
          <cell r="Q69">
            <v>3.172994148422692E-2</v>
          </cell>
          <cell r="S69">
            <v>0</v>
          </cell>
          <cell r="U69" t="str">
            <v>2003/02E</v>
          </cell>
          <cell r="V69" t="str">
            <v>NM</v>
          </cell>
          <cell r="W69" t="str">
            <v>NM</v>
          </cell>
          <cell r="X69" t="str">
            <v>NM</v>
          </cell>
          <cell r="Y69" t="str">
            <v>NM</v>
          </cell>
          <cell r="Z69" t="str">
            <v>NM</v>
          </cell>
          <cell r="AA69" t="str">
            <v>NM</v>
          </cell>
          <cell r="AB69" t="str">
            <v>NM</v>
          </cell>
          <cell r="AC69" t="str">
            <v>NM</v>
          </cell>
          <cell r="AD69" t="str">
            <v>NM</v>
          </cell>
          <cell r="AE69" t="str">
            <v>NM</v>
          </cell>
          <cell r="AF69">
            <v>0.30681818181818188</v>
          </cell>
          <cell r="AG69">
            <v>0.11635554647309099</v>
          </cell>
          <cell r="AH69" t="str">
            <v>NM</v>
          </cell>
          <cell r="AI69" t="str">
            <v>NM</v>
          </cell>
          <cell r="AJ69">
            <v>0.11635554647309099</v>
          </cell>
        </row>
        <row r="70">
          <cell r="B70">
            <v>0</v>
          </cell>
          <cell r="C70">
            <v>0</v>
          </cell>
          <cell r="D70">
            <v>0.05</v>
          </cell>
          <cell r="E70">
            <v>0</v>
          </cell>
          <cell r="F70">
            <v>0</v>
          </cell>
          <cell r="G70">
            <v>1.8667162323693809E-2</v>
          </cell>
          <cell r="I70">
            <v>0.04</v>
          </cell>
          <cell r="K70" t="str">
            <v>NM</v>
          </cell>
          <cell r="M70">
            <v>-0.05</v>
          </cell>
          <cell r="N70">
            <v>-0.05</v>
          </cell>
          <cell r="O70">
            <v>0.05</v>
          </cell>
          <cell r="P70">
            <v>0</v>
          </cell>
          <cell r="Q70">
            <v>1.6192765313560509E-2</v>
          </cell>
          <cell r="S70">
            <v>0</v>
          </cell>
          <cell r="U70" t="str">
            <v>2004/03E</v>
          </cell>
          <cell r="V70" t="str">
            <v>NM</v>
          </cell>
          <cell r="W70" t="str">
            <v>NM</v>
          </cell>
          <cell r="X70" t="str">
            <v>NM</v>
          </cell>
          <cell r="Y70" t="str">
            <v>NM</v>
          </cell>
          <cell r="Z70" t="str">
            <v>NM</v>
          </cell>
          <cell r="AA70" t="str">
            <v>NM</v>
          </cell>
          <cell r="AB70" t="str">
            <v>NM</v>
          </cell>
          <cell r="AC70" t="str">
            <v>NM</v>
          </cell>
          <cell r="AD70" t="str">
            <v>NM</v>
          </cell>
          <cell r="AE70" t="str">
            <v>NM</v>
          </cell>
          <cell r="AF70">
            <v>0.28695652173913033</v>
          </cell>
          <cell r="AG70">
            <v>0.16921741065018381</v>
          </cell>
          <cell r="AH70" t="str">
            <v>NM</v>
          </cell>
          <cell r="AI70" t="str">
            <v>NM</v>
          </cell>
          <cell r="AJ70">
            <v>0.16921741065018381</v>
          </cell>
        </row>
        <row r="71">
          <cell r="B71">
            <v>0</v>
          </cell>
          <cell r="C71">
            <v>0</v>
          </cell>
          <cell r="D71">
            <v>0.05</v>
          </cell>
          <cell r="E71">
            <v>0</v>
          </cell>
          <cell r="F71">
            <v>0</v>
          </cell>
          <cell r="G71">
            <v>1.9241339237015875E-2</v>
          </cell>
          <cell r="I71">
            <v>0.04</v>
          </cell>
          <cell r="K71" t="str">
            <v>NM</v>
          </cell>
          <cell r="M71">
            <v>-0.05</v>
          </cell>
          <cell r="N71">
            <v>-0.05</v>
          </cell>
          <cell r="O71">
            <v>0.05</v>
          </cell>
          <cell r="P71">
            <v>0</v>
          </cell>
          <cell r="Q71">
            <v>1.8283774824252808E-2</v>
          </cell>
          <cell r="S71">
            <v>0</v>
          </cell>
          <cell r="U71" t="str">
            <v>2005/04E</v>
          </cell>
          <cell r="V71" t="str">
            <v>NM</v>
          </cell>
          <cell r="W71" t="str">
            <v>NM</v>
          </cell>
          <cell r="X71" t="str">
            <v>NM</v>
          </cell>
          <cell r="Y71" t="str">
            <v>NM</v>
          </cell>
          <cell r="Z71" t="str">
            <v>NM</v>
          </cell>
          <cell r="AA71" t="str">
            <v>NM</v>
          </cell>
          <cell r="AB71" t="str">
            <v>NM</v>
          </cell>
          <cell r="AC71" t="str">
            <v>NM</v>
          </cell>
          <cell r="AD71" t="str">
            <v>NM</v>
          </cell>
          <cell r="AE71" t="str">
            <v>NM</v>
          </cell>
          <cell r="AF71">
            <v>0.2391891891891893</v>
          </cell>
          <cell r="AG71">
            <v>0.15536872102363386</v>
          </cell>
          <cell r="AH71" t="str">
            <v>NM</v>
          </cell>
          <cell r="AI71" t="str">
            <v>NM</v>
          </cell>
          <cell r="AJ71">
            <v>0.15536872102363386</v>
          </cell>
        </row>
        <row r="73">
          <cell r="B73">
            <v>54.4</v>
          </cell>
          <cell r="C73">
            <v>197</v>
          </cell>
          <cell r="D73">
            <v>110.7</v>
          </cell>
          <cell r="E73">
            <v>10</v>
          </cell>
          <cell r="F73">
            <v>71.900000000000006</v>
          </cell>
          <cell r="G73">
            <v>444</v>
          </cell>
          <cell r="I73">
            <v>230.88</v>
          </cell>
          <cell r="K73">
            <v>464.80000000000007</v>
          </cell>
          <cell r="M73">
            <v>348.81</v>
          </cell>
          <cell r="N73">
            <v>108.16</v>
          </cell>
          <cell r="O73">
            <v>407.5</v>
          </cell>
          <cell r="P73">
            <v>47.199999999999996</v>
          </cell>
          <cell r="Q73">
            <v>911.67000000000007</v>
          </cell>
          <cell r="S73">
            <v>390.49400000000003</v>
          </cell>
          <cell r="U73" t="str">
            <v>1999E</v>
          </cell>
          <cell r="V73">
            <v>0</v>
          </cell>
          <cell r="W73">
            <v>0</v>
          </cell>
          <cell r="X73">
            <v>0</v>
          </cell>
          <cell r="Y73">
            <v>0</v>
          </cell>
          <cell r="Z73">
            <v>650</v>
          </cell>
          <cell r="AA73">
            <v>5</v>
          </cell>
          <cell r="AB73">
            <v>0</v>
          </cell>
          <cell r="AC73">
            <v>0</v>
          </cell>
          <cell r="AD73">
            <v>0</v>
          </cell>
          <cell r="AE73">
            <v>0</v>
          </cell>
          <cell r="AF73">
            <v>655</v>
          </cell>
          <cell r="AG73">
            <v>3096.8440000000005</v>
          </cell>
          <cell r="AH73">
            <v>175</v>
          </cell>
          <cell r="AI73">
            <v>0</v>
          </cell>
          <cell r="AJ73">
            <v>3271.8440000000005</v>
          </cell>
        </row>
        <row r="74">
          <cell r="B74">
            <v>48.96</v>
          </cell>
          <cell r="C74">
            <v>197</v>
          </cell>
          <cell r="D74">
            <v>138.375</v>
          </cell>
          <cell r="E74">
            <v>10</v>
          </cell>
          <cell r="F74">
            <v>71.900000000000006</v>
          </cell>
          <cell r="G74">
            <v>466.23500000000001</v>
          </cell>
          <cell r="I74">
            <v>240.11520000000002</v>
          </cell>
          <cell r="K74">
            <v>511.28000000000014</v>
          </cell>
          <cell r="M74">
            <v>313.92900000000003</v>
          </cell>
          <cell r="N74">
            <v>91.935999999999993</v>
          </cell>
          <cell r="O74">
            <v>489</v>
          </cell>
          <cell r="P74">
            <v>47.199999999999996</v>
          </cell>
          <cell r="Q74">
            <v>942.06500000000005</v>
          </cell>
          <cell r="S74">
            <v>390.49400000000003</v>
          </cell>
          <cell r="U74" t="str">
            <v>2000E</v>
          </cell>
          <cell r="V74">
            <v>20</v>
          </cell>
          <cell r="W74">
            <v>5</v>
          </cell>
          <cell r="X74">
            <v>0</v>
          </cell>
          <cell r="Y74">
            <v>0</v>
          </cell>
          <cell r="Z74">
            <v>1100</v>
          </cell>
          <cell r="AA74">
            <v>25</v>
          </cell>
          <cell r="AB74">
            <v>25</v>
          </cell>
          <cell r="AC74">
            <v>0</v>
          </cell>
          <cell r="AD74">
            <v>0</v>
          </cell>
          <cell r="AE74">
            <v>0</v>
          </cell>
          <cell r="AF74">
            <v>1175</v>
          </cell>
          <cell r="AG74">
            <v>3725.1892000000003</v>
          </cell>
          <cell r="AH74">
            <v>100</v>
          </cell>
          <cell r="AI74">
            <v>0</v>
          </cell>
          <cell r="AJ74">
            <v>3825.1892000000003</v>
          </cell>
        </row>
        <row r="75">
          <cell r="B75">
            <v>46.512</v>
          </cell>
          <cell r="C75">
            <v>197</v>
          </cell>
          <cell r="D75">
            <v>159.13124999999999</v>
          </cell>
          <cell r="E75">
            <v>10</v>
          </cell>
          <cell r="F75">
            <v>71.900000000000006</v>
          </cell>
          <cell r="G75">
            <v>484.54324999999994</v>
          </cell>
          <cell r="I75">
            <v>249.71980800000003</v>
          </cell>
          <cell r="K75">
            <v>557.29520000000025</v>
          </cell>
          <cell r="M75">
            <v>282.53610000000003</v>
          </cell>
          <cell r="N75">
            <v>82.742399999999989</v>
          </cell>
          <cell r="O75">
            <v>562.34999999999991</v>
          </cell>
          <cell r="P75">
            <v>47.199999999999996</v>
          </cell>
          <cell r="Q75">
            <v>974.82849999999996</v>
          </cell>
          <cell r="S75">
            <v>390.49400000000003</v>
          </cell>
          <cell r="U75" t="str">
            <v>2001E</v>
          </cell>
          <cell r="V75">
            <v>35</v>
          </cell>
          <cell r="W75">
            <v>65</v>
          </cell>
          <cell r="X75">
            <v>0</v>
          </cell>
          <cell r="Y75">
            <v>0</v>
          </cell>
          <cell r="Z75">
            <v>1450</v>
          </cell>
          <cell r="AA75">
            <v>50</v>
          </cell>
          <cell r="AB75">
            <v>50</v>
          </cell>
          <cell r="AC75">
            <v>0</v>
          </cell>
          <cell r="AD75">
            <v>0</v>
          </cell>
          <cell r="AE75">
            <v>25</v>
          </cell>
          <cell r="AF75">
            <v>1675</v>
          </cell>
          <cell r="AG75">
            <v>4331.8807580000002</v>
          </cell>
          <cell r="AH75">
            <v>0</v>
          </cell>
          <cell r="AI75">
            <v>0</v>
          </cell>
          <cell r="AJ75">
            <v>4331.8807580000002</v>
          </cell>
        </row>
        <row r="76">
          <cell r="B76">
            <v>44.186399999999999</v>
          </cell>
          <cell r="C76">
            <v>197</v>
          </cell>
          <cell r="D76">
            <v>178.227</v>
          </cell>
          <cell r="E76">
            <v>10</v>
          </cell>
          <cell r="F76">
            <v>71.900000000000006</v>
          </cell>
          <cell r="G76">
            <v>501.3134</v>
          </cell>
          <cell r="I76">
            <v>259.70860032000002</v>
          </cell>
          <cell r="K76">
            <v>200.62627200000009</v>
          </cell>
          <cell r="M76">
            <v>268.40929500000004</v>
          </cell>
          <cell r="N76">
            <v>78.605279999999979</v>
          </cell>
          <cell r="O76">
            <v>618.58499999999992</v>
          </cell>
          <cell r="P76">
            <v>47.199999999999996</v>
          </cell>
          <cell r="Q76">
            <v>1012.799575</v>
          </cell>
          <cell r="S76">
            <v>390.49400000000003</v>
          </cell>
          <cell r="U76" t="str">
            <v>2002E</v>
          </cell>
          <cell r="V76">
            <v>50</v>
          </cell>
          <cell r="W76">
            <v>100</v>
          </cell>
          <cell r="X76">
            <v>0</v>
          </cell>
          <cell r="Y76">
            <v>0</v>
          </cell>
          <cell r="Z76">
            <v>1800</v>
          </cell>
          <cell r="AA76">
            <v>75</v>
          </cell>
          <cell r="AB76">
            <v>75</v>
          </cell>
          <cell r="AC76">
            <v>50</v>
          </cell>
          <cell r="AD76">
            <v>0</v>
          </cell>
          <cell r="AE76">
            <v>50</v>
          </cell>
          <cell r="AF76">
            <v>2200</v>
          </cell>
          <cell r="AG76">
            <v>4564.9418473200003</v>
          </cell>
          <cell r="AH76">
            <v>0</v>
          </cell>
          <cell r="AI76">
            <v>0</v>
          </cell>
          <cell r="AJ76">
            <v>4564.9418473200003</v>
          </cell>
        </row>
        <row r="77">
          <cell r="B77">
            <v>44.186399999999999</v>
          </cell>
          <cell r="C77">
            <v>197</v>
          </cell>
          <cell r="D77">
            <v>192.48516000000001</v>
          </cell>
          <cell r="E77">
            <v>10</v>
          </cell>
          <cell r="F77">
            <v>71.900000000000006</v>
          </cell>
          <cell r="G77">
            <v>515.57155999999998</v>
          </cell>
          <cell r="I77">
            <v>270.09694433280004</v>
          </cell>
          <cell r="K77">
            <v>0</v>
          </cell>
          <cell r="M77">
            <v>254.98883025000003</v>
          </cell>
          <cell r="N77">
            <v>74.675015999999971</v>
          </cell>
          <cell r="O77">
            <v>668.07179999999994</v>
          </cell>
          <cell r="P77">
            <v>47.199999999999996</v>
          </cell>
          <cell r="Q77">
            <v>1044.93564625</v>
          </cell>
          <cell r="S77">
            <v>390.49400000000003</v>
          </cell>
          <cell r="U77" t="str">
            <v>2003E</v>
          </cell>
          <cell r="V77">
            <v>65</v>
          </cell>
          <cell r="W77">
            <v>135</v>
          </cell>
          <cell r="X77">
            <v>0</v>
          </cell>
          <cell r="Y77">
            <v>0</v>
          </cell>
          <cell r="Z77">
            <v>2200</v>
          </cell>
          <cell r="AA77">
            <v>100</v>
          </cell>
          <cell r="AB77">
            <v>100</v>
          </cell>
          <cell r="AC77">
            <v>200</v>
          </cell>
          <cell r="AD77">
            <v>0</v>
          </cell>
          <cell r="AE77">
            <v>75</v>
          </cell>
          <cell r="AF77">
            <v>2875</v>
          </cell>
          <cell r="AG77">
            <v>5096.0981505828004</v>
          </cell>
          <cell r="AH77">
            <v>0</v>
          </cell>
          <cell r="AI77">
            <v>0</v>
          </cell>
          <cell r="AJ77">
            <v>5096.0981505828004</v>
          </cell>
        </row>
        <row r="78">
          <cell r="B78">
            <v>44.186399999999999</v>
          </cell>
          <cell r="C78">
            <v>197</v>
          </cell>
          <cell r="D78">
            <v>202.10941800000001</v>
          </cell>
          <cell r="E78">
            <v>10</v>
          </cell>
          <cell r="F78">
            <v>71.900000000000006</v>
          </cell>
          <cell r="G78">
            <v>525.19581800000003</v>
          </cell>
          <cell r="I78">
            <v>280.90082210611206</v>
          </cell>
          <cell r="K78">
            <v>0</v>
          </cell>
          <cell r="M78">
            <v>242.23938873750004</v>
          </cell>
          <cell r="N78">
            <v>70.941265199999975</v>
          </cell>
          <cell r="O78">
            <v>701.47538999999995</v>
          </cell>
          <cell r="P78">
            <v>47.199999999999996</v>
          </cell>
          <cell r="Q78">
            <v>1061.8560439374999</v>
          </cell>
          <cell r="S78">
            <v>390.49400000000003</v>
          </cell>
          <cell r="U78" t="str">
            <v>2004E</v>
          </cell>
          <cell r="V78">
            <v>75</v>
          </cell>
          <cell r="W78">
            <v>175</v>
          </cell>
          <cell r="X78">
            <v>0</v>
          </cell>
          <cell r="Y78">
            <v>0</v>
          </cell>
          <cell r="Z78">
            <v>2600</v>
          </cell>
          <cell r="AA78">
            <v>125</v>
          </cell>
          <cell r="AB78">
            <v>125</v>
          </cell>
          <cell r="AC78">
            <v>500</v>
          </cell>
          <cell r="AD78">
            <v>0</v>
          </cell>
          <cell r="AE78">
            <v>100</v>
          </cell>
          <cell r="AF78">
            <v>3700</v>
          </cell>
          <cell r="AG78">
            <v>5958.4466840436125</v>
          </cell>
          <cell r="AH78">
            <v>0</v>
          </cell>
          <cell r="AI78">
            <v>0</v>
          </cell>
          <cell r="AJ78">
            <v>5958.4466840436125</v>
          </cell>
        </row>
        <row r="79">
          <cell r="B79">
            <v>44.186399999999999</v>
          </cell>
          <cell r="C79">
            <v>197</v>
          </cell>
          <cell r="D79">
            <v>212.21488890000001</v>
          </cell>
          <cell r="E79">
            <v>10</v>
          </cell>
          <cell r="F79">
            <v>71.900000000000006</v>
          </cell>
          <cell r="G79">
            <v>535.30128890000003</v>
          </cell>
          <cell r="I79">
            <v>292.13685499035654</v>
          </cell>
          <cell r="K79">
            <v>0</v>
          </cell>
          <cell r="M79">
            <v>230.12741930062504</v>
          </cell>
          <cell r="N79">
            <v>67.394201939999974</v>
          </cell>
          <cell r="O79">
            <v>736.54915949999997</v>
          </cell>
          <cell r="P79">
            <v>47.199999999999996</v>
          </cell>
          <cell r="Q79">
            <v>1081.270780740625</v>
          </cell>
          <cell r="S79">
            <v>390.49400000000003</v>
          </cell>
          <cell r="U79" t="str">
            <v>2005E</v>
          </cell>
          <cell r="V79">
            <v>85</v>
          </cell>
          <cell r="W79">
            <v>200</v>
          </cell>
          <cell r="X79">
            <v>0</v>
          </cell>
          <cell r="Y79">
            <v>0</v>
          </cell>
          <cell r="Z79">
            <v>3000</v>
          </cell>
          <cell r="AA79">
            <v>200</v>
          </cell>
          <cell r="AB79">
            <v>200</v>
          </cell>
          <cell r="AC79">
            <v>700</v>
          </cell>
          <cell r="AD79">
            <v>0</v>
          </cell>
          <cell r="AE79">
            <v>200</v>
          </cell>
          <cell r="AF79">
            <v>4585</v>
          </cell>
          <cell r="AG79">
            <v>6884.2029246309812</v>
          </cell>
          <cell r="AH79">
            <v>0</v>
          </cell>
          <cell r="AI79">
            <v>0</v>
          </cell>
          <cell r="AJ79">
            <v>6884.2029246309812</v>
          </cell>
        </row>
        <row r="81">
          <cell r="U81" t="str">
            <v>Notes:</v>
          </cell>
        </row>
        <row r="82">
          <cell r="U82" t="str">
            <v>(a)  Searle acquired Roche/Syntex's Womens' Health business in 1995.  Pro-forma sales for 1995 were $211 million.</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2Wizard"/>
      <sheetName val="Box"/>
      <sheetName val="Income"/>
      <sheetName val="Revenues"/>
      <sheetName val="MS Model"/>
      <sheetName val="Cash Flow "/>
      <sheetName val="Balance Sheet"/>
      <sheetName val="MS Week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AuthorCustomTheme">
      <a:dk1>
        <a:sysClr val="windowText" lastClr="000000"/>
      </a:dk1>
      <a:lt1>
        <a:sysClr val="window" lastClr="FFFFFF"/>
      </a:lt1>
      <a:dk2>
        <a:srgbClr val="04617B"/>
      </a:dk2>
      <a:lt2>
        <a:srgbClr val="DBF5F9"/>
      </a:lt2>
      <a:accent1>
        <a:srgbClr val="F4B720"/>
      </a:accent1>
      <a:accent2>
        <a:srgbClr val="27915F"/>
      </a:accent2>
      <a:accent3>
        <a:srgbClr val="80D4E8"/>
      </a:accent3>
      <a:accent4>
        <a:srgbClr val="F26742"/>
      </a:accent4>
      <a:accent5>
        <a:srgbClr val="72E873"/>
      </a:accent5>
      <a:accent6>
        <a:srgbClr val="0083C3"/>
      </a:accent6>
      <a:hlink>
        <a:srgbClr val="E2D700"/>
      </a:hlink>
      <a:folHlink>
        <a:srgbClr val="85DFD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3175">
          <a:solidFill>
            <a:srgbClr val="969696"/>
          </a:solidFill>
        </a:ln>
      </a:spPr>
      <a:bodyPr vertOverflow="clip" horzOverflow="clip" rtlCol="0" anchor="t"/>
      <a:lstStyle>
        <a:defPPr algn="l">
          <a:defRPr kumimoji="1" sz="11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3175">
          <a:solidFill>
            <a:srgbClr val="969696"/>
          </a:solidFill>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2.xml.rels><?xml version="1.0" encoding="UTF-8" standalone="yes"?>
<Relationships xmlns="http://schemas.openxmlformats.org/package/2006/relationships">
<Relationship Id="rId1" Target="../printerSettings/printerSettings2.bin" Type="http://schemas.openxmlformats.org/officeDocument/2006/relationships/printerSettings"/>
</Relationships>

</file>

<file path=xl/worksheets/_rels/sheet3.xml.rels><?xml version="1.0" encoding="UTF-8" standalone="yes"?>
<Relationships xmlns="http://schemas.openxmlformats.org/package/2006/relationships">
<Relationship Id="rId1" Target="../printerSettings/printerSettings3.bin" Type="http://schemas.openxmlformats.org/officeDocument/2006/relationships/printerSettings"/>
<Relationship Id="rId2" Target="../drawings/vmlDrawing1.vml" Type="http://schemas.openxmlformats.org/officeDocument/2006/relationships/vmlDrawing"/>
<Relationship Id="rId3" Target="../comments1.xml" Type="http://schemas.openxmlformats.org/officeDocument/2006/relationships/comments"/>
</Relationships>

</file>

<file path=xl/worksheets/_rels/sheet4.xml.rels><?xml version="1.0" encoding="UTF-8" standalone="yes"?>
<Relationships xmlns="http://schemas.openxmlformats.org/package/2006/relationships">
<Relationship Id="rId1" Target="../printerSettings/printerSettings4.bin" Type="http://schemas.openxmlformats.org/officeDocument/2006/relationships/printerSettings"/>
</Relationships>

</file>

<file path=xl/worksheets/_rels/sheet5.xml.rels><?xml version="1.0" encoding="UTF-8" standalone="yes"?>
<Relationships xmlns="http://schemas.openxmlformats.org/package/2006/relationships">
<Relationship Id="rId1" Target="../printerSettings/printerSettings5.bin" Type="http://schemas.openxmlformats.org/officeDocument/2006/relationships/printerSettings"/>
<Relationship Id="rId2" Target="../drawings/vmlDrawing2.vml" Type="http://schemas.openxmlformats.org/officeDocument/2006/relationships/vmlDrawing"/>
<Relationship Id="rId3" Target="../comments2.xml" Type="http://schemas.openxmlformats.org/officeDocument/2006/relationships/comments"/>
</Relationships>

</file>

<file path=xl/worksheets/_rels/sheet6.xml.rels><?xml version="1.0" encoding="UTF-8" standalone="yes"?>
<Relationships xmlns="http://schemas.openxmlformats.org/package/2006/relationships">
<Relationship Id="rId1" Target="../printerSettings/printerSettings6.bin" Type="http://schemas.openxmlformats.org/officeDocument/2006/relationships/printerSettings"/>
</Relationships>

</file>

<file path=xl/worksheets/_rels/sheet7.xml.rels><?xml version="1.0" encoding="UTF-8" standalone="yes"?>
<Relationships xmlns="http://schemas.openxmlformats.org/package/2006/relationships">
<Relationship Id="rId1" Target="../printerSettings/printerSettings7.bin" Type="http://schemas.openxmlformats.org/officeDocument/2006/relationships/printerSettings"/>
<Relationship Id="rId2" Target="../drawings/vmlDrawing3.vml" Type="http://schemas.openxmlformats.org/officeDocument/2006/relationships/vmlDrawing"/>
<Relationship Id="rId3" Target="../comments3.xml" Type="http://schemas.openxmlformats.org/officeDocument/2006/relationships/comments"/>
</Relationships>

</file>

<file path=xl/worksheets/_rels/sheet8.xml.rels><?xml version="1.0" encoding="UTF-8" standalone="yes"?>
<Relationships xmlns="http://schemas.openxmlformats.org/package/2006/relationships">
<Relationship Id="rId1" Target="../printerSettings/printerSettings8.bin" Type="http://schemas.openxmlformats.org/officeDocument/2006/relationships/printerSettings"/>
<Relationship Id="rId2" Target="../drawings/vmlDrawing4.vml" Type="http://schemas.openxmlformats.org/officeDocument/2006/relationships/vmlDrawing"/>
<Relationship Id="rId3" Target="../comments4.xml" Type="http://schemas.openxmlformats.org/officeDocument/2006/relationships/comments"/>
</Relationships>

</file>

<file path=xl/worksheets/_rels/sheet9.xml.rels><?xml version="1.0" encoding="UTF-8" standalone="yes"?>
<Relationships xmlns="http://schemas.openxmlformats.org/package/2006/relationships">
<Relationship Id="rId1" Target="../printerSettings/printerSettings9.bin" Type="http://schemas.openxmlformats.org/officeDocument/2006/relationships/printerSettings"/>
<Relationship Id="rId2" Target="../drawings/vmlDrawing5.vml" Type="http://schemas.openxmlformats.org/officeDocument/2006/relationships/vmlDrawing"/>
<Relationship Id="rId3" Target="../comments5.xml" Type="http://schemas.openxmlformats.org/officeDocument/2006/relationships/comments"/>
</Relationships>

</file>

<file path=xl/worksheets/_rels/sheet10.xml.rels><?xml version="1.0" encoding="UTF-8" standalone="yes"?>
<Relationships xmlns="http://schemas.openxmlformats.org/package/2006/relationships">
<Relationship Id="rId1" Target="../printerSettings/printerSettings10.bin" Type="http://schemas.openxmlformats.org/officeDocument/2006/relationships/printerSettings"/>
</Relationships>

</file>

<file path=xl/worksheets/_rels/sheet11.xml.rels><?xml version="1.0" encoding="UTF-8" standalone="yes"?>
<Relationships xmlns="http://schemas.openxmlformats.org/package/2006/relationships">
<Relationship Id="rId1" Target="../printerSettings/printerSettings11.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388"/>
  <sheetViews>
    <sheetView showGridLines="0" tabSelected="1" workbookViewId="0">
      <selection activeCell="Z1" sqref="Z1"/>
    </sheetView>
  </sheetViews>
  <sheetFormatPr defaultRowHeight="12.75"/>
  <cols>
    <col min="1" max="1" width="25.83203125" style="798" customWidth="1"/>
    <col min="2" max="5" width="9.33203125" style="798"/>
    <col min="6" max="6" width="18.83203125" style="798" customWidth="1"/>
    <col min="7" max="256" width="9.33203125" style="798"/>
    <col min="257" max="257" width="117.5" style="798" customWidth="1"/>
    <col min="258" max="512" width="9.33203125" style="798"/>
    <col min="513" max="513" width="117.5" style="798" customWidth="1"/>
    <col min="514" max="768" width="9.33203125" style="798"/>
    <col min="769" max="769" width="117.5" style="798" customWidth="1"/>
    <col min="770" max="1024" width="9.33203125" style="798"/>
    <col min="1025" max="1025" width="117.5" style="798" customWidth="1"/>
    <col min="1026" max="1280" width="9.33203125" style="798"/>
    <col min="1281" max="1281" width="117.5" style="798" customWidth="1"/>
    <col min="1282" max="1536" width="9.33203125" style="798"/>
    <col min="1537" max="1537" width="117.5" style="798" customWidth="1"/>
    <col min="1538" max="1792" width="9.33203125" style="798"/>
    <col min="1793" max="1793" width="117.5" style="798" customWidth="1"/>
    <col min="1794" max="2048" width="9.33203125" style="798"/>
    <col min="2049" max="2049" width="117.5" style="798" customWidth="1"/>
    <col min="2050" max="2304" width="9.33203125" style="798"/>
    <col min="2305" max="2305" width="117.5" style="798" customWidth="1"/>
    <col min="2306" max="2560" width="9.33203125" style="798"/>
    <col min="2561" max="2561" width="117.5" style="798" customWidth="1"/>
    <col min="2562" max="2816" width="9.33203125" style="798"/>
    <col min="2817" max="2817" width="117.5" style="798" customWidth="1"/>
    <col min="2818" max="3072" width="9.33203125" style="798"/>
    <col min="3073" max="3073" width="117.5" style="798" customWidth="1"/>
    <col min="3074" max="3328" width="9.33203125" style="798"/>
    <col min="3329" max="3329" width="117.5" style="798" customWidth="1"/>
    <col min="3330" max="3584" width="9.33203125" style="798"/>
    <col min="3585" max="3585" width="117.5" style="798" customWidth="1"/>
    <col min="3586" max="3840" width="9.33203125" style="798"/>
    <col min="3841" max="3841" width="117.5" style="798" customWidth="1"/>
    <col min="3842" max="4096" width="9.33203125" style="798"/>
    <col min="4097" max="4097" width="117.5" style="798" customWidth="1"/>
    <col min="4098" max="4352" width="9.33203125" style="798"/>
    <col min="4353" max="4353" width="117.5" style="798" customWidth="1"/>
    <col min="4354" max="4608" width="9.33203125" style="798"/>
    <col min="4609" max="4609" width="117.5" style="798" customWidth="1"/>
    <col min="4610" max="4864" width="9.33203125" style="798"/>
    <col min="4865" max="4865" width="117.5" style="798" customWidth="1"/>
    <col min="4866" max="5120" width="9.33203125" style="798"/>
    <col min="5121" max="5121" width="117.5" style="798" customWidth="1"/>
    <col min="5122" max="5376" width="9.33203125" style="798"/>
    <col min="5377" max="5377" width="117.5" style="798" customWidth="1"/>
    <col min="5378" max="5632" width="9.33203125" style="798"/>
    <col min="5633" max="5633" width="117.5" style="798" customWidth="1"/>
    <col min="5634" max="5888" width="9.33203125" style="798"/>
    <col min="5889" max="5889" width="117.5" style="798" customWidth="1"/>
    <col min="5890" max="6144" width="9.33203125" style="798"/>
    <col min="6145" max="6145" width="117.5" style="798" customWidth="1"/>
    <col min="6146" max="6400" width="9.33203125" style="798"/>
    <col min="6401" max="6401" width="117.5" style="798" customWidth="1"/>
    <col min="6402" max="6656" width="9.33203125" style="798"/>
    <col min="6657" max="6657" width="117.5" style="798" customWidth="1"/>
    <col min="6658" max="6912" width="9.33203125" style="798"/>
    <col min="6913" max="6913" width="117.5" style="798" customWidth="1"/>
    <col min="6914" max="7168" width="9.33203125" style="798"/>
    <col min="7169" max="7169" width="117.5" style="798" customWidth="1"/>
    <col min="7170" max="7424" width="9.33203125" style="798"/>
    <col min="7425" max="7425" width="117.5" style="798" customWidth="1"/>
    <col min="7426" max="7680" width="9.33203125" style="798"/>
    <col min="7681" max="7681" width="117.5" style="798" customWidth="1"/>
    <col min="7682" max="7936" width="9.33203125" style="798"/>
    <col min="7937" max="7937" width="117.5" style="798" customWidth="1"/>
    <col min="7938" max="8192" width="9.33203125" style="798"/>
    <col min="8193" max="8193" width="117.5" style="798" customWidth="1"/>
    <col min="8194" max="8448" width="9.33203125" style="798"/>
    <col min="8449" max="8449" width="117.5" style="798" customWidth="1"/>
    <col min="8450" max="8704" width="9.33203125" style="798"/>
    <col min="8705" max="8705" width="117.5" style="798" customWidth="1"/>
    <col min="8706" max="8960" width="9.33203125" style="798"/>
    <col min="8961" max="8961" width="117.5" style="798" customWidth="1"/>
    <col min="8962" max="9216" width="9.33203125" style="798"/>
    <col min="9217" max="9217" width="117.5" style="798" customWidth="1"/>
    <col min="9218" max="9472" width="9.33203125" style="798"/>
    <col min="9473" max="9473" width="117.5" style="798" customWidth="1"/>
    <col min="9474" max="9728" width="9.33203125" style="798"/>
    <col min="9729" max="9729" width="117.5" style="798" customWidth="1"/>
    <col min="9730" max="9984" width="9.33203125" style="798"/>
    <col min="9985" max="9985" width="117.5" style="798" customWidth="1"/>
    <col min="9986" max="10240" width="9.33203125" style="798"/>
    <col min="10241" max="10241" width="117.5" style="798" customWidth="1"/>
    <col min="10242" max="10496" width="9.33203125" style="798"/>
    <col min="10497" max="10497" width="117.5" style="798" customWidth="1"/>
    <col min="10498" max="10752" width="9.33203125" style="798"/>
    <col min="10753" max="10753" width="117.5" style="798" customWidth="1"/>
    <col min="10754" max="11008" width="9.33203125" style="798"/>
    <col min="11009" max="11009" width="117.5" style="798" customWidth="1"/>
    <col min="11010" max="11264" width="9.33203125" style="798"/>
    <col min="11265" max="11265" width="117.5" style="798" customWidth="1"/>
    <col min="11266" max="11520" width="9.33203125" style="798"/>
    <col min="11521" max="11521" width="117.5" style="798" customWidth="1"/>
    <col min="11522" max="11776" width="9.33203125" style="798"/>
    <col min="11777" max="11777" width="117.5" style="798" customWidth="1"/>
    <col min="11778" max="12032" width="9.33203125" style="798"/>
    <col min="12033" max="12033" width="117.5" style="798" customWidth="1"/>
    <col min="12034" max="12288" width="9.33203125" style="798"/>
    <col min="12289" max="12289" width="117.5" style="798" customWidth="1"/>
    <col min="12290" max="12544" width="9.33203125" style="798"/>
    <col min="12545" max="12545" width="117.5" style="798" customWidth="1"/>
    <col min="12546" max="12800" width="9.33203125" style="798"/>
    <col min="12801" max="12801" width="117.5" style="798" customWidth="1"/>
    <col min="12802" max="13056" width="9.33203125" style="798"/>
    <col min="13057" max="13057" width="117.5" style="798" customWidth="1"/>
    <col min="13058" max="13312" width="9.33203125" style="798"/>
    <col min="13313" max="13313" width="117.5" style="798" customWidth="1"/>
    <col min="13314" max="13568" width="9.33203125" style="798"/>
    <col min="13569" max="13569" width="117.5" style="798" customWidth="1"/>
    <col min="13570" max="13824" width="9.33203125" style="798"/>
    <col min="13825" max="13825" width="117.5" style="798" customWidth="1"/>
    <col min="13826" max="14080" width="9.33203125" style="798"/>
    <col min="14081" max="14081" width="117.5" style="798" customWidth="1"/>
    <col min="14082" max="14336" width="9.33203125" style="798"/>
    <col min="14337" max="14337" width="117.5" style="798" customWidth="1"/>
    <col min="14338" max="14592" width="9.33203125" style="798"/>
    <col min="14593" max="14593" width="117.5" style="798" customWidth="1"/>
    <col min="14594" max="14848" width="9.33203125" style="798"/>
    <col min="14849" max="14849" width="117.5" style="798" customWidth="1"/>
    <col min="14850" max="15104" width="9.33203125" style="798"/>
    <col min="15105" max="15105" width="117.5" style="798" customWidth="1"/>
    <col min="15106" max="15360" width="9.33203125" style="798"/>
    <col min="15361" max="15361" width="117.5" style="798" customWidth="1"/>
    <col min="15362" max="15616" width="9.33203125" style="798"/>
    <col min="15617" max="15617" width="117.5" style="798" customWidth="1"/>
    <col min="15618" max="15872" width="9.33203125" style="798"/>
    <col min="15873" max="15873" width="117.5" style="798" customWidth="1"/>
    <col min="15874" max="16128" width="9.33203125" style="798"/>
    <col min="16129" max="16129" width="117.5" style="798" customWidth="1"/>
    <col min="16130" max="16384" width="9.33203125" style="798"/>
  </cols>
  <sheetData>
    <row r="1" spans="1:8" ht="30" customHeight="1">
      <c r="A1" s="796"/>
      <c r="B1" s="797"/>
      <c r="C1" s="797"/>
      <c r="D1" s="797"/>
      <c r="E1" s="797"/>
      <c r="F1" s="797"/>
      <c r="G1" s="797"/>
      <c r="H1" s="797"/>
    </row>
    <row r="2" spans="1:8" ht="14.25">
      <c r="A2" s="799" t="s">
        <v>691</v>
      </c>
      <c r="B2" s="797"/>
      <c r="C2" s="797"/>
      <c r="D2" s="797"/>
      <c r="E2" s="797"/>
      <c r="F2" s="797"/>
      <c r="G2" s="797"/>
      <c r="H2" s="797"/>
    </row>
    <row r="3" spans="1:8" ht="14.25">
      <c r="A3" s="799" t="s">
        <v>692</v>
      </c>
      <c r="B3" s="797"/>
      <c r="C3" s="797"/>
      <c r="D3" s="797"/>
      <c r="E3" s="797"/>
      <c r="F3" s="797"/>
      <c r="G3" s="797"/>
      <c r="H3" s="797"/>
    </row>
    <row r="4" spans="1:8" ht="14.25">
      <c r="A4" s="799" t="s">
        <v>529</v>
      </c>
      <c r="B4" s="797"/>
      <c r="C4" s="797"/>
      <c r="D4" s="797"/>
      <c r="E4" s="797"/>
      <c r="F4" s="797"/>
      <c r="G4" s="797"/>
      <c r="H4" s="797"/>
    </row>
    <row r="5" spans="1:8" ht="14.25">
      <c r="A5" s="799" t="s">
        <v>693</v>
      </c>
      <c r="B5" s="797"/>
      <c r="C5" s="797"/>
      <c r="D5" s="797"/>
      <c r="E5" s="797"/>
      <c r="F5" s="797"/>
      <c r="G5" s="797"/>
      <c r="H5" s="797"/>
    </row>
    <row r="6" spans="1:8" ht="14.25">
      <c r="A6" s="799"/>
      <c r="B6" s="797"/>
      <c r="C6" s="797"/>
      <c r="D6" s="797"/>
      <c r="E6" s="797"/>
      <c r="F6" s="797"/>
      <c r="G6" s="797"/>
      <c r="H6" s="797"/>
    </row>
    <row r="7" spans="1:8">
      <c r="A7" s="796" t="s">
        <v>694</v>
      </c>
      <c r="B7" s="797"/>
      <c r="C7" s="797"/>
      <c r="D7" s="797"/>
      <c r="E7" s="797"/>
      <c r="F7" s="797"/>
      <c r="G7" s="797"/>
      <c r="H7" s="797"/>
    </row>
    <row r="8" spans="1:8">
      <c r="A8" s="796" t="s">
        <v>695</v>
      </c>
      <c r="B8" s="797"/>
      <c r="C8" s="797"/>
      <c r="D8" s="797"/>
      <c r="E8" s="797"/>
      <c r="F8" s="797"/>
      <c r="G8" s="797"/>
      <c r="H8" s="797"/>
    </row>
    <row r="9" spans="1:8">
      <c r="A9" s="796"/>
      <c r="B9" s="797"/>
      <c r="C9" s="797"/>
      <c r="D9" s="797"/>
      <c r="E9" s="797"/>
      <c r="F9" s="797"/>
      <c r="G9" s="797"/>
      <c r="H9" s="797"/>
    </row>
    <row r="10" spans="1:8">
      <c r="A10" s="800" t="s">
        <v>696</v>
      </c>
      <c r="B10" s="797"/>
      <c r="C10" s="797"/>
      <c r="D10" s="797"/>
      <c r="E10" s="797"/>
      <c r="F10" s="797"/>
      <c r="G10" s="797"/>
      <c r="H10" s="797"/>
    </row>
    <row r="11" spans="1:8">
      <c r="A11" s="800" t="s">
        <v>697</v>
      </c>
      <c r="B11" s="797"/>
      <c r="C11" s="797"/>
      <c r="D11" s="797"/>
      <c r="E11" s="797"/>
      <c r="F11" s="797"/>
      <c r="G11" s="797"/>
      <c r="H11" s="797"/>
    </row>
    <row r="12" spans="1:8">
      <c r="A12" s="800" t="s">
        <v>698</v>
      </c>
      <c r="B12" s="797"/>
      <c r="C12" s="797"/>
      <c r="D12" s="797"/>
      <c r="E12" s="797"/>
      <c r="F12" s="797"/>
      <c r="G12" s="797"/>
      <c r="H12" s="797"/>
    </row>
    <row r="13" spans="1:8">
      <c r="A13" s="800" t="s">
        <v>699</v>
      </c>
      <c r="B13" s="797"/>
      <c r="C13" s="797"/>
      <c r="D13" s="797"/>
      <c r="E13" s="797"/>
      <c r="F13" s="797"/>
      <c r="G13" s="797"/>
      <c r="H13" s="797"/>
    </row>
    <row r="14" spans="1:8">
      <c r="A14" s="800" t="s">
        <v>700</v>
      </c>
      <c r="B14" s="797"/>
      <c r="C14" s="797"/>
      <c r="D14" s="797"/>
      <c r="E14" s="797"/>
      <c r="F14" s="797"/>
      <c r="G14" s="797"/>
      <c r="H14" s="797"/>
    </row>
    <row r="15" spans="1:8">
      <c r="A15" s="800" t="s">
        <v>701</v>
      </c>
      <c r="B15" s="797"/>
      <c r="C15" s="797"/>
      <c r="D15" s="797"/>
      <c r="E15" s="797"/>
      <c r="F15" s="797"/>
      <c r="G15" s="797"/>
      <c r="H15" s="797"/>
    </row>
    <row r="16" spans="1:8">
      <c r="A16" s="800"/>
      <c r="B16" s="797"/>
      <c r="C16" s="797"/>
      <c r="D16" s="797"/>
      <c r="E16" s="797"/>
      <c r="F16" s="797"/>
      <c r="G16" s="797"/>
      <c r="H16" s="797"/>
    </row>
    <row r="17" spans="1:8">
      <c r="A17" s="800" t="s">
        <v>688</v>
      </c>
      <c r="B17" s="797"/>
      <c r="C17" s="797"/>
      <c r="D17" s="797"/>
      <c r="E17" s="797"/>
      <c r="F17" s="797"/>
      <c r="G17" s="797"/>
      <c r="H17" s="797"/>
    </row>
    <row r="18" spans="1:8">
      <c r="A18" s="800"/>
      <c r="B18" s="797"/>
      <c r="C18" s="797"/>
      <c r="D18" s="797"/>
      <c r="E18" s="797"/>
      <c r="F18" s="797"/>
      <c r="G18" s="797"/>
      <c r="H18" s="797"/>
    </row>
    <row r="19" spans="1:8">
      <c r="A19" s="800" t="s">
        <v>689</v>
      </c>
      <c r="B19" s="797"/>
      <c r="C19" s="797"/>
      <c r="D19" s="797"/>
      <c r="E19" s="797"/>
      <c r="F19" s="797"/>
      <c r="G19" s="797"/>
      <c r="H19" s="797"/>
    </row>
    <row r="20" spans="1:8">
      <c r="A20" s="796"/>
      <c r="B20" s="797"/>
      <c r="C20" s="797"/>
      <c r="D20" s="797"/>
      <c r="E20" s="797"/>
      <c r="F20" s="797"/>
      <c r="G20" s="797"/>
      <c r="H20" s="797"/>
    </row>
    <row r="21" spans="1:8">
      <c r="A21" s="801" t="s">
        <v>690</v>
      </c>
      <c r="B21" s="797"/>
      <c r="C21" s="797"/>
      <c r="D21" s="797"/>
      <c r="E21" s="797"/>
      <c r="F21" s="797"/>
      <c r="G21" s="797"/>
      <c r="H21" s="797"/>
    </row>
    <row r="22" spans="1:8">
      <c r="A22" s="802"/>
      <c r="B22" s="802"/>
      <c r="C22" s="802"/>
      <c r="D22" s="802"/>
      <c r="E22" s="802"/>
      <c r="F22" s="802"/>
      <c r="G22" s="802"/>
      <c r="H22" s="802"/>
    </row>
    <row r="23" spans="1:8">
      <c r="A23" s="803" t="s">
        <v>979</v>
      </c>
      <c r="B23" s="802"/>
      <c r="C23" s="802"/>
      <c r="D23" s="802"/>
      <c r="E23" s="802"/>
      <c r="F23" s="802"/>
      <c r="G23" s="802"/>
      <c r="H23" s="802"/>
    </row>
    <row r="24" spans="1:8">
      <c r="A24" s="803" t="s">
        <v>980</v>
      </c>
      <c r="B24" s="802"/>
      <c r="C24" s="802"/>
      <c r="D24" s="802"/>
      <c r="E24" s="802"/>
      <c r="F24" s="802"/>
      <c r="G24" s="802"/>
      <c r="H24" s="802"/>
    </row>
    <row r="25" spans="1:8">
      <c r="A25" s="803" t="s">
        <v>981</v>
      </c>
      <c r="B25" s="802"/>
      <c r="C25" s="802"/>
      <c r="D25" s="802"/>
      <c r="E25" s="802"/>
      <c r="F25" s="802"/>
      <c r="G25" s="802"/>
      <c r="H25" s="802"/>
    </row>
    <row r="26" spans="1:8">
      <c r="A26" s="803" t="s">
        <v>982</v>
      </c>
      <c r="B26" s="802"/>
      <c r="C26" s="802"/>
      <c r="D26" s="802"/>
      <c r="E26" s="802"/>
      <c r="F26" s="802"/>
      <c r="G26" s="802"/>
      <c r="H26" s="802"/>
    </row>
    <row r="27" spans="1:8">
      <c r="A27" s="802"/>
      <c r="B27" s="802"/>
      <c r="C27" s="802"/>
      <c r="D27" s="802"/>
      <c r="E27" s="802"/>
      <c r="F27" s="802"/>
      <c r="G27" s="802"/>
      <c r="H27" s="802"/>
    </row>
    <row r="28" spans="1:8">
      <c r="A28" s="802"/>
      <c r="B28" s="802"/>
      <c r="C28" s="802"/>
      <c r="D28" s="802"/>
      <c r="E28" s="802"/>
      <c r="F28" s="802"/>
      <c r="G28" s="802"/>
      <c r="H28" s="802"/>
    </row>
    <row r="29" spans="1:8">
      <c r="A29" s="803" t="s">
        <v>974</v>
      </c>
      <c r="B29" s="802"/>
      <c r="C29" s="802"/>
      <c r="D29" s="802"/>
      <c r="E29" s="802"/>
      <c r="F29" s="802"/>
      <c r="G29" s="802"/>
      <c r="H29" s="802"/>
    </row>
    <row r="30" spans="1:8">
      <c r="A30" s="803" t="s">
        <v>975</v>
      </c>
      <c r="B30" s="802"/>
      <c r="C30" s="802"/>
      <c r="D30" s="802"/>
      <c r="E30" s="802"/>
      <c r="F30" s="802"/>
      <c r="G30" s="802"/>
      <c r="H30" s="802"/>
    </row>
    <row r="31" spans="1:8">
      <c r="A31" s="803" t="s">
        <v>976</v>
      </c>
      <c r="B31" s="802"/>
      <c r="C31" s="802"/>
      <c r="D31" s="802"/>
      <c r="E31" s="802"/>
      <c r="F31" s="802"/>
      <c r="G31" s="802"/>
      <c r="H31" s="802"/>
    </row>
    <row r="32" spans="1:8">
      <c r="A32" s="803" t="s">
        <v>977</v>
      </c>
      <c r="B32" s="802"/>
      <c r="C32" s="802"/>
      <c r="D32" s="802"/>
      <c r="E32" s="802"/>
      <c r="F32" s="802"/>
      <c r="G32" s="802"/>
      <c r="H32" s="802"/>
    </row>
    <row r="33" spans="1:8">
      <c r="A33" s="803" t="s">
        <v>978</v>
      </c>
      <c r="B33" s="802"/>
      <c r="C33" s="802"/>
      <c r="D33" s="802"/>
      <c r="E33" s="802"/>
      <c r="F33" s="802"/>
      <c r="G33" s="802"/>
      <c r="H33" s="802"/>
    </row>
    <row r="34" spans="1:8">
      <c r="A34" s="802"/>
      <c r="B34" s="802"/>
      <c r="C34" s="802"/>
      <c r="D34" s="802"/>
      <c r="E34" s="802"/>
      <c r="F34" s="802"/>
      <c r="G34" s="802"/>
      <c r="H34" s="802"/>
    </row>
    <row r="35" spans="1:8">
      <c r="A35" s="803" t="s">
        <v>970</v>
      </c>
      <c r="B35" s="802"/>
      <c r="C35" s="802"/>
      <c r="D35" s="802"/>
      <c r="E35" s="802"/>
      <c r="F35" s="802"/>
      <c r="G35" s="802"/>
      <c r="H35" s="802"/>
    </row>
    <row r="36" spans="1:8">
      <c r="A36" s="803" t="s">
        <v>971</v>
      </c>
      <c r="B36" s="802"/>
      <c r="C36" s="802"/>
      <c r="D36" s="802"/>
      <c r="E36" s="802"/>
      <c r="F36" s="802"/>
      <c r="G36" s="802"/>
      <c r="H36" s="802"/>
    </row>
    <row r="37" spans="1:8">
      <c r="A37" s="803" t="s">
        <v>972</v>
      </c>
      <c r="B37" s="802"/>
      <c r="C37" s="802"/>
      <c r="D37" s="802"/>
      <c r="E37" s="802"/>
      <c r="F37" s="802"/>
      <c r="G37" s="802"/>
      <c r="H37" s="802"/>
    </row>
    <row r="38" spans="1:8">
      <c r="A38" s="803" t="s">
        <v>973</v>
      </c>
      <c r="B38" s="802"/>
      <c r="C38" s="802"/>
      <c r="D38" s="802"/>
      <c r="E38" s="802"/>
      <c r="F38" s="802"/>
      <c r="G38" s="802"/>
      <c r="H38" s="802"/>
    </row>
    <row r="39" spans="1:8">
      <c r="A39" s="802"/>
      <c r="B39" s="802"/>
      <c r="C39" s="802"/>
      <c r="D39" s="802"/>
      <c r="E39" s="802"/>
      <c r="F39" s="802"/>
      <c r="G39" s="802"/>
      <c r="H39" s="802"/>
    </row>
    <row r="40" spans="1:8">
      <c r="A40" s="803" t="s">
        <v>964</v>
      </c>
      <c r="B40" s="802"/>
      <c r="C40" s="802"/>
      <c r="D40" s="802"/>
      <c r="E40" s="802"/>
      <c r="F40" s="802"/>
      <c r="G40" s="802"/>
      <c r="H40" s="802"/>
    </row>
    <row r="41" spans="1:8">
      <c r="A41" s="803" t="s">
        <v>965</v>
      </c>
      <c r="B41" s="802"/>
      <c r="C41" s="802"/>
      <c r="D41" s="802"/>
      <c r="E41" s="802"/>
      <c r="F41" s="802"/>
      <c r="G41" s="802"/>
      <c r="H41" s="802"/>
    </row>
    <row r="42" spans="1:8">
      <c r="A42" s="803" t="s">
        <v>966</v>
      </c>
      <c r="B42" s="802"/>
      <c r="C42" s="802"/>
      <c r="D42" s="802"/>
      <c r="E42" s="802"/>
      <c r="F42" s="802"/>
      <c r="G42" s="802"/>
      <c r="H42" s="802"/>
    </row>
    <row r="43" spans="1:8">
      <c r="A43" s="803" t="s">
        <v>967</v>
      </c>
      <c r="B43" s="802"/>
      <c r="C43" s="802"/>
      <c r="D43" s="802"/>
      <c r="E43" s="802"/>
      <c r="F43" s="802"/>
      <c r="G43" s="802"/>
      <c r="H43" s="802"/>
    </row>
    <row r="44" spans="1:8">
      <c r="A44" s="803" t="s">
        <v>968</v>
      </c>
      <c r="B44" s="802"/>
      <c r="C44" s="802"/>
      <c r="D44" s="802"/>
      <c r="E44" s="802"/>
      <c r="F44" s="802"/>
      <c r="G44" s="802"/>
      <c r="H44" s="802"/>
    </row>
    <row r="45" spans="1:8">
      <c r="A45" s="803" t="s">
        <v>969</v>
      </c>
      <c r="B45" s="802"/>
      <c r="C45" s="802"/>
      <c r="D45" s="802"/>
      <c r="E45" s="802"/>
      <c r="F45" s="802"/>
      <c r="G45" s="802"/>
      <c r="H45" s="802"/>
    </row>
    <row r="46" spans="1:8">
      <c r="A46" s="802"/>
      <c r="B46" s="802"/>
      <c r="C46" s="802"/>
      <c r="D46" s="802"/>
      <c r="E46" s="802"/>
      <c r="F46" s="802"/>
      <c r="G46" s="802"/>
      <c r="H46" s="802"/>
    </row>
    <row r="47" spans="1:8" ht="15.75">
      <c r="A47" s="804" t="s">
        <v>702</v>
      </c>
      <c r="B47" s="802"/>
      <c r="C47" s="802"/>
      <c r="D47" s="802"/>
      <c r="E47" s="802"/>
      <c r="F47" s="802"/>
      <c r="G47" s="802"/>
      <c r="H47" s="802"/>
    </row>
    <row r="48" spans="1:8">
      <c r="A48" s="802"/>
      <c r="B48" s="802"/>
      <c r="C48" s="802"/>
      <c r="D48" s="802"/>
      <c r="E48" s="802"/>
      <c r="F48" s="802"/>
      <c r="G48" s="802"/>
      <c r="H48" s="802"/>
    </row>
    <row r="49" spans="1:8">
      <c r="A49" s="803" t="s">
        <v>960</v>
      </c>
      <c r="B49" s="802"/>
      <c r="C49" s="802"/>
      <c r="D49" s="802"/>
      <c r="E49" s="802"/>
      <c r="F49" s="802"/>
      <c r="G49" s="802"/>
      <c r="H49" s="802"/>
    </row>
    <row r="50" spans="1:8">
      <c r="A50" s="803" t="s">
        <v>961</v>
      </c>
      <c r="B50" s="802"/>
      <c r="C50" s="802"/>
      <c r="D50" s="802"/>
      <c r="E50" s="802"/>
      <c r="F50" s="802"/>
      <c r="G50" s="802"/>
      <c r="H50" s="802"/>
    </row>
    <row r="51" spans="1:8">
      <c r="A51" s="803" t="s">
        <v>962</v>
      </c>
      <c r="B51" s="802"/>
      <c r="C51" s="802"/>
      <c r="D51" s="802"/>
      <c r="E51" s="802"/>
      <c r="F51" s="802"/>
      <c r="G51" s="802"/>
      <c r="H51" s="802"/>
    </row>
    <row r="52" spans="1:8">
      <c r="A52" s="803" t="s">
        <v>963</v>
      </c>
      <c r="B52" s="802"/>
      <c r="C52" s="802"/>
      <c r="D52" s="802"/>
      <c r="E52" s="802"/>
      <c r="F52" s="802"/>
      <c r="G52" s="802"/>
      <c r="H52" s="802"/>
    </row>
    <row r="53" spans="1:8">
      <c r="A53" s="802"/>
      <c r="B53" s="802"/>
      <c r="C53" s="802"/>
      <c r="D53" s="802"/>
      <c r="E53" s="802"/>
      <c r="F53" s="802"/>
      <c r="G53" s="802"/>
      <c r="H53" s="802"/>
    </row>
    <row r="54" spans="1:8">
      <c r="A54" s="803" t="s">
        <v>703</v>
      </c>
      <c r="B54" s="802"/>
      <c r="C54" s="802"/>
      <c r="D54" s="802"/>
      <c r="E54" s="802"/>
      <c r="F54" s="802"/>
      <c r="G54" s="802"/>
      <c r="H54" s="802"/>
    </row>
    <row r="55" spans="1:8">
      <c r="A55" s="802"/>
      <c r="B55" s="802"/>
      <c r="C55" s="802"/>
      <c r="D55" s="802"/>
      <c r="E55" s="802"/>
      <c r="F55" s="802"/>
      <c r="G55" s="802"/>
      <c r="H55" s="802"/>
    </row>
    <row r="56" spans="1:8" ht="15.75">
      <c r="A56" s="804" t="s">
        <v>704</v>
      </c>
      <c r="B56" s="802"/>
      <c r="C56" s="802"/>
      <c r="D56" s="802"/>
      <c r="E56" s="802"/>
      <c r="F56" s="802"/>
      <c r="G56" s="802"/>
      <c r="H56" s="802"/>
    </row>
    <row r="57" spans="1:8">
      <c r="A57" s="802"/>
      <c r="B57" s="802"/>
      <c r="C57" s="802"/>
      <c r="D57" s="802"/>
      <c r="E57" s="802"/>
      <c r="F57" s="802"/>
      <c r="G57" s="802"/>
      <c r="H57" s="802"/>
    </row>
    <row r="58" spans="1:8">
      <c r="A58" s="803" t="s">
        <v>958</v>
      </c>
      <c r="B58" s="802"/>
      <c r="C58" s="802"/>
      <c r="D58" s="802"/>
      <c r="E58" s="802"/>
      <c r="F58" s="802"/>
      <c r="G58" s="802"/>
      <c r="H58" s="802"/>
    </row>
    <row r="59" spans="1:8">
      <c r="A59" s="803" t="s">
        <v>959</v>
      </c>
      <c r="B59" s="802"/>
      <c r="C59" s="802"/>
      <c r="D59" s="802"/>
      <c r="E59" s="802"/>
      <c r="F59" s="802"/>
      <c r="G59" s="802"/>
      <c r="H59" s="802"/>
    </row>
    <row r="60" spans="1:8">
      <c r="A60" s="802"/>
      <c r="B60" s="802"/>
      <c r="C60" s="802"/>
      <c r="D60" s="802"/>
      <c r="E60" s="802"/>
      <c r="F60" s="802"/>
      <c r="G60" s="802"/>
      <c r="H60" s="802"/>
    </row>
    <row r="61" spans="1:8" ht="15.75">
      <c r="A61" s="804" t="s">
        <v>705</v>
      </c>
      <c r="B61" s="802"/>
      <c r="C61" s="802"/>
      <c r="D61" s="802"/>
      <c r="E61" s="802"/>
      <c r="F61" s="802"/>
      <c r="G61" s="802"/>
      <c r="H61" s="802"/>
    </row>
    <row r="62" spans="1:8">
      <c r="A62" s="802"/>
      <c r="B62" s="802"/>
      <c r="C62" s="802"/>
      <c r="D62" s="802"/>
      <c r="E62" s="802"/>
      <c r="F62" s="802"/>
      <c r="G62" s="802"/>
      <c r="H62" s="802"/>
    </row>
    <row r="63" spans="1:8">
      <c r="A63" s="803" t="s">
        <v>956</v>
      </c>
      <c r="B63" s="802"/>
      <c r="C63" s="802"/>
      <c r="D63" s="802"/>
      <c r="E63" s="802"/>
      <c r="F63" s="802"/>
      <c r="G63" s="802"/>
      <c r="H63" s="802"/>
    </row>
    <row r="64" spans="1:8">
      <c r="A64" s="803" t="s">
        <v>957</v>
      </c>
      <c r="B64" s="802"/>
      <c r="C64" s="802"/>
      <c r="D64" s="802"/>
      <c r="E64" s="802"/>
      <c r="F64" s="802"/>
      <c r="G64" s="802"/>
      <c r="H64" s="802"/>
    </row>
    <row r="65" spans="1:8">
      <c r="A65" s="802"/>
      <c r="B65" s="802"/>
      <c r="C65" s="802"/>
      <c r="D65" s="802"/>
      <c r="E65" s="802"/>
      <c r="F65" s="802"/>
      <c r="G65" s="802"/>
      <c r="H65" s="802"/>
    </row>
    <row r="66" spans="1:8">
      <c r="A66" s="803" t="s">
        <v>954</v>
      </c>
      <c r="B66" s="802"/>
      <c r="C66" s="802"/>
      <c r="D66" s="802"/>
      <c r="E66" s="802"/>
      <c r="F66" s="802"/>
      <c r="G66" s="802"/>
      <c r="H66" s="802"/>
    </row>
    <row r="67" spans="1:8">
      <c r="A67" s="803" t="s">
        <v>955</v>
      </c>
      <c r="B67" s="802"/>
      <c r="C67" s="802"/>
      <c r="D67" s="802"/>
      <c r="E67" s="802"/>
      <c r="F67" s="802"/>
      <c r="G67" s="802"/>
      <c r="H67" s="802"/>
    </row>
    <row r="68" spans="1:8">
      <c r="A68" s="802"/>
      <c r="B68" s="802"/>
      <c r="C68" s="802"/>
      <c r="D68" s="802"/>
      <c r="E68" s="802"/>
      <c r="F68" s="802"/>
      <c r="G68" s="802"/>
      <c r="H68" s="802"/>
    </row>
    <row r="69" spans="1:8">
      <c r="A69" s="803" t="s">
        <v>952</v>
      </c>
      <c r="B69" s="802"/>
      <c r="C69" s="802"/>
      <c r="D69" s="802"/>
      <c r="E69" s="802"/>
      <c r="F69" s="802"/>
      <c r="G69" s="802"/>
      <c r="H69" s="802"/>
    </row>
    <row r="70" spans="1:8">
      <c r="A70" s="803" t="s">
        <v>953</v>
      </c>
      <c r="B70" s="802"/>
      <c r="C70" s="802"/>
      <c r="D70" s="802"/>
      <c r="E70" s="802"/>
      <c r="F70" s="802"/>
      <c r="G70" s="802"/>
      <c r="H70" s="802"/>
    </row>
    <row r="71" spans="1:8">
      <c r="A71" s="802"/>
      <c r="B71" s="802"/>
      <c r="C71" s="802"/>
      <c r="D71" s="802"/>
      <c r="E71" s="802"/>
      <c r="F71" s="802"/>
      <c r="G71" s="802"/>
      <c r="H71" s="802"/>
    </row>
    <row r="72" spans="1:8">
      <c r="A72" s="803" t="s">
        <v>949</v>
      </c>
      <c r="B72" s="802"/>
      <c r="C72" s="802"/>
      <c r="D72" s="802"/>
      <c r="E72" s="802"/>
      <c r="F72" s="802"/>
      <c r="G72" s="802"/>
      <c r="H72" s="802"/>
    </row>
    <row r="73" spans="1:8">
      <c r="A73" s="803" t="s">
        <v>950</v>
      </c>
      <c r="B73" s="802"/>
      <c r="C73" s="802"/>
      <c r="D73" s="802"/>
      <c r="E73" s="802"/>
      <c r="F73" s="802"/>
      <c r="G73" s="802"/>
      <c r="H73" s="802"/>
    </row>
    <row r="74" spans="1:8">
      <c r="A74" s="803" t="s">
        <v>951</v>
      </c>
      <c r="B74" s="802"/>
      <c r="C74" s="802"/>
      <c r="D74" s="802"/>
      <c r="E74" s="802"/>
      <c r="F74" s="802"/>
      <c r="G74" s="802"/>
      <c r="H74" s="802"/>
    </row>
    <row r="75" spans="1:8">
      <c r="A75" s="802"/>
      <c r="B75" s="802"/>
      <c r="C75" s="802"/>
      <c r="D75" s="802"/>
      <c r="E75" s="802"/>
      <c r="F75" s="802"/>
      <c r="G75" s="802"/>
      <c r="H75" s="802"/>
    </row>
    <row r="76" spans="1:8">
      <c r="A76" s="803" t="s">
        <v>706</v>
      </c>
      <c r="B76" s="802"/>
      <c r="C76" s="802"/>
      <c r="D76" s="802"/>
      <c r="E76" s="802"/>
      <c r="F76" s="802"/>
      <c r="G76" s="802"/>
      <c r="H76" s="802"/>
    </row>
    <row r="77" spans="1:8">
      <c r="A77" s="802"/>
      <c r="B77" s="802"/>
      <c r="C77" s="802"/>
      <c r="D77" s="802"/>
      <c r="E77" s="802"/>
      <c r="F77" s="802"/>
      <c r="G77" s="802"/>
      <c r="H77" s="802"/>
    </row>
    <row r="78" spans="1:8">
      <c r="A78" s="803" t="s">
        <v>944</v>
      </c>
      <c r="B78" s="802"/>
      <c r="C78" s="802"/>
      <c r="D78" s="802"/>
      <c r="E78" s="802"/>
      <c r="F78" s="802"/>
      <c r="G78" s="802"/>
      <c r="H78" s="802"/>
    </row>
    <row r="79" spans="1:8">
      <c r="A79" s="803" t="s">
        <v>945</v>
      </c>
      <c r="B79" s="802"/>
      <c r="C79" s="802"/>
      <c r="D79" s="802"/>
      <c r="E79" s="802"/>
      <c r="F79" s="802"/>
      <c r="G79" s="802"/>
      <c r="H79" s="802"/>
    </row>
    <row r="80" spans="1:8">
      <c r="A80" s="803" t="s">
        <v>946</v>
      </c>
      <c r="B80" s="802"/>
      <c r="C80" s="802"/>
      <c r="D80" s="802"/>
      <c r="E80" s="802"/>
      <c r="F80" s="802"/>
      <c r="G80" s="802"/>
      <c r="H80" s="802"/>
    </row>
    <row r="81" spans="1:8">
      <c r="A81" s="803" t="s">
        <v>947</v>
      </c>
      <c r="B81" s="802"/>
      <c r="C81" s="802"/>
      <c r="D81" s="802"/>
      <c r="E81" s="802"/>
      <c r="F81" s="802"/>
      <c r="G81" s="802"/>
      <c r="H81" s="802"/>
    </row>
    <row r="82" spans="1:8">
      <c r="A82" s="803" t="s">
        <v>948</v>
      </c>
      <c r="B82" s="802"/>
      <c r="C82" s="802"/>
      <c r="D82" s="802"/>
      <c r="E82" s="802"/>
      <c r="F82" s="802"/>
      <c r="G82" s="802"/>
      <c r="H82" s="802"/>
    </row>
    <row r="83" spans="1:8">
      <c r="A83" s="803" t="s">
        <v>833</v>
      </c>
      <c r="B83" s="802"/>
      <c r="C83" s="802"/>
      <c r="D83" s="802"/>
      <c r="E83" s="802"/>
      <c r="F83" s="802"/>
      <c r="G83" s="802"/>
      <c r="H83" s="802"/>
    </row>
    <row r="84" spans="1:8">
      <c r="A84" s="802"/>
      <c r="B84" s="802"/>
      <c r="C84" s="802"/>
      <c r="D84" s="802"/>
      <c r="E84" s="802"/>
      <c r="F84" s="802"/>
      <c r="G84" s="802"/>
      <c r="H84" s="802"/>
    </row>
    <row r="85" spans="1:8">
      <c r="A85" s="803" t="s">
        <v>937</v>
      </c>
      <c r="B85" s="802"/>
      <c r="C85" s="802"/>
      <c r="D85" s="802"/>
      <c r="E85" s="802"/>
      <c r="F85" s="802"/>
      <c r="G85" s="802"/>
      <c r="H85" s="802"/>
    </row>
    <row r="86" spans="1:8">
      <c r="A86" s="803" t="s">
        <v>938</v>
      </c>
      <c r="B86" s="802"/>
      <c r="C86" s="802"/>
      <c r="D86" s="802"/>
      <c r="E86" s="802"/>
      <c r="F86" s="802"/>
      <c r="G86" s="802"/>
      <c r="H86" s="802"/>
    </row>
    <row r="87" spans="1:8">
      <c r="A87" s="803" t="s">
        <v>939</v>
      </c>
      <c r="B87" s="802"/>
      <c r="C87" s="802"/>
      <c r="D87" s="802"/>
      <c r="E87" s="802"/>
      <c r="F87" s="802"/>
      <c r="G87" s="802"/>
      <c r="H87" s="802"/>
    </row>
    <row r="88" spans="1:8">
      <c r="A88" s="803" t="s">
        <v>940</v>
      </c>
      <c r="B88" s="802"/>
      <c r="C88" s="802"/>
      <c r="D88" s="802"/>
      <c r="E88" s="802"/>
      <c r="F88" s="802"/>
      <c r="G88" s="802"/>
      <c r="H88" s="802"/>
    </row>
    <row r="89" spans="1:8">
      <c r="A89" s="803" t="s">
        <v>941</v>
      </c>
      <c r="B89" s="802"/>
      <c r="C89" s="802"/>
      <c r="D89" s="802"/>
      <c r="E89" s="802"/>
      <c r="F89" s="802"/>
      <c r="G89" s="802"/>
      <c r="H89" s="802"/>
    </row>
    <row r="90" spans="1:8">
      <c r="A90" s="803" t="s">
        <v>942</v>
      </c>
      <c r="B90" s="802"/>
      <c r="C90" s="802"/>
      <c r="D90" s="802"/>
      <c r="E90" s="802"/>
      <c r="F90" s="802"/>
      <c r="G90" s="802"/>
      <c r="H90" s="802"/>
    </row>
    <row r="91" spans="1:8">
      <c r="A91" s="803" t="s">
        <v>943</v>
      </c>
      <c r="B91" s="802"/>
      <c r="C91" s="802"/>
      <c r="D91" s="802"/>
      <c r="E91" s="802"/>
      <c r="F91" s="802"/>
      <c r="G91" s="802"/>
      <c r="H91" s="802"/>
    </row>
    <row r="92" spans="1:8">
      <c r="A92" s="802"/>
      <c r="B92" s="802"/>
      <c r="C92" s="802"/>
      <c r="D92" s="802"/>
      <c r="E92" s="802"/>
      <c r="F92" s="802"/>
      <c r="G92" s="802"/>
      <c r="H92" s="802"/>
    </row>
    <row r="93" spans="1:8">
      <c r="A93" s="803" t="s">
        <v>935</v>
      </c>
      <c r="B93" s="802"/>
      <c r="C93" s="802"/>
      <c r="D93" s="802"/>
      <c r="E93" s="802"/>
      <c r="F93" s="802"/>
      <c r="G93" s="802"/>
      <c r="H93" s="802"/>
    </row>
    <row r="94" spans="1:8">
      <c r="A94" s="803" t="s">
        <v>936</v>
      </c>
      <c r="B94" s="802"/>
      <c r="C94" s="802"/>
      <c r="D94" s="802"/>
      <c r="E94" s="802"/>
      <c r="F94" s="802"/>
      <c r="G94" s="802"/>
      <c r="H94" s="802"/>
    </row>
    <row r="95" spans="1:8">
      <c r="A95" s="802"/>
      <c r="B95" s="802"/>
      <c r="C95" s="802"/>
      <c r="D95" s="802"/>
      <c r="E95" s="802"/>
      <c r="F95" s="802"/>
      <c r="G95" s="802"/>
      <c r="H95" s="802"/>
    </row>
    <row r="96" spans="1:8" ht="15.75">
      <c r="A96" s="804" t="s">
        <v>707</v>
      </c>
      <c r="B96" s="802"/>
      <c r="C96" s="802"/>
      <c r="D96" s="802"/>
      <c r="E96" s="802"/>
      <c r="F96" s="802"/>
      <c r="G96" s="802"/>
      <c r="H96" s="802"/>
    </row>
    <row r="97" spans="1:8">
      <c r="A97" s="802"/>
      <c r="B97" s="802"/>
      <c r="C97" s="802"/>
      <c r="D97" s="802"/>
      <c r="E97" s="802"/>
      <c r="F97" s="802"/>
      <c r="G97" s="802"/>
      <c r="H97" s="802"/>
    </row>
    <row r="98" spans="1:8">
      <c r="A98" s="803" t="s">
        <v>926</v>
      </c>
      <c r="B98" s="802"/>
      <c r="C98" s="802"/>
      <c r="D98" s="802"/>
      <c r="E98" s="802"/>
      <c r="F98" s="802"/>
      <c r="G98" s="802"/>
      <c r="H98" s="802"/>
    </row>
    <row r="99" spans="1:8">
      <c r="A99" s="803" t="s">
        <v>927</v>
      </c>
      <c r="B99" s="802"/>
      <c r="C99" s="802"/>
      <c r="D99" s="802"/>
      <c r="E99" s="802"/>
      <c r="F99" s="802"/>
      <c r="G99" s="802"/>
      <c r="H99" s="802"/>
    </row>
    <row r="100" spans="1:8">
      <c r="A100" s="803" t="s">
        <v>928</v>
      </c>
      <c r="B100" s="802"/>
      <c r="C100" s="802"/>
      <c r="D100" s="802"/>
      <c r="E100" s="802"/>
      <c r="F100" s="802"/>
      <c r="G100" s="802"/>
      <c r="H100" s="802"/>
    </row>
    <row r="101" spans="1:8">
      <c r="A101" s="803" t="s">
        <v>929</v>
      </c>
      <c r="B101" s="802"/>
      <c r="C101" s="802"/>
      <c r="D101" s="802"/>
      <c r="E101" s="802"/>
      <c r="F101" s="802"/>
      <c r="G101" s="802"/>
      <c r="H101" s="802"/>
    </row>
    <row r="102" spans="1:8">
      <c r="A102" s="803" t="s">
        <v>930</v>
      </c>
      <c r="B102" s="802"/>
      <c r="C102" s="802"/>
      <c r="D102" s="802"/>
      <c r="E102" s="802"/>
      <c r="F102" s="802"/>
      <c r="G102" s="802"/>
      <c r="H102" s="802"/>
    </row>
    <row r="103" spans="1:8">
      <c r="A103" s="803" t="s">
        <v>931</v>
      </c>
      <c r="B103" s="802"/>
      <c r="C103" s="802"/>
      <c r="D103" s="802"/>
      <c r="E103" s="802"/>
      <c r="F103" s="802"/>
      <c r="G103" s="802"/>
      <c r="H103" s="802"/>
    </row>
    <row r="104" spans="1:8">
      <c r="A104" s="803" t="s">
        <v>932</v>
      </c>
      <c r="B104" s="802"/>
      <c r="C104" s="802"/>
      <c r="D104" s="802"/>
      <c r="E104" s="802"/>
      <c r="F104" s="802"/>
      <c r="G104" s="802"/>
      <c r="H104" s="802"/>
    </row>
    <row r="105" spans="1:8">
      <c r="A105" s="803" t="s">
        <v>933</v>
      </c>
      <c r="B105" s="802"/>
      <c r="C105" s="802"/>
      <c r="D105" s="802"/>
      <c r="E105" s="802"/>
      <c r="F105" s="802"/>
      <c r="G105" s="802"/>
      <c r="H105" s="802"/>
    </row>
    <row r="106" spans="1:8">
      <c r="A106" s="803" t="s">
        <v>934</v>
      </c>
      <c r="B106" s="802"/>
      <c r="C106" s="802"/>
      <c r="D106" s="802"/>
      <c r="E106" s="802"/>
      <c r="F106" s="802"/>
      <c r="G106" s="802"/>
      <c r="H106" s="802"/>
    </row>
    <row r="107" spans="1:8">
      <c r="A107" s="802"/>
      <c r="B107" s="802"/>
      <c r="C107" s="802"/>
      <c r="D107" s="802"/>
      <c r="E107" s="802"/>
      <c r="F107" s="802"/>
      <c r="G107" s="802"/>
      <c r="H107" s="802"/>
    </row>
    <row r="108" spans="1:8" ht="15.75">
      <c r="A108" s="805" t="s">
        <v>708</v>
      </c>
      <c r="B108" s="805"/>
      <c r="C108" s="805"/>
      <c r="D108" s="805"/>
      <c r="E108" s="805"/>
      <c r="F108" s="805"/>
      <c r="G108" s="805"/>
      <c r="H108" s="805"/>
    </row>
    <row r="109" spans="1:8">
      <c r="A109" s="806" t="s">
        <v>709</v>
      </c>
      <c r="B109" s="806"/>
      <c r="C109" s="806"/>
      <c r="D109" s="806"/>
      <c r="E109" s="806"/>
      <c r="F109" s="806"/>
      <c r="G109" s="806"/>
      <c r="H109" s="806"/>
    </row>
    <row r="110" spans="1:8">
      <c r="A110" s="807"/>
      <c r="B110" s="807"/>
      <c r="C110" s="807"/>
      <c r="D110" s="807"/>
      <c r="E110" s="807"/>
      <c r="F110" s="807"/>
      <c r="G110" s="807"/>
      <c r="H110" s="807"/>
    </row>
    <row r="111" spans="1:8">
      <c r="A111" s="806" t="s">
        <v>924</v>
      </c>
      <c r="B111" s="806"/>
      <c r="C111" s="806"/>
      <c r="D111" s="806"/>
      <c r="E111" s="806"/>
      <c r="F111" s="806"/>
      <c r="G111" s="806"/>
      <c r="H111" s="806"/>
    </row>
    <row r="112" spans="1:8">
      <c r="A112" s="803" t="s">
        <v>925</v>
      </c>
      <c r="B112" s="803"/>
      <c r="C112" s="803"/>
      <c r="D112" s="803"/>
      <c r="E112" s="803"/>
      <c r="F112" s="803"/>
      <c r="G112" s="803"/>
      <c r="H112" s="803"/>
    </row>
    <row r="113" spans="1:8">
      <c r="A113" s="807"/>
      <c r="B113" s="807"/>
      <c r="C113" s="807"/>
      <c r="D113" s="807"/>
      <c r="E113" s="807"/>
      <c r="F113" s="807"/>
      <c r="G113" s="807"/>
      <c r="H113" s="807"/>
    </row>
    <row r="114" spans="1:8">
      <c r="A114" s="806" t="s">
        <v>917</v>
      </c>
      <c r="B114" s="806"/>
      <c r="C114" s="806"/>
      <c r="D114" s="806"/>
      <c r="E114" s="806"/>
      <c r="F114" s="806"/>
      <c r="G114" s="806"/>
      <c r="H114" s="806"/>
    </row>
    <row r="115" spans="1:8">
      <c r="A115" s="803" t="s">
        <v>918</v>
      </c>
      <c r="B115" s="803"/>
      <c r="C115" s="803"/>
      <c r="D115" s="803"/>
      <c r="E115" s="803"/>
      <c r="F115" s="803"/>
      <c r="G115" s="803"/>
      <c r="H115" s="803"/>
    </row>
    <row r="116" spans="1:8">
      <c r="A116" s="803" t="s">
        <v>919</v>
      </c>
      <c r="B116" s="803"/>
      <c r="C116" s="803"/>
      <c r="D116" s="803"/>
      <c r="E116" s="803"/>
      <c r="F116" s="803"/>
      <c r="G116" s="803"/>
      <c r="H116" s="803"/>
    </row>
    <row r="117" spans="1:8">
      <c r="A117" s="803" t="s">
        <v>920</v>
      </c>
      <c r="B117" s="803"/>
      <c r="C117" s="803"/>
      <c r="D117" s="803"/>
      <c r="E117" s="803"/>
      <c r="F117" s="803"/>
      <c r="G117" s="803"/>
      <c r="H117" s="803"/>
    </row>
    <row r="118" spans="1:8">
      <c r="A118" s="803" t="s">
        <v>921</v>
      </c>
      <c r="B118" s="803"/>
      <c r="C118" s="803"/>
      <c r="D118" s="803"/>
      <c r="E118" s="803"/>
      <c r="F118" s="803"/>
      <c r="G118" s="803"/>
      <c r="H118" s="803"/>
    </row>
    <row r="119" spans="1:8">
      <c r="A119" s="803" t="s">
        <v>922</v>
      </c>
      <c r="B119" s="803"/>
      <c r="C119" s="803"/>
      <c r="D119" s="803"/>
      <c r="E119" s="803"/>
      <c r="F119" s="803"/>
      <c r="G119" s="803"/>
      <c r="H119" s="803"/>
    </row>
    <row r="120" spans="1:8">
      <c r="A120" s="803" t="s">
        <v>923</v>
      </c>
      <c r="B120" s="803"/>
      <c r="C120" s="803"/>
      <c r="D120" s="803"/>
      <c r="E120" s="803"/>
      <c r="F120" s="803"/>
      <c r="G120" s="803"/>
      <c r="H120" s="803"/>
    </row>
    <row r="121" spans="1:8">
      <c r="A121" s="808"/>
      <c r="B121" s="808"/>
      <c r="C121" s="808"/>
      <c r="D121" s="808"/>
      <c r="E121" s="808"/>
      <c r="F121" s="808"/>
      <c r="G121" s="808"/>
      <c r="H121" s="808"/>
    </row>
    <row r="122" spans="1:8">
      <c r="A122" s="809"/>
      <c r="B122" s="810" t="s">
        <v>710</v>
      </c>
      <c r="C122" s="811"/>
      <c r="D122" s="810" t="s">
        <v>711</v>
      </c>
      <c r="E122" s="812"/>
      <c r="F122" s="811"/>
      <c r="G122" s="810" t="s">
        <v>712</v>
      </c>
      <c r="H122" s="811"/>
    </row>
    <row r="123" spans="1:8">
      <c r="A123" s="809" t="s">
        <v>713</v>
      </c>
      <c r="B123" s="809" t="s">
        <v>676</v>
      </c>
      <c r="C123" s="809" t="s">
        <v>714</v>
      </c>
      <c r="D123" s="809" t="s">
        <v>676</v>
      </c>
      <c r="E123" s="809" t="s">
        <v>715</v>
      </c>
      <c r="F123" s="809" t="s">
        <v>716</v>
      </c>
      <c r="G123" s="809" t="s">
        <v>676</v>
      </c>
      <c r="H123" s="809" t="s">
        <v>717</v>
      </c>
    </row>
    <row r="124" spans="1:8">
      <c r="A124" s="809" t="s">
        <v>718</v>
      </c>
      <c r="B124" s="809">
        <v>1189</v>
      </c>
      <c r="C124" s="813">
        <v>0.38</v>
      </c>
      <c r="D124" s="809">
        <v>315</v>
      </c>
      <c r="E124" s="813">
        <v>0.41</v>
      </c>
      <c r="F124" s="813">
        <v>0.26</v>
      </c>
      <c r="G124" s="809">
        <v>555</v>
      </c>
      <c r="H124" s="813">
        <v>0.39</v>
      </c>
    </row>
    <row r="125" spans="1:8">
      <c r="A125" s="809" t="s">
        <v>719</v>
      </c>
      <c r="B125" s="809">
        <v>1355</v>
      </c>
      <c r="C125" s="813">
        <v>0.43</v>
      </c>
      <c r="D125" s="809">
        <v>364</v>
      </c>
      <c r="E125" s="813">
        <v>0.47</v>
      </c>
      <c r="F125" s="813">
        <v>0.27</v>
      </c>
      <c r="G125" s="809">
        <v>644</v>
      </c>
      <c r="H125" s="813">
        <v>0.45</v>
      </c>
    </row>
    <row r="126" spans="1:8">
      <c r="A126" s="809" t="s">
        <v>720</v>
      </c>
      <c r="B126" s="809">
        <v>53</v>
      </c>
      <c r="C126" s="813">
        <v>0.02</v>
      </c>
      <c r="D126" s="809">
        <v>4</v>
      </c>
      <c r="E126" s="813">
        <v>0.01</v>
      </c>
      <c r="F126" s="813">
        <v>0.08</v>
      </c>
      <c r="G126" s="809">
        <v>7</v>
      </c>
      <c r="H126" s="813">
        <v>0</v>
      </c>
    </row>
    <row r="127" spans="1:8">
      <c r="A127" s="809" t="s">
        <v>721</v>
      </c>
      <c r="B127" s="809">
        <v>545</v>
      </c>
      <c r="C127" s="813">
        <v>0.17</v>
      </c>
      <c r="D127" s="809">
        <v>84</v>
      </c>
      <c r="E127" s="813">
        <v>0.11</v>
      </c>
      <c r="F127" s="813">
        <v>0.15</v>
      </c>
      <c r="G127" s="809">
        <v>214</v>
      </c>
      <c r="H127" s="813">
        <v>0.15</v>
      </c>
    </row>
    <row r="128" spans="1:8">
      <c r="A128" s="809" t="s">
        <v>722</v>
      </c>
      <c r="B128" s="814">
        <v>3142</v>
      </c>
      <c r="C128" s="809"/>
      <c r="D128" s="809">
        <v>767</v>
      </c>
      <c r="E128" s="809"/>
      <c r="F128" s="809"/>
      <c r="G128" s="809">
        <v>1420</v>
      </c>
      <c r="H128" s="809"/>
    </row>
    <row r="129" spans="1:8">
      <c r="A129" s="815"/>
      <c r="B129" s="815"/>
      <c r="C129" s="815"/>
      <c r="D129" s="815"/>
      <c r="E129" s="815"/>
      <c r="F129" s="815"/>
      <c r="G129" s="815"/>
      <c r="H129" s="815"/>
    </row>
    <row r="130" spans="1:8">
      <c r="A130" s="806" t="s">
        <v>913</v>
      </c>
      <c r="B130" s="806"/>
      <c r="C130" s="806"/>
      <c r="D130" s="806"/>
      <c r="E130" s="806"/>
      <c r="F130" s="806"/>
      <c r="G130" s="806"/>
      <c r="H130" s="806"/>
    </row>
    <row r="131" spans="1:8">
      <c r="A131" s="803" t="s">
        <v>914</v>
      </c>
      <c r="B131" s="803"/>
      <c r="C131" s="803"/>
      <c r="D131" s="803"/>
      <c r="E131" s="803"/>
      <c r="F131" s="803"/>
      <c r="G131" s="803"/>
      <c r="H131" s="803"/>
    </row>
    <row r="132" spans="1:8">
      <c r="A132" s="803" t="s">
        <v>915</v>
      </c>
      <c r="B132" s="803"/>
      <c r="C132" s="803"/>
      <c r="D132" s="803"/>
      <c r="E132" s="803"/>
      <c r="F132" s="803"/>
      <c r="G132" s="803"/>
      <c r="H132" s="803"/>
    </row>
    <row r="133" spans="1:8">
      <c r="A133" s="803" t="s">
        <v>916</v>
      </c>
      <c r="B133" s="803"/>
      <c r="C133" s="803"/>
      <c r="D133" s="803"/>
      <c r="E133" s="803"/>
      <c r="F133" s="803"/>
      <c r="G133" s="803"/>
      <c r="H133" s="803"/>
    </row>
    <row r="134" spans="1:8">
      <c r="A134" s="802"/>
      <c r="B134" s="802"/>
      <c r="C134" s="802"/>
      <c r="D134" s="802"/>
      <c r="E134" s="802"/>
      <c r="F134" s="802"/>
      <c r="G134" s="802"/>
      <c r="H134" s="802"/>
    </row>
    <row r="135" spans="1:8" ht="15.75">
      <c r="A135" s="804" t="s">
        <v>723</v>
      </c>
      <c r="B135" s="802"/>
      <c r="C135" s="802"/>
      <c r="D135" s="802"/>
      <c r="E135" s="802"/>
      <c r="F135" s="802"/>
      <c r="G135" s="802"/>
      <c r="H135" s="802"/>
    </row>
    <row r="136" spans="1:8">
      <c r="A136" s="802"/>
      <c r="B136" s="802"/>
      <c r="C136" s="802"/>
      <c r="D136" s="802"/>
      <c r="E136" s="802"/>
      <c r="F136" s="802"/>
      <c r="G136" s="802"/>
      <c r="H136" s="802"/>
    </row>
    <row r="137" spans="1:8">
      <c r="A137" s="803" t="s">
        <v>911</v>
      </c>
      <c r="B137" s="802"/>
      <c r="C137" s="802"/>
      <c r="D137" s="802"/>
      <c r="E137" s="802"/>
      <c r="F137" s="802"/>
      <c r="G137" s="802"/>
      <c r="H137" s="802"/>
    </row>
    <row r="138" spans="1:8">
      <c r="A138" s="803" t="s">
        <v>912</v>
      </c>
      <c r="B138" s="802"/>
      <c r="C138" s="802"/>
      <c r="D138" s="802"/>
      <c r="E138" s="802"/>
      <c r="F138" s="802"/>
      <c r="G138" s="802"/>
      <c r="H138" s="802"/>
    </row>
    <row r="139" spans="1:8">
      <c r="A139" s="802"/>
      <c r="B139" s="802"/>
      <c r="C139" s="802"/>
      <c r="D139" s="802"/>
      <c r="E139" s="802"/>
      <c r="F139" s="802"/>
      <c r="G139" s="802"/>
      <c r="H139" s="802"/>
    </row>
    <row r="140" spans="1:8">
      <c r="A140" s="803" t="s">
        <v>908</v>
      </c>
      <c r="B140" s="802"/>
      <c r="C140" s="802"/>
      <c r="D140" s="802"/>
      <c r="E140" s="802"/>
      <c r="F140" s="802"/>
      <c r="G140" s="802"/>
      <c r="H140" s="802"/>
    </row>
    <row r="141" spans="1:8">
      <c r="A141" s="803" t="s">
        <v>909</v>
      </c>
      <c r="B141" s="802"/>
      <c r="C141" s="802"/>
      <c r="D141" s="802"/>
      <c r="E141" s="802"/>
      <c r="F141" s="802"/>
      <c r="G141" s="802"/>
      <c r="H141" s="802"/>
    </row>
    <row r="142" spans="1:8">
      <c r="A142" s="803" t="s">
        <v>910</v>
      </c>
      <c r="B142" s="802"/>
      <c r="C142" s="802"/>
      <c r="D142" s="802"/>
      <c r="E142" s="802"/>
      <c r="F142" s="802"/>
      <c r="G142" s="802"/>
      <c r="H142" s="802"/>
    </row>
    <row r="143" spans="1:8">
      <c r="A143" s="802"/>
      <c r="B143" s="802"/>
      <c r="C143" s="802"/>
      <c r="D143" s="802"/>
      <c r="E143" s="802"/>
      <c r="F143" s="802"/>
      <c r="G143" s="802"/>
      <c r="H143" s="802"/>
    </row>
    <row r="144" spans="1:8">
      <c r="A144" s="803" t="s">
        <v>905</v>
      </c>
      <c r="B144" s="802"/>
      <c r="C144" s="802"/>
      <c r="D144" s="802"/>
      <c r="E144" s="802"/>
      <c r="F144" s="802"/>
      <c r="G144" s="802"/>
      <c r="H144" s="802"/>
    </row>
    <row r="145" spans="1:8">
      <c r="A145" s="803" t="s">
        <v>906</v>
      </c>
      <c r="B145" s="802"/>
      <c r="C145" s="802"/>
      <c r="D145" s="802"/>
      <c r="E145" s="802"/>
      <c r="F145" s="802"/>
      <c r="G145" s="802"/>
      <c r="H145" s="802"/>
    </row>
    <row r="146" spans="1:8">
      <c r="A146" s="803" t="s">
        <v>907</v>
      </c>
      <c r="B146" s="802"/>
      <c r="C146" s="802"/>
      <c r="D146" s="802"/>
      <c r="E146" s="802"/>
      <c r="F146" s="802"/>
      <c r="G146" s="802"/>
      <c r="H146" s="802"/>
    </row>
    <row r="147" spans="1:8">
      <c r="A147" s="802"/>
      <c r="B147" s="802"/>
      <c r="C147" s="802"/>
      <c r="D147" s="802"/>
      <c r="E147" s="802"/>
      <c r="F147" s="802"/>
      <c r="G147" s="802"/>
      <c r="H147" s="802"/>
    </row>
    <row r="148" spans="1:8">
      <c r="A148" s="803" t="s">
        <v>902</v>
      </c>
      <c r="B148" s="802"/>
      <c r="C148" s="802"/>
      <c r="D148" s="802"/>
      <c r="E148" s="802"/>
      <c r="F148" s="802"/>
      <c r="G148" s="802"/>
      <c r="H148" s="802"/>
    </row>
    <row r="149" spans="1:8">
      <c r="A149" s="803" t="s">
        <v>903</v>
      </c>
      <c r="B149" s="802"/>
      <c r="C149" s="802"/>
      <c r="D149" s="802"/>
      <c r="E149" s="802"/>
      <c r="F149" s="802"/>
      <c r="G149" s="802"/>
      <c r="H149" s="802"/>
    </row>
    <row r="150" spans="1:8">
      <c r="A150" s="803" t="s">
        <v>904</v>
      </c>
      <c r="B150" s="802"/>
      <c r="C150" s="802"/>
      <c r="D150" s="802"/>
      <c r="E150" s="802"/>
      <c r="F150" s="802"/>
      <c r="G150" s="802"/>
      <c r="H150" s="802"/>
    </row>
    <row r="151" spans="1:8">
      <c r="A151" s="802"/>
      <c r="B151" s="802"/>
      <c r="C151" s="802"/>
      <c r="D151" s="802"/>
      <c r="E151" s="802"/>
      <c r="F151" s="802"/>
      <c r="G151" s="802"/>
      <c r="H151" s="802"/>
    </row>
    <row r="152" spans="1:8">
      <c r="A152" s="803" t="s">
        <v>900</v>
      </c>
      <c r="B152" s="802"/>
      <c r="C152" s="802"/>
      <c r="D152" s="802"/>
      <c r="E152" s="802"/>
      <c r="F152" s="802"/>
      <c r="G152" s="802"/>
      <c r="H152" s="802"/>
    </row>
    <row r="153" spans="1:8">
      <c r="A153" s="803" t="s">
        <v>901</v>
      </c>
      <c r="B153" s="802"/>
      <c r="C153" s="802"/>
      <c r="D153" s="802"/>
      <c r="E153" s="802"/>
      <c r="F153" s="802"/>
      <c r="G153" s="802"/>
      <c r="H153" s="802"/>
    </row>
    <row r="154" spans="1:8">
      <c r="A154" s="802"/>
      <c r="B154" s="802"/>
      <c r="C154" s="802"/>
      <c r="D154" s="802"/>
      <c r="E154" s="802"/>
      <c r="F154" s="802"/>
      <c r="G154" s="802"/>
      <c r="H154" s="802"/>
    </row>
    <row r="155" spans="1:8" ht="15.75">
      <c r="A155" s="804" t="s">
        <v>724</v>
      </c>
      <c r="B155" s="802"/>
      <c r="C155" s="802"/>
      <c r="D155" s="802"/>
      <c r="E155" s="802"/>
      <c r="F155" s="802"/>
      <c r="G155" s="802"/>
      <c r="H155" s="802"/>
    </row>
    <row r="156" spans="1:8">
      <c r="A156" s="802"/>
      <c r="B156" s="802"/>
      <c r="C156" s="802"/>
      <c r="D156" s="802"/>
      <c r="E156" s="802"/>
      <c r="F156" s="802"/>
      <c r="G156" s="802"/>
      <c r="H156" s="802"/>
    </row>
    <row r="157" spans="1:8">
      <c r="A157" s="803" t="s">
        <v>898</v>
      </c>
      <c r="B157" s="802"/>
      <c r="C157" s="802"/>
      <c r="D157" s="802"/>
      <c r="E157" s="802"/>
      <c r="F157" s="802"/>
      <c r="G157" s="802"/>
      <c r="H157" s="802"/>
    </row>
    <row r="158" spans="1:8">
      <c r="A158" s="803" t="s">
        <v>899</v>
      </c>
      <c r="B158" s="802"/>
      <c r="C158" s="802"/>
      <c r="D158" s="802"/>
      <c r="E158" s="802"/>
      <c r="F158" s="802"/>
      <c r="G158" s="802"/>
      <c r="H158" s="802"/>
    </row>
    <row r="159" spans="1:8">
      <c r="A159" s="802"/>
      <c r="B159" s="802"/>
      <c r="C159" s="802"/>
      <c r="D159" s="802"/>
      <c r="E159" s="802"/>
      <c r="F159" s="802"/>
      <c r="G159" s="802"/>
      <c r="H159" s="802"/>
    </row>
    <row r="160" spans="1:8">
      <c r="A160" s="803" t="s">
        <v>896</v>
      </c>
      <c r="B160" s="802"/>
      <c r="C160" s="802"/>
      <c r="D160" s="802"/>
      <c r="E160" s="802"/>
      <c r="F160" s="802"/>
      <c r="G160" s="802"/>
      <c r="H160" s="802"/>
    </row>
    <row r="161" spans="1:8">
      <c r="A161" s="803" t="s">
        <v>897</v>
      </c>
      <c r="B161" s="802"/>
      <c r="C161" s="802"/>
      <c r="D161" s="802"/>
      <c r="E161" s="802"/>
      <c r="F161" s="802"/>
      <c r="G161" s="802"/>
      <c r="H161" s="802"/>
    </row>
    <row r="162" spans="1:8">
      <c r="A162" s="802"/>
      <c r="B162" s="802"/>
      <c r="C162" s="802"/>
      <c r="D162" s="802"/>
      <c r="E162" s="802"/>
      <c r="F162" s="802"/>
      <c r="G162" s="802"/>
      <c r="H162" s="802"/>
    </row>
    <row r="163" spans="1:8">
      <c r="A163" s="803" t="s">
        <v>894</v>
      </c>
      <c r="B163" s="802"/>
      <c r="C163" s="802"/>
      <c r="D163" s="802"/>
      <c r="E163" s="802"/>
      <c r="F163" s="802"/>
      <c r="G163" s="802"/>
      <c r="H163" s="802"/>
    </row>
    <row r="164" spans="1:8">
      <c r="A164" s="803" t="s">
        <v>895</v>
      </c>
      <c r="B164" s="802"/>
      <c r="C164" s="802"/>
      <c r="D164" s="802"/>
      <c r="E164" s="802"/>
      <c r="F164" s="802"/>
      <c r="G164" s="802"/>
      <c r="H164" s="802"/>
    </row>
    <row r="165" spans="1:8">
      <c r="A165" s="802"/>
      <c r="B165" s="802"/>
      <c r="C165" s="802"/>
      <c r="D165" s="802"/>
      <c r="E165" s="802"/>
      <c r="F165" s="802"/>
      <c r="G165" s="802"/>
      <c r="H165" s="802"/>
    </row>
    <row r="166" spans="1:8">
      <c r="A166" s="803" t="s">
        <v>891</v>
      </c>
      <c r="B166" s="802"/>
      <c r="C166" s="802"/>
      <c r="D166" s="802"/>
      <c r="E166" s="802"/>
      <c r="F166" s="802"/>
      <c r="G166" s="802"/>
      <c r="H166" s="802"/>
    </row>
    <row r="167" spans="1:8">
      <c r="A167" s="803" t="s">
        <v>892</v>
      </c>
      <c r="B167" s="802"/>
      <c r="C167" s="802"/>
      <c r="D167" s="802"/>
      <c r="E167" s="802"/>
      <c r="F167" s="802"/>
      <c r="G167" s="802"/>
      <c r="H167" s="802"/>
    </row>
    <row r="168" spans="1:8">
      <c r="A168" s="803" t="s">
        <v>893</v>
      </c>
      <c r="B168" s="802"/>
      <c r="C168" s="802"/>
      <c r="D168" s="802"/>
      <c r="E168" s="802"/>
      <c r="F168" s="802"/>
      <c r="G168" s="802"/>
      <c r="H168" s="802"/>
    </row>
    <row r="169" spans="1:8">
      <c r="A169" s="802"/>
      <c r="B169" s="802"/>
      <c r="C169" s="802"/>
      <c r="D169" s="802"/>
      <c r="E169" s="802"/>
      <c r="F169" s="802"/>
      <c r="G169" s="802"/>
      <c r="H169" s="802"/>
    </row>
    <row r="170" spans="1:8">
      <c r="A170" s="802"/>
      <c r="B170" s="802"/>
      <c r="C170" s="802"/>
      <c r="D170" s="802"/>
      <c r="E170" s="802"/>
      <c r="F170" s="802"/>
      <c r="G170" s="802"/>
      <c r="H170" s="802"/>
    </row>
    <row r="171" spans="1:8">
      <c r="A171" s="803" t="s">
        <v>725</v>
      </c>
      <c r="B171" s="802"/>
      <c r="C171" s="802"/>
      <c r="D171" s="802"/>
      <c r="E171" s="802"/>
      <c r="F171" s="802"/>
      <c r="G171" s="802"/>
      <c r="H171" s="802"/>
    </row>
    <row r="172" spans="1:8">
      <c r="A172" s="802"/>
      <c r="B172" s="802"/>
      <c r="C172" s="802"/>
      <c r="D172" s="802"/>
      <c r="E172" s="802"/>
      <c r="F172" s="802"/>
      <c r="G172" s="802"/>
      <c r="H172" s="802"/>
    </row>
    <row r="173" spans="1:8" ht="15.75">
      <c r="A173" s="804" t="s">
        <v>726</v>
      </c>
      <c r="B173" s="802"/>
      <c r="C173" s="802"/>
      <c r="D173" s="802"/>
      <c r="E173" s="802"/>
      <c r="F173" s="802"/>
      <c r="G173" s="802"/>
      <c r="H173" s="802"/>
    </row>
    <row r="174" spans="1:8">
      <c r="A174" s="802"/>
      <c r="B174" s="802"/>
      <c r="C174" s="802"/>
      <c r="D174" s="802"/>
      <c r="E174" s="802"/>
      <c r="F174" s="802"/>
      <c r="G174" s="802"/>
      <c r="H174" s="802"/>
    </row>
    <row r="175" spans="1:8">
      <c r="A175" s="802"/>
      <c r="B175" s="802"/>
      <c r="C175" s="802"/>
      <c r="D175" s="802"/>
      <c r="E175" s="802"/>
      <c r="F175" s="802"/>
      <c r="G175" s="802"/>
      <c r="H175" s="802"/>
    </row>
    <row r="176" spans="1:8">
      <c r="A176" s="802"/>
      <c r="B176" s="802"/>
      <c r="C176" s="802"/>
      <c r="D176" s="802"/>
      <c r="E176" s="802"/>
      <c r="F176" s="802"/>
      <c r="G176" s="802"/>
      <c r="H176" s="802"/>
    </row>
    <row r="177" spans="1:8">
      <c r="A177" s="802"/>
      <c r="B177" s="802"/>
      <c r="C177" s="802"/>
      <c r="D177" s="802"/>
      <c r="E177" s="802"/>
      <c r="F177" s="802"/>
      <c r="G177" s="802"/>
      <c r="H177" s="802"/>
    </row>
    <row r="178" spans="1:8">
      <c r="A178" s="802"/>
      <c r="B178" s="802"/>
      <c r="C178" s="802"/>
      <c r="D178" s="802"/>
      <c r="E178" s="802"/>
      <c r="F178" s="802"/>
      <c r="G178" s="802"/>
      <c r="H178" s="802"/>
    </row>
    <row r="179" spans="1:8">
      <c r="A179" s="802"/>
      <c r="B179" s="802"/>
      <c r="C179" s="802"/>
      <c r="D179" s="802"/>
      <c r="E179" s="802"/>
      <c r="F179" s="802"/>
      <c r="G179" s="802"/>
      <c r="H179" s="802"/>
    </row>
    <row r="180" spans="1:8">
      <c r="A180" s="802"/>
      <c r="B180" s="802"/>
      <c r="C180" s="802"/>
      <c r="D180" s="802"/>
      <c r="E180" s="802"/>
      <c r="F180" s="802"/>
      <c r="G180" s="802"/>
      <c r="H180" s="802"/>
    </row>
    <row r="181" spans="1:8">
      <c r="A181" s="802"/>
      <c r="B181" s="802"/>
      <c r="C181" s="802"/>
      <c r="D181" s="802"/>
      <c r="E181" s="802"/>
      <c r="F181" s="802"/>
      <c r="G181" s="802"/>
      <c r="H181" s="802"/>
    </row>
    <row r="182" spans="1:8">
      <c r="A182" s="802"/>
      <c r="B182" s="802"/>
      <c r="C182" s="802"/>
      <c r="D182" s="802"/>
      <c r="E182" s="802"/>
      <c r="F182" s="802"/>
      <c r="G182" s="802"/>
      <c r="H182" s="802"/>
    </row>
    <row r="183" spans="1:8">
      <c r="A183" s="802"/>
      <c r="B183" s="802"/>
      <c r="C183" s="802"/>
      <c r="D183" s="802"/>
      <c r="E183" s="802"/>
      <c r="F183" s="802"/>
      <c r="G183" s="802"/>
      <c r="H183" s="802"/>
    </row>
    <row r="184" spans="1:8">
      <c r="A184" s="802"/>
      <c r="B184" s="802"/>
      <c r="C184" s="802"/>
      <c r="D184" s="802"/>
      <c r="E184" s="802"/>
      <c r="F184" s="802"/>
      <c r="G184" s="802"/>
      <c r="H184" s="802"/>
    </row>
    <row r="185" spans="1:8">
      <c r="A185" s="802"/>
      <c r="B185" s="802"/>
      <c r="C185" s="802"/>
      <c r="D185" s="802"/>
      <c r="E185" s="802"/>
      <c r="F185" s="802"/>
      <c r="G185" s="802"/>
      <c r="H185" s="802"/>
    </row>
    <row r="186" spans="1:8">
      <c r="A186" s="802"/>
      <c r="B186" s="802"/>
      <c r="C186" s="802"/>
      <c r="D186" s="802"/>
      <c r="E186" s="802"/>
      <c r="F186" s="802"/>
      <c r="G186" s="802"/>
      <c r="H186" s="802"/>
    </row>
    <row r="187" spans="1:8">
      <c r="A187" s="802"/>
      <c r="B187" s="802"/>
      <c r="C187" s="802"/>
      <c r="D187" s="802"/>
      <c r="E187" s="802"/>
      <c r="F187" s="802"/>
      <c r="G187" s="802"/>
      <c r="H187" s="802"/>
    </row>
    <row r="188" spans="1:8">
      <c r="A188" s="802"/>
      <c r="B188" s="802"/>
      <c r="C188" s="802"/>
      <c r="D188" s="802"/>
      <c r="E188" s="802"/>
      <c r="F188" s="802"/>
      <c r="G188" s="802"/>
      <c r="H188" s="802"/>
    </row>
    <row r="189" spans="1:8">
      <c r="A189" s="802"/>
      <c r="B189" s="802"/>
      <c r="C189" s="802"/>
      <c r="D189" s="802"/>
      <c r="E189" s="802"/>
      <c r="F189" s="802"/>
      <c r="G189" s="802"/>
      <c r="H189" s="802"/>
    </row>
    <row r="190" spans="1:8">
      <c r="A190" s="802"/>
      <c r="B190" s="802"/>
      <c r="C190" s="802"/>
      <c r="D190" s="802"/>
      <c r="E190" s="802"/>
      <c r="F190" s="802"/>
      <c r="G190" s="802"/>
      <c r="H190" s="802"/>
    </row>
    <row r="191" spans="1:8">
      <c r="A191" s="802"/>
      <c r="B191" s="802"/>
      <c r="C191" s="802"/>
      <c r="D191" s="802"/>
      <c r="E191" s="802"/>
      <c r="F191" s="802"/>
      <c r="G191" s="802"/>
      <c r="H191" s="802"/>
    </row>
    <row r="192" spans="1:8">
      <c r="A192" s="802"/>
      <c r="B192" s="802"/>
      <c r="C192" s="802"/>
      <c r="D192" s="802"/>
      <c r="E192" s="802"/>
      <c r="F192" s="802"/>
      <c r="G192" s="802"/>
      <c r="H192" s="802"/>
    </row>
    <row r="193" spans="1:8">
      <c r="A193" s="802"/>
      <c r="B193" s="802"/>
      <c r="C193" s="802"/>
      <c r="D193" s="802"/>
      <c r="E193" s="802"/>
      <c r="F193" s="802"/>
      <c r="G193" s="802"/>
      <c r="H193" s="802"/>
    </row>
    <row r="194" spans="1:8">
      <c r="A194" s="802"/>
      <c r="B194" s="802"/>
      <c r="C194" s="802"/>
      <c r="D194" s="802"/>
      <c r="E194" s="802"/>
      <c r="F194" s="802"/>
      <c r="G194" s="802"/>
      <c r="H194" s="802"/>
    </row>
    <row r="195" spans="1:8">
      <c r="A195" s="802"/>
      <c r="B195" s="802"/>
      <c r="C195" s="802"/>
      <c r="D195" s="802"/>
      <c r="E195" s="802"/>
      <c r="F195" s="802"/>
      <c r="G195" s="802"/>
      <c r="H195" s="802"/>
    </row>
    <row r="196" spans="1:8">
      <c r="A196" s="802"/>
      <c r="B196" s="802"/>
      <c r="C196" s="802"/>
      <c r="D196" s="802"/>
      <c r="E196" s="802"/>
      <c r="F196" s="802"/>
      <c r="G196" s="802"/>
      <c r="H196" s="802"/>
    </row>
    <row r="197" spans="1:8">
      <c r="A197" s="802"/>
      <c r="B197" s="802"/>
      <c r="C197" s="802"/>
      <c r="D197" s="802"/>
      <c r="E197" s="802"/>
      <c r="F197" s="802"/>
      <c r="G197" s="802"/>
      <c r="H197" s="802"/>
    </row>
    <row r="198" spans="1:8">
      <c r="A198" s="802"/>
      <c r="B198" s="802"/>
      <c r="C198" s="802"/>
      <c r="D198" s="802"/>
      <c r="E198" s="802"/>
      <c r="F198" s="802"/>
      <c r="G198" s="802"/>
      <c r="H198" s="802"/>
    </row>
    <row r="199" spans="1:8">
      <c r="A199" s="802"/>
      <c r="B199" s="802"/>
      <c r="C199" s="802"/>
      <c r="D199" s="802"/>
      <c r="E199" s="802"/>
      <c r="F199" s="802"/>
      <c r="G199" s="802"/>
      <c r="H199" s="802"/>
    </row>
    <row r="200" spans="1:8" ht="15.75">
      <c r="A200" s="804" t="s">
        <v>727</v>
      </c>
      <c r="B200" s="802"/>
      <c r="C200" s="802"/>
      <c r="D200" s="802"/>
      <c r="E200" s="802"/>
      <c r="F200" s="802"/>
      <c r="G200" s="802"/>
      <c r="H200" s="802"/>
    </row>
    <row r="201" spans="1:8">
      <c r="A201" s="802"/>
      <c r="B201" s="802"/>
      <c r="C201" s="802"/>
      <c r="D201" s="802"/>
      <c r="E201" s="802"/>
      <c r="F201" s="802"/>
      <c r="G201" s="802"/>
      <c r="H201" s="802"/>
    </row>
    <row r="202" spans="1:8">
      <c r="A202" s="803" t="s">
        <v>886</v>
      </c>
      <c r="B202" s="802"/>
      <c r="C202" s="802"/>
      <c r="D202" s="802"/>
      <c r="E202" s="802"/>
      <c r="F202" s="802"/>
      <c r="G202" s="802"/>
      <c r="H202" s="802"/>
    </row>
    <row r="203" spans="1:8">
      <c r="A203" s="803" t="s">
        <v>887</v>
      </c>
      <c r="B203" s="802"/>
      <c r="C203" s="802"/>
      <c r="D203" s="802"/>
      <c r="E203" s="802"/>
      <c r="F203" s="802"/>
      <c r="G203" s="802"/>
      <c r="H203" s="802"/>
    </row>
    <row r="204" spans="1:8">
      <c r="A204" s="803" t="s">
        <v>888</v>
      </c>
      <c r="B204" s="802"/>
      <c r="C204" s="802"/>
      <c r="D204" s="802"/>
      <c r="E204" s="802"/>
      <c r="F204" s="802"/>
      <c r="G204" s="802"/>
      <c r="H204" s="802"/>
    </row>
    <row r="205" spans="1:8">
      <c r="A205" s="803" t="s">
        <v>889</v>
      </c>
      <c r="B205" s="802"/>
      <c r="C205" s="802"/>
      <c r="D205" s="802"/>
      <c r="E205" s="802"/>
      <c r="F205" s="802"/>
      <c r="G205" s="802"/>
      <c r="H205" s="802"/>
    </row>
    <row r="206" spans="1:8">
      <c r="A206" s="803" t="s">
        <v>890</v>
      </c>
      <c r="B206" s="802"/>
      <c r="C206" s="802"/>
      <c r="D206" s="802"/>
      <c r="E206" s="802"/>
      <c r="F206" s="802"/>
      <c r="G206" s="802"/>
      <c r="H206" s="802"/>
    </row>
    <row r="207" spans="1:8">
      <c r="A207" s="802"/>
      <c r="B207" s="802"/>
      <c r="C207" s="802"/>
      <c r="D207" s="802"/>
      <c r="E207" s="802"/>
      <c r="F207" s="802"/>
      <c r="G207" s="802"/>
      <c r="H207" s="802"/>
    </row>
    <row r="208" spans="1:8">
      <c r="A208" s="803" t="s">
        <v>883</v>
      </c>
      <c r="B208" s="802"/>
      <c r="C208" s="802"/>
      <c r="D208" s="802"/>
      <c r="E208" s="802"/>
      <c r="F208" s="802"/>
      <c r="G208" s="802"/>
      <c r="H208" s="802"/>
    </row>
    <row r="209" spans="1:8">
      <c r="A209" s="803" t="s">
        <v>884</v>
      </c>
      <c r="B209" s="802"/>
      <c r="C209" s="802"/>
      <c r="D209" s="802"/>
      <c r="E209" s="802"/>
      <c r="F209" s="802"/>
      <c r="G209" s="802"/>
      <c r="H209" s="802"/>
    </row>
    <row r="210" spans="1:8">
      <c r="A210" s="803" t="s">
        <v>885</v>
      </c>
      <c r="B210" s="802"/>
      <c r="C210" s="802"/>
      <c r="D210" s="802"/>
      <c r="E210" s="802"/>
      <c r="F210" s="802"/>
      <c r="G210" s="802"/>
      <c r="H210" s="802"/>
    </row>
    <row r="211" spans="1:8" ht="15.75">
      <c r="A211" s="804" t="s">
        <v>728</v>
      </c>
      <c r="B211" s="802"/>
      <c r="C211" s="802"/>
      <c r="D211" s="802"/>
      <c r="E211" s="802"/>
      <c r="F211" s="802"/>
      <c r="G211" s="802"/>
      <c r="H211" s="802"/>
    </row>
    <row r="212" spans="1:8">
      <c r="A212" s="802"/>
      <c r="B212" s="802"/>
      <c r="C212" s="802"/>
      <c r="D212" s="802"/>
      <c r="E212" s="802"/>
      <c r="F212" s="802"/>
      <c r="G212" s="802"/>
      <c r="H212" s="802"/>
    </row>
    <row r="213" spans="1:8">
      <c r="A213" s="803" t="s">
        <v>876</v>
      </c>
      <c r="B213" s="802"/>
      <c r="C213" s="802"/>
      <c r="D213" s="802"/>
      <c r="E213" s="802"/>
      <c r="F213" s="802"/>
      <c r="G213" s="802"/>
      <c r="H213" s="802"/>
    </row>
    <row r="214" spans="1:8">
      <c r="A214" s="803" t="s">
        <v>877</v>
      </c>
      <c r="B214" s="802"/>
      <c r="C214" s="802"/>
      <c r="D214" s="802"/>
      <c r="E214" s="802"/>
      <c r="F214" s="802"/>
      <c r="G214" s="802"/>
      <c r="H214" s="802"/>
    </row>
    <row r="215" spans="1:8">
      <c r="A215" s="803" t="s">
        <v>878</v>
      </c>
      <c r="B215" s="802"/>
      <c r="C215" s="802"/>
      <c r="D215" s="802"/>
      <c r="E215" s="802"/>
      <c r="F215" s="802"/>
      <c r="G215" s="802"/>
      <c r="H215" s="802"/>
    </row>
    <row r="216" spans="1:8">
      <c r="A216" s="803" t="s">
        <v>879</v>
      </c>
      <c r="B216" s="802"/>
      <c r="C216" s="802"/>
      <c r="D216" s="802"/>
      <c r="E216" s="802"/>
      <c r="F216" s="802"/>
      <c r="G216" s="802"/>
      <c r="H216" s="802"/>
    </row>
    <row r="217" spans="1:8">
      <c r="A217" s="803" t="s">
        <v>880</v>
      </c>
      <c r="B217" s="802"/>
      <c r="C217" s="802"/>
      <c r="D217" s="802"/>
      <c r="E217" s="802"/>
      <c r="F217" s="802"/>
      <c r="G217" s="802"/>
      <c r="H217" s="802"/>
    </row>
    <row r="218" spans="1:8">
      <c r="A218" s="803" t="s">
        <v>881</v>
      </c>
      <c r="B218" s="802"/>
      <c r="C218" s="802"/>
      <c r="D218" s="802"/>
      <c r="E218" s="802"/>
      <c r="F218" s="802"/>
      <c r="G218" s="802"/>
      <c r="H218" s="802"/>
    </row>
    <row r="219" spans="1:8">
      <c r="A219" s="803" t="s">
        <v>882</v>
      </c>
      <c r="B219" s="802"/>
      <c r="C219" s="802"/>
      <c r="D219" s="802"/>
      <c r="E219" s="802"/>
      <c r="F219" s="802"/>
      <c r="G219" s="802"/>
      <c r="H219" s="802"/>
    </row>
    <row r="220" spans="1:8">
      <c r="A220" s="802"/>
      <c r="B220" s="802"/>
      <c r="C220" s="802"/>
      <c r="D220" s="802"/>
      <c r="E220" s="802"/>
      <c r="F220" s="802"/>
      <c r="G220" s="802"/>
      <c r="H220" s="802"/>
    </row>
    <row r="221" spans="1:8">
      <c r="A221" s="803" t="s">
        <v>873</v>
      </c>
      <c r="B221" s="802"/>
      <c r="C221" s="802"/>
      <c r="D221" s="802"/>
      <c r="E221" s="802"/>
      <c r="F221" s="802"/>
      <c r="G221" s="802"/>
      <c r="H221" s="802"/>
    </row>
    <row r="222" spans="1:8">
      <c r="A222" s="803" t="s">
        <v>874</v>
      </c>
      <c r="B222" s="802"/>
      <c r="C222" s="802"/>
      <c r="D222" s="802"/>
      <c r="E222" s="802"/>
      <c r="F222" s="802"/>
      <c r="G222" s="802"/>
      <c r="H222" s="802"/>
    </row>
    <row r="223" spans="1:8">
      <c r="A223" s="803" t="s">
        <v>875</v>
      </c>
      <c r="B223" s="802"/>
      <c r="C223" s="802"/>
      <c r="D223" s="802"/>
      <c r="E223" s="802"/>
      <c r="F223" s="802"/>
      <c r="G223" s="802"/>
      <c r="H223" s="802"/>
    </row>
    <row r="224" spans="1:8">
      <c r="A224" s="802"/>
      <c r="B224" s="802"/>
      <c r="C224" s="802"/>
      <c r="D224" s="802"/>
      <c r="E224" s="802"/>
      <c r="F224" s="802"/>
      <c r="G224" s="802"/>
      <c r="H224" s="802"/>
    </row>
    <row r="225" spans="1:8">
      <c r="A225" s="803" t="s">
        <v>868</v>
      </c>
      <c r="B225" s="802"/>
      <c r="C225" s="802"/>
      <c r="D225" s="802"/>
      <c r="E225" s="802"/>
      <c r="F225" s="802"/>
      <c r="G225" s="802"/>
      <c r="H225" s="802"/>
    </row>
    <row r="226" spans="1:8">
      <c r="A226" s="803" t="s">
        <v>869</v>
      </c>
      <c r="B226" s="802"/>
      <c r="C226" s="802"/>
      <c r="D226" s="802"/>
      <c r="E226" s="802"/>
      <c r="F226" s="802"/>
      <c r="G226" s="802"/>
      <c r="H226" s="802"/>
    </row>
    <row r="227" spans="1:8">
      <c r="A227" s="803" t="s">
        <v>870</v>
      </c>
      <c r="B227" s="802"/>
      <c r="C227" s="802"/>
      <c r="D227" s="802"/>
      <c r="E227" s="802"/>
      <c r="F227" s="802"/>
      <c r="G227" s="802"/>
      <c r="H227" s="802"/>
    </row>
    <row r="228" spans="1:8">
      <c r="A228" s="803" t="s">
        <v>871</v>
      </c>
      <c r="B228" s="802"/>
      <c r="C228" s="802"/>
      <c r="D228" s="802"/>
      <c r="E228" s="802"/>
      <c r="F228" s="802"/>
      <c r="G228" s="802"/>
      <c r="H228" s="802"/>
    </row>
    <row r="229" spans="1:8">
      <c r="A229" s="803" t="s">
        <v>872</v>
      </c>
      <c r="B229" s="802"/>
      <c r="C229" s="802"/>
      <c r="D229" s="802"/>
      <c r="E229" s="802"/>
      <c r="F229" s="802"/>
      <c r="G229" s="802"/>
      <c r="H229" s="802"/>
    </row>
    <row r="230" spans="1:8">
      <c r="A230" s="802"/>
      <c r="B230" s="802"/>
      <c r="C230" s="802"/>
      <c r="D230" s="802"/>
      <c r="E230" s="802"/>
      <c r="F230" s="802"/>
      <c r="G230" s="802"/>
      <c r="H230" s="802"/>
    </row>
    <row r="231" spans="1:8">
      <c r="A231" s="803" t="s">
        <v>862</v>
      </c>
      <c r="B231" s="802"/>
      <c r="C231" s="802"/>
      <c r="D231" s="802"/>
      <c r="E231" s="802"/>
      <c r="F231" s="802"/>
      <c r="G231" s="802"/>
      <c r="H231" s="802"/>
    </row>
    <row r="232" spans="1:8">
      <c r="A232" s="803" t="s">
        <v>863</v>
      </c>
      <c r="B232" s="802"/>
      <c r="C232" s="802"/>
      <c r="D232" s="802"/>
      <c r="E232" s="802"/>
      <c r="F232" s="802"/>
      <c r="G232" s="802"/>
      <c r="H232" s="802"/>
    </row>
    <row r="233" spans="1:8">
      <c r="A233" s="803" t="s">
        <v>864</v>
      </c>
      <c r="B233" s="802"/>
      <c r="C233" s="802"/>
      <c r="D233" s="802"/>
      <c r="E233" s="802"/>
      <c r="F233" s="802"/>
      <c r="G233" s="802"/>
      <c r="H233" s="802"/>
    </row>
    <row r="234" spans="1:8">
      <c r="A234" s="803" t="s">
        <v>865</v>
      </c>
      <c r="B234" s="802"/>
      <c r="C234" s="802"/>
      <c r="D234" s="802"/>
      <c r="E234" s="802"/>
      <c r="F234" s="802"/>
      <c r="G234" s="802"/>
      <c r="H234" s="802"/>
    </row>
    <row r="235" spans="1:8">
      <c r="A235" s="803" t="s">
        <v>866</v>
      </c>
      <c r="B235" s="802"/>
      <c r="C235" s="802"/>
      <c r="D235" s="802"/>
      <c r="E235" s="802"/>
      <c r="F235" s="802"/>
      <c r="G235" s="802"/>
      <c r="H235" s="802"/>
    </row>
    <row r="236" spans="1:8">
      <c r="A236" s="803" t="s">
        <v>867</v>
      </c>
      <c r="B236" s="802"/>
      <c r="C236" s="802"/>
      <c r="D236" s="802"/>
      <c r="E236" s="802"/>
      <c r="F236" s="802"/>
      <c r="G236" s="802"/>
      <c r="H236" s="802"/>
    </row>
    <row r="237" spans="1:8">
      <c r="A237" s="802"/>
      <c r="B237" s="802"/>
      <c r="C237" s="802"/>
      <c r="D237" s="802"/>
      <c r="E237" s="802"/>
      <c r="F237" s="802"/>
      <c r="G237" s="802"/>
      <c r="H237" s="802"/>
    </row>
    <row r="238" spans="1:8">
      <c r="A238" s="803" t="s">
        <v>852</v>
      </c>
      <c r="B238" s="802"/>
      <c r="C238" s="802"/>
      <c r="D238" s="802"/>
      <c r="E238" s="802"/>
      <c r="F238" s="802"/>
      <c r="G238" s="802"/>
      <c r="H238" s="802"/>
    </row>
    <row r="239" spans="1:8">
      <c r="A239" s="803" t="s">
        <v>853</v>
      </c>
      <c r="B239" s="802"/>
      <c r="C239" s="802"/>
      <c r="D239" s="802"/>
      <c r="E239" s="802"/>
      <c r="F239" s="802"/>
      <c r="G239" s="802"/>
      <c r="H239" s="802"/>
    </row>
    <row r="240" spans="1:8">
      <c r="A240" s="803" t="s">
        <v>854</v>
      </c>
      <c r="B240" s="802"/>
      <c r="C240" s="802"/>
      <c r="D240" s="802"/>
      <c r="E240" s="802"/>
      <c r="F240" s="802"/>
      <c r="G240" s="802"/>
      <c r="H240" s="802"/>
    </row>
    <row r="241" spans="1:8">
      <c r="A241" s="803" t="s">
        <v>855</v>
      </c>
      <c r="B241" s="802"/>
      <c r="C241" s="802"/>
      <c r="D241" s="802"/>
      <c r="E241" s="802"/>
      <c r="F241" s="802"/>
      <c r="G241" s="802"/>
      <c r="H241" s="802"/>
    </row>
    <row r="242" spans="1:8">
      <c r="A242" s="803" t="s">
        <v>856</v>
      </c>
      <c r="B242" s="802"/>
      <c r="C242" s="802"/>
      <c r="D242" s="802"/>
      <c r="E242" s="802"/>
      <c r="F242" s="802"/>
      <c r="G242" s="802"/>
      <c r="H242" s="802"/>
    </row>
    <row r="243" spans="1:8">
      <c r="A243" s="803" t="s">
        <v>857</v>
      </c>
      <c r="B243" s="802"/>
      <c r="C243" s="802"/>
      <c r="D243" s="802"/>
      <c r="E243" s="802"/>
      <c r="F243" s="802"/>
      <c r="G243" s="802"/>
      <c r="H243" s="802"/>
    </row>
    <row r="244" spans="1:8">
      <c r="A244" s="803" t="s">
        <v>858</v>
      </c>
      <c r="B244" s="802"/>
      <c r="C244" s="802"/>
      <c r="D244" s="802"/>
      <c r="E244" s="802"/>
      <c r="F244" s="802"/>
      <c r="G244" s="802"/>
      <c r="H244" s="802"/>
    </row>
    <row r="245" spans="1:8">
      <c r="A245" s="803" t="s">
        <v>859</v>
      </c>
      <c r="B245" s="802"/>
      <c r="C245" s="802"/>
      <c r="D245" s="802"/>
      <c r="E245" s="802"/>
      <c r="F245" s="802"/>
      <c r="G245" s="802"/>
      <c r="H245" s="802"/>
    </row>
    <row r="246" spans="1:8">
      <c r="A246" s="803" t="s">
        <v>860</v>
      </c>
      <c r="B246" s="802"/>
      <c r="C246" s="802"/>
      <c r="D246" s="802"/>
      <c r="E246" s="802"/>
      <c r="F246" s="802"/>
      <c r="G246" s="802"/>
      <c r="H246" s="802"/>
    </row>
    <row r="247" spans="1:8">
      <c r="A247" s="803" t="s">
        <v>861</v>
      </c>
      <c r="B247" s="802"/>
      <c r="C247" s="802"/>
      <c r="D247" s="802"/>
      <c r="E247" s="802"/>
      <c r="F247" s="802"/>
      <c r="G247" s="802"/>
      <c r="H247" s="802"/>
    </row>
    <row r="248" spans="1:8">
      <c r="A248" s="802"/>
      <c r="B248" s="802"/>
      <c r="C248" s="802"/>
      <c r="D248" s="802"/>
      <c r="E248" s="802"/>
      <c r="F248" s="802"/>
      <c r="G248" s="802"/>
      <c r="H248" s="802"/>
    </row>
    <row r="249" spans="1:8">
      <c r="A249" s="803" t="s">
        <v>850</v>
      </c>
      <c r="B249" s="802"/>
      <c r="C249" s="802"/>
      <c r="D249" s="802"/>
      <c r="E249" s="802"/>
      <c r="F249" s="802"/>
      <c r="G249" s="802"/>
      <c r="H249" s="802"/>
    </row>
    <row r="250" spans="1:8">
      <c r="A250" s="803" t="s">
        <v>851</v>
      </c>
      <c r="B250" s="802"/>
      <c r="C250" s="802"/>
      <c r="D250" s="802"/>
      <c r="E250" s="802"/>
      <c r="F250" s="802"/>
      <c r="G250" s="802"/>
      <c r="H250" s="802"/>
    </row>
    <row r="251" spans="1:8">
      <c r="A251" s="802"/>
      <c r="B251" s="802"/>
      <c r="C251" s="802"/>
      <c r="D251" s="802"/>
      <c r="E251" s="802"/>
      <c r="F251" s="802"/>
      <c r="G251" s="802"/>
      <c r="H251" s="802"/>
    </row>
    <row r="252" spans="1:8">
      <c r="A252" s="803" t="s">
        <v>834</v>
      </c>
      <c r="B252" s="802"/>
      <c r="C252" s="802"/>
      <c r="D252" s="802"/>
      <c r="E252" s="802"/>
      <c r="F252" s="802"/>
      <c r="G252" s="802"/>
      <c r="H252" s="802"/>
    </row>
    <row r="253" spans="1:8">
      <c r="A253" s="803" t="s">
        <v>835</v>
      </c>
      <c r="B253" s="802"/>
      <c r="C253" s="802"/>
      <c r="D253" s="802"/>
      <c r="E253" s="802"/>
      <c r="F253" s="802"/>
      <c r="G253" s="802"/>
      <c r="H253" s="802"/>
    </row>
    <row r="254" spans="1:8">
      <c r="A254" s="803" t="s">
        <v>836</v>
      </c>
      <c r="B254" s="802"/>
      <c r="C254" s="802"/>
      <c r="D254" s="802"/>
      <c r="E254" s="802"/>
      <c r="F254" s="802"/>
      <c r="G254" s="802"/>
      <c r="H254" s="802"/>
    </row>
    <row r="255" spans="1:8">
      <c r="A255" s="803" t="s">
        <v>837</v>
      </c>
      <c r="B255" s="802"/>
      <c r="C255" s="802"/>
      <c r="D255" s="802"/>
      <c r="E255" s="802"/>
      <c r="F255" s="802"/>
      <c r="G255" s="802"/>
      <c r="H255" s="802"/>
    </row>
    <row r="256" spans="1:8">
      <c r="A256" s="803" t="s">
        <v>838</v>
      </c>
      <c r="B256" s="802"/>
      <c r="C256" s="802"/>
      <c r="D256" s="802"/>
      <c r="E256" s="802"/>
      <c r="F256" s="802"/>
      <c r="G256" s="802"/>
      <c r="H256" s="802"/>
    </row>
    <row r="257" spans="1:8">
      <c r="A257" s="803" t="s">
        <v>839</v>
      </c>
      <c r="B257" s="802"/>
      <c r="C257" s="802"/>
      <c r="D257" s="802"/>
      <c r="E257" s="802"/>
      <c r="F257" s="802"/>
      <c r="G257" s="802"/>
      <c r="H257" s="802"/>
    </row>
    <row r="258" spans="1:8">
      <c r="A258" s="803" t="s">
        <v>840</v>
      </c>
      <c r="B258" s="802"/>
      <c r="C258" s="802"/>
      <c r="D258" s="802"/>
      <c r="E258" s="802"/>
      <c r="F258" s="802"/>
      <c r="G258" s="802"/>
      <c r="H258" s="802"/>
    </row>
    <row r="259" spans="1:8">
      <c r="A259" s="803" t="s">
        <v>841</v>
      </c>
      <c r="B259" s="802"/>
      <c r="C259" s="802"/>
      <c r="D259" s="802"/>
      <c r="E259" s="802"/>
      <c r="F259" s="802"/>
      <c r="G259" s="802"/>
      <c r="H259" s="802"/>
    </row>
    <row r="260" spans="1:8">
      <c r="A260" s="803" t="s">
        <v>842</v>
      </c>
      <c r="B260" s="802"/>
      <c r="C260" s="802"/>
      <c r="D260" s="802"/>
      <c r="E260" s="802"/>
      <c r="F260" s="802"/>
      <c r="G260" s="802"/>
      <c r="H260" s="802"/>
    </row>
    <row r="261" spans="1:8">
      <c r="A261" s="803" t="s">
        <v>843</v>
      </c>
      <c r="B261" s="802"/>
      <c r="C261" s="802"/>
      <c r="D261" s="802"/>
      <c r="E261" s="802"/>
      <c r="F261" s="802"/>
      <c r="G261" s="802"/>
      <c r="H261" s="802"/>
    </row>
    <row r="262" spans="1:8">
      <c r="A262" s="803" t="s">
        <v>844</v>
      </c>
      <c r="B262" s="802"/>
      <c r="C262" s="802"/>
      <c r="D262" s="802"/>
      <c r="E262" s="802"/>
      <c r="F262" s="802"/>
      <c r="G262" s="802"/>
      <c r="H262" s="802"/>
    </row>
    <row r="263" spans="1:8">
      <c r="A263" s="803" t="s">
        <v>845</v>
      </c>
      <c r="B263" s="802"/>
      <c r="C263" s="802"/>
      <c r="D263" s="802"/>
      <c r="E263" s="802"/>
      <c r="F263" s="802"/>
      <c r="G263" s="802"/>
      <c r="H263" s="802"/>
    </row>
    <row r="264" spans="1:8">
      <c r="A264" s="803" t="s">
        <v>846</v>
      </c>
      <c r="B264" s="802"/>
      <c r="C264" s="802"/>
      <c r="D264" s="802"/>
      <c r="E264" s="802"/>
      <c r="F264" s="802"/>
      <c r="G264" s="802"/>
      <c r="H264" s="802"/>
    </row>
    <row r="265" spans="1:8">
      <c r="A265" s="803" t="s">
        <v>847</v>
      </c>
      <c r="B265" s="802"/>
      <c r="C265" s="802"/>
      <c r="D265" s="802"/>
      <c r="E265" s="802"/>
      <c r="F265" s="802"/>
      <c r="G265" s="802"/>
      <c r="H265" s="802"/>
    </row>
    <row r="266" spans="1:8">
      <c r="A266" s="803" t="s">
        <v>848</v>
      </c>
      <c r="B266" s="802"/>
      <c r="C266" s="802"/>
      <c r="D266" s="802"/>
      <c r="E266" s="802"/>
      <c r="F266" s="802"/>
      <c r="G266" s="802"/>
      <c r="H266" s="802"/>
    </row>
    <row r="267" spans="1:8">
      <c r="A267" s="803" t="s">
        <v>849</v>
      </c>
      <c r="B267" s="802"/>
      <c r="C267" s="802"/>
      <c r="D267" s="802"/>
      <c r="E267" s="802"/>
      <c r="F267" s="802"/>
      <c r="G267" s="802"/>
      <c r="H267" s="802"/>
    </row>
    <row r="268" spans="1:8">
      <c r="A268" s="802"/>
      <c r="B268" s="802"/>
      <c r="C268" s="802"/>
      <c r="D268" s="802"/>
      <c r="E268" s="802"/>
      <c r="F268" s="802"/>
      <c r="G268" s="802"/>
      <c r="H268" s="802"/>
    </row>
    <row r="269" spans="1:8">
      <c r="A269" s="803" t="s">
        <v>827</v>
      </c>
      <c r="B269" s="802"/>
      <c r="C269" s="802"/>
      <c r="D269" s="802"/>
      <c r="E269" s="802"/>
      <c r="F269" s="802"/>
      <c r="G269" s="802"/>
      <c r="H269" s="802"/>
    </row>
    <row r="270" spans="1:8">
      <c r="A270" s="803" t="s">
        <v>828</v>
      </c>
      <c r="B270" s="802"/>
      <c r="C270" s="802"/>
      <c r="D270" s="802"/>
      <c r="E270" s="802"/>
      <c r="F270" s="802"/>
      <c r="G270" s="802"/>
      <c r="H270" s="802"/>
    </row>
    <row r="271" spans="1:8">
      <c r="A271" s="803" t="s">
        <v>829</v>
      </c>
      <c r="B271" s="802"/>
      <c r="C271" s="802"/>
      <c r="D271" s="802"/>
      <c r="E271" s="802"/>
      <c r="F271" s="802"/>
      <c r="G271" s="802"/>
      <c r="H271" s="802"/>
    </row>
    <row r="272" spans="1:8">
      <c r="A272" s="803" t="s">
        <v>830</v>
      </c>
      <c r="B272" s="802"/>
      <c r="C272" s="802"/>
      <c r="D272" s="802"/>
      <c r="E272" s="802"/>
      <c r="F272" s="802"/>
      <c r="G272" s="802"/>
      <c r="H272" s="802"/>
    </row>
    <row r="273" spans="1:8">
      <c r="A273" s="803" t="s">
        <v>831</v>
      </c>
      <c r="B273" s="802"/>
      <c r="C273" s="802"/>
      <c r="D273" s="802"/>
      <c r="E273" s="802"/>
      <c r="F273" s="802"/>
      <c r="G273" s="802"/>
      <c r="H273" s="802"/>
    </row>
    <row r="274" spans="1:8">
      <c r="A274" s="803" t="s">
        <v>832</v>
      </c>
      <c r="B274" s="802"/>
      <c r="C274" s="802"/>
      <c r="D274" s="802"/>
      <c r="E274" s="802"/>
      <c r="F274" s="802"/>
      <c r="G274" s="802"/>
      <c r="H274" s="802"/>
    </row>
    <row r="275" spans="1:8">
      <c r="A275" s="803" t="s">
        <v>833</v>
      </c>
      <c r="B275" s="802"/>
      <c r="C275" s="802"/>
      <c r="D275" s="802"/>
      <c r="E275" s="802"/>
      <c r="F275" s="802"/>
      <c r="G275" s="802"/>
      <c r="H275" s="802"/>
    </row>
    <row r="276" spans="1:8">
      <c r="A276" s="802"/>
      <c r="B276" s="802"/>
      <c r="C276" s="802"/>
      <c r="D276" s="802"/>
      <c r="E276" s="802"/>
      <c r="F276" s="802"/>
      <c r="G276" s="802"/>
      <c r="H276" s="802"/>
    </row>
    <row r="277" spans="1:8">
      <c r="A277" s="803" t="s">
        <v>818</v>
      </c>
      <c r="B277" s="802"/>
      <c r="C277" s="802"/>
      <c r="D277" s="802"/>
      <c r="E277" s="802"/>
      <c r="F277" s="802"/>
      <c r="G277" s="802"/>
      <c r="H277" s="802"/>
    </row>
    <row r="278" spans="1:8">
      <c r="A278" s="803" t="s">
        <v>819</v>
      </c>
      <c r="B278" s="802"/>
      <c r="C278" s="802"/>
      <c r="D278" s="802"/>
      <c r="E278" s="802"/>
      <c r="F278" s="802"/>
      <c r="G278" s="802"/>
      <c r="H278" s="802"/>
    </row>
    <row r="279" spans="1:8">
      <c r="A279" s="803" t="s">
        <v>820</v>
      </c>
      <c r="B279" s="802"/>
      <c r="C279" s="802"/>
      <c r="D279" s="802"/>
      <c r="E279" s="802"/>
      <c r="F279" s="802"/>
      <c r="G279" s="802"/>
      <c r="H279" s="802"/>
    </row>
    <row r="280" spans="1:8">
      <c r="A280" s="803" t="s">
        <v>821</v>
      </c>
      <c r="B280" s="802"/>
      <c r="C280" s="802"/>
      <c r="D280" s="802"/>
      <c r="E280" s="802"/>
      <c r="F280" s="802"/>
      <c r="G280" s="802"/>
      <c r="H280" s="802"/>
    </row>
    <row r="281" spans="1:8">
      <c r="A281" s="803" t="s">
        <v>822</v>
      </c>
      <c r="B281" s="802"/>
      <c r="C281" s="802"/>
      <c r="D281" s="802"/>
      <c r="E281" s="802"/>
      <c r="F281" s="802"/>
      <c r="G281" s="802"/>
      <c r="H281" s="802"/>
    </row>
    <row r="282" spans="1:8">
      <c r="A282" s="803" t="s">
        <v>823</v>
      </c>
      <c r="B282" s="802"/>
      <c r="C282" s="802"/>
      <c r="D282" s="802"/>
      <c r="E282" s="802"/>
      <c r="F282" s="802"/>
      <c r="G282" s="802"/>
      <c r="H282" s="802"/>
    </row>
    <row r="283" spans="1:8">
      <c r="A283" s="803" t="s">
        <v>824</v>
      </c>
      <c r="B283" s="802"/>
      <c r="C283" s="802"/>
      <c r="D283" s="802"/>
      <c r="E283" s="802"/>
      <c r="F283" s="802"/>
      <c r="G283" s="802"/>
      <c r="H283" s="802"/>
    </row>
    <row r="284" spans="1:8">
      <c r="A284" s="803" t="s">
        <v>825</v>
      </c>
      <c r="B284" s="802"/>
      <c r="C284" s="802"/>
      <c r="D284" s="802"/>
      <c r="E284" s="802"/>
      <c r="F284" s="802"/>
      <c r="G284" s="802"/>
      <c r="H284" s="802"/>
    </row>
    <row r="285" spans="1:8">
      <c r="A285" s="803" t="s">
        <v>826</v>
      </c>
      <c r="B285" s="802"/>
      <c r="C285" s="802"/>
      <c r="D285" s="802"/>
      <c r="E285" s="802"/>
      <c r="F285" s="802"/>
      <c r="G285" s="802"/>
      <c r="H285" s="802"/>
    </row>
    <row r="286" spans="1:8">
      <c r="A286" s="802"/>
      <c r="B286" s="802"/>
      <c r="C286" s="802"/>
      <c r="D286" s="802"/>
      <c r="E286" s="802"/>
      <c r="F286" s="802"/>
      <c r="G286" s="802"/>
      <c r="H286" s="802"/>
    </row>
    <row r="287" spans="1:8">
      <c r="A287" s="803" t="s">
        <v>811</v>
      </c>
      <c r="B287" s="802"/>
      <c r="C287" s="802"/>
      <c r="D287" s="802"/>
      <c r="E287" s="802"/>
      <c r="F287" s="802"/>
      <c r="G287" s="802"/>
      <c r="H287" s="802"/>
    </row>
    <row r="288" spans="1:8">
      <c r="A288" s="803" t="s">
        <v>812</v>
      </c>
      <c r="B288" s="802"/>
      <c r="C288" s="802"/>
      <c r="D288" s="802"/>
      <c r="E288" s="802"/>
      <c r="F288" s="802"/>
      <c r="G288" s="802"/>
      <c r="H288" s="802"/>
    </row>
    <row r="289" spans="1:8">
      <c r="A289" s="803" t="s">
        <v>813</v>
      </c>
      <c r="B289" s="802"/>
      <c r="C289" s="802"/>
      <c r="D289" s="802"/>
      <c r="E289" s="802"/>
      <c r="F289" s="802"/>
      <c r="G289" s="802"/>
      <c r="H289" s="802"/>
    </row>
    <row r="290" spans="1:8">
      <c r="A290" s="803" t="s">
        <v>814</v>
      </c>
      <c r="B290" s="802"/>
      <c r="C290" s="802"/>
      <c r="D290" s="802"/>
      <c r="E290" s="802"/>
      <c r="F290" s="802"/>
      <c r="G290" s="802"/>
      <c r="H290" s="802"/>
    </row>
    <row r="291" spans="1:8">
      <c r="A291" s="803" t="s">
        <v>815</v>
      </c>
      <c r="B291" s="802"/>
      <c r="C291" s="802"/>
      <c r="D291" s="802"/>
      <c r="E291" s="802"/>
      <c r="F291" s="802"/>
      <c r="G291" s="802"/>
      <c r="H291" s="802"/>
    </row>
    <row r="292" spans="1:8">
      <c r="A292" s="803" t="s">
        <v>816</v>
      </c>
      <c r="B292" s="802"/>
      <c r="C292" s="802"/>
      <c r="D292" s="802"/>
      <c r="E292" s="802"/>
      <c r="F292" s="802"/>
      <c r="G292" s="802"/>
      <c r="H292" s="802"/>
    </row>
    <row r="293" spans="1:8">
      <c r="A293" s="803" t="s">
        <v>817</v>
      </c>
      <c r="B293" s="802"/>
      <c r="C293" s="802"/>
      <c r="D293" s="802"/>
      <c r="E293" s="802"/>
      <c r="F293" s="802"/>
      <c r="G293" s="802"/>
      <c r="H293" s="802"/>
    </row>
    <row r="294" spans="1:8">
      <c r="A294" s="802"/>
      <c r="B294" s="802"/>
      <c r="C294" s="802"/>
      <c r="D294" s="802"/>
      <c r="E294" s="802"/>
      <c r="F294" s="802"/>
      <c r="G294" s="802"/>
      <c r="H294" s="802"/>
    </row>
    <row r="295" spans="1:8">
      <c r="A295" s="803" t="s">
        <v>808</v>
      </c>
      <c r="B295" s="802"/>
      <c r="C295" s="802"/>
      <c r="D295" s="802"/>
      <c r="E295" s="802"/>
      <c r="F295" s="802"/>
      <c r="G295" s="802"/>
      <c r="H295" s="802"/>
    </row>
    <row r="296" spans="1:8">
      <c r="A296" s="803" t="s">
        <v>809</v>
      </c>
      <c r="B296" s="802"/>
      <c r="C296" s="802"/>
      <c r="D296" s="802"/>
      <c r="E296" s="802"/>
      <c r="F296" s="802"/>
      <c r="G296" s="802"/>
      <c r="H296" s="802"/>
    </row>
    <row r="297" spans="1:8">
      <c r="A297" s="803" t="s">
        <v>810</v>
      </c>
      <c r="B297" s="802"/>
      <c r="C297" s="802"/>
      <c r="D297" s="802"/>
      <c r="E297" s="802"/>
      <c r="F297" s="802"/>
      <c r="G297" s="802"/>
      <c r="H297" s="802"/>
    </row>
    <row r="298" spans="1:8">
      <c r="A298" s="802"/>
      <c r="B298" s="802"/>
      <c r="C298" s="802"/>
      <c r="D298" s="802"/>
      <c r="E298" s="802"/>
      <c r="F298" s="802"/>
      <c r="G298" s="802"/>
      <c r="H298" s="802"/>
    </row>
    <row r="299" spans="1:8">
      <c r="A299" s="803" t="s">
        <v>806</v>
      </c>
      <c r="B299" s="802"/>
      <c r="C299" s="802"/>
      <c r="D299" s="802"/>
      <c r="E299" s="802"/>
      <c r="F299" s="802"/>
      <c r="G299" s="802"/>
      <c r="H299" s="802"/>
    </row>
    <row r="300" spans="1:8">
      <c r="A300" s="803" t="s">
        <v>807</v>
      </c>
      <c r="B300" s="802"/>
      <c r="C300" s="802"/>
      <c r="D300" s="802"/>
      <c r="E300" s="802"/>
      <c r="F300" s="802"/>
      <c r="G300" s="802"/>
      <c r="H300" s="802"/>
    </row>
    <row r="301" spans="1:8">
      <c r="A301" s="802"/>
      <c r="B301" s="802"/>
      <c r="C301" s="802"/>
      <c r="D301" s="802"/>
      <c r="E301" s="802"/>
      <c r="F301" s="802"/>
      <c r="G301" s="802"/>
      <c r="H301" s="802"/>
    </row>
    <row r="302" spans="1:8">
      <c r="A302" s="803" t="s">
        <v>793</v>
      </c>
      <c r="B302" s="802"/>
      <c r="C302" s="802"/>
      <c r="D302" s="802"/>
      <c r="E302" s="802"/>
      <c r="F302" s="802"/>
      <c r="G302" s="802"/>
      <c r="H302" s="802"/>
    </row>
    <row r="303" spans="1:8">
      <c r="A303" s="803" t="s">
        <v>794</v>
      </c>
      <c r="B303" s="802"/>
      <c r="C303" s="802"/>
      <c r="D303" s="802"/>
      <c r="E303" s="802"/>
      <c r="F303" s="802"/>
      <c r="G303" s="802"/>
      <c r="H303" s="802"/>
    </row>
    <row r="304" spans="1:8">
      <c r="A304" s="803" t="s">
        <v>795</v>
      </c>
      <c r="B304" s="802"/>
      <c r="C304" s="802"/>
      <c r="D304" s="802"/>
      <c r="E304" s="802"/>
      <c r="F304" s="802"/>
      <c r="G304" s="802"/>
      <c r="H304" s="802"/>
    </row>
    <row r="305" spans="1:8">
      <c r="A305" s="803" t="s">
        <v>796</v>
      </c>
      <c r="B305" s="802"/>
      <c r="C305" s="802"/>
      <c r="D305" s="802"/>
      <c r="E305" s="802"/>
      <c r="F305" s="802"/>
      <c r="G305" s="802"/>
      <c r="H305" s="802"/>
    </row>
    <row r="306" spans="1:8">
      <c r="A306" s="803" t="s">
        <v>797</v>
      </c>
      <c r="B306" s="802"/>
      <c r="C306" s="802"/>
      <c r="D306" s="802"/>
      <c r="E306" s="802"/>
      <c r="F306" s="802"/>
      <c r="G306" s="802"/>
      <c r="H306" s="802"/>
    </row>
    <row r="307" spans="1:8">
      <c r="A307" s="803" t="s">
        <v>798</v>
      </c>
      <c r="B307" s="802"/>
      <c r="C307" s="802"/>
      <c r="D307" s="802"/>
      <c r="E307" s="802"/>
      <c r="F307" s="802"/>
      <c r="G307" s="802"/>
      <c r="H307" s="802"/>
    </row>
    <row r="308" spans="1:8">
      <c r="A308" s="803" t="s">
        <v>799</v>
      </c>
      <c r="B308" s="802"/>
      <c r="C308" s="802"/>
      <c r="D308" s="802"/>
      <c r="E308" s="802"/>
      <c r="F308" s="802"/>
      <c r="G308" s="802"/>
      <c r="H308" s="802"/>
    </row>
    <row r="309" spans="1:8">
      <c r="A309" s="803" t="s">
        <v>800</v>
      </c>
      <c r="B309" s="802"/>
      <c r="C309" s="802"/>
      <c r="D309" s="802"/>
      <c r="E309" s="802"/>
      <c r="F309" s="802"/>
      <c r="G309" s="802"/>
      <c r="H309" s="802"/>
    </row>
    <row r="310" spans="1:8">
      <c r="A310" s="803" t="s">
        <v>801</v>
      </c>
      <c r="B310" s="802"/>
      <c r="C310" s="802"/>
      <c r="D310" s="802"/>
      <c r="E310" s="802"/>
      <c r="F310" s="802"/>
      <c r="G310" s="802"/>
      <c r="H310" s="802"/>
    </row>
    <row r="311" spans="1:8">
      <c r="A311" s="803" t="s">
        <v>802</v>
      </c>
      <c r="B311" s="802"/>
      <c r="C311" s="802"/>
      <c r="D311" s="802"/>
      <c r="E311" s="802"/>
      <c r="F311" s="802"/>
      <c r="G311" s="802"/>
      <c r="H311" s="802"/>
    </row>
    <row r="312" spans="1:8">
      <c r="A312" s="803" t="s">
        <v>803</v>
      </c>
      <c r="B312" s="802"/>
      <c r="C312" s="802"/>
      <c r="D312" s="802"/>
      <c r="E312" s="802"/>
      <c r="F312" s="802"/>
      <c r="G312" s="802"/>
      <c r="H312" s="802"/>
    </row>
    <row r="313" spans="1:8">
      <c r="A313" s="803" t="s">
        <v>804</v>
      </c>
      <c r="B313" s="802"/>
      <c r="C313" s="802"/>
      <c r="D313" s="802"/>
      <c r="E313" s="802"/>
      <c r="F313" s="802"/>
      <c r="G313" s="802"/>
      <c r="H313" s="802"/>
    </row>
    <row r="314" spans="1:8">
      <c r="A314" s="803" t="s">
        <v>805</v>
      </c>
      <c r="B314" s="802"/>
      <c r="C314" s="802"/>
      <c r="D314" s="802"/>
      <c r="E314" s="802"/>
      <c r="F314" s="802"/>
      <c r="G314" s="802"/>
      <c r="H314" s="802"/>
    </row>
    <row r="315" spans="1:8">
      <c r="A315" s="802"/>
      <c r="B315" s="802"/>
      <c r="C315" s="802"/>
      <c r="D315" s="802"/>
      <c r="E315" s="802"/>
      <c r="F315" s="802"/>
      <c r="G315" s="802"/>
      <c r="H315" s="802"/>
    </row>
    <row r="316" spans="1:8">
      <c r="A316" s="803" t="s">
        <v>785</v>
      </c>
      <c r="B316" s="802"/>
      <c r="C316" s="802"/>
      <c r="D316" s="802"/>
      <c r="E316" s="802"/>
      <c r="F316" s="802"/>
      <c r="G316" s="802"/>
      <c r="H316" s="802"/>
    </row>
    <row r="317" spans="1:8">
      <c r="A317" s="803" t="s">
        <v>786</v>
      </c>
      <c r="B317" s="802"/>
      <c r="C317" s="802"/>
      <c r="D317" s="802"/>
      <c r="E317" s="802"/>
      <c r="F317" s="802"/>
      <c r="G317" s="802"/>
      <c r="H317" s="802"/>
    </row>
    <row r="318" spans="1:8">
      <c r="A318" s="803" t="s">
        <v>787</v>
      </c>
      <c r="B318" s="802"/>
      <c r="C318" s="802"/>
      <c r="D318" s="802"/>
      <c r="E318" s="802"/>
      <c r="F318" s="802"/>
      <c r="G318" s="802"/>
      <c r="H318" s="802"/>
    </row>
    <row r="319" spans="1:8">
      <c r="A319" s="803" t="s">
        <v>788</v>
      </c>
      <c r="B319" s="802"/>
      <c r="C319" s="802"/>
      <c r="D319" s="802"/>
      <c r="E319" s="802"/>
      <c r="F319" s="802"/>
      <c r="G319" s="802"/>
      <c r="H319" s="802"/>
    </row>
    <row r="320" spans="1:8">
      <c r="A320" s="803" t="s">
        <v>789</v>
      </c>
      <c r="B320" s="802"/>
      <c r="C320" s="802"/>
      <c r="D320" s="802"/>
      <c r="E320" s="802"/>
      <c r="F320" s="802"/>
      <c r="G320" s="802"/>
      <c r="H320" s="802"/>
    </row>
    <row r="321" spans="1:8">
      <c r="A321" s="803" t="s">
        <v>790</v>
      </c>
      <c r="B321" s="802"/>
      <c r="C321" s="802"/>
      <c r="D321" s="802"/>
      <c r="E321" s="802"/>
      <c r="F321" s="802"/>
      <c r="G321" s="802"/>
      <c r="H321" s="802"/>
    </row>
    <row r="322" spans="1:8">
      <c r="A322" s="803" t="s">
        <v>791</v>
      </c>
      <c r="B322" s="802"/>
      <c r="C322" s="802"/>
      <c r="D322" s="802"/>
      <c r="E322" s="802"/>
      <c r="F322" s="802"/>
      <c r="G322" s="802"/>
      <c r="H322" s="802"/>
    </row>
    <row r="323" spans="1:8">
      <c r="A323" s="803" t="s">
        <v>792</v>
      </c>
      <c r="B323" s="802"/>
      <c r="C323" s="802"/>
      <c r="D323" s="802"/>
      <c r="E323" s="802"/>
      <c r="F323" s="802"/>
      <c r="G323" s="802"/>
      <c r="H323" s="802"/>
    </row>
    <row r="324" spans="1:8">
      <c r="A324" s="802"/>
      <c r="B324" s="802"/>
      <c r="C324" s="802"/>
      <c r="D324" s="802"/>
      <c r="E324" s="802"/>
      <c r="F324" s="802"/>
      <c r="G324" s="802"/>
      <c r="H324" s="802"/>
    </row>
    <row r="325" spans="1:8">
      <c r="A325" s="803" t="s">
        <v>750</v>
      </c>
      <c r="B325" s="802"/>
      <c r="C325" s="802"/>
      <c r="D325" s="802"/>
      <c r="E325" s="802"/>
      <c r="F325" s="802"/>
      <c r="G325" s="802"/>
      <c r="H325" s="802"/>
    </row>
    <row r="326" spans="1:8">
      <c r="A326" s="803" t="s">
        <v>751</v>
      </c>
      <c r="B326" s="802"/>
      <c r="C326" s="802"/>
      <c r="D326" s="802"/>
      <c r="E326" s="802"/>
      <c r="F326" s="802"/>
      <c r="G326" s="802"/>
      <c r="H326" s="802"/>
    </row>
    <row r="327" spans="1:8">
      <c r="A327" s="803" t="s">
        <v>752</v>
      </c>
      <c r="B327" s="802"/>
      <c r="C327" s="802"/>
      <c r="D327" s="802"/>
      <c r="E327" s="802"/>
      <c r="F327" s="802"/>
      <c r="G327" s="802"/>
      <c r="H327" s="802"/>
    </row>
    <row r="328" spans="1:8">
      <c r="A328" s="803" t="s">
        <v>753</v>
      </c>
      <c r="B328" s="802"/>
      <c r="C328" s="802"/>
      <c r="D328" s="802"/>
      <c r="E328" s="802"/>
      <c r="F328" s="802"/>
      <c r="G328" s="802"/>
      <c r="H328" s="802"/>
    </row>
    <row r="329" spans="1:8">
      <c r="A329" s="803" t="s">
        <v>754</v>
      </c>
      <c r="B329" s="802"/>
      <c r="C329" s="802"/>
      <c r="D329" s="802"/>
      <c r="E329" s="802"/>
      <c r="F329" s="802"/>
      <c r="G329" s="802"/>
      <c r="H329" s="802"/>
    </row>
    <row r="330" spans="1:8">
      <c r="A330" s="803" t="s">
        <v>755</v>
      </c>
      <c r="B330" s="802"/>
      <c r="C330" s="802"/>
      <c r="D330" s="802"/>
      <c r="E330" s="802"/>
      <c r="F330" s="802"/>
      <c r="G330" s="802"/>
      <c r="H330" s="802"/>
    </row>
    <row r="331" spans="1:8">
      <c r="A331" s="803" t="s">
        <v>756</v>
      </c>
      <c r="B331" s="802"/>
      <c r="C331" s="802"/>
      <c r="D331" s="802"/>
      <c r="E331" s="802"/>
      <c r="F331" s="802"/>
      <c r="G331" s="802"/>
      <c r="H331" s="802"/>
    </row>
    <row r="332" spans="1:8">
      <c r="A332" s="803" t="s">
        <v>757</v>
      </c>
      <c r="B332" s="802"/>
      <c r="C332" s="802"/>
      <c r="D332" s="802"/>
      <c r="E332" s="802"/>
      <c r="F332" s="802"/>
      <c r="G332" s="802"/>
      <c r="H332" s="802"/>
    </row>
    <row r="333" spans="1:8">
      <c r="A333" s="803" t="s">
        <v>758</v>
      </c>
      <c r="B333" s="802"/>
      <c r="C333" s="802"/>
      <c r="D333" s="802"/>
      <c r="E333" s="802"/>
      <c r="F333" s="802"/>
      <c r="G333" s="802"/>
      <c r="H333" s="802"/>
    </row>
    <row r="334" spans="1:8">
      <c r="A334" s="803" t="s">
        <v>759</v>
      </c>
      <c r="B334" s="802"/>
      <c r="C334" s="802"/>
      <c r="D334" s="802"/>
      <c r="E334" s="802"/>
      <c r="F334" s="802"/>
      <c r="G334" s="802"/>
      <c r="H334" s="802"/>
    </row>
    <row r="335" spans="1:8">
      <c r="A335" s="803" t="s">
        <v>760</v>
      </c>
      <c r="B335" s="802"/>
      <c r="C335" s="802"/>
      <c r="D335" s="802"/>
      <c r="E335" s="802"/>
      <c r="F335" s="802"/>
      <c r="G335" s="802"/>
      <c r="H335" s="802"/>
    </row>
    <row r="336" spans="1:8">
      <c r="A336" s="803" t="s">
        <v>761</v>
      </c>
      <c r="B336" s="802"/>
      <c r="C336" s="802"/>
      <c r="D336" s="802"/>
      <c r="E336" s="802"/>
      <c r="F336" s="802"/>
      <c r="G336" s="802"/>
      <c r="H336" s="802"/>
    </row>
    <row r="337" spans="1:8">
      <c r="A337" s="803" t="s">
        <v>762</v>
      </c>
      <c r="B337" s="802"/>
      <c r="C337" s="802"/>
      <c r="D337" s="802"/>
      <c r="E337" s="802"/>
      <c r="F337" s="802"/>
      <c r="G337" s="802"/>
      <c r="H337" s="802"/>
    </row>
    <row r="338" spans="1:8">
      <c r="A338" s="803" t="s">
        <v>763</v>
      </c>
      <c r="B338" s="802"/>
      <c r="C338" s="802"/>
      <c r="D338" s="802"/>
      <c r="E338" s="802"/>
      <c r="F338" s="802"/>
      <c r="G338" s="802"/>
      <c r="H338" s="802"/>
    </row>
    <row r="339" spans="1:8">
      <c r="A339" s="803" t="s">
        <v>764</v>
      </c>
      <c r="B339" s="802"/>
      <c r="C339" s="802"/>
      <c r="D339" s="802"/>
      <c r="E339" s="802"/>
      <c r="F339" s="802"/>
      <c r="G339" s="802"/>
      <c r="H339" s="802"/>
    </row>
    <row r="340" spans="1:8">
      <c r="A340" s="803" t="s">
        <v>765</v>
      </c>
      <c r="B340" s="802"/>
      <c r="C340" s="802"/>
      <c r="D340" s="802"/>
      <c r="E340" s="802"/>
      <c r="F340" s="802"/>
      <c r="G340" s="802"/>
      <c r="H340" s="802"/>
    </row>
    <row r="341" spans="1:8">
      <c r="A341" s="803" t="s">
        <v>766</v>
      </c>
      <c r="B341" s="802"/>
      <c r="C341" s="802"/>
      <c r="D341" s="802"/>
      <c r="E341" s="802"/>
      <c r="F341" s="802"/>
      <c r="G341" s="802"/>
      <c r="H341" s="802"/>
    </row>
    <row r="342" spans="1:8">
      <c r="A342" s="803" t="s">
        <v>767</v>
      </c>
      <c r="B342" s="802"/>
      <c r="C342" s="802"/>
      <c r="D342" s="802"/>
      <c r="E342" s="802"/>
      <c r="F342" s="802"/>
      <c r="G342" s="802"/>
      <c r="H342" s="802"/>
    </row>
    <row r="343" spans="1:8">
      <c r="A343" s="803" t="s">
        <v>768</v>
      </c>
      <c r="B343" s="802"/>
      <c r="C343" s="802"/>
      <c r="D343" s="802"/>
      <c r="E343" s="802"/>
      <c r="F343" s="802"/>
      <c r="G343" s="802"/>
      <c r="H343" s="802"/>
    </row>
    <row r="344" spans="1:8">
      <c r="A344" s="803" t="s">
        <v>769</v>
      </c>
      <c r="B344" s="802"/>
      <c r="C344" s="802"/>
      <c r="D344" s="802"/>
      <c r="E344" s="802"/>
      <c r="F344" s="802"/>
      <c r="G344" s="802"/>
      <c r="H344" s="802"/>
    </row>
    <row r="345" spans="1:8">
      <c r="A345" s="803" t="s">
        <v>770</v>
      </c>
      <c r="B345" s="802"/>
      <c r="C345" s="802"/>
      <c r="D345" s="802"/>
      <c r="E345" s="802"/>
      <c r="F345" s="802"/>
      <c r="G345" s="802"/>
      <c r="H345" s="802"/>
    </row>
    <row r="346" spans="1:8">
      <c r="A346" s="803" t="s">
        <v>771</v>
      </c>
      <c r="B346" s="802"/>
      <c r="C346" s="802"/>
      <c r="D346" s="802"/>
      <c r="E346" s="802"/>
      <c r="F346" s="802"/>
      <c r="G346" s="802"/>
      <c r="H346" s="802"/>
    </row>
    <row r="347" spans="1:8">
      <c r="A347" s="803" t="s">
        <v>772</v>
      </c>
      <c r="B347" s="802"/>
      <c r="C347" s="802"/>
      <c r="D347" s="802"/>
      <c r="E347" s="802"/>
      <c r="F347" s="802"/>
      <c r="G347" s="802"/>
      <c r="H347" s="802"/>
    </row>
    <row r="348" spans="1:8">
      <c r="A348" s="803" t="s">
        <v>773</v>
      </c>
      <c r="B348" s="802"/>
      <c r="C348" s="802"/>
      <c r="D348" s="802"/>
      <c r="E348" s="802"/>
      <c r="F348" s="802"/>
      <c r="G348" s="802"/>
      <c r="H348" s="802"/>
    </row>
    <row r="349" spans="1:8">
      <c r="A349" s="803" t="s">
        <v>774</v>
      </c>
      <c r="B349" s="802"/>
      <c r="C349" s="802"/>
      <c r="D349" s="802"/>
      <c r="E349" s="802"/>
      <c r="F349" s="802"/>
      <c r="G349" s="802"/>
      <c r="H349" s="802"/>
    </row>
    <row r="350" spans="1:8">
      <c r="A350" s="803" t="s">
        <v>775</v>
      </c>
      <c r="B350" s="802"/>
      <c r="C350" s="802"/>
      <c r="D350" s="802"/>
      <c r="E350" s="802"/>
      <c r="F350" s="802"/>
      <c r="G350" s="802"/>
      <c r="H350" s="802"/>
    </row>
    <row r="351" spans="1:8">
      <c r="A351" s="803" t="s">
        <v>776</v>
      </c>
      <c r="B351" s="802"/>
      <c r="C351" s="802"/>
      <c r="D351" s="802"/>
      <c r="E351" s="802"/>
      <c r="F351" s="802"/>
      <c r="G351" s="802"/>
      <c r="H351" s="802"/>
    </row>
    <row r="352" spans="1:8">
      <c r="A352" s="803" t="s">
        <v>777</v>
      </c>
      <c r="B352" s="802"/>
      <c r="C352" s="802"/>
      <c r="D352" s="802"/>
      <c r="E352" s="802"/>
      <c r="F352" s="802"/>
      <c r="G352" s="802"/>
      <c r="H352" s="802"/>
    </row>
    <row r="353" spans="1:8">
      <c r="A353" s="803" t="s">
        <v>778</v>
      </c>
      <c r="B353" s="802"/>
      <c r="C353" s="802"/>
      <c r="D353" s="802"/>
      <c r="E353" s="802"/>
      <c r="F353" s="802"/>
      <c r="G353" s="802"/>
      <c r="H353" s="802"/>
    </row>
    <row r="354" spans="1:8">
      <c r="A354" s="803" t="s">
        <v>779</v>
      </c>
      <c r="B354" s="802"/>
      <c r="C354" s="802"/>
      <c r="D354" s="802"/>
      <c r="E354" s="802"/>
      <c r="F354" s="802"/>
      <c r="G354" s="802"/>
      <c r="H354" s="802"/>
    </row>
    <row r="355" spans="1:8">
      <c r="A355" s="803" t="s">
        <v>780</v>
      </c>
      <c r="B355" s="802"/>
      <c r="C355" s="802"/>
      <c r="D355" s="802"/>
      <c r="E355" s="802"/>
      <c r="F355" s="802"/>
      <c r="G355" s="802"/>
      <c r="H355" s="802"/>
    </row>
    <row r="356" spans="1:8">
      <c r="A356" s="803" t="s">
        <v>781</v>
      </c>
      <c r="B356" s="802"/>
      <c r="C356" s="802"/>
      <c r="D356" s="802"/>
      <c r="E356" s="802"/>
      <c r="F356" s="802"/>
      <c r="G356" s="802"/>
      <c r="H356" s="802"/>
    </row>
    <row r="357" spans="1:8">
      <c r="A357" s="803" t="s">
        <v>782</v>
      </c>
      <c r="B357" s="802"/>
      <c r="C357" s="802"/>
      <c r="D357" s="802"/>
      <c r="E357" s="802"/>
      <c r="F357" s="802"/>
      <c r="G357" s="802"/>
      <c r="H357" s="802"/>
    </row>
    <row r="358" spans="1:8">
      <c r="A358" s="803" t="s">
        <v>783</v>
      </c>
      <c r="B358" s="802"/>
      <c r="C358" s="802"/>
      <c r="D358" s="802"/>
      <c r="E358" s="802"/>
      <c r="F358" s="802"/>
      <c r="G358" s="802"/>
      <c r="H358" s="802"/>
    </row>
    <row r="359" spans="1:8">
      <c r="A359" s="803" t="s">
        <v>784</v>
      </c>
      <c r="B359" s="802"/>
      <c r="C359" s="802"/>
      <c r="D359" s="802"/>
      <c r="E359" s="802"/>
      <c r="F359" s="802"/>
      <c r="G359" s="802"/>
      <c r="H359" s="802"/>
    </row>
    <row r="360" spans="1:8">
      <c r="A360" s="802"/>
      <c r="B360" s="802"/>
      <c r="C360" s="802"/>
      <c r="D360" s="802"/>
      <c r="E360" s="802"/>
      <c r="F360" s="802"/>
      <c r="G360" s="802"/>
      <c r="H360" s="802"/>
    </row>
    <row r="361" spans="1:8">
      <c r="A361" s="803" t="s">
        <v>742</v>
      </c>
      <c r="B361" s="802"/>
      <c r="C361" s="802"/>
      <c r="D361" s="802"/>
      <c r="E361" s="802"/>
      <c r="F361" s="802"/>
      <c r="G361" s="802"/>
      <c r="H361" s="802"/>
    </row>
    <row r="362" spans="1:8">
      <c r="A362" s="803" t="s">
        <v>746</v>
      </c>
      <c r="B362" s="802"/>
      <c r="C362" s="802"/>
      <c r="D362" s="802"/>
      <c r="E362" s="802"/>
      <c r="F362" s="802"/>
      <c r="G362" s="802"/>
      <c r="H362" s="802"/>
    </row>
    <row r="363" spans="1:8">
      <c r="A363" s="803" t="s">
        <v>747</v>
      </c>
      <c r="B363" s="802"/>
      <c r="C363" s="802"/>
      <c r="D363" s="802"/>
      <c r="E363" s="802"/>
      <c r="F363" s="802"/>
      <c r="G363" s="802"/>
      <c r="H363" s="802"/>
    </row>
    <row r="364" spans="1:8">
      <c r="A364" s="803" t="s">
        <v>748</v>
      </c>
      <c r="B364" s="802"/>
      <c r="C364" s="802"/>
      <c r="D364" s="802"/>
      <c r="E364" s="802"/>
      <c r="F364" s="802"/>
      <c r="G364" s="802"/>
      <c r="H364" s="802"/>
    </row>
    <row r="365" spans="1:8">
      <c r="A365" s="803" t="s">
        <v>749</v>
      </c>
      <c r="B365" s="802"/>
      <c r="C365" s="802"/>
      <c r="D365" s="802"/>
      <c r="E365" s="802"/>
      <c r="F365" s="802"/>
      <c r="G365" s="802"/>
      <c r="H365" s="802"/>
    </row>
    <row r="366" spans="1:8">
      <c r="A366" s="802"/>
      <c r="B366" s="802"/>
      <c r="C366" s="802"/>
      <c r="D366" s="802"/>
      <c r="E366" s="802"/>
      <c r="F366" s="802"/>
      <c r="G366" s="802"/>
      <c r="H366" s="802"/>
    </row>
    <row r="367" spans="1:8">
      <c r="A367" s="803" t="s">
        <v>742</v>
      </c>
      <c r="B367" s="802"/>
      <c r="C367" s="802"/>
      <c r="D367" s="802"/>
      <c r="E367" s="802"/>
      <c r="F367" s="802"/>
      <c r="G367" s="802"/>
      <c r="H367" s="802"/>
    </row>
    <row r="368" spans="1:8">
      <c r="A368" s="803" t="s">
        <v>743</v>
      </c>
      <c r="B368" s="802"/>
      <c r="C368" s="802"/>
      <c r="D368" s="802"/>
      <c r="E368" s="802"/>
      <c r="F368" s="802"/>
      <c r="G368" s="802"/>
      <c r="H368" s="802"/>
    </row>
    <row r="369" spans="1:8">
      <c r="A369" s="803" t="s">
        <v>744</v>
      </c>
      <c r="B369" s="802"/>
      <c r="C369" s="802"/>
      <c r="D369" s="802"/>
      <c r="E369" s="802"/>
      <c r="F369" s="802"/>
      <c r="G369" s="802"/>
      <c r="H369" s="802"/>
    </row>
    <row r="370" spans="1:8">
      <c r="A370" s="803" t="s">
        <v>745</v>
      </c>
      <c r="B370" s="802"/>
      <c r="C370" s="802"/>
      <c r="D370" s="802"/>
      <c r="E370" s="802"/>
      <c r="F370" s="802"/>
      <c r="G370" s="802"/>
      <c r="H370" s="802"/>
    </row>
    <row r="371" spans="1:8">
      <c r="A371" s="802"/>
      <c r="B371" s="802"/>
      <c r="C371" s="802"/>
      <c r="D371" s="802"/>
      <c r="E371" s="802"/>
      <c r="F371" s="802"/>
      <c r="G371" s="802"/>
      <c r="H371" s="802"/>
    </row>
    <row r="372" spans="1:8">
      <c r="A372" s="803" t="s">
        <v>736</v>
      </c>
      <c r="B372" s="802"/>
      <c r="C372" s="802"/>
      <c r="D372" s="802"/>
      <c r="E372" s="802"/>
      <c r="F372" s="802"/>
      <c r="G372" s="802"/>
      <c r="H372" s="802"/>
    </row>
    <row r="373" spans="1:8">
      <c r="A373" s="803" t="s">
        <v>737</v>
      </c>
      <c r="B373" s="802"/>
      <c r="C373" s="802"/>
      <c r="D373" s="802"/>
      <c r="E373" s="802"/>
      <c r="F373" s="802"/>
      <c r="G373" s="802"/>
      <c r="H373" s="802"/>
    </row>
    <row r="374" spans="1:8">
      <c r="A374" s="803" t="s">
        <v>738</v>
      </c>
      <c r="B374" s="802"/>
      <c r="C374" s="802"/>
      <c r="D374" s="802"/>
      <c r="E374" s="802"/>
      <c r="F374" s="802"/>
      <c r="G374" s="802"/>
      <c r="H374" s="802"/>
    </row>
    <row r="375" spans="1:8">
      <c r="A375" s="803" t="s">
        <v>739</v>
      </c>
      <c r="B375" s="802"/>
      <c r="C375" s="802"/>
      <c r="D375" s="802"/>
      <c r="E375" s="802"/>
      <c r="F375" s="802"/>
      <c r="G375" s="802"/>
      <c r="H375" s="802"/>
    </row>
    <row r="376" spans="1:8">
      <c r="A376" s="803" t="s">
        <v>740</v>
      </c>
      <c r="B376" s="802"/>
      <c r="C376" s="802"/>
      <c r="D376" s="802"/>
      <c r="E376" s="802"/>
      <c r="F376" s="802"/>
      <c r="G376" s="802"/>
      <c r="H376" s="802"/>
    </row>
    <row r="377" spans="1:8">
      <c r="A377" s="803" t="s">
        <v>741</v>
      </c>
      <c r="B377" s="802"/>
      <c r="C377" s="802"/>
      <c r="D377" s="802"/>
      <c r="E377" s="802"/>
      <c r="F377" s="802"/>
      <c r="G377" s="802"/>
      <c r="H377" s="802"/>
    </row>
    <row r="378" spans="1:8">
      <c r="A378" s="802"/>
      <c r="B378" s="802"/>
      <c r="C378" s="802"/>
      <c r="D378" s="802"/>
      <c r="E378" s="802"/>
      <c r="F378" s="802"/>
      <c r="G378" s="802"/>
      <c r="H378" s="802"/>
    </row>
    <row r="379" spans="1:8">
      <c r="A379" s="803" t="s">
        <v>731</v>
      </c>
      <c r="B379" s="802"/>
      <c r="C379" s="802"/>
      <c r="D379" s="802"/>
      <c r="E379" s="802"/>
      <c r="F379" s="802"/>
      <c r="G379" s="802"/>
      <c r="H379" s="802"/>
    </row>
    <row r="380" spans="1:8">
      <c r="A380" s="803" t="s">
        <v>732</v>
      </c>
      <c r="B380" s="802"/>
      <c r="C380" s="802"/>
      <c r="D380" s="802"/>
      <c r="E380" s="802"/>
      <c r="F380" s="802"/>
      <c r="G380" s="802"/>
      <c r="H380" s="802"/>
    </row>
    <row r="381" spans="1:8">
      <c r="A381" s="803" t="s">
        <v>733</v>
      </c>
      <c r="B381" s="802"/>
      <c r="C381" s="802"/>
      <c r="D381" s="802"/>
      <c r="E381" s="802"/>
      <c r="F381" s="802"/>
      <c r="G381" s="802"/>
      <c r="H381" s="802"/>
    </row>
    <row r="382" spans="1:8">
      <c r="A382" s="803" t="s">
        <v>734</v>
      </c>
      <c r="B382" s="802"/>
      <c r="C382" s="802"/>
      <c r="D382" s="802"/>
      <c r="E382" s="802"/>
      <c r="F382" s="802"/>
      <c r="G382" s="802"/>
      <c r="H382" s="802"/>
    </row>
    <row r="383" spans="1:8">
      <c r="A383" s="803" t="s">
        <v>735</v>
      </c>
      <c r="B383" s="802"/>
      <c r="C383" s="802"/>
      <c r="D383" s="802"/>
      <c r="E383" s="802"/>
      <c r="F383" s="802"/>
      <c r="G383" s="802"/>
      <c r="H383" s="802"/>
    </row>
    <row r="384" spans="1:8">
      <c r="A384" s="802"/>
      <c r="B384" s="802"/>
      <c r="C384" s="802"/>
      <c r="D384" s="802"/>
      <c r="E384" s="802"/>
      <c r="F384" s="802"/>
      <c r="G384" s="802"/>
      <c r="H384" s="802"/>
    </row>
    <row r="385" spans="1:8">
      <c r="A385" s="803" t="s">
        <v>729</v>
      </c>
      <c r="B385" s="802"/>
      <c r="C385" s="802"/>
      <c r="D385" s="802"/>
      <c r="E385" s="802"/>
      <c r="F385" s="802"/>
      <c r="G385" s="802"/>
      <c r="H385" s="802"/>
    </row>
    <row r="386" spans="1:8">
      <c r="A386" s="803" t="s">
        <v>730</v>
      </c>
      <c r="B386" s="802"/>
      <c r="C386" s="802"/>
      <c r="D386" s="802"/>
      <c r="E386" s="802"/>
      <c r="F386" s="802"/>
      <c r="G386" s="802"/>
      <c r="H386" s="802"/>
    </row>
    <row r="388" spans="1:8">
      <c r="A388" s="798" t="s">
        <v>983</v>
      </c>
    </row>
  </sheetData>
  <mergeCells count="12">
    <mergeCell ref="A129:H129"/>
    <mergeCell ref="A130:H130"/>
    <mergeCell ref="B122:C122"/>
    <mergeCell ref="D122:F122"/>
    <mergeCell ref="G122:H122"/>
    <mergeCell ref="A108:H108"/>
    <mergeCell ref="A109:H109"/>
    <mergeCell ref="A110:H110"/>
    <mergeCell ref="A111:H111"/>
    <mergeCell ref="A113:H113"/>
    <mergeCell ref="A114:H114"/>
    <mergeCell ref="A121:H121"/>
  </mergeCells>
  <pageMargins left="0.5" right="0.5" top="0.5" bottom="0.5" header="0.5" footer="0.5"/>
  <pageSetup orientation="portrait" horizontalDpi="300"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U32"/>
  <sheetViews>
    <sheetView zoomScaleNormal="100" workbookViewId="0">
      <selection activeCell="E25" sqref="E25"/>
    </sheetView>
  </sheetViews>
  <sheetFormatPr defaultRowHeight="12.75"/>
  <cols>
    <col min="1" max="1" width="4.6640625" style="294" customWidth="1"/>
    <col min="2" max="2" width="36.33203125" style="294" bestFit="1" customWidth="1"/>
    <col min="3" max="20" width="9.33203125" style="294"/>
    <col min="21" max="21" width="11.33203125" style="294" customWidth="1"/>
    <col min="22" max="257" width="9.33203125" style="294"/>
    <col min="258" max="258" width="4.6640625" style="294" customWidth="1"/>
    <col min="259" max="259" width="26.33203125" style="294" bestFit="1" customWidth="1"/>
    <col min="260" max="513" width="9.33203125" style="294"/>
    <col min="514" max="514" width="4.6640625" style="294" customWidth="1"/>
    <col min="515" max="515" width="26.33203125" style="294" bestFit="1" customWidth="1"/>
    <col min="516" max="769" width="9.33203125" style="294"/>
    <col min="770" max="770" width="4.6640625" style="294" customWidth="1"/>
    <col min="771" max="771" width="26.33203125" style="294" bestFit="1" customWidth="1"/>
    <col min="772" max="1025" width="9.33203125" style="294"/>
    <col min="1026" max="1026" width="4.6640625" style="294" customWidth="1"/>
    <col min="1027" max="1027" width="26.33203125" style="294" bestFit="1" customWidth="1"/>
    <col min="1028" max="1281" width="9.33203125" style="294"/>
    <col min="1282" max="1282" width="4.6640625" style="294" customWidth="1"/>
    <col min="1283" max="1283" width="26.33203125" style="294" bestFit="1" customWidth="1"/>
    <col min="1284" max="1537" width="9.33203125" style="294"/>
    <col min="1538" max="1538" width="4.6640625" style="294" customWidth="1"/>
    <col min="1539" max="1539" width="26.33203125" style="294" bestFit="1" customWidth="1"/>
    <col min="1540" max="1793" width="9.33203125" style="294"/>
    <col min="1794" max="1794" width="4.6640625" style="294" customWidth="1"/>
    <col min="1795" max="1795" width="26.33203125" style="294" bestFit="1" customWidth="1"/>
    <col min="1796" max="2049" width="9.33203125" style="294"/>
    <col min="2050" max="2050" width="4.6640625" style="294" customWidth="1"/>
    <col min="2051" max="2051" width="26.33203125" style="294" bestFit="1" customWidth="1"/>
    <col min="2052" max="2305" width="9.33203125" style="294"/>
    <col min="2306" max="2306" width="4.6640625" style="294" customWidth="1"/>
    <col min="2307" max="2307" width="26.33203125" style="294" bestFit="1" customWidth="1"/>
    <col min="2308" max="2561" width="9.33203125" style="294"/>
    <col min="2562" max="2562" width="4.6640625" style="294" customWidth="1"/>
    <col min="2563" max="2563" width="26.33203125" style="294" bestFit="1" customWidth="1"/>
    <col min="2564" max="2817" width="9.33203125" style="294"/>
    <col min="2818" max="2818" width="4.6640625" style="294" customWidth="1"/>
    <col min="2819" max="2819" width="26.33203125" style="294" bestFit="1" customWidth="1"/>
    <col min="2820" max="3073" width="9.33203125" style="294"/>
    <col min="3074" max="3074" width="4.6640625" style="294" customWidth="1"/>
    <col min="3075" max="3075" width="26.33203125" style="294" bestFit="1" customWidth="1"/>
    <col min="3076" max="3329" width="9.33203125" style="294"/>
    <col min="3330" max="3330" width="4.6640625" style="294" customWidth="1"/>
    <col min="3331" max="3331" width="26.33203125" style="294" bestFit="1" customWidth="1"/>
    <col min="3332" max="3585" width="9.33203125" style="294"/>
    <col min="3586" max="3586" width="4.6640625" style="294" customWidth="1"/>
    <col min="3587" max="3587" width="26.33203125" style="294" bestFit="1" customWidth="1"/>
    <col min="3588" max="3841" width="9.33203125" style="294"/>
    <col min="3842" max="3842" width="4.6640625" style="294" customWidth="1"/>
    <col min="3843" max="3843" width="26.33203125" style="294" bestFit="1" customWidth="1"/>
    <col min="3844" max="4097" width="9.33203125" style="294"/>
    <col min="4098" max="4098" width="4.6640625" style="294" customWidth="1"/>
    <col min="4099" max="4099" width="26.33203125" style="294" bestFit="1" customWidth="1"/>
    <col min="4100" max="4353" width="9.33203125" style="294"/>
    <col min="4354" max="4354" width="4.6640625" style="294" customWidth="1"/>
    <col min="4355" max="4355" width="26.33203125" style="294" bestFit="1" customWidth="1"/>
    <col min="4356" max="4609" width="9.33203125" style="294"/>
    <col min="4610" max="4610" width="4.6640625" style="294" customWidth="1"/>
    <col min="4611" max="4611" width="26.33203125" style="294" bestFit="1" customWidth="1"/>
    <col min="4612" max="4865" width="9.33203125" style="294"/>
    <col min="4866" max="4866" width="4.6640625" style="294" customWidth="1"/>
    <col min="4867" max="4867" width="26.33203125" style="294" bestFit="1" customWidth="1"/>
    <col min="4868" max="5121" width="9.33203125" style="294"/>
    <col min="5122" max="5122" width="4.6640625" style="294" customWidth="1"/>
    <col min="5123" max="5123" width="26.33203125" style="294" bestFit="1" customWidth="1"/>
    <col min="5124" max="5377" width="9.33203125" style="294"/>
    <col min="5378" max="5378" width="4.6640625" style="294" customWidth="1"/>
    <col min="5379" max="5379" width="26.33203125" style="294" bestFit="1" customWidth="1"/>
    <col min="5380" max="5633" width="9.33203125" style="294"/>
    <col min="5634" max="5634" width="4.6640625" style="294" customWidth="1"/>
    <col min="5635" max="5635" width="26.33203125" style="294" bestFit="1" customWidth="1"/>
    <col min="5636" max="5889" width="9.33203125" style="294"/>
    <col min="5890" max="5890" width="4.6640625" style="294" customWidth="1"/>
    <col min="5891" max="5891" width="26.33203125" style="294" bestFit="1" customWidth="1"/>
    <col min="5892" max="6145" width="9.33203125" style="294"/>
    <col min="6146" max="6146" width="4.6640625" style="294" customWidth="1"/>
    <col min="6147" max="6147" width="26.33203125" style="294" bestFit="1" customWidth="1"/>
    <col min="6148" max="6401" width="9.33203125" style="294"/>
    <col min="6402" max="6402" width="4.6640625" style="294" customWidth="1"/>
    <col min="6403" max="6403" width="26.33203125" style="294" bestFit="1" customWidth="1"/>
    <col min="6404" max="6657" width="9.33203125" style="294"/>
    <col min="6658" max="6658" width="4.6640625" style="294" customWidth="1"/>
    <col min="6659" max="6659" width="26.33203125" style="294" bestFit="1" customWidth="1"/>
    <col min="6660" max="6913" width="9.33203125" style="294"/>
    <col min="6914" max="6914" width="4.6640625" style="294" customWidth="1"/>
    <col min="6915" max="6915" width="26.33203125" style="294" bestFit="1" customWidth="1"/>
    <col min="6916" max="7169" width="9.33203125" style="294"/>
    <col min="7170" max="7170" width="4.6640625" style="294" customWidth="1"/>
    <col min="7171" max="7171" width="26.33203125" style="294" bestFit="1" customWidth="1"/>
    <col min="7172" max="7425" width="9.33203125" style="294"/>
    <col min="7426" max="7426" width="4.6640625" style="294" customWidth="1"/>
    <col min="7427" max="7427" width="26.33203125" style="294" bestFit="1" customWidth="1"/>
    <col min="7428" max="7681" width="9.33203125" style="294"/>
    <col min="7682" max="7682" width="4.6640625" style="294" customWidth="1"/>
    <col min="7683" max="7683" width="26.33203125" style="294" bestFit="1" customWidth="1"/>
    <col min="7684" max="7937" width="9.33203125" style="294"/>
    <col min="7938" max="7938" width="4.6640625" style="294" customWidth="1"/>
    <col min="7939" max="7939" width="26.33203125" style="294" bestFit="1" customWidth="1"/>
    <col min="7940" max="8193" width="9.33203125" style="294"/>
    <col min="8194" max="8194" width="4.6640625" style="294" customWidth="1"/>
    <col min="8195" max="8195" width="26.33203125" style="294" bestFit="1" customWidth="1"/>
    <col min="8196" max="8449" width="9.33203125" style="294"/>
    <col min="8450" max="8450" width="4.6640625" style="294" customWidth="1"/>
    <col min="8451" max="8451" width="26.33203125" style="294" bestFit="1" customWidth="1"/>
    <col min="8452" max="8705" width="9.33203125" style="294"/>
    <col min="8706" max="8706" width="4.6640625" style="294" customWidth="1"/>
    <col min="8707" max="8707" width="26.33203125" style="294" bestFit="1" customWidth="1"/>
    <col min="8708" max="8961" width="9.33203125" style="294"/>
    <col min="8962" max="8962" width="4.6640625" style="294" customWidth="1"/>
    <col min="8963" max="8963" width="26.33203125" style="294" bestFit="1" customWidth="1"/>
    <col min="8964" max="9217" width="9.33203125" style="294"/>
    <col min="9218" max="9218" width="4.6640625" style="294" customWidth="1"/>
    <col min="9219" max="9219" width="26.33203125" style="294" bestFit="1" customWidth="1"/>
    <col min="9220" max="9473" width="9.33203125" style="294"/>
    <col min="9474" max="9474" width="4.6640625" style="294" customWidth="1"/>
    <col min="9475" max="9475" width="26.33203125" style="294" bestFit="1" customWidth="1"/>
    <col min="9476" max="9729" width="9.33203125" style="294"/>
    <col min="9730" max="9730" width="4.6640625" style="294" customWidth="1"/>
    <col min="9731" max="9731" width="26.33203125" style="294" bestFit="1" customWidth="1"/>
    <col min="9732" max="9985" width="9.33203125" style="294"/>
    <col min="9986" max="9986" width="4.6640625" style="294" customWidth="1"/>
    <col min="9987" max="9987" width="26.33203125" style="294" bestFit="1" customWidth="1"/>
    <col min="9988" max="10241" width="9.33203125" style="294"/>
    <col min="10242" max="10242" width="4.6640625" style="294" customWidth="1"/>
    <col min="10243" max="10243" width="26.33203125" style="294" bestFit="1" customWidth="1"/>
    <col min="10244" max="10497" width="9.33203125" style="294"/>
    <col min="10498" max="10498" width="4.6640625" style="294" customWidth="1"/>
    <col min="10499" max="10499" width="26.33203125" style="294" bestFit="1" customWidth="1"/>
    <col min="10500" max="10753" width="9.33203125" style="294"/>
    <col min="10754" max="10754" width="4.6640625" style="294" customWidth="1"/>
    <col min="10755" max="10755" width="26.33203125" style="294" bestFit="1" customWidth="1"/>
    <col min="10756" max="11009" width="9.33203125" style="294"/>
    <col min="11010" max="11010" width="4.6640625" style="294" customWidth="1"/>
    <col min="11011" max="11011" width="26.33203125" style="294" bestFit="1" customWidth="1"/>
    <col min="11012" max="11265" width="9.33203125" style="294"/>
    <col min="11266" max="11266" width="4.6640625" style="294" customWidth="1"/>
    <col min="11267" max="11267" width="26.33203125" style="294" bestFit="1" customWidth="1"/>
    <col min="11268" max="11521" width="9.33203125" style="294"/>
    <col min="11522" max="11522" width="4.6640625" style="294" customWidth="1"/>
    <col min="11523" max="11523" width="26.33203125" style="294" bestFit="1" customWidth="1"/>
    <col min="11524" max="11777" width="9.33203125" style="294"/>
    <col min="11778" max="11778" width="4.6640625" style="294" customWidth="1"/>
    <col min="11779" max="11779" width="26.33203125" style="294" bestFit="1" customWidth="1"/>
    <col min="11780" max="12033" width="9.33203125" style="294"/>
    <col min="12034" max="12034" width="4.6640625" style="294" customWidth="1"/>
    <col min="12035" max="12035" width="26.33203125" style="294" bestFit="1" customWidth="1"/>
    <col min="12036" max="12289" width="9.33203125" style="294"/>
    <col min="12290" max="12290" width="4.6640625" style="294" customWidth="1"/>
    <col min="12291" max="12291" width="26.33203125" style="294" bestFit="1" customWidth="1"/>
    <col min="12292" max="12545" width="9.33203125" style="294"/>
    <col min="12546" max="12546" width="4.6640625" style="294" customWidth="1"/>
    <col min="12547" max="12547" width="26.33203125" style="294" bestFit="1" customWidth="1"/>
    <col min="12548" max="12801" width="9.33203125" style="294"/>
    <col min="12802" max="12802" width="4.6640625" style="294" customWidth="1"/>
    <col min="12803" max="12803" width="26.33203125" style="294" bestFit="1" customWidth="1"/>
    <col min="12804" max="13057" width="9.33203125" style="294"/>
    <col min="13058" max="13058" width="4.6640625" style="294" customWidth="1"/>
    <col min="13059" max="13059" width="26.33203125" style="294" bestFit="1" customWidth="1"/>
    <col min="13060" max="13313" width="9.33203125" style="294"/>
    <col min="13314" max="13314" width="4.6640625" style="294" customWidth="1"/>
    <col min="13315" max="13315" width="26.33203125" style="294" bestFit="1" customWidth="1"/>
    <col min="13316" max="13569" width="9.33203125" style="294"/>
    <col min="13570" max="13570" width="4.6640625" style="294" customWidth="1"/>
    <col min="13571" max="13571" width="26.33203125" style="294" bestFit="1" customWidth="1"/>
    <col min="13572" max="13825" width="9.33203125" style="294"/>
    <col min="13826" max="13826" width="4.6640625" style="294" customWidth="1"/>
    <col min="13827" max="13827" width="26.33203125" style="294" bestFit="1" customWidth="1"/>
    <col min="13828" max="14081" width="9.33203125" style="294"/>
    <col min="14082" max="14082" width="4.6640625" style="294" customWidth="1"/>
    <col min="14083" max="14083" width="26.33203125" style="294" bestFit="1" customWidth="1"/>
    <col min="14084" max="14337" width="9.33203125" style="294"/>
    <col min="14338" max="14338" width="4.6640625" style="294" customWidth="1"/>
    <col min="14339" max="14339" width="26.33203125" style="294" bestFit="1" customWidth="1"/>
    <col min="14340" max="14593" width="9.33203125" style="294"/>
    <col min="14594" max="14594" width="4.6640625" style="294" customWidth="1"/>
    <col min="14595" max="14595" width="26.33203125" style="294" bestFit="1" customWidth="1"/>
    <col min="14596" max="14849" width="9.33203125" style="294"/>
    <col min="14850" max="14850" width="4.6640625" style="294" customWidth="1"/>
    <col min="14851" max="14851" width="26.33203125" style="294" bestFit="1" customWidth="1"/>
    <col min="14852" max="15105" width="9.33203125" style="294"/>
    <col min="15106" max="15106" width="4.6640625" style="294" customWidth="1"/>
    <col min="15107" max="15107" width="26.33203125" style="294" bestFit="1" customWidth="1"/>
    <col min="15108" max="15361" width="9.33203125" style="294"/>
    <col min="15362" max="15362" width="4.6640625" style="294" customWidth="1"/>
    <col min="15363" max="15363" width="26.33203125" style="294" bestFit="1" customWidth="1"/>
    <col min="15364" max="15617" width="9.33203125" style="294"/>
    <col min="15618" max="15618" width="4.6640625" style="294" customWidth="1"/>
    <col min="15619" max="15619" width="26.33203125" style="294" bestFit="1" customWidth="1"/>
    <col min="15620" max="15873" width="9.33203125" style="294"/>
    <col min="15874" max="15874" width="4.6640625" style="294" customWidth="1"/>
    <col min="15875" max="15875" width="26.33203125" style="294" bestFit="1" customWidth="1"/>
    <col min="15876" max="16129" width="9.33203125" style="294"/>
    <col min="16130" max="16130" width="4.6640625" style="294" customWidth="1"/>
    <col min="16131" max="16131" width="26.33203125" style="294" bestFit="1" customWidth="1"/>
    <col min="16132" max="16384" width="9.33203125" style="294"/>
  </cols>
  <sheetData>
    <row r="1" spans="1:21">
      <c r="A1" s="376"/>
      <c r="B1" s="376"/>
    </row>
    <row r="2" spans="1:21">
      <c r="A2" s="377"/>
      <c r="B2" s="377"/>
    </row>
    <row r="3" spans="1:21" ht="12.75" customHeight="1">
      <c r="A3" s="377"/>
      <c r="B3" s="794" t="s">
        <v>485</v>
      </c>
      <c r="C3" s="506"/>
      <c r="D3" s="507"/>
      <c r="E3" s="792">
        <v>2015</v>
      </c>
      <c r="F3" s="792">
        <f>E3+1</f>
        <v>2016</v>
      </c>
      <c r="G3" s="792">
        <f>F4+1</f>
        <v>2017</v>
      </c>
      <c r="H3" s="792">
        <f t="shared" ref="H3:T3" si="0">G3+1</f>
        <v>2018</v>
      </c>
      <c r="I3" s="792">
        <f t="shared" si="0"/>
        <v>2019</v>
      </c>
      <c r="J3" s="792">
        <f t="shared" si="0"/>
        <v>2020</v>
      </c>
      <c r="K3" s="792">
        <f t="shared" si="0"/>
        <v>2021</v>
      </c>
      <c r="L3" s="792">
        <f t="shared" si="0"/>
        <v>2022</v>
      </c>
      <c r="M3" s="792">
        <f t="shared" si="0"/>
        <v>2023</v>
      </c>
      <c r="N3" s="792">
        <f t="shared" si="0"/>
        <v>2024</v>
      </c>
      <c r="O3" s="792">
        <f t="shared" si="0"/>
        <v>2025</v>
      </c>
      <c r="P3" s="792">
        <f t="shared" si="0"/>
        <v>2026</v>
      </c>
      <c r="Q3" s="792">
        <f t="shared" si="0"/>
        <v>2027</v>
      </c>
      <c r="R3" s="792">
        <f t="shared" si="0"/>
        <v>2028</v>
      </c>
      <c r="S3" s="792">
        <f t="shared" si="0"/>
        <v>2029</v>
      </c>
      <c r="T3" s="792">
        <f t="shared" si="0"/>
        <v>2030</v>
      </c>
      <c r="U3" s="508" t="s">
        <v>464</v>
      </c>
    </row>
    <row r="4" spans="1:21" ht="12.75" customHeight="1">
      <c r="A4" s="377"/>
      <c r="B4" s="795"/>
      <c r="C4" s="509"/>
      <c r="D4" s="510"/>
      <c r="E4" s="793"/>
      <c r="F4" s="793">
        <f>E3+1</f>
        <v>2016</v>
      </c>
      <c r="G4" s="793"/>
      <c r="H4" s="793"/>
      <c r="I4" s="793"/>
      <c r="J4" s="793"/>
      <c r="K4" s="793"/>
      <c r="L4" s="793"/>
      <c r="M4" s="793"/>
      <c r="N4" s="793"/>
      <c r="O4" s="793"/>
      <c r="P4" s="793"/>
      <c r="Q4" s="793"/>
      <c r="R4" s="793"/>
      <c r="S4" s="793"/>
      <c r="T4" s="793"/>
      <c r="U4" s="510">
        <f>T3+1</f>
        <v>2031</v>
      </c>
    </row>
    <row r="5" spans="1:21">
      <c r="A5" s="377"/>
      <c r="B5" s="378" t="s">
        <v>499</v>
      </c>
      <c r="D5" s="386"/>
      <c r="E5" s="386">
        <f>IS!V41</f>
        <v>-265.89900000000006</v>
      </c>
      <c r="F5" s="386">
        <f>IS!AA41</f>
        <v>210.89300000000003</v>
      </c>
      <c r="G5" s="386">
        <f>IS!AF41</f>
        <v>501.32600000000014</v>
      </c>
      <c r="H5" s="386">
        <f>IS!AK41</f>
        <v>767.36770900770773</v>
      </c>
      <c r="I5" s="386">
        <f>IS!AP41</f>
        <v>917.00411994160345</v>
      </c>
      <c r="J5" s="386">
        <f>IS!AU41</f>
        <v>1840.7559857770864</v>
      </c>
      <c r="K5" s="386">
        <f>IS!AZ41</f>
        <v>3006.2751784833622</v>
      </c>
      <c r="L5" s="386">
        <f>IS!BE41</f>
        <v>3790.1287249927823</v>
      </c>
      <c r="M5" s="386">
        <f>IS!BJ41</f>
        <v>4222.4732353833779</v>
      </c>
      <c r="N5" s="386">
        <f>IS!BO41</f>
        <v>4528.450605256864</v>
      </c>
      <c r="O5" s="386">
        <f>IS!BT41</f>
        <v>5385.8071788132747</v>
      </c>
      <c r="P5" s="386">
        <f>IS!BY41</f>
        <v>7005.9209521322655</v>
      </c>
      <c r="Q5" s="386">
        <f>IS!CD41</f>
        <v>7362.9783050920332</v>
      </c>
      <c r="R5" s="386">
        <f>IS!CI41</f>
        <v>7769.2531156520736</v>
      </c>
      <c r="S5" s="386">
        <f>IS!CN41</f>
        <v>8095.4751164100298</v>
      </c>
      <c r="T5" s="386">
        <f>IS!CS41</f>
        <v>8542.5073546742424</v>
      </c>
      <c r="U5" s="419"/>
    </row>
    <row r="6" spans="1:21">
      <c r="A6" s="377"/>
      <c r="B6" s="380" t="s">
        <v>465</v>
      </c>
      <c r="E6" s="381"/>
      <c r="F6" s="381" t="str">
        <f t="shared" ref="F6:T6" si="1">IF(E5&lt;0,"NM",F5/E5-1)</f>
        <v>NM</v>
      </c>
      <c r="G6" s="381">
        <f t="shared" si="1"/>
        <v>1.377158084905616</v>
      </c>
      <c r="H6" s="381">
        <f t="shared" si="1"/>
        <v>0.53067606509079424</v>
      </c>
      <c r="I6" s="381">
        <f t="shared" si="1"/>
        <v>0.19499961905797725</v>
      </c>
      <c r="J6" s="381">
        <f t="shared" si="1"/>
        <v>1.0073584684595627</v>
      </c>
      <c r="K6" s="381">
        <f t="shared" si="1"/>
        <v>0.63317419674951902</v>
      </c>
      <c r="L6" s="381">
        <f t="shared" si="1"/>
        <v>0.26073912066322125</v>
      </c>
      <c r="M6" s="381">
        <f t="shared" si="1"/>
        <v>0.11407119434747393</v>
      </c>
      <c r="N6" s="381">
        <f t="shared" si="1"/>
        <v>7.2464016422760125E-2</v>
      </c>
      <c r="O6" s="381">
        <f t="shared" si="1"/>
        <v>0.18932669212757802</v>
      </c>
      <c r="P6" s="381">
        <f t="shared" si="1"/>
        <v>0.30081169257083795</v>
      </c>
      <c r="Q6" s="381">
        <f t="shared" si="1"/>
        <v>5.0965084447762266E-2</v>
      </c>
      <c r="R6" s="381">
        <f t="shared" si="1"/>
        <v>5.5178053462288768E-2</v>
      </c>
      <c r="S6" s="381">
        <f t="shared" si="1"/>
        <v>4.1988849623233904E-2</v>
      </c>
      <c r="T6" s="381">
        <f t="shared" si="1"/>
        <v>5.5220012641141958E-2</v>
      </c>
      <c r="U6" s="420"/>
    </row>
    <row r="7" spans="1:21">
      <c r="A7" s="377"/>
      <c r="B7" s="380"/>
      <c r="E7" s="381"/>
      <c r="F7" s="381"/>
      <c r="G7" s="381"/>
      <c r="H7" s="381"/>
      <c r="I7" s="381"/>
      <c r="J7" s="381"/>
      <c r="U7" s="420"/>
    </row>
    <row r="8" spans="1:21">
      <c r="A8" s="377"/>
      <c r="B8" s="378" t="s">
        <v>97</v>
      </c>
      <c r="D8" s="386"/>
      <c r="E8" s="386">
        <f>IS!V42</f>
        <v>0.65000000000005542</v>
      </c>
      <c r="F8" s="386">
        <f>IS!AA42</f>
        <v>-7.900000000000329E-2</v>
      </c>
      <c r="G8" s="386">
        <f>IS!AF42</f>
        <v>6.7659999999999911</v>
      </c>
      <c r="H8" s="386">
        <f>IS!AK42</f>
        <v>0</v>
      </c>
      <c r="I8" s="386">
        <f>IS!AP42</f>
        <v>0</v>
      </c>
      <c r="J8" s="386">
        <f>IS!AU42</f>
        <v>0</v>
      </c>
      <c r="K8" s="386">
        <f>IS!AZ42</f>
        <v>0</v>
      </c>
      <c r="L8" s="386">
        <f>IS!BE42</f>
        <v>643.73552441354684</v>
      </c>
      <c r="M8" s="386">
        <f>IS!BJ42</f>
        <v>855.15674560742627</v>
      </c>
      <c r="N8" s="386">
        <f>IS!BO42</f>
        <v>920.94188013022574</v>
      </c>
      <c r="O8" s="386">
        <f>IS!BT42</f>
        <v>1105.2735434448541</v>
      </c>
      <c r="P8" s="386">
        <f>IS!BY42</f>
        <v>1453.598004708437</v>
      </c>
      <c r="Q8" s="386">
        <f>IS!CD42</f>
        <v>1530.3653355947872</v>
      </c>
      <c r="R8" s="386">
        <f>IS!CI42</f>
        <v>1617.7144198651959</v>
      </c>
      <c r="S8" s="386">
        <f>IS!CN42</f>
        <v>1687.8521500281563</v>
      </c>
      <c r="T8" s="386">
        <f>IS!CS42</f>
        <v>1783.9640812549621</v>
      </c>
      <c r="U8" s="420"/>
    </row>
    <row r="9" spans="1:21">
      <c r="A9" s="377"/>
      <c r="B9" s="380" t="s">
        <v>341</v>
      </c>
      <c r="E9" s="381"/>
      <c r="F9" s="381"/>
      <c r="G9" s="381"/>
      <c r="H9" s="381">
        <f t="shared" ref="H9:T9" si="2">H8/H5</f>
        <v>0</v>
      </c>
      <c r="I9" s="381">
        <f t="shared" si="2"/>
        <v>0</v>
      </c>
      <c r="J9" s="381">
        <f t="shared" si="2"/>
        <v>0</v>
      </c>
      <c r="K9" s="381">
        <f t="shared" si="2"/>
        <v>0</v>
      </c>
      <c r="L9" s="381">
        <f t="shared" si="2"/>
        <v>0.16984529316079436</v>
      </c>
      <c r="M9" s="381">
        <f t="shared" si="2"/>
        <v>0.20252508374509154</v>
      </c>
      <c r="N9" s="381">
        <f t="shared" si="2"/>
        <v>0.20336798618519719</v>
      </c>
      <c r="O9" s="381">
        <f t="shared" si="2"/>
        <v>0.20521966471298617</v>
      </c>
      <c r="P9" s="381">
        <f t="shared" si="2"/>
        <v>0.20748135964423517</v>
      </c>
      <c r="Q9" s="381">
        <f t="shared" si="2"/>
        <v>0.20784596561101215</v>
      </c>
      <c r="R9" s="381">
        <f t="shared" si="2"/>
        <v>0.2082200690058765</v>
      </c>
      <c r="S9" s="381">
        <f t="shared" si="2"/>
        <v>0.20849327874614493</v>
      </c>
      <c r="T9" s="381">
        <f t="shared" si="2"/>
        <v>0.20883377762371166</v>
      </c>
      <c r="U9" s="420"/>
    </row>
    <row r="10" spans="1:21">
      <c r="A10" s="377"/>
      <c r="B10" s="378" t="s">
        <v>500</v>
      </c>
      <c r="D10" s="386"/>
      <c r="E10" s="386">
        <f t="shared" ref="E10:T10" si="3">E5-E8</f>
        <v>-266.54900000000009</v>
      </c>
      <c r="F10" s="386">
        <f t="shared" si="3"/>
        <v>210.97200000000004</v>
      </c>
      <c r="G10" s="386">
        <f t="shared" si="3"/>
        <v>494.56000000000017</v>
      </c>
      <c r="H10" s="386">
        <f t="shared" si="3"/>
        <v>767.36770900770773</v>
      </c>
      <c r="I10" s="386">
        <f t="shared" si="3"/>
        <v>917.00411994160345</v>
      </c>
      <c r="J10" s="386">
        <f t="shared" si="3"/>
        <v>1840.7559857770864</v>
      </c>
      <c r="K10" s="386">
        <f t="shared" si="3"/>
        <v>3006.2751784833622</v>
      </c>
      <c r="L10" s="386">
        <f t="shared" si="3"/>
        <v>3146.3932005792353</v>
      </c>
      <c r="M10" s="386">
        <f t="shared" si="3"/>
        <v>3367.3164897759516</v>
      </c>
      <c r="N10" s="386">
        <f t="shared" si="3"/>
        <v>3607.5087251266382</v>
      </c>
      <c r="O10" s="386">
        <f t="shared" si="3"/>
        <v>4280.5336353684206</v>
      </c>
      <c r="P10" s="386">
        <f t="shared" si="3"/>
        <v>5552.3229474238287</v>
      </c>
      <c r="Q10" s="386">
        <f t="shared" si="3"/>
        <v>5832.612969497246</v>
      </c>
      <c r="R10" s="386">
        <f t="shared" si="3"/>
        <v>6151.5386957868777</v>
      </c>
      <c r="S10" s="386">
        <f t="shared" si="3"/>
        <v>6407.622966381874</v>
      </c>
      <c r="T10" s="386">
        <f t="shared" si="3"/>
        <v>6758.54327341928</v>
      </c>
      <c r="U10" s="420"/>
    </row>
    <row r="11" spans="1:21">
      <c r="A11" s="377"/>
      <c r="B11" s="378" t="s">
        <v>501</v>
      </c>
      <c r="D11" s="386"/>
      <c r="E11" s="386">
        <f>CF!I7</f>
        <v>62.343000000000004</v>
      </c>
      <c r="F11" s="386">
        <f>CF!J7</f>
        <v>61.398000000000003</v>
      </c>
      <c r="G11" s="386">
        <f>CF!K7</f>
        <v>62.822322396875002</v>
      </c>
      <c r="H11" s="386">
        <f>CF!L7</f>
        <v>65.12865844304352</v>
      </c>
      <c r="I11" s="386">
        <f>CF!M7</f>
        <v>67.341659424212821</v>
      </c>
      <c r="J11" s="387">
        <f>CF!N7</f>
        <v>70.064280450502622</v>
      </c>
      <c r="K11" s="387">
        <f>CF!O7</f>
        <v>70.633065528473011</v>
      </c>
      <c r="L11" s="387">
        <f>CF!P7</f>
        <v>68.592163432657969</v>
      </c>
      <c r="M11" s="387">
        <f>CF!Q7</f>
        <v>66.653306441633674</v>
      </c>
      <c r="N11" s="387">
        <f>CF!R7</f>
        <v>64.811392300160591</v>
      </c>
      <c r="O11" s="387">
        <f>CF!S7</f>
        <v>63.061573865761176</v>
      </c>
      <c r="P11" s="387">
        <f>CF!T7</f>
        <v>61.399246353081722</v>
      </c>
      <c r="Q11" s="387">
        <f>CF!U7</f>
        <v>59.820035216036231</v>
      </c>
      <c r="R11" s="387">
        <f>CF!V7</f>
        <v>58.319784635843035</v>
      </c>
      <c r="S11" s="387">
        <f>CF!W7</f>
        <v>56.89454658465948</v>
      </c>
      <c r="T11" s="387">
        <f>CF!X7</f>
        <v>55.540570436035111</v>
      </c>
      <c r="U11" s="420"/>
    </row>
    <row r="12" spans="1:21">
      <c r="A12" s="377"/>
      <c r="B12" s="378" t="s">
        <v>503</v>
      </c>
      <c r="D12" s="386"/>
      <c r="E12" s="386">
        <f>((BS!E10-BS!E5-BS!E6)-BS!E25)-((BS!D10-BS!D5-BS!D6)-BS!D25)</f>
        <v>67.191000000000201</v>
      </c>
      <c r="F12" s="386">
        <f>((BS!F10-BS!F5-BS!F6)-BS!F25)-((BS!E10-BS!E5-BS!E6)-BS!E25)</f>
        <v>-253.8959999999999</v>
      </c>
      <c r="G12" s="386">
        <f>((BS!G10-BS!G5-BS!G6)-BS!G25)-((BS!F10-BS!F5-BS!F6)-BS!F25)</f>
        <v>148.59099999999944</v>
      </c>
      <c r="H12" s="386">
        <f>((BS!H10-BS!H5-BS!H6)-BS!H25)-((BS!G10-BS!G5-BS!G6)-BS!G25)</f>
        <v>197.61204343038094</v>
      </c>
      <c r="I12" s="386">
        <f>((BS!I10-BS!I5-BS!I6)-BS!I25)-((BS!H10-BS!H5-BS!H6)-BS!H25)</f>
        <v>19.4470856327207</v>
      </c>
      <c r="J12" s="386">
        <f>((BS!J10-BS!J5-BS!J6)-BS!J25)-((BS!I10-BS!I5-BS!I6)-BS!I25)</f>
        <v>213.00661427923751</v>
      </c>
      <c r="K12" s="386">
        <f>((BS!K10-BS!K5-BS!K6)-BS!K25)-((BS!J10-BS!J5-BS!J6)-BS!J25)</f>
        <v>269.78960031924419</v>
      </c>
      <c r="L12" s="386">
        <f>((BS!L10-BS!L5-BS!L6)-BS!L25)-((BS!K10-BS!K5-BS!K6)-BS!K25)</f>
        <v>175.10691122249921</v>
      </c>
      <c r="M12" s="386">
        <f>((BS!M10-BS!M5-BS!M6)-BS!M25)-((BS!L10-BS!L5-BS!L6)-BS!L25)</f>
        <v>88.096384859709246</v>
      </c>
      <c r="N12" s="386">
        <f>((BS!N10-BS!N5-BS!N6)-BS!N25)-((BS!M10-BS!M5-BS!M6)-BS!M25)</f>
        <v>56.441718294096745</v>
      </c>
      <c r="O12" s="386">
        <f>((BS!O10-BS!O5-BS!O6)-BS!O25)-((BS!N10-BS!N5-BS!N6)-BS!N25)</f>
        <v>176.92823860477824</v>
      </c>
      <c r="P12" s="387">
        <f t="shared" ref="P12:T12" si="4">O12*1.1</f>
        <v>194.62106246525607</v>
      </c>
      <c r="Q12" s="387">
        <f t="shared" si="4"/>
        <v>214.0831687117817</v>
      </c>
      <c r="R12" s="387">
        <f t="shared" si="4"/>
        <v>235.49148558295988</v>
      </c>
      <c r="S12" s="387">
        <f t="shared" si="4"/>
        <v>259.04063414125591</v>
      </c>
      <c r="T12" s="387">
        <f t="shared" si="4"/>
        <v>284.94469755538154</v>
      </c>
      <c r="U12" s="420"/>
    </row>
    <row r="13" spans="1:21">
      <c r="A13" s="377"/>
      <c r="B13" s="378" t="s">
        <v>502</v>
      </c>
      <c r="D13" s="386"/>
      <c r="E13" s="386">
        <f>CF!I27</f>
        <v>-45.302</v>
      </c>
      <c r="F13" s="386">
        <f>CF!J27</f>
        <v>-56.563000000000002</v>
      </c>
      <c r="G13" s="386">
        <f>CF!K27</f>
        <v>-99.421000000000006</v>
      </c>
      <c r="H13" s="386">
        <f>CF!L27</f>
        <v>-93.06013664049101</v>
      </c>
      <c r="I13" s="386">
        <f>CF!M27</f>
        <v>-90.676212660343296</v>
      </c>
      <c r="J13" s="386">
        <f>CF!N27</f>
        <v>-108.68412294260764</v>
      </c>
      <c r="K13" s="386">
        <f>CF!O27</f>
        <v>-144.23648001096441</v>
      </c>
      <c r="L13" s="386">
        <f>CF!P27</f>
        <v>-166.55293150790263</v>
      </c>
      <c r="M13" s="386">
        <f>CF!Q27</f>
        <v>-176.50760460023841</v>
      </c>
      <c r="N13" s="386">
        <f>CF!R27</f>
        <v>-180.75471992921931</v>
      </c>
      <c r="O13" s="386">
        <f>CF!S27</f>
        <v>-198.55114870357792</v>
      </c>
      <c r="P13" s="386">
        <f>CF!T27</f>
        <v>-239.24539829640466</v>
      </c>
      <c r="Q13" s="386">
        <f>CF!U27</f>
        <v>-242.57111364415664</v>
      </c>
      <c r="R13" s="386">
        <f>CF!V27</f>
        <v>-245.34378447792403</v>
      </c>
      <c r="S13" s="386">
        <f>CF!W27</f>
        <v>-245.64451721704199</v>
      </c>
      <c r="T13" s="386">
        <f>CF!X27</f>
        <v>-211.08948789226287</v>
      </c>
      <c r="U13" s="420"/>
    </row>
    <row r="14" spans="1:21">
      <c r="A14" s="377"/>
      <c r="B14" s="378" t="s">
        <v>505</v>
      </c>
      <c r="D14" s="386"/>
      <c r="E14" s="442">
        <f t="shared" ref="E14:I14" si="5">SUM(E10:E13)</f>
        <v>-182.31699999999987</v>
      </c>
      <c r="F14" s="442">
        <f t="shared" si="5"/>
        <v>-38.088999999999842</v>
      </c>
      <c r="G14" s="442">
        <f t="shared" si="5"/>
        <v>606.55232239687462</v>
      </c>
      <c r="H14" s="442">
        <f t="shared" si="5"/>
        <v>937.04827424064115</v>
      </c>
      <c r="I14" s="442">
        <f t="shared" si="5"/>
        <v>913.11665233819372</v>
      </c>
      <c r="J14" s="442">
        <f t="shared" ref="J14:T14" si="6">SUM(J10:J13)</f>
        <v>2015.1427575642188</v>
      </c>
      <c r="K14" s="442">
        <f t="shared" si="6"/>
        <v>3202.4613643201146</v>
      </c>
      <c r="L14" s="442">
        <f t="shared" si="6"/>
        <v>3223.5393437264897</v>
      </c>
      <c r="M14" s="442">
        <f t="shared" si="6"/>
        <v>3345.5585764770562</v>
      </c>
      <c r="N14" s="442">
        <f t="shared" si="6"/>
        <v>3548.0071157916764</v>
      </c>
      <c r="O14" s="442">
        <f t="shared" si="6"/>
        <v>4321.9722991353819</v>
      </c>
      <c r="P14" s="442">
        <f t="shared" si="6"/>
        <v>5569.0978579457624</v>
      </c>
      <c r="Q14" s="442">
        <f t="shared" si="6"/>
        <v>5863.9450597809073</v>
      </c>
      <c r="R14" s="442">
        <f t="shared" si="6"/>
        <v>6200.0061815277577</v>
      </c>
      <c r="S14" s="442">
        <f t="shared" si="6"/>
        <v>6477.913629890747</v>
      </c>
      <c r="T14" s="442">
        <f t="shared" si="6"/>
        <v>6887.9390535184348</v>
      </c>
      <c r="U14" s="443">
        <f>T14*(1+C25)/(C23-C25)</f>
        <v>72867.14472406343</v>
      </c>
    </row>
    <row r="15" spans="1:21" s="439" customFormat="1">
      <c r="A15" s="438"/>
      <c r="B15" s="380" t="s">
        <v>508</v>
      </c>
      <c r="G15" s="440">
        <f>G14/F14-1</f>
        <v>-16.924606117169709</v>
      </c>
      <c r="H15" s="440">
        <f t="shared" ref="H15:T15" si="7">H14/G14-1</f>
        <v>0.54487624503318433</v>
      </c>
      <c r="I15" s="440">
        <f t="shared" si="7"/>
        <v>-2.55393692729875E-2</v>
      </c>
      <c r="J15" s="440">
        <f t="shared" si="7"/>
        <v>1.2068842490213005</v>
      </c>
      <c r="K15" s="440">
        <f t="shared" si="7"/>
        <v>0.58919826017242261</v>
      </c>
      <c r="L15" s="440">
        <f t="shared" si="7"/>
        <v>6.581805994980261E-3</v>
      </c>
      <c r="M15" s="440">
        <f t="shared" si="7"/>
        <v>3.7852565065797927E-2</v>
      </c>
      <c r="N15" s="440">
        <f t="shared" si="7"/>
        <v>6.051262731971141E-2</v>
      </c>
      <c r="O15" s="440">
        <f t="shared" si="7"/>
        <v>0.21814082049015515</v>
      </c>
      <c r="P15" s="440">
        <f t="shared" si="7"/>
        <v>0.28855473207449056</v>
      </c>
      <c r="Q15" s="440">
        <f t="shared" si="7"/>
        <v>5.2943440635446759E-2</v>
      </c>
      <c r="R15" s="440">
        <f t="shared" si="7"/>
        <v>5.7309732325392382E-2</v>
      </c>
      <c r="S15" s="440">
        <f t="shared" si="7"/>
        <v>4.4823737303840705E-2</v>
      </c>
      <c r="T15" s="440">
        <f t="shared" si="7"/>
        <v>6.329590776507521E-2</v>
      </c>
      <c r="U15" s="441">
        <f>U14/T14-1</f>
        <v>9.5789473684210513</v>
      </c>
    </row>
    <row r="16" spans="1:21" ht="13.5" thickBot="1">
      <c r="A16" s="377"/>
      <c r="B16" s="421" t="s">
        <v>504</v>
      </c>
      <c r="C16" s="422"/>
      <c r="D16" s="423"/>
      <c r="E16" s="444">
        <f>E14/(1+$C$23)^(E3-$C$26)</f>
        <v>-254.50807376931559</v>
      </c>
      <c r="F16" s="444">
        <f>F14/(1+$C$23)^(F4-$C$26)</f>
        <v>-48.33717706372282</v>
      </c>
      <c r="G16" s="444">
        <f t="shared" ref="G16:T16" si="8">G14/(1+$C$23)^(G3-$C$26)</f>
        <v>699.77318686879619</v>
      </c>
      <c r="H16" s="444">
        <f t="shared" si="8"/>
        <v>982.78452118615519</v>
      </c>
      <c r="I16" s="444">
        <f t="shared" si="8"/>
        <v>870.62256762164145</v>
      </c>
      <c r="J16" s="444">
        <f t="shared" si="8"/>
        <v>1746.6938466606205</v>
      </c>
      <c r="K16" s="444">
        <f t="shared" si="8"/>
        <v>2523.4934746972135</v>
      </c>
      <c r="L16" s="444">
        <f t="shared" si="8"/>
        <v>2309.1841992520631</v>
      </c>
      <c r="M16" s="444">
        <f t="shared" si="8"/>
        <v>2178.7206767301486</v>
      </c>
      <c r="N16" s="444">
        <f t="shared" si="8"/>
        <v>2100.5098082498816</v>
      </c>
      <c r="O16" s="444">
        <f t="shared" si="8"/>
        <v>2326.1061284264811</v>
      </c>
      <c r="P16" s="444">
        <f t="shared" si="8"/>
        <v>2724.8318719012859</v>
      </c>
      <c r="Q16" s="444">
        <f t="shared" si="8"/>
        <v>2608.2671330480584</v>
      </c>
      <c r="R16" s="444">
        <f t="shared" si="8"/>
        <v>2507.0420220692376</v>
      </c>
      <c r="S16" s="444">
        <f t="shared" si="8"/>
        <v>2381.2881955237804</v>
      </c>
      <c r="T16" s="444">
        <f t="shared" si="8"/>
        <v>2301.8309031906506</v>
      </c>
      <c r="U16" s="444">
        <f>U14/(1+$C$23)^(U4-$C$26)</f>
        <v>22137.225432599076</v>
      </c>
    </row>
    <row r="17" spans="1:5" ht="13.5" thickTop="1">
      <c r="A17" s="377"/>
      <c r="B17" s="377"/>
    </row>
    <row r="18" spans="1:5">
      <c r="A18" s="377"/>
      <c r="B18" s="382" t="s">
        <v>466</v>
      </c>
      <c r="C18" s="383">
        <f>SUM(I16:U16)+H16*0.5</f>
        <v>49207.208520563225</v>
      </c>
    </row>
    <row r="19" spans="1:5">
      <c r="A19" s="377"/>
      <c r="B19" s="377" t="s">
        <v>347</v>
      </c>
      <c r="C19" s="379">
        <f>BS!H5+BS!H6-BS!H21-BS!H30</f>
        <v>2717.6958520120124</v>
      </c>
    </row>
    <row r="20" spans="1:5">
      <c r="A20" s="377"/>
      <c r="B20" s="511" t="s">
        <v>348</v>
      </c>
      <c r="C20" s="512">
        <f>C18+C19</f>
        <v>51924.904372575234</v>
      </c>
    </row>
    <row r="21" spans="1:5">
      <c r="A21" s="377"/>
      <c r="B21" s="511" t="s">
        <v>467</v>
      </c>
      <c r="C21" s="512">
        <f>C20/C27</f>
        <v>200.04696584591571</v>
      </c>
    </row>
    <row r="22" spans="1:5">
      <c r="A22" s="377"/>
      <c r="B22" s="377"/>
    </row>
    <row r="23" spans="1:5">
      <c r="A23" s="377"/>
      <c r="B23" s="377" t="s">
        <v>345</v>
      </c>
      <c r="C23" s="384">
        <v>0.1</v>
      </c>
    </row>
    <row r="24" spans="1:5">
      <c r="A24" s="377"/>
      <c r="B24" s="377" t="s">
        <v>468</v>
      </c>
      <c r="C24" s="636"/>
      <c r="E24" s="377"/>
    </row>
    <row r="25" spans="1:5">
      <c r="A25" s="377"/>
      <c r="B25" s="377" t="s">
        <v>346</v>
      </c>
      <c r="C25" s="384">
        <v>5.0000000000000001E-3</v>
      </c>
    </row>
    <row r="26" spans="1:5">
      <c r="A26" s="377"/>
      <c r="B26" s="377" t="s">
        <v>469</v>
      </c>
      <c r="C26" s="294">
        <v>2018.5</v>
      </c>
    </row>
    <row r="27" spans="1:5">
      <c r="A27" s="377"/>
      <c r="B27" s="377" t="s">
        <v>470</v>
      </c>
      <c r="C27" s="379">
        <f>IS!AK52</f>
        <v>259.56356874999994</v>
      </c>
    </row>
    <row r="28" spans="1:5">
      <c r="A28" s="377"/>
      <c r="B28" s="377"/>
    </row>
    <row r="29" spans="1:5" ht="13.5" thickBot="1">
      <c r="A29" s="377"/>
      <c r="B29" s="382" t="s">
        <v>513</v>
      </c>
    </row>
    <row r="30" spans="1:5">
      <c r="A30" s="385">
        <v>1</v>
      </c>
      <c r="B30" s="513" t="s">
        <v>471</v>
      </c>
      <c r="C30" s="505">
        <v>2</v>
      </c>
      <c r="D30" s="786" t="s">
        <v>472</v>
      </c>
      <c r="E30" s="787"/>
    </row>
    <row r="31" spans="1:5">
      <c r="A31" s="385">
        <v>2</v>
      </c>
      <c r="B31" s="514"/>
      <c r="C31" s="515"/>
      <c r="D31" s="788" t="s">
        <v>473</v>
      </c>
      <c r="E31" s="789"/>
    </row>
    <row r="32" spans="1:5" ht="13.5" thickBot="1">
      <c r="A32" s="385">
        <v>3</v>
      </c>
      <c r="B32" s="516"/>
      <c r="C32" s="517"/>
      <c r="D32" s="790" t="s">
        <v>474</v>
      </c>
      <c r="E32" s="791"/>
    </row>
  </sheetData>
  <mergeCells count="20">
    <mergeCell ref="B3:B4"/>
    <mergeCell ref="E3:E4"/>
    <mergeCell ref="F3:F4"/>
    <mergeCell ref="G3:G4"/>
    <mergeCell ref="H3:H4"/>
    <mergeCell ref="R3:R4"/>
    <mergeCell ref="S3:S4"/>
    <mergeCell ref="T3:T4"/>
    <mergeCell ref="J3:J4"/>
    <mergeCell ref="K3:K4"/>
    <mergeCell ref="L3:L4"/>
    <mergeCell ref="M3:M4"/>
    <mergeCell ref="N3:N4"/>
    <mergeCell ref="O3:O4"/>
    <mergeCell ref="D30:E30"/>
    <mergeCell ref="D31:E31"/>
    <mergeCell ref="D32:E32"/>
    <mergeCell ref="P3:P4"/>
    <mergeCell ref="Q3:Q4"/>
    <mergeCell ref="I3:I4"/>
  </mergeCells>
  <dataValidations count="1">
    <dataValidation type="list" allowBlank="1" showInputMessage="1" showErrorMessage="1" sqref="C30 WVL983070 WLP983070 WBT983070 VRX983070 VIB983070 UYF983070 UOJ983070 UEN983070 TUR983070 TKV983070 TAZ983070 SRD983070 SHH983070 RXL983070 RNP983070 RDT983070 QTX983070 QKB983070 QAF983070 PQJ983070 PGN983070 OWR983070 OMV983070 OCZ983070 NTD983070 NJH983070 MZL983070 MPP983070 MFT983070 LVX983070 LMB983070 LCF983070 KSJ983070 KIN983070 JYR983070 JOV983070 JEZ983070 IVD983070 ILH983070 IBL983070 HRP983070 HHT983070 GXX983070 GOB983070 GEF983070 FUJ983070 FKN983070 FAR983070 EQV983070 EGZ983070 DXD983070 DNH983070 DDL983070 CTP983070 CJT983070 BZX983070 BQB983070 BGF983070 AWJ983070 AMN983070 ACR983070 SV983070 IZ983070 C983070 WVL917534 WLP917534 WBT917534 VRX917534 VIB917534 UYF917534 UOJ917534 UEN917534 TUR917534 TKV917534 TAZ917534 SRD917534 SHH917534 RXL917534 RNP917534 RDT917534 QTX917534 QKB917534 QAF917534 PQJ917534 PGN917534 OWR917534 OMV917534 OCZ917534 NTD917534 NJH917534 MZL917534 MPP917534 MFT917534 LVX917534 LMB917534 LCF917534 KSJ917534 KIN917534 JYR917534 JOV917534 JEZ917534 IVD917534 ILH917534 IBL917534 HRP917534 HHT917534 GXX917534 GOB917534 GEF917534 FUJ917534 FKN917534 FAR917534 EQV917534 EGZ917534 DXD917534 DNH917534 DDL917534 CTP917534 CJT917534 BZX917534 BQB917534 BGF917534 AWJ917534 AMN917534 ACR917534 SV917534 IZ917534 C917534 WVL851998 WLP851998 WBT851998 VRX851998 VIB851998 UYF851998 UOJ851998 UEN851998 TUR851998 TKV851998 TAZ851998 SRD851998 SHH851998 RXL851998 RNP851998 RDT851998 QTX851998 QKB851998 QAF851998 PQJ851998 PGN851998 OWR851998 OMV851998 OCZ851998 NTD851998 NJH851998 MZL851998 MPP851998 MFT851998 LVX851998 LMB851998 LCF851998 KSJ851998 KIN851998 JYR851998 JOV851998 JEZ851998 IVD851998 ILH851998 IBL851998 HRP851998 HHT851998 GXX851998 GOB851998 GEF851998 FUJ851998 FKN851998 FAR851998 EQV851998 EGZ851998 DXD851998 DNH851998 DDL851998 CTP851998 CJT851998 BZX851998 BQB851998 BGF851998 AWJ851998 AMN851998 ACR851998 SV851998 IZ851998 C851998 WVL786462 WLP786462 WBT786462 VRX786462 VIB786462 UYF786462 UOJ786462 UEN786462 TUR786462 TKV786462 TAZ786462 SRD786462 SHH786462 RXL786462 RNP786462 RDT786462 QTX786462 QKB786462 QAF786462 PQJ786462 PGN786462 OWR786462 OMV786462 OCZ786462 NTD786462 NJH786462 MZL786462 MPP786462 MFT786462 LVX786462 LMB786462 LCF786462 KSJ786462 KIN786462 JYR786462 JOV786462 JEZ786462 IVD786462 ILH786462 IBL786462 HRP786462 HHT786462 GXX786462 GOB786462 GEF786462 FUJ786462 FKN786462 FAR786462 EQV786462 EGZ786462 DXD786462 DNH786462 DDL786462 CTP786462 CJT786462 BZX786462 BQB786462 BGF786462 AWJ786462 AMN786462 ACR786462 SV786462 IZ786462 C786462 WVL720926 WLP720926 WBT720926 VRX720926 VIB720926 UYF720926 UOJ720926 UEN720926 TUR720926 TKV720926 TAZ720926 SRD720926 SHH720926 RXL720926 RNP720926 RDT720926 QTX720926 QKB720926 QAF720926 PQJ720926 PGN720926 OWR720926 OMV720926 OCZ720926 NTD720926 NJH720926 MZL720926 MPP720926 MFT720926 LVX720926 LMB720926 LCF720926 KSJ720926 KIN720926 JYR720926 JOV720926 JEZ720926 IVD720926 ILH720926 IBL720926 HRP720926 HHT720926 GXX720926 GOB720926 GEF720926 FUJ720926 FKN720926 FAR720926 EQV720926 EGZ720926 DXD720926 DNH720926 DDL720926 CTP720926 CJT720926 BZX720926 BQB720926 BGF720926 AWJ720926 AMN720926 ACR720926 SV720926 IZ720926 C720926 WVL655390 WLP655390 WBT655390 VRX655390 VIB655390 UYF655390 UOJ655390 UEN655390 TUR655390 TKV655390 TAZ655390 SRD655390 SHH655390 RXL655390 RNP655390 RDT655390 QTX655390 QKB655390 QAF655390 PQJ655390 PGN655390 OWR655390 OMV655390 OCZ655390 NTD655390 NJH655390 MZL655390 MPP655390 MFT655390 LVX655390 LMB655390 LCF655390 KSJ655390 KIN655390 JYR655390 JOV655390 JEZ655390 IVD655390 ILH655390 IBL655390 HRP655390 HHT655390 GXX655390 GOB655390 GEF655390 FUJ655390 FKN655390 FAR655390 EQV655390 EGZ655390 DXD655390 DNH655390 DDL655390 CTP655390 CJT655390 BZX655390 BQB655390 BGF655390 AWJ655390 AMN655390 ACR655390 SV655390 IZ655390 C655390 WVL589854 WLP589854 WBT589854 VRX589854 VIB589854 UYF589854 UOJ589854 UEN589854 TUR589854 TKV589854 TAZ589854 SRD589854 SHH589854 RXL589854 RNP589854 RDT589854 QTX589854 QKB589854 QAF589854 PQJ589854 PGN589854 OWR589854 OMV589854 OCZ589854 NTD589854 NJH589854 MZL589854 MPP589854 MFT589854 LVX589854 LMB589854 LCF589854 KSJ589854 KIN589854 JYR589854 JOV589854 JEZ589854 IVD589854 ILH589854 IBL589854 HRP589854 HHT589854 GXX589854 GOB589854 GEF589854 FUJ589854 FKN589854 FAR589854 EQV589854 EGZ589854 DXD589854 DNH589854 DDL589854 CTP589854 CJT589854 BZX589854 BQB589854 BGF589854 AWJ589854 AMN589854 ACR589854 SV589854 IZ589854 C589854 WVL524318 WLP524318 WBT524318 VRX524318 VIB524318 UYF524318 UOJ524318 UEN524318 TUR524318 TKV524318 TAZ524318 SRD524318 SHH524318 RXL524318 RNP524318 RDT524318 QTX524318 QKB524318 QAF524318 PQJ524318 PGN524318 OWR524318 OMV524318 OCZ524318 NTD524318 NJH524318 MZL524318 MPP524318 MFT524318 LVX524318 LMB524318 LCF524318 KSJ524318 KIN524318 JYR524318 JOV524318 JEZ524318 IVD524318 ILH524318 IBL524318 HRP524318 HHT524318 GXX524318 GOB524318 GEF524318 FUJ524318 FKN524318 FAR524318 EQV524318 EGZ524318 DXD524318 DNH524318 DDL524318 CTP524318 CJT524318 BZX524318 BQB524318 BGF524318 AWJ524318 AMN524318 ACR524318 SV524318 IZ524318 C524318 WVL458782 WLP458782 WBT458782 VRX458782 VIB458782 UYF458782 UOJ458782 UEN458782 TUR458782 TKV458782 TAZ458782 SRD458782 SHH458782 RXL458782 RNP458782 RDT458782 QTX458782 QKB458782 QAF458782 PQJ458782 PGN458782 OWR458782 OMV458782 OCZ458782 NTD458782 NJH458782 MZL458782 MPP458782 MFT458782 LVX458782 LMB458782 LCF458782 KSJ458782 KIN458782 JYR458782 JOV458782 JEZ458782 IVD458782 ILH458782 IBL458782 HRP458782 HHT458782 GXX458782 GOB458782 GEF458782 FUJ458782 FKN458782 FAR458782 EQV458782 EGZ458782 DXD458782 DNH458782 DDL458782 CTP458782 CJT458782 BZX458782 BQB458782 BGF458782 AWJ458782 AMN458782 ACR458782 SV458782 IZ458782 C458782 WVL393246 WLP393246 WBT393246 VRX393246 VIB393246 UYF393246 UOJ393246 UEN393246 TUR393246 TKV393246 TAZ393246 SRD393246 SHH393246 RXL393246 RNP393246 RDT393246 QTX393246 QKB393246 QAF393246 PQJ393246 PGN393246 OWR393246 OMV393246 OCZ393246 NTD393246 NJH393246 MZL393246 MPP393246 MFT393246 LVX393246 LMB393246 LCF393246 KSJ393246 KIN393246 JYR393246 JOV393246 JEZ393246 IVD393246 ILH393246 IBL393246 HRP393246 HHT393246 GXX393246 GOB393246 GEF393246 FUJ393246 FKN393246 FAR393246 EQV393246 EGZ393246 DXD393246 DNH393246 DDL393246 CTP393246 CJT393246 BZX393246 BQB393246 BGF393246 AWJ393246 AMN393246 ACR393246 SV393246 IZ393246 C393246 WVL327710 WLP327710 WBT327710 VRX327710 VIB327710 UYF327710 UOJ327710 UEN327710 TUR327710 TKV327710 TAZ327710 SRD327710 SHH327710 RXL327710 RNP327710 RDT327710 QTX327710 QKB327710 QAF327710 PQJ327710 PGN327710 OWR327710 OMV327710 OCZ327710 NTD327710 NJH327710 MZL327710 MPP327710 MFT327710 LVX327710 LMB327710 LCF327710 KSJ327710 KIN327710 JYR327710 JOV327710 JEZ327710 IVD327710 ILH327710 IBL327710 HRP327710 HHT327710 GXX327710 GOB327710 GEF327710 FUJ327710 FKN327710 FAR327710 EQV327710 EGZ327710 DXD327710 DNH327710 DDL327710 CTP327710 CJT327710 BZX327710 BQB327710 BGF327710 AWJ327710 AMN327710 ACR327710 SV327710 IZ327710 C327710 WVL262174 WLP262174 WBT262174 VRX262174 VIB262174 UYF262174 UOJ262174 UEN262174 TUR262174 TKV262174 TAZ262174 SRD262174 SHH262174 RXL262174 RNP262174 RDT262174 QTX262174 QKB262174 QAF262174 PQJ262174 PGN262174 OWR262174 OMV262174 OCZ262174 NTD262174 NJH262174 MZL262174 MPP262174 MFT262174 LVX262174 LMB262174 LCF262174 KSJ262174 KIN262174 JYR262174 JOV262174 JEZ262174 IVD262174 ILH262174 IBL262174 HRP262174 HHT262174 GXX262174 GOB262174 GEF262174 FUJ262174 FKN262174 FAR262174 EQV262174 EGZ262174 DXD262174 DNH262174 DDL262174 CTP262174 CJT262174 BZX262174 BQB262174 BGF262174 AWJ262174 AMN262174 ACR262174 SV262174 IZ262174 C262174 WVL196638 WLP196638 WBT196638 VRX196638 VIB196638 UYF196638 UOJ196638 UEN196638 TUR196638 TKV196638 TAZ196638 SRD196638 SHH196638 RXL196638 RNP196638 RDT196638 QTX196638 QKB196638 QAF196638 PQJ196638 PGN196638 OWR196638 OMV196638 OCZ196638 NTD196638 NJH196638 MZL196638 MPP196638 MFT196638 LVX196638 LMB196638 LCF196638 KSJ196638 KIN196638 JYR196638 JOV196638 JEZ196638 IVD196638 ILH196638 IBL196638 HRP196638 HHT196638 GXX196638 GOB196638 GEF196638 FUJ196638 FKN196638 FAR196638 EQV196638 EGZ196638 DXD196638 DNH196638 DDL196638 CTP196638 CJT196638 BZX196638 BQB196638 BGF196638 AWJ196638 AMN196638 ACR196638 SV196638 IZ196638 C196638 WVL131102 WLP131102 WBT131102 VRX131102 VIB131102 UYF131102 UOJ131102 UEN131102 TUR131102 TKV131102 TAZ131102 SRD131102 SHH131102 RXL131102 RNP131102 RDT131102 QTX131102 QKB131102 QAF131102 PQJ131102 PGN131102 OWR131102 OMV131102 OCZ131102 NTD131102 NJH131102 MZL131102 MPP131102 MFT131102 LVX131102 LMB131102 LCF131102 KSJ131102 KIN131102 JYR131102 JOV131102 JEZ131102 IVD131102 ILH131102 IBL131102 HRP131102 HHT131102 GXX131102 GOB131102 GEF131102 FUJ131102 FKN131102 FAR131102 EQV131102 EGZ131102 DXD131102 DNH131102 DDL131102 CTP131102 CJT131102 BZX131102 BQB131102 BGF131102 AWJ131102 AMN131102 ACR131102 SV131102 IZ131102 C131102 WVL65566 WLP65566 WBT65566 VRX65566 VIB65566 UYF65566 UOJ65566 UEN65566 TUR65566 TKV65566 TAZ65566 SRD65566 SHH65566 RXL65566 RNP65566 RDT65566 QTX65566 QKB65566 QAF65566 PQJ65566 PGN65566 OWR65566 OMV65566 OCZ65566 NTD65566 NJH65566 MZL65566 MPP65566 MFT65566 LVX65566 LMB65566 LCF65566 KSJ65566 KIN65566 JYR65566 JOV65566 JEZ65566 IVD65566 ILH65566 IBL65566 HRP65566 HHT65566 GXX65566 GOB65566 GEF65566 FUJ65566 FKN65566 FAR65566 EQV65566 EGZ65566 DXD65566 DNH65566 DDL65566 CTP65566 CJT65566 BZX65566 BQB65566 BGF65566 AWJ65566 AMN65566 ACR65566 SV65566 IZ65566 C65566 WVL30 WLP30 WBT30 VRX30 VIB30 UYF30 UOJ30 UEN30 TUR30 TKV30 TAZ30 SRD30 SHH30 RXL30 RNP30 RDT30 QTX30 QKB30 QAF30 PQJ30 PGN30 OWR30 OMV30 OCZ30 NTD30 NJH30 MZL30 MPP30 MFT30 LVX30 LMB30 LCF30 KSJ30 KIN30 JYR30 JOV30 JEZ30 IVD30 ILH30 IBL30 HRP30 HHT30 GXX30 GOB30 GEF30 FUJ30 FKN30 FAR30 EQV30 EGZ30 DXD30 DNH30 DDL30 CTP30 CJT30 BZX30 BQB30 BGF30 AWJ30 AMN30 ACR30 SV30 IZ30">
      <formula1>$A$30:$A$32</formula1>
    </dataValidation>
  </dataValidations>
  <pageMargins left="0" right="0" top="0" bottom="0" header="0" footer="0"/>
  <pageSetup paperSize="5" scale="9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KG234"/>
  <sheetViews>
    <sheetView showGridLines="0" zoomScaleNormal="100" workbookViewId="0">
      <pane xSplit="2" ySplit="2" topLeftCell="C3" activePane="bottomRight" state="frozen"/>
      <selection pane="topRight" activeCell="C1" sqref="C1"/>
      <selection pane="bottomLeft" activeCell="A3" sqref="A3"/>
      <selection pane="bottomRight" activeCell="B35" sqref="B35"/>
    </sheetView>
  </sheetViews>
  <sheetFormatPr defaultRowHeight="12.75" outlineLevelRow="1" outlineLevelCol="1"/>
  <cols>
    <col min="1" max="1" width="2.6640625" style="1" customWidth="1"/>
    <col min="2" max="2" width="62.33203125" style="14" customWidth="1"/>
    <col min="3" max="3" width="6.83203125" style="20" hidden="1" customWidth="1" outlineLevel="1"/>
    <col min="4" max="6" width="6.83203125" style="1" hidden="1" customWidth="1" outlineLevel="1"/>
    <col min="7" max="7" width="7.5" style="1" hidden="1" customWidth="1" collapsed="1"/>
    <col min="8" max="11" width="11.33203125" style="1" hidden="1" customWidth="1" outlineLevel="1"/>
    <col min="12" max="12" width="13" style="1" hidden="1" customWidth="1" collapsed="1"/>
    <col min="13" max="16" width="13" style="1" hidden="1" customWidth="1" outlineLevel="1"/>
    <col min="17" max="17" width="13" style="1" hidden="1" customWidth="1" collapsed="1"/>
    <col min="18" max="21" width="13" style="1" hidden="1" customWidth="1" outlineLevel="1"/>
    <col min="22" max="22" width="13" style="1" customWidth="1" collapsed="1"/>
    <col min="23" max="26" width="13" style="1" hidden="1" customWidth="1" outlineLevel="1"/>
    <col min="27" max="27" width="10.33203125" style="1" customWidth="1" collapsed="1"/>
    <col min="28" max="31" width="10.33203125" style="1" customWidth="1" outlineLevel="1"/>
    <col min="32" max="32" width="10.33203125" style="1" customWidth="1"/>
    <col min="33" max="36" width="10.33203125" style="1" customWidth="1" outlineLevel="1"/>
    <col min="37" max="37" width="10.33203125" style="1" customWidth="1"/>
    <col min="38" max="41" width="10.33203125" style="1" hidden="1" customWidth="1" outlineLevel="1"/>
    <col min="42" max="42" width="10.33203125" style="1" customWidth="1" collapsed="1"/>
    <col min="43" max="46" width="10.33203125" style="1" hidden="1" customWidth="1" outlineLevel="1"/>
    <col min="47" max="47" width="10.33203125" style="1" customWidth="1" collapsed="1"/>
    <col min="48" max="51" width="10.33203125" style="1" hidden="1" customWidth="1" outlineLevel="1"/>
    <col min="52" max="52" width="10.33203125" style="1" customWidth="1" collapsed="1"/>
    <col min="53" max="56" width="10.33203125" style="1" hidden="1" customWidth="1" outlineLevel="1"/>
    <col min="57" max="57" width="10.33203125" style="1" customWidth="1" collapsed="1"/>
    <col min="58" max="61" width="10.33203125" style="1" hidden="1" customWidth="1" outlineLevel="1"/>
    <col min="62" max="62" width="10.33203125" style="1" customWidth="1" collapsed="1"/>
    <col min="63" max="66" width="10.33203125" style="1" hidden="1" customWidth="1" outlineLevel="1"/>
    <col min="67" max="67" width="10.33203125" style="1" customWidth="1" collapsed="1"/>
    <col min="68" max="71" width="10.33203125" style="1" hidden="1" customWidth="1" outlineLevel="1"/>
    <col min="72" max="72" width="10.33203125" style="1" customWidth="1" collapsed="1"/>
    <col min="73" max="76" width="10.33203125" style="1" hidden="1" customWidth="1" outlineLevel="1"/>
    <col min="77" max="77" width="10.33203125" style="1" customWidth="1" collapsed="1"/>
    <col min="78" max="81" width="10.33203125" style="1" hidden="1" customWidth="1" outlineLevel="1"/>
    <col min="82" max="82" width="10.33203125" style="1" customWidth="1" collapsed="1"/>
    <col min="83" max="86" width="10.33203125" style="1" hidden="1" customWidth="1" outlineLevel="1"/>
    <col min="87" max="87" width="10.33203125" style="1" customWidth="1" collapsed="1"/>
    <col min="88" max="91" width="10.33203125" style="1" hidden="1" customWidth="1" outlineLevel="1"/>
    <col min="92" max="92" width="10.33203125" style="1" customWidth="1" collapsed="1"/>
    <col min="93" max="96" width="10.33203125" style="1" hidden="1" customWidth="1" outlineLevel="1"/>
    <col min="97" max="97" width="10.33203125" style="1" customWidth="1" collapsed="1"/>
    <col min="98" max="102" width="9.33203125" style="1" customWidth="1"/>
    <col min="103" max="103" width="31.6640625" customWidth="1"/>
    <col min="109" max="16384" width="9.33203125" style="1"/>
  </cols>
  <sheetData>
    <row r="1" spans="2:293" ht="13.5" thickBot="1">
      <c r="U1" s="504"/>
      <c r="DG1" s="1" t="s">
        <v>674</v>
      </c>
      <c r="DH1" s="1" t="s">
        <v>487</v>
      </c>
    </row>
    <row r="2" spans="2:293" s="2" customFormat="1">
      <c r="B2" s="437" t="s">
        <v>27</v>
      </c>
      <c r="C2" s="17" t="s">
        <v>0</v>
      </c>
      <c r="D2" s="5" t="s">
        <v>1</v>
      </c>
      <c r="E2" s="5" t="s">
        <v>2</v>
      </c>
      <c r="F2" s="5" t="s">
        <v>3</v>
      </c>
      <c r="G2" s="6">
        <v>2012</v>
      </c>
      <c r="H2" s="5" t="s">
        <v>264</v>
      </c>
      <c r="I2" s="5" t="s">
        <v>265</v>
      </c>
      <c r="J2" s="5" t="s">
        <v>266</v>
      </c>
      <c r="K2" s="5" t="s">
        <v>267</v>
      </c>
      <c r="L2" s="436" t="s">
        <v>515</v>
      </c>
      <c r="M2" s="429" t="s">
        <v>268</v>
      </c>
      <c r="N2" s="429" t="s">
        <v>269</v>
      </c>
      <c r="O2" s="429" t="s">
        <v>270</v>
      </c>
      <c r="P2" s="429" t="s">
        <v>271</v>
      </c>
      <c r="Q2" s="436" t="s">
        <v>514</v>
      </c>
      <c r="R2" s="429" t="s">
        <v>511</v>
      </c>
      <c r="S2" s="429" t="s">
        <v>512</v>
      </c>
      <c r="T2" s="429" t="s">
        <v>510</v>
      </c>
      <c r="U2" s="429" t="s">
        <v>516</v>
      </c>
      <c r="V2" s="436" t="s">
        <v>517</v>
      </c>
      <c r="W2" s="429" t="s">
        <v>518</v>
      </c>
      <c r="X2" s="429" t="s">
        <v>519</v>
      </c>
      <c r="Y2" s="429" t="s">
        <v>520</v>
      </c>
      <c r="Z2" s="429" t="s">
        <v>522</v>
      </c>
      <c r="AA2" s="436" t="s">
        <v>526</v>
      </c>
      <c r="AB2" s="429" t="s">
        <v>527</v>
      </c>
      <c r="AC2" s="429" t="s">
        <v>668</v>
      </c>
      <c r="AD2" s="429" t="s">
        <v>669</v>
      </c>
      <c r="AE2" s="429" t="s">
        <v>677</v>
      </c>
      <c r="AF2" s="436" t="s">
        <v>678</v>
      </c>
      <c r="AG2" s="429" t="s">
        <v>13</v>
      </c>
      <c r="AH2" s="429" t="s">
        <v>14</v>
      </c>
      <c r="AI2" s="429" t="s">
        <v>15</v>
      </c>
      <c r="AJ2" s="429" t="s">
        <v>16</v>
      </c>
      <c r="AK2" s="436" t="s">
        <v>17</v>
      </c>
      <c r="AL2" s="429" t="s">
        <v>30</v>
      </c>
      <c r="AM2" s="429" t="s">
        <v>18</v>
      </c>
      <c r="AN2" s="429" t="s">
        <v>19</v>
      </c>
      <c r="AO2" s="429" t="s">
        <v>20</v>
      </c>
      <c r="AP2" s="436" t="s">
        <v>21</v>
      </c>
      <c r="AQ2" s="429" t="s">
        <v>22</v>
      </c>
      <c r="AR2" s="429" t="s">
        <v>23</v>
      </c>
      <c r="AS2" s="429" t="s">
        <v>24</v>
      </c>
      <c r="AT2" s="429" t="s">
        <v>25</v>
      </c>
      <c r="AU2" s="436" t="s">
        <v>26</v>
      </c>
      <c r="AV2" s="429" t="s">
        <v>272</v>
      </c>
      <c r="AW2" s="429" t="s">
        <v>273</v>
      </c>
      <c r="AX2" s="429" t="s">
        <v>274</v>
      </c>
      <c r="AY2" s="429" t="s">
        <v>275</v>
      </c>
      <c r="AZ2" s="436" t="s">
        <v>276</v>
      </c>
      <c r="BA2" s="429" t="s">
        <v>590</v>
      </c>
      <c r="BB2" s="429" t="s">
        <v>593</v>
      </c>
      <c r="BC2" s="429" t="s">
        <v>592</v>
      </c>
      <c r="BD2" s="429" t="s">
        <v>594</v>
      </c>
      <c r="BE2" s="436" t="s">
        <v>595</v>
      </c>
      <c r="BF2" s="429" t="s">
        <v>596</v>
      </c>
      <c r="BG2" s="429" t="s">
        <v>591</v>
      </c>
      <c r="BH2" s="429" t="s">
        <v>597</v>
      </c>
      <c r="BI2" s="429" t="s">
        <v>598</v>
      </c>
      <c r="BJ2" s="436" t="s">
        <v>599</v>
      </c>
      <c r="BK2" s="429" t="s">
        <v>600</v>
      </c>
      <c r="BL2" s="429" t="s">
        <v>601</v>
      </c>
      <c r="BM2" s="429" t="s">
        <v>602</v>
      </c>
      <c r="BN2" s="429" t="s">
        <v>603</v>
      </c>
      <c r="BO2" s="436" t="s">
        <v>604</v>
      </c>
      <c r="BP2" s="429" t="s">
        <v>605</v>
      </c>
      <c r="BQ2" s="429" t="s">
        <v>606</v>
      </c>
      <c r="BR2" s="429" t="s">
        <v>607</v>
      </c>
      <c r="BS2" s="429" t="s">
        <v>608</v>
      </c>
      <c r="BT2" s="436" t="s">
        <v>609</v>
      </c>
      <c r="BU2" s="429" t="s">
        <v>610</v>
      </c>
      <c r="BV2" s="429" t="s">
        <v>611</v>
      </c>
      <c r="BW2" s="429" t="s">
        <v>612</v>
      </c>
      <c r="BX2" s="429" t="s">
        <v>613</v>
      </c>
      <c r="BY2" s="436" t="s">
        <v>614</v>
      </c>
      <c r="BZ2" s="429" t="s">
        <v>615</v>
      </c>
      <c r="CA2" s="429" t="s">
        <v>616</v>
      </c>
      <c r="CB2" s="429" t="s">
        <v>617</v>
      </c>
      <c r="CC2" s="429" t="s">
        <v>618</v>
      </c>
      <c r="CD2" s="436" t="s">
        <v>619</v>
      </c>
      <c r="CE2" s="429" t="s">
        <v>620</v>
      </c>
      <c r="CF2" s="429" t="s">
        <v>621</v>
      </c>
      <c r="CG2" s="429" t="s">
        <v>622</v>
      </c>
      <c r="CH2" s="429" t="s">
        <v>623</v>
      </c>
      <c r="CI2" s="436" t="s">
        <v>624</v>
      </c>
      <c r="CJ2" s="429" t="s">
        <v>625</v>
      </c>
      <c r="CK2" s="429" t="s">
        <v>626</v>
      </c>
      <c r="CL2" s="429" t="s">
        <v>627</v>
      </c>
      <c r="CM2" s="429" t="s">
        <v>628</v>
      </c>
      <c r="CN2" s="436" t="s">
        <v>629</v>
      </c>
      <c r="CO2" s="429" t="s">
        <v>630</v>
      </c>
      <c r="CP2" s="429" t="s">
        <v>631</v>
      </c>
      <c r="CQ2" s="429" t="s">
        <v>632</v>
      </c>
      <c r="CR2" s="429" t="s">
        <v>633</v>
      </c>
      <c r="CS2" s="436" t="s">
        <v>634</v>
      </c>
      <c r="CT2" s="202"/>
      <c r="CU2" s="202"/>
      <c r="CV2" s="202"/>
      <c r="CW2" s="202"/>
      <c r="CX2" s="202"/>
      <c r="CY2"/>
      <c r="CZ2"/>
      <c r="DA2"/>
      <c r="DB2"/>
      <c r="DC2"/>
      <c r="DD2"/>
      <c r="DE2" s="202"/>
      <c r="DF2" s="202"/>
      <c r="DG2" s="202" t="s">
        <v>492</v>
      </c>
      <c r="DH2" s="202" t="e">
        <f ca="1">_xll.TR(DH$1,"TR.NetIncome.currency","Null=-")</f>
        <v>#NAME?</v>
      </c>
      <c r="DI2" s="202"/>
      <c r="DJ2" s="202"/>
      <c r="DK2" s="202"/>
      <c r="DL2" s="202"/>
      <c r="DM2" s="202"/>
      <c r="DN2" s="202"/>
      <c r="DO2" s="202"/>
      <c r="DP2" s="202"/>
      <c r="DQ2" s="202"/>
      <c r="DR2" s="202"/>
      <c r="DS2" s="202"/>
      <c r="DT2" s="202"/>
      <c r="DU2" s="202"/>
      <c r="DV2" s="202"/>
      <c r="DW2" s="202"/>
      <c r="DX2" s="202"/>
      <c r="DY2" s="202"/>
      <c r="DZ2" s="202"/>
      <c r="EA2" s="202"/>
      <c r="EB2" s="202"/>
      <c r="EC2" s="202"/>
      <c r="ED2" s="202"/>
      <c r="EE2" s="202"/>
      <c r="EF2" s="202"/>
      <c r="EG2" s="202"/>
      <c r="EH2" s="202"/>
      <c r="EI2" s="202"/>
      <c r="EJ2" s="202"/>
      <c r="EK2" s="202"/>
      <c r="EL2" s="202"/>
      <c r="EM2" s="202"/>
      <c r="EN2" s="202"/>
      <c r="EO2" s="202"/>
      <c r="EP2" s="202"/>
      <c r="EQ2" s="202"/>
      <c r="ER2" s="202"/>
      <c r="ES2" s="202"/>
      <c r="ET2" s="202"/>
      <c r="EU2" s="202"/>
      <c r="EV2" s="202"/>
      <c r="EW2" s="202"/>
      <c r="EX2" s="202"/>
      <c r="EY2" s="202"/>
      <c r="EZ2" s="202"/>
      <c r="FA2" s="202"/>
      <c r="FB2" s="202"/>
      <c r="FC2" s="202"/>
      <c r="FD2" s="202"/>
      <c r="FE2" s="202"/>
      <c r="FF2" s="202"/>
      <c r="FG2" s="202"/>
      <c r="FH2" s="202"/>
      <c r="FI2" s="202"/>
      <c r="FJ2" s="202"/>
      <c r="FK2" s="202"/>
      <c r="FL2" s="202"/>
      <c r="FM2" s="202"/>
      <c r="FN2" s="202"/>
      <c r="FO2" s="202"/>
      <c r="FP2" s="202"/>
      <c r="FQ2" s="202"/>
      <c r="FR2" s="202"/>
      <c r="FS2" s="202"/>
      <c r="FT2" s="202"/>
      <c r="FU2" s="202"/>
      <c r="FV2" s="202"/>
      <c r="FW2" s="202"/>
      <c r="FX2" s="202"/>
      <c r="FY2" s="202"/>
      <c r="FZ2" s="202"/>
      <c r="GA2" s="202"/>
      <c r="GB2" s="202"/>
      <c r="GC2" s="202"/>
      <c r="GD2" s="202"/>
      <c r="GE2" s="202"/>
      <c r="GF2" s="202"/>
      <c r="GG2" s="202"/>
      <c r="GH2" s="202"/>
      <c r="GI2" s="202"/>
      <c r="GJ2" s="202"/>
      <c r="GK2" s="202"/>
      <c r="GL2" s="202"/>
      <c r="GM2" s="202"/>
      <c r="GN2" s="202"/>
      <c r="GO2" s="202"/>
      <c r="GP2" s="202"/>
      <c r="GQ2" s="202"/>
      <c r="GR2" s="202"/>
      <c r="GS2" s="202"/>
      <c r="GT2" s="202"/>
      <c r="GU2" s="202"/>
      <c r="GV2" s="202"/>
      <c r="GW2" s="202"/>
      <c r="GX2" s="202"/>
      <c r="GY2" s="202"/>
      <c r="GZ2" s="202"/>
      <c r="HA2" s="202"/>
      <c r="HB2" s="202"/>
      <c r="HC2" s="202"/>
      <c r="HD2" s="202"/>
      <c r="HE2" s="202"/>
      <c r="HF2" s="202"/>
      <c r="HG2" s="202"/>
      <c r="HH2" s="202"/>
      <c r="HI2" s="202"/>
      <c r="HJ2" s="202"/>
      <c r="HK2" s="202"/>
      <c r="HL2" s="202"/>
      <c r="HM2" s="202"/>
      <c r="HN2" s="202"/>
      <c r="HO2" s="202"/>
      <c r="HP2" s="202"/>
      <c r="HQ2" s="202"/>
      <c r="HR2" s="202"/>
      <c r="HS2" s="202"/>
      <c r="HT2" s="202"/>
      <c r="HU2" s="202"/>
      <c r="HV2" s="202"/>
      <c r="HW2" s="202"/>
      <c r="HX2" s="202"/>
      <c r="HY2" s="202"/>
      <c r="HZ2" s="202"/>
      <c r="IA2" s="202"/>
      <c r="IB2" s="202"/>
      <c r="IC2" s="202"/>
      <c r="ID2" s="202"/>
      <c r="IE2" s="202"/>
      <c r="IF2" s="202"/>
      <c r="IG2" s="202"/>
      <c r="IH2" s="202"/>
      <c r="II2" s="202"/>
      <c r="IJ2" s="202"/>
      <c r="IK2" s="202"/>
      <c r="IL2" s="202"/>
      <c r="IM2" s="202"/>
      <c r="IN2" s="202"/>
      <c r="IO2" s="202"/>
      <c r="IP2" s="202"/>
      <c r="IQ2" s="202"/>
      <c r="IR2" s="202"/>
      <c r="IS2" s="202"/>
      <c r="IT2" s="202"/>
      <c r="IU2" s="202"/>
      <c r="IV2" s="202"/>
      <c r="IW2" s="202"/>
      <c r="IX2" s="202"/>
      <c r="IY2" s="202"/>
      <c r="IZ2" s="202"/>
      <c r="JA2" s="202"/>
      <c r="JB2" s="202"/>
      <c r="JC2" s="202"/>
      <c r="JD2" s="202"/>
      <c r="JE2" s="202"/>
      <c r="JF2" s="202"/>
      <c r="JG2" s="202"/>
      <c r="JH2" s="202"/>
      <c r="JI2" s="202"/>
      <c r="JJ2" s="202"/>
      <c r="JK2" s="202"/>
      <c r="JL2" s="202"/>
      <c r="JM2" s="202"/>
      <c r="JN2" s="202"/>
      <c r="JO2" s="202"/>
      <c r="JP2" s="202"/>
      <c r="JQ2" s="202"/>
      <c r="JR2" s="202"/>
      <c r="JS2" s="202"/>
      <c r="JT2" s="202"/>
      <c r="JU2" s="202"/>
      <c r="JV2" s="202"/>
      <c r="JW2" s="202"/>
      <c r="JX2" s="202"/>
      <c r="JY2" s="202"/>
      <c r="JZ2" s="202"/>
      <c r="KA2" s="202"/>
      <c r="KB2" s="202"/>
      <c r="KC2" s="202"/>
      <c r="KD2" s="202"/>
      <c r="KE2" s="202"/>
      <c r="KF2" s="202"/>
      <c r="KG2" s="202"/>
    </row>
    <row r="3" spans="2:293">
      <c r="B3" s="15" t="s">
        <v>340</v>
      </c>
      <c r="C3" s="19"/>
      <c r="D3" s="9"/>
      <c r="E3" s="9"/>
      <c r="F3" s="10"/>
      <c r="G3" s="12"/>
      <c r="H3" s="518">
        <f>H84</f>
        <v>61.826999999999998</v>
      </c>
      <c r="I3" s="518">
        <f t="shared" ref="I3:K3" si="0">I84</f>
        <v>98.972999999999999</v>
      </c>
      <c r="J3" s="518">
        <f t="shared" si="0"/>
        <v>101.06100000000001</v>
      </c>
      <c r="K3" s="612">
        <f t="shared" si="0"/>
        <v>109.42400000000004</v>
      </c>
      <c r="L3" s="12">
        <f>SUM(H3:K3)</f>
        <v>371.28500000000003</v>
      </c>
      <c r="M3" s="518">
        <f>M84</f>
        <v>99.515000000000001</v>
      </c>
      <c r="N3" s="518">
        <f t="shared" ref="N3:P3" si="1">N84</f>
        <v>113.05500000000001</v>
      </c>
      <c r="O3" s="518">
        <f>O84</f>
        <v>126.801</v>
      </c>
      <c r="P3" s="612">
        <f t="shared" si="1"/>
        <v>124.37900000000002</v>
      </c>
      <c r="Q3" s="406">
        <f>SUM(M3:P3)</f>
        <v>463.75</v>
      </c>
      <c r="R3" s="518">
        <f>R84</f>
        <v>130.17400000000001</v>
      </c>
      <c r="S3" s="518">
        <f>S84</f>
        <v>154.88800000000001</v>
      </c>
      <c r="T3" s="518">
        <f t="shared" ref="T3" si="2">T84</f>
        <v>165.9</v>
      </c>
      <c r="U3" s="519">
        <f>U84</f>
        <v>180.71199999999999</v>
      </c>
      <c r="V3" s="637">
        <f>SUM(R3:U3)</f>
        <v>631.67399999999998</v>
      </c>
      <c r="W3" s="519">
        <f>W84</f>
        <v>170.5</v>
      </c>
      <c r="X3" s="519">
        <f>X84</f>
        <v>180</v>
      </c>
      <c r="Y3" s="519">
        <f>Y84</f>
        <v>176</v>
      </c>
      <c r="Z3" s="519">
        <f>Z84</f>
        <v>176.89999999999998</v>
      </c>
      <c r="AA3" s="246">
        <f>SUM(W3:Z3)</f>
        <v>703.4</v>
      </c>
      <c r="AB3" s="519">
        <f>AB84</f>
        <v>186</v>
      </c>
      <c r="AC3" s="519">
        <f>AC84</f>
        <v>190</v>
      </c>
      <c r="AD3" s="519">
        <f>AD84</f>
        <v>213</v>
      </c>
      <c r="AE3" s="519">
        <f t="shared" ref="AE3" si="3">AE84</f>
        <v>256</v>
      </c>
      <c r="AF3" s="246">
        <f>AE3+AD3+AC3+AB3</f>
        <v>845</v>
      </c>
      <c r="AG3" s="519">
        <f>AG84</f>
        <v>230</v>
      </c>
      <c r="AH3" s="519">
        <f>AH84</f>
        <v>235</v>
      </c>
      <c r="AI3" s="519">
        <f>AI84</f>
        <v>240</v>
      </c>
      <c r="AJ3" s="519">
        <f t="shared" ref="AJ3" si="4">AJ84</f>
        <v>244.21632786806776</v>
      </c>
      <c r="AK3" s="246">
        <f>Revs!BO7</f>
        <v>949.21632786806776</v>
      </c>
      <c r="AL3" s="519"/>
      <c r="AM3" s="519"/>
      <c r="AN3" s="519"/>
      <c r="AO3" s="519"/>
      <c r="AP3" s="246">
        <f>Revs!BT7</f>
        <v>980.27101305607869</v>
      </c>
      <c r="AQ3" s="519"/>
      <c r="AR3" s="519"/>
      <c r="AS3" s="519"/>
      <c r="AT3" s="519"/>
      <c r="AU3" s="246">
        <f>Revs!BY7</f>
        <v>1110.9818322149695</v>
      </c>
      <c r="AV3" s="519"/>
      <c r="AW3" s="519"/>
      <c r="AX3" s="519"/>
      <c r="AY3" s="519"/>
      <c r="AZ3" s="246">
        <f>Revs!CD7</f>
        <v>1156.4902249580355</v>
      </c>
      <c r="BA3" s="519"/>
      <c r="BB3" s="519"/>
      <c r="BC3" s="519"/>
      <c r="BD3" s="519"/>
      <c r="BE3" s="246">
        <f>Revs!CI7</f>
        <v>1148.5927903151307</v>
      </c>
      <c r="BF3" s="519"/>
      <c r="BG3" s="519"/>
      <c r="BH3" s="519"/>
      <c r="BI3" s="519"/>
      <c r="BJ3" s="246">
        <f>Revs!CN7</f>
        <v>1140.8533043650841</v>
      </c>
      <c r="BK3" s="519"/>
      <c r="BL3" s="519"/>
      <c r="BM3" s="519"/>
      <c r="BN3" s="519"/>
      <c r="BO3" s="246">
        <f>Revs!CS7</f>
        <v>1133.2686081340385</v>
      </c>
      <c r="BP3" s="519"/>
      <c r="BQ3" s="519"/>
      <c r="BR3" s="519"/>
      <c r="BS3" s="519"/>
      <c r="BT3" s="246">
        <f>Revs!CX7</f>
        <v>549.58741477528724</v>
      </c>
      <c r="BU3" s="519"/>
      <c r="BV3" s="519"/>
      <c r="BW3" s="519"/>
      <c r="BX3" s="519"/>
      <c r="BY3" s="246">
        <f>Revs!DC7</f>
        <v>309.22508799858781</v>
      </c>
      <c r="BZ3" s="519"/>
      <c r="CA3" s="519"/>
      <c r="CB3" s="519"/>
      <c r="CC3" s="519"/>
      <c r="CD3" s="246">
        <f>Revs!DH7</f>
        <v>305.22554891513346</v>
      </c>
      <c r="CE3" s="519"/>
      <c r="CF3" s="519"/>
      <c r="CG3" s="519"/>
      <c r="CH3" s="519"/>
      <c r="CI3" s="246">
        <f>Revs!DM7</f>
        <v>53.740211231645119</v>
      </c>
      <c r="CJ3" s="519"/>
      <c r="CK3" s="519"/>
      <c r="CL3" s="519"/>
      <c r="CM3" s="519"/>
      <c r="CN3" s="246">
        <f>Revs!DR7</f>
        <v>8.7714489340799986</v>
      </c>
      <c r="CO3" s="519"/>
      <c r="CP3" s="519"/>
      <c r="CQ3" s="519"/>
      <c r="CR3" s="519"/>
      <c r="CS3" s="246">
        <f>Revs!DW7</f>
        <v>0</v>
      </c>
      <c r="CT3" s="133"/>
    </row>
    <row r="4" spans="2:293">
      <c r="B4" s="15"/>
      <c r="C4" s="19"/>
      <c r="D4" s="9"/>
      <c r="E4" s="9"/>
      <c r="F4" s="10"/>
      <c r="G4" s="12"/>
      <c r="H4" s="518"/>
      <c r="I4" s="518"/>
      <c r="J4" s="518"/>
      <c r="K4" s="612"/>
      <c r="L4" s="12"/>
      <c r="M4" s="518"/>
      <c r="N4" s="518"/>
      <c r="O4" s="518"/>
      <c r="P4" s="612"/>
      <c r="Q4" s="406"/>
      <c r="R4" s="518"/>
      <c r="S4" s="520"/>
      <c r="T4" s="518"/>
      <c r="U4" s="518"/>
      <c r="V4" s="638"/>
      <c r="W4" s="518"/>
      <c r="X4" s="525"/>
      <c r="Y4" s="525"/>
      <c r="Z4" s="525"/>
      <c r="AA4" s="246"/>
      <c r="AB4" s="533"/>
      <c r="AC4" s="533"/>
      <c r="AD4" s="533"/>
      <c r="AE4" s="533"/>
      <c r="AF4" s="246"/>
      <c r="AG4" s="519"/>
      <c r="AH4" s="519"/>
      <c r="AI4" s="519"/>
      <c r="AJ4" s="519"/>
      <c r="AK4" s="246"/>
      <c r="AL4" s="519"/>
      <c r="AM4" s="519"/>
      <c r="AN4" s="519"/>
      <c r="AO4" s="519"/>
      <c r="AP4" s="246"/>
      <c r="AQ4" s="519"/>
      <c r="AR4" s="519"/>
      <c r="AS4" s="519"/>
      <c r="AT4" s="519"/>
      <c r="AU4" s="246"/>
      <c r="AV4" s="519"/>
      <c r="AW4" s="519"/>
      <c r="AX4" s="519"/>
      <c r="AY4" s="519"/>
      <c r="AZ4" s="246"/>
      <c r="BA4" s="519"/>
      <c r="BB4" s="519"/>
      <c r="BC4" s="519"/>
      <c r="BD4" s="519"/>
      <c r="BE4" s="246"/>
      <c r="BF4" s="519"/>
      <c r="BG4" s="519"/>
      <c r="BH4" s="519"/>
      <c r="BI4" s="519"/>
      <c r="BJ4" s="246"/>
      <c r="BK4" s="519"/>
      <c r="BL4" s="519"/>
      <c r="BM4" s="519"/>
      <c r="BN4" s="519"/>
      <c r="BO4" s="246"/>
      <c r="BP4" s="519"/>
      <c r="BQ4" s="519"/>
      <c r="BR4" s="519"/>
      <c r="BS4" s="519"/>
      <c r="BT4" s="246"/>
      <c r="BU4" s="519"/>
      <c r="BV4" s="519"/>
      <c r="BW4" s="519"/>
      <c r="BX4" s="519"/>
      <c r="BY4" s="246"/>
      <c r="BZ4" s="519"/>
      <c r="CA4" s="519"/>
      <c r="CB4" s="519"/>
      <c r="CC4" s="519"/>
      <c r="CD4" s="246"/>
      <c r="CE4" s="519"/>
      <c r="CF4" s="519"/>
      <c r="CG4" s="519"/>
      <c r="CH4" s="519"/>
      <c r="CI4" s="246"/>
      <c r="CJ4" s="519"/>
      <c r="CK4" s="519"/>
      <c r="CL4" s="519"/>
      <c r="CM4" s="519"/>
      <c r="CN4" s="246"/>
      <c r="CO4" s="519"/>
      <c r="CP4" s="519"/>
      <c r="CQ4" s="519"/>
      <c r="CR4" s="519"/>
      <c r="CS4" s="246"/>
      <c r="CT4" s="133"/>
    </row>
    <row r="5" spans="2:293">
      <c r="B5" s="15" t="s">
        <v>656</v>
      </c>
      <c r="C5" s="19"/>
      <c r="D5" s="9"/>
      <c r="E5" s="9"/>
      <c r="F5" s="10"/>
      <c r="G5" s="12"/>
      <c r="H5" s="518"/>
      <c r="I5" s="518"/>
      <c r="J5" s="518"/>
      <c r="K5" s="612"/>
      <c r="L5" s="12"/>
      <c r="M5" s="518"/>
      <c r="N5" s="518"/>
      <c r="O5" s="518"/>
      <c r="P5" s="612"/>
      <c r="Q5" s="406"/>
      <c r="R5" s="518"/>
      <c r="S5" s="520"/>
      <c r="T5" s="518"/>
      <c r="U5" s="518"/>
      <c r="V5" s="638"/>
      <c r="W5" s="518"/>
      <c r="X5" s="525"/>
      <c r="Y5" s="525"/>
      <c r="Z5" s="525"/>
      <c r="AA5" s="246"/>
      <c r="AB5" s="533"/>
      <c r="AC5" s="533"/>
      <c r="AD5" s="533"/>
      <c r="AE5" s="533"/>
      <c r="AF5" s="246"/>
      <c r="AG5" s="519"/>
      <c r="AH5" s="519"/>
      <c r="AI5" s="519"/>
      <c r="AJ5" s="519"/>
      <c r="AK5" s="246">
        <f>Revs!BO14</f>
        <v>0</v>
      </c>
      <c r="AL5" s="519"/>
      <c r="AM5" s="519"/>
      <c r="AN5" s="519"/>
      <c r="AO5" s="519"/>
      <c r="AP5" s="246">
        <f>Revs!BT14</f>
        <v>0</v>
      </c>
      <c r="AQ5" s="519"/>
      <c r="AR5" s="519"/>
      <c r="AS5" s="519"/>
      <c r="AT5" s="519"/>
      <c r="AU5" s="246">
        <f>Revs!BY14</f>
        <v>0</v>
      </c>
      <c r="AV5" s="519"/>
      <c r="AW5" s="519"/>
      <c r="AX5" s="519"/>
      <c r="AY5" s="519"/>
      <c r="AZ5" s="246">
        <f>Revs!CD14</f>
        <v>0</v>
      </c>
      <c r="BA5" s="519"/>
      <c r="BB5" s="519"/>
      <c r="BC5" s="519"/>
      <c r="BD5" s="519"/>
      <c r="BE5" s="246">
        <f>Revs!CI14</f>
        <v>0</v>
      </c>
      <c r="BF5" s="519"/>
      <c r="BG5" s="519"/>
      <c r="BH5" s="519"/>
      <c r="BI5" s="519"/>
      <c r="BJ5" s="246">
        <f>Revs!CN14</f>
        <v>0</v>
      </c>
      <c r="BK5" s="519"/>
      <c r="BL5" s="519"/>
      <c r="BM5" s="519"/>
      <c r="BN5" s="519"/>
      <c r="BO5" s="246">
        <f>Revs!CS14</f>
        <v>0</v>
      </c>
      <c r="BP5" s="519"/>
      <c r="BQ5" s="519"/>
      <c r="BR5" s="519"/>
      <c r="BS5" s="519"/>
      <c r="BT5" s="246">
        <f>Revs!CX14</f>
        <v>611.54792456752671</v>
      </c>
      <c r="BU5" s="519"/>
      <c r="BV5" s="519"/>
      <c r="BW5" s="519"/>
      <c r="BX5" s="519"/>
      <c r="BY5" s="246">
        <f>Revs!DC14</f>
        <v>787.69957075522166</v>
      </c>
      <c r="BZ5" s="519"/>
      <c r="CA5" s="519"/>
      <c r="CB5" s="519"/>
      <c r="CC5" s="519"/>
      <c r="CD5" s="246">
        <f>Revs!DH14</f>
        <v>784.24476376016401</v>
      </c>
      <c r="CE5" s="519"/>
      <c r="CF5" s="519"/>
      <c r="CG5" s="519"/>
      <c r="CH5" s="519"/>
      <c r="CI5" s="246">
        <f>Revs!DM14</f>
        <v>1068.4306474708826</v>
      </c>
      <c r="CJ5" s="519"/>
      <c r="CK5" s="519"/>
      <c r="CL5" s="519"/>
      <c r="CM5" s="519"/>
      <c r="CN5" s="246">
        <f>Revs!DR14</f>
        <v>1069.636168381865</v>
      </c>
      <c r="CO5" s="519"/>
      <c r="CP5" s="519"/>
      <c r="CQ5" s="519"/>
      <c r="CR5" s="519"/>
      <c r="CS5" s="246">
        <f>Revs!DW14</f>
        <v>1159.5552713654918</v>
      </c>
      <c r="CT5" s="133"/>
    </row>
    <row r="6" spans="2:293">
      <c r="B6" s="15"/>
      <c r="C6" s="19"/>
      <c r="D6" s="9"/>
      <c r="E6" s="9"/>
      <c r="F6" s="10"/>
      <c r="G6" s="12"/>
      <c r="H6" s="518"/>
      <c r="I6" s="518"/>
      <c r="J6" s="518"/>
      <c r="K6" s="612"/>
      <c r="L6" s="12"/>
      <c r="M6" s="518"/>
      <c r="N6" s="518"/>
      <c r="O6" s="518"/>
      <c r="P6" s="612"/>
      <c r="Q6" s="406"/>
      <c r="R6" s="518"/>
      <c r="S6" s="520"/>
      <c r="T6" s="518"/>
      <c r="U6" s="518"/>
      <c r="V6" s="638"/>
      <c r="W6" s="518"/>
      <c r="X6" s="525"/>
      <c r="Y6" s="525"/>
      <c r="Z6" s="525"/>
      <c r="AA6" s="246"/>
      <c r="AB6" s="533"/>
      <c r="AC6" s="533"/>
      <c r="AD6" s="533"/>
      <c r="AE6" s="533"/>
      <c r="AF6" s="246"/>
      <c r="AG6" s="519"/>
      <c r="AH6" s="519"/>
      <c r="AI6" s="519"/>
      <c r="AJ6" s="519"/>
      <c r="AK6" s="246"/>
      <c r="AL6" s="519"/>
      <c r="AM6" s="519"/>
      <c r="AN6" s="519"/>
      <c r="AO6" s="519"/>
      <c r="AP6" s="246"/>
      <c r="AQ6" s="519"/>
      <c r="AR6" s="519"/>
      <c r="AS6" s="519"/>
      <c r="AT6" s="519"/>
      <c r="AU6" s="246"/>
      <c r="AV6" s="519"/>
      <c r="AW6" s="519"/>
      <c r="AX6" s="519"/>
      <c r="AY6" s="519"/>
      <c r="AZ6" s="246"/>
      <c r="BA6" s="519"/>
      <c r="BB6" s="519"/>
      <c r="BC6" s="519"/>
      <c r="BD6" s="519"/>
      <c r="BE6" s="246"/>
      <c r="BF6" s="519"/>
      <c r="BG6" s="519"/>
      <c r="BH6" s="519"/>
      <c r="BI6" s="519"/>
      <c r="BJ6" s="246"/>
      <c r="BK6" s="519"/>
      <c r="BL6" s="519"/>
      <c r="BM6" s="519"/>
      <c r="BN6" s="519"/>
      <c r="BO6" s="246"/>
      <c r="BP6" s="519"/>
      <c r="BQ6" s="519"/>
      <c r="BR6" s="519"/>
      <c r="BS6" s="519"/>
      <c r="BT6" s="246"/>
      <c r="BU6" s="519"/>
      <c r="BV6" s="519"/>
      <c r="BW6" s="519"/>
      <c r="BX6" s="519"/>
      <c r="BY6" s="246"/>
      <c r="BZ6" s="519"/>
      <c r="CA6" s="519"/>
      <c r="CB6" s="519"/>
      <c r="CC6" s="519"/>
      <c r="CD6" s="246"/>
      <c r="CE6" s="519"/>
      <c r="CF6" s="519"/>
      <c r="CG6" s="519"/>
      <c r="CH6" s="519"/>
      <c r="CI6" s="246"/>
      <c r="CJ6" s="519"/>
      <c r="CK6" s="519"/>
      <c r="CL6" s="519"/>
      <c r="CM6" s="519"/>
      <c r="CN6" s="246"/>
      <c r="CO6" s="519"/>
      <c r="CP6" s="519"/>
      <c r="CQ6" s="519"/>
      <c r="CR6" s="519"/>
      <c r="CS6" s="246"/>
      <c r="CT6" s="133"/>
    </row>
    <row r="7" spans="2:293">
      <c r="B7" s="15" t="s">
        <v>498</v>
      </c>
      <c r="C7" s="19"/>
      <c r="D7" s="9"/>
      <c r="E7" s="9"/>
      <c r="F7" s="10"/>
      <c r="G7" s="12"/>
      <c r="H7" s="518">
        <f t="shared" ref="H7:K7" si="5">H86</f>
        <v>0</v>
      </c>
      <c r="I7" s="518">
        <f t="shared" si="5"/>
        <v>0</v>
      </c>
      <c r="J7" s="518">
        <f t="shared" si="5"/>
        <v>0</v>
      </c>
      <c r="K7" s="612">
        <f t="shared" si="5"/>
        <v>0</v>
      </c>
      <c r="L7" s="12">
        <f>SUM(H7:K7)</f>
        <v>0</v>
      </c>
      <c r="M7" s="518">
        <f t="shared" ref="M7:P7" si="6">M86</f>
        <v>0</v>
      </c>
      <c r="N7" s="518">
        <f>N86</f>
        <v>0</v>
      </c>
      <c r="O7" s="518">
        <f t="shared" si="6"/>
        <v>0</v>
      </c>
      <c r="P7" s="612">
        <f t="shared" si="6"/>
        <v>0</v>
      </c>
      <c r="Q7" s="406">
        <f>SUM(M7:P7)</f>
        <v>0</v>
      </c>
      <c r="R7" s="518">
        <f t="shared" ref="R7:T7" si="7">R86</f>
        <v>0</v>
      </c>
      <c r="S7" s="518">
        <f t="shared" si="7"/>
        <v>0</v>
      </c>
      <c r="T7" s="518">
        <f t="shared" si="7"/>
        <v>130.80000000000001</v>
      </c>
      <c r="U7" s="519">
        <f>U86</f>
        <v>219.863</v>
      </c>
      <c r="V7" s="638">
        <f>SUM(R7:U7)</f>
        <v>350.66300000000001</v>
      </c>
      <c r="W7" s="519">
        <f>W86</f>
        <v>223.91000000000003</v>
      </c>
      <c r="X7" s="519">
        <f>X86</f>
        <v>245.65100000000001</v>
      </c>
      <c r="Y7" s="519">
        <f>Y86</f>
        <v>233.68900000000002</v>
      </c>
      <c r="Z7" s="519">
        <f>Z86</f>
        <v>276.98199999999997</v>
      </c>
      <c r="AA7" s="246">
        <f>SUM(W7:Z7)</f>
        <v>980.23199999999997</v>
      </c>
      <c r="AB7" s="519">
        <f>AB86</f>
        <v>294.62200000000001</v>
      </c>
      <c r="AC7" s="519">
        <f t="shared" ref="AC7:AE7" si="8">AC86</f>
        <v>323.98800000000006</v>
      </c>
      <c r="AD7" s="519">
        <f>AD86</f>
        <v>336.64200000000005</v>
      </c>
      <c r="AE7" s="519">
        <f t="shared" si="8"/>
        <v>365.22799999999995</v>
      </c>
      <c r="AF7" s="246">
        <f>AE7+AD7+AC7+AB7</f>
        <v>1320.4800000000002</v>
      </c>
      <c r="AG7" s="519">
        <f>AG86</f>
        <v>360</v>
      </c>
      <c r="AH7" s="519">
        <f t="shared" ref="AH7:AJ7" si="9">AH86</f>
        <v>370</v>
      </c>
      <c r="AI7" s="519">
        <f>AI86</f>
        <v>380</v>
      </c>
      <c r="AJ7" s="519">
        <f t="shared" si="9"/>
        <v>383.7494914975</v>
      </c>
      <c r="AK7" s="246">
        <f>Revs!BO29</f>
        <v>1493.7494914975</v>
      </c>
      <c r="AL7" s="519"/>
      <c r="AM7" s="519"/>
      <c r="AN7" s="519"/>
      <c r="AO7" s="519"/>
      <c r="AP7" s="246">
        <f>Revs!BT29</f>
        <v>1464.5137588842499</v>
      </c>
      <c r="AQ7" s="519"/>
      <c r="AR7" s="519"/>
      <c r="AS7" s="519"/>
      <c r="AT7" s="519"/>
      <c r="AU7" s="246">
        <f>Revs!BY29</f>
        <v>1274.3007461072498</v>
      </c>
      <c r="AV7" s="519"/>
      <c r="AW7" s="519"/>
      <c r="AX7" s="519"/>
      <c r="AY7" s="519"/>
      <c r="AZ7" s="246">
        <f>Revs!CD29</f>
        <v>1205.860913172125</v>
      </c>
      <c r="BA7" s="519"/>
      <c r="BB7" s="519"/>
      <c r="BC7" s="519"/>
      <c r="BD7" s="519"/>
      <c r="BE7" s="246">
        <f>Revs!CI29</f>
        <v>1054.5015557289041</v>
      </c>
      <c r="BF7" s="519"/>
      <c r="BG7" s="519"/>
      <c r="BH7" s="519"/>
      <c r="BI7" s="519"/>
      <c r="BJ7" s="246">
        <f>Revs!CN29</f>
        <v>899.68021101206341</v>
      </c>
      <c r="BK7" s="519"/>
      <c r="BL7" s="519"/>
      <c r="BM7" s="519"/>
      <c r="BN7" s="519"/>
      <c r="BO7" s="246">
        <f>Revs!CS29</f>
        <v>620.57975028983219</v>
      </c>
      <c r="BP7" s="519"/>
      <c r="BQ7" s="519"/>
      <c r="BR7" s="519"/>
      <c r="BS7" s="519"/>
      <c r="BT7" s="246">
        <f>Revs!CX29</f>
        <v>388.74280549896889</v>
      </c>
      <c r="BU7" s="519"/>
      <c r="BV7" s="519"/>
      <c r="BW7" s="519"/>
      <c r="BX7" s="519"/>
      <c r="BY7" s="246">
        <f>Revs!DC29</f>
        <v>212.11479648765442</v>
      </c>
      <c r="BZ7" s="519"/>
      <c r="CA7" s="519"/>
      <c r="CB7" s="519"/>
      <c r="CC7" s="519"/>
      <c r="CD7" s="246">
        <f>Revs!DH29</f>
        <v>110.87854845751767</v>
      </c>
      <c r="CE7" s="519"/>
      <c r="CF7" s="519"/>
      <c r="CG7" s="519"/>
      <c r="CH7" s="519"/>
      <c r="CI7" s="246">
        <f>Revs!DM29</f>
        <v>52.1956396845505</v>
      </c>
      <c r="CJ7" s="519"/>
      <c r="CK7" s="519"/>
      <c r="CL7" s="519"/>
      <c r="CM7" s="519"/>
      <c r="CN7" s="246">
        <f>Revs!DR29</f>
        <v>17.921059831157176</v>
      </c>
      <c r="CO7" s="519"/>
      <c r="CP7" s="519"/>
      <c r="CQ7" s="519"/>
      <c r="CR7" s="519"/>
      <c r="CS7" s="246">
        <f>Revs!DW29</f>
        <v>1.487066666840702</v>
      </c>
      <c r="CT7" s="133"/>
    </row>
    <row r="8" spans="2:293">
      <c r="B8" s="15"/>
      <c r="C8" s="19"/>
      <c r="D8" s="9"/>
      <c r="E8" s="9"/>
      <c r="F8" s="10"/>
      <c r="G8" s="12"/>
      <c r="H8" s="518"/>
      <c r="I8" s="518"/>
      <c r="J8" s="518"/>
      <c r="K8" s="612"/>
      <c r="L8" s="12"/>
      <c r="M8" s="518"/>
      <c r="N8" s="518"/>
      <c r="O8" s="518"/>
      <c r="P8" s="612"/>
      <c r="Q8" s="406"/>
      <c r="R8" s="518"/>
      <c r="S8" s="518"/>
      <c r="T8" s="518"/>
      <c r="U8" s="519"/>
      <c r="V8" s="638"/>
      <c r="W8" s="519"/>
      <c r="X8" s="519"/>
      <c r="Y8" s="519"/>
      <c r="Z8" s="519"/>
      <c r="AA8" s="246"/>
      <c r="AB8" s="519"/>
      <c r="AC8" s="519"/>
      <c r="AD8" s="519"/>
      <c r="AE8" s="519"/>
      <c r="AF8" s="246"/>
      <c r="AG8" s="519"/>
      <c r="AH8" s="519"/>
      <c r="AI8" s="519"/>
      <c r="AJ8" s="519"/>
      <c r="AK8" s="246"/>
      <c r="AL8" s="519"/>
      <c r="AM8" s="519"/>
      <c r="AN8" s="519"/>
      <c r="AO8" s="519"/>
      <c r="AP8" s="246"/>
      <c r="AQ8" s="519"/>
      <c r="AR8" s="519"/>
      <c r="AS8" s="519"/>
      <c r="AT8" s="519"/>
      <c r="AU8" s="246"/>
      <c r="AV8" s="519"/>
      <c r="AW8" s="519"/>
      <c r="AX8" s="519"/>
      <c r="AY8" s="519"/>
      <c r="AZ8" s="246"/>
      <c r="BA8" s="519"/>
      <c r="BB8" s="519"/>
      <c r="BC8" s="519"/>
      <c r="BD8" s="519"/>
      <c r="BE8" s="246"/>
      <c r="BF8" s="519"/>
      <c r="BG8" s="519"/>
      <c r="BH8" s="519"/>
      <c r="BI8" s="519"/>
      <c r="BJ8" s="246"/>
      <c r="BK8" s="519"/>
      <c r="BL8" s="519"/>
      <c r="BM8" s="519"/>
      <c r="BN8" s="519"/>
      <c r="BO8" s="246"/>
      <c r="BP8" s="519"/>
      <c r="BQ8" s="519"/>
      <c r="BR8" s="519"/>
      <c r="BS8" s="519"/>
      <c r="BT8" s="246"/>
      <c r="BU8" s="519"/>
      <c r="BV8" s="519"/>
      <c r="BW8" s="519"/>
      <c r="BX8" s="519"/>
      <c r="BY8" s="246"/>
      <c r="BZ8" s="519"/>
      <c r="CA8" s="519"/>
      <c r="CB8" s="519"/>
      <c r="CC8" s="519"/>
      <c r="CD8" s="246"/>
      <c r="CE8" s="519"/>
      <c r="CF8" s="519"/>
      <c r="CG8" s="519"/>
      <c r="CH8" s="519"/>
      <c r="CI8" s="246"/>
      <c r="CJ8" s="519"/>
      <c r="CK8" s="519"/>
      <c r="CL8" s="519"/>
      <c r="CM8" s="519"/>
      <c r="CN8" s="246"/>
      <c r="CO8" s="519"/>
      <c r="CP8" s="519"/>
      <c r="CQ8" s="519"/>
      <c r="CR8" s="519"/>
      <c r="CS8" s="246"/>
      <c r="CT8" s="133"/>
    </row>
    <row r="9" spans="2:293">
      <c r="B9" s="15" t="s">
        <v>680</v>
      </c>
      <c r="C9" s="19"/>
      <c r="D9" s="9"/>
      <c r="E9" s="9"/>
      <c r="F9" s="10"/>
      <c r="G9" s="12"/>
      <c r="H9" s="518"/>
      <c r="I9" s="518"/>
      <c r="J9" s="518"/>
      <c r="K9" s="612"/>
      <c r="L9" s="12"/>
      <c r="M9" s="518"/>
      <c r="N9" s="518"/>
      <c r="O9" s="518"/>
      <c r="P9" s="612"/>
      <c r="Q9" s="406"/>
      <c r="R9" s="518"/>
      <c r="S9" s="518"/>
      <c r="T9" s="518"/>
      <c r="U9" s="519"/>
      <c r="V9" s="638"/>
      <c r="W9" s="519"/>
      <c r="X9" s="519"/>
      <c r="Y9" s="519"/>
      <c r="Z9" s="519"/>
      <c r="AA9" s="246"/>
      <c r="AB9" s="519"/>
      <c r="AC9" s="519"/>
      <c r="AD9" s="519"/>
      <c r="AE9" s="519"/>
      <c r="AF9" s="246"/>
      <c r="AG9" s="519">
        <f>AG87</f>
        <v>10</v>
      </c>
      <c r="AH9" s="519">
        <f t="shared" ref="AH9:AJ9" si="10">AH87</f>
        <v>40</v>
      </c>
      <c r="AI9" s="519">
        <f t="shared" si="10"/>
        <v>75</v>
      </c>
      <c r="AJ9" s="519">
        <f t="shared" si="10"/>
        <v>94.718853409687483</v>
      </c>
      <c r="AK9" s="246">
        <f>Revs!BO36</f>
        <v>219.71885340968748</v>
      </c>
      <c r="AL9" s="519"/>
      <c r="AM9" s="519"/>
      <c r="AN9" s="519"/>
      <c r="AO9" s="519"/>
      <c r="AP9" s="246">
        <f>Revs!BT36</f>
        <v>485.00439827399998</v>
      </c>
      <c r="AQ9" s="519"/>
      <c r="AR9" s="519"/>
      <c r="AS9" s="519"/>
      <c r="AT9" s="519"/>
      <c r="AU9" s="246">
        <f>Revs!BY36</f>
        <v>571.6307606132109</v>
      </c>
      <c r="AV9" s="519"/>
      <c r="AW9" s="519"/>
      <c r="AX9" s="519"/>
      <c r="AY9" s="519"/>
      <c r="AZ9" s="246">
        <f>Revs!CD36</f>
        <v>599.76369070878513</v>
      </c>
      <c r="BA9" s="519"/>
      <c r="BB9" s="519"/>
      <c r="BC9" s="519"/>
      <c r="BD9" s="519"/>
      <c r="BE9" s="246">
        <f>Revs!CI36</f>
        <v>538.7324403228024</v>
      </c>
      <c r="BF9" s="519"/>
      <c r="BG9" s="519"/>
      <c r="BH9" s="519"/>
      <c r="BI9" s="519"/>
      <c r="BJ9" s="246">
        <f>Revs!CN36</f>
        <v>465.68007931587726</v>
      </c>
      <c r="BK9" s="519"/>
      <c r="BL9" s="519"/>
      <c r="BM9" s="519"/>
      <c r="BN9" s="519"/>
      <c r="BO9" s="246">
        <f>Revs!CS36</f>
        <v>291.16132635909793</v>
      </c>
      <c r="BP9" s="519"/>
      <c r="BQ9" s="519"/>
      <c r="BR9" s="519"/>
      <c r="BS9" s="519"/>
      <c r="BT9" s="246">
        <f>Revs!CX36</f>
        <v>149.56093044018823</v>
      </c>
      <c r="BU9" s="519"/>
      <c r="BV9" s="519"/>
      <c r="BW9" s="519"/>
      <c r="BX9" s="519"/>
      <c r="BY9" s="246">
        <f>Revs!DC36</f>
        <v>78.350642326459507</v>
      </c>
      <c r="BZ9" s="519"/>
      <c r="CA9" s="519"/>
      <c r="CB9" s="519"/>
      <c r="CC9" s="519"/>
      <c r="CD9" s="246">
        <f>Revs!DH36</f>
        <v>40.131909523396416</v>
      </c>
      <c r="CE9" s="519"/>
      <c r="CF9" s="519"/>
      <c r="CG9" s="519"/>
      <c r="CH9" s="519"/>
      <c r="CI9" s="246">
        <f>Revs!DM36</f>
        <v>15.948799292532268</v>
      </c>
      <c r="CJ9" s="519"/>
      <c r="CK9" s="519"/>
      <c r="CL9" s="519"/>
      <c r="CM9" s="519"/>
      <c r="CN9" s="246">
        <f>Revs!DR36</f>
        <v>6.182765641749226</v>
      </c>
      <c r="CO9" s="519"/>
      <c r="CP9" s="519"/>
      <c r="CQ9" s="519"/>
      <c r="CR9" s="519"/>
      <c r="CS9" s="246">
        <f>Revs!DW36</f>
        <v>0.51303800006004219</v>
      </c>
      <c r="CT9" s="133"/>
    </row>
    <row r="10" spans="2:293">
      <c r="B10" s="15"/>
      <c r="C10" s="19"/>
      <c r="D10" s="9"/>
      <c r="E10" s="9"/>
      <c r="F10" s="10"/>
      <c r="G10" s="12"/>
      <c r="H10" s="518"/>
      <c r="I10" s="518"/>
      <c r="J10" s="518"/>
      <c r="K10" s="612"/>
      <c r="L10" s="12"/>
      <c r="M10" s="518"/>
      <c r="N10" s="518"/>
      <c r="O10" s="518"/>
      <c r="P10" s="612"/>
      <c r="Q10" s="406"/>
      <c r="R10" s="518"/>
      <c r="S10" s="518"/>
      <c r="T10" s="518"/>
      <c r="U10" s="519"/>
      <c r="V10" s="638"/>
      <c r="W10" s="519"/>
      <c r="X10" s="519"/>
      <c r="Y10" s="519"/>
      <c r="Z10" s="519"/>
      <c r="AA10" s="246"/>
      <c r="AB10" s="519"/>
      <c r="AC10" s="519"/>
      <c r="AD10" s="519"/>
      <c r="AE10" s="519"/>
      <c r="AF10" s="246"/>
      <c r="AG10" s="519"/>
      <c r="AH10" s="519"/>
      <c r="AI10" s="519"/>
      <c r="AJ10" s="519"/>
      <c r="AK10" s="246"/>
      <c r="AL10" s="519"/>
      <c r="AM10" s="519"/>
      <c r="AN10" s="519"/>
      <c r="AO10" s="519"/>
      <c r="AP10" s="246"/>
      <c r="AQ10" s="519"/>
      <c r="AR10" s="519"/>
      <c r="AS10" s="519"/>
      <c r="AT10" s="519"/>
      <c r="AU10" s="246"/>
      <c r="AV10" s="519"/>
      <c r="AW10" s="519"/>
      <c r="AX10" s="519"/>
      <c r="AY10" s="519"/>
      <c r="AZ10" s="246"/>
      <c r="BA10" s="519"/>
      <c r="BB10" s="519"/>
      <c r="BC10" s="519"/>
      <c r="BD10" s="519"/>
      <c r="BE10" s="246"/>
      <c r="BF10" s="519"/>
      <c r="BG10" s="519"/>
      <c r="BH10" s="519"/>
      <c r="BI10" s="519"/>
      <c r="BJ10" s="246"/>
      <c r="BK10" s="519"/>
      <c r="BL10" s="519"/>
      <c r="BM10" s="519"/>
      <c r="BN10" s="519"/>
      <c r="BO10" s="246"/>
      <c r="BP10" s="519"/>
      <c r="BQ10" s="519"/>
      <c r="BR10" s="519"/>
      <c r="BS10" s="519"/>
      <c r="BT10" s="246"/>
      <c r="BU10" s="519"/>
      <c r="BV10" s="519"/>
      <c r="BW10" s="519"/>
      <c r="BX10" s="519"/>
      <c r="BY10" s="246"/>
      <c r="BZ10" s="519"/>
      <c r="CA10" s="519"/>
      <c r="CB10" s="519"/>
      <c r="CC10" s="519"/>
      <c r="CD10" s="246"/>
      <c r="CE10" s="519"/>
      <c r="CF10" s="519"/>
      <c r="CG10" s="519"/>
      <c r="CH10" s="519"/>
      <c r="CI10" s="246"/>
      <c r="CJ10" s="519"/>
      <c r="CK10" s="519"/>
      <c r="CL10" s="519"/>
      <c r="CM10" s="519"/>
      <c r="CN10" s="246"/>
      <c r="CO10" s="519"/>
      <c r="CP10" s="519"/>
      <c r="CQ10" s="519"/>
      <c r="CR10" s="519"/>
      <c r="CS10" s="246"/>
      <c r="CT10" s="133"/>
    </row>
    <row r="11" spans="2:293">
      <c r="B11" s="15" t="s">
        <v>638</v>
      </c>
      <c r="C11" s="19"/>
      <c r="D11" s="9"/>
      <c r="E11" s="9"/>
      <c r="F11" s="10"/>
      <c r="G11" s="12"/>
      <c r="H11" s="518"/>
      <c r="I11" s="518"/>
      <c r="J11" s="518"/>
      <c r="K11" s="612"/>
      <c r="L11" s="12"/>
      <c r="M11" s="518"/>
      <c r="N11" s="518"/>
      <c r="O11" s="518"/>
      <c r="P11" s="612"/>
      <c r="Q11" s="406"/>
      <c r="R11" s="518"/>
      <c r="S11" s="518"/>
      <c r="T11" s="518"/>
      <c r="U11" s="519"/>
      <c r="V11" s="638"/>
      <c r="W11" s="519"/>
      <c r="X11" s="519"/>
      <c r="Y11" s="519"/>
      <c r="Z11" s="519"/>
      <c r="AA11" s="246"/>
      <c r="AB11" s="519"/>
      <c r="AC11" s="519"/>
      <c r="AD11" s="519"/>
      <c r="AE11" s="519"/>
      <c r="AF11" s="246"/>
      <c r="AG11" s="519">
        <f>AG88</f>
        <v>0</v>
      </c>
      <c r="AH11" s="519">
        <f t="shared" ref="AH11:AJ11" si="11">AH88</f>
        <v>0</v>
      </c>
      <c r="AI11" s="519">
        <f t="shared" si="11"/>
        <v>0</v>
      </c>
      <c r="AJ11" s="519">
        <f t="shared" si="11"/>
        <v>0</v>
      </c>
      <c r="AK11" s="246">
        <f>Revs!BO43</f>
        <v>0</v>
      </c>
      <c r="AL11" s="519"/>
      <c r="AM11" s="519"/>
      <c r="AN11" s="519"/>
      <c r="AO11" s="519"/>
      <c r="AP11" s="246">
        <f>Revs!BT43</f>
        <v>0</v>
      </c>
      <c r="AQ11" s="519"/>
      <c r="AR11" s="519"/>
      <c r="AS11" s="519"/>
      <c r="AT11" s="519"/>
      <c r="AU11" s="246">
        <f>Revs!BY43</f>
        <v>1075.9316350998774</v>
      </c>
      <c r="AV11" s="519"/>
      <c r="AW11" s="519"/>
      <c r="AX11" s="519"/>
      <c r="AY11" s="519"/>
      <c r="AZ11" s="246">
        <f>Revs!CD43</f>
        <v>2389.9398019181981</v>
      </c>
      <c r="BA11" s="519"/>
      <c r="BB11" s="519"/>
      <c r="BC11" s="519"/>
      <c r="BD11" s="519"/>
      <c r="BE11" s="246">
        <f>Revs!CI43</f>
        <v>3438.3045387687052</v>
      </c>
      <c r="BF11" s="519"/>
      <c r="BG11" s="519"/>
      <c r="BH11" s="519"/>
      <c r="BI11" s="519"/>
      <c r="BJ11" s="246">
        <f>Revs!CN43</f>
        <v>4043.2969209043149</v>
      </c>
      <c r="BK11" s="519"/>
      <c r="BL11" s="519"/>
      <c r="BM11" s="519"/>
      <c r="BN11" s="519"/>
      <c r="BO11" s="246">
        <f>Revs!CS43</f>
        <v>4662.0947575526279</v>
      </c>
      <c r="BP11" s="519"/>
      <c r="BQ11" s="519"/>
      <c r="BR11" s="519"/>
      <c r="BS11" s="519"/>
      <c r="BT11" s="246">
        <f>Revs!CX43</f>
        <v>5668.0216030454148</v>
      </c>
      <c r="BU11" s="519"/>
      <c r="BV11" s="519"/>
      <c r="BW11" s="519"/>
      <c r="BX11" s="519"/>
      <c r="BY11" s="246">
        <f>Revs!DC43</f>
        <v>7490.0758648728797</v>
      </c>
      <c r="BZ11" s="519"/>
      <c r="CA11" s="519"/>
      <c r="CB11" s="519"/>
      <c r="CC11" s="519"/>
      <c r="CD11" s="246">
        <f>Revs!DH43</f>
        <v>7760.3895498648981</v>
      </c>
      <c r="CE11" s="519"/>
      <c r="CF11" s="519"/>
      <c r="CG11" s="519"/>
      <c r="CH11" s="519"/>
      <c r="CI11" s="246">
        <f>Revs!DM43</f>
        <v>7913.4380505908048</v>
      </c>
      <c r="CJ11" s="519"/>
      <c r="CK11" s="519"/>
      <c r="CL11" s="519"/>
      <c r="CM11" s="519"/>
      <c r="CN11" s="246">
        <f>Revs!DR43</f>
        <v>8012.4009274494756</v>
      </c>
      <c r="CO11" s="519"/>
      <c r="CP11" s="519"/>
      <c r="CQ11" s="519"/>
      <c r="CR11" s="519"/>
      <c r="CS11" s="246">
        <f>Revs!DW43</f>
        <v>8036.3479199358935</v>
      </c>
      <c r="CT11" s="133"/>
    </row>
    <row r="12" spans="2:293">
      <c r="B12" s="15"/>
      <c r="C12" s="19"/>
      <c r="D12" s="9"/>
      <c r="E12" s="9"/>
      <c r="F12" s="10"/>
      <c r="G12" s="12"/>
      <c r="H12" s="518"/>
      <c r="I12" s="518"/>
      <c r="J12" s="518"/>
      <c r="K12" s="612"/>
      <c r="L12" s="12"/>
      <c r="M12" s="518"/>
      <c r="N12" s="518"/>
      <c r="O12" s="518"/>
      <c r="P12" s="612"/>
      <c r="Q12" s="406"/>
      <c r="R12" s="518"/>
      <c r="S12" s="518"/>
      <c r="T12" s="518"/>
      <c r="U12" s="519"/>
      <c r="V12" s="638"/>
      <c r="W12" s="519"/>
      <c r="X12" s="519"/>
      <c r="Y12" s="519"/>
      <c r="Z12" s="519"/>
      <c r="AA12" s="246"/>
      <c r="AB12" s="519"/>
      <c r="AC12" s="519"/>
      <c r="AD12" s="519"/>
      <c r="AE12" s="519"/>
      <c r="AF12" s="246"/>
      <c r="AG12" s="519"/>
      <c r="AH12" s="519"/>
      <c r="AI12" s="519"/>
      <c r="AJ12" s="519"/>
      <c r="AK12" s="246"/>
      <c r="AL12" s="519"/>
      <c r="AM12" s="519"/>
      <c r="AN12" s="519"/>
      <c r="AO12" s="519"/>
      <c r="AP12" s="246"/>
      <c r="AQ12" s="519"/>
      <c r="AR12" s="519"/>
      <c r="AS12" s="519"/>
      <c r="AT12" s="519"/>
      <c r="AU12" s="246"/>
      <c r="AV12" s="519"/>
      <c r="AW12" s="519"/>
      <c r="AX12" s="519"/>
      <c r="AY12" s="519"/>
      <c r="AZ12" s="246"/>
      <c r="BA12" s="519"/>
      <c r="BB12" s="519"/>
      <c r="BC12" s="519"/>
      <c r="BD12" s="519"/>
      <c r="BE12" s="246"/>
      <c r="BF12" s="519"/>
      <c r="BG12" s="519"/>
      <c r="BH12" s="519"/>
      <c r="BI12" s="519"/>
      <c r="BJ12" s="246"/>
      <c r="BK12" s="519"/>
      <c r="BL12" s="519"/>
      <c r="BM12" s="519"/>
      <c r="BN12" s="519"/>
      <c r="BO12" s="246"/>
      <c r="BP12" s="519"/>
      <c r="BQ12" s="519"/>
      <c r="BR12" s="519"/>
      <c r="BS12" s="519"/>
      <c r="BT12" s="246"/>
      <c r="BU12" s="519"/>
      <c r="BV12" s="519"/>
      <c r="BW12" s="519"/>
      <c r="BX12" s="519"/>
      <c r="BY12" s="246"/>
      <c r="BZ12" s="519"/>
      <c r="CA12" s="519"/>
      <c r="CB12" s="519"/>
      <c r="CC12" s="519"/>
      <c r="CD12" s="246"/>
      <c r="CE12" s="519"/>
      <c r="CF12" s="519"/>
      <c r="CG12" s="519"/>
      <c r="CH12" s="519"/>
      <c r="CI12" s="246"/>
      <c r="CJ12" s="519"/>
      <c r="CK12" s="519"/>
      <c r="CL12" s="519"/>
      <c r="CM12" s="519"/>
      <c r="CN12" s="246"/>
      <c r="CO12" s="519"/>
      <c r="CP12" s="519"/>
      <c r="CQ12" s="519"/>
      <c r="CR12" s="519"/>
      <c r="CS12" s="246"/>
      <c r="CT12" s="133"/>
    </row>
    <row r="13" spans="2:293">
      <c r="B13" s="15"/>
      <c r="C13" s="19"/>
      <c r="D13" s="9"/>
      <c r="E13" s="9"/>
      <c r="F13" s="10"/>
      <c r="G13" s="12"/>
      <c r="H13" s="518"/>
      <c r="I13" s="518"/>
      <c r="J13" s="518"/>
      <c r="K13" s="612"/>
      <c r="L13" s="12"/>
      <c r="M13" s="518"/>
      <c r="N13" s="518"/>
      <c r="O13" s="518"/>
      <c r="P13" s="612"/>
      <c r="Q13" s="406"/>
      <c r="R13" s="518"/>
      <c r="S13" s="518"/>
      <c r="T13" s="518"/>
      <c r="U13" s="519"/>
      <c r="V13" s="638"/>
      <c r="W13" s="519"/>
      <c r="X13" s="519"/>
      <c r="Y13" s="519"/>
      <c r="Z13" s="519"/>
      <c r="AA13" s="246"/>
      <c r="AB13" s="519"/>
      <c r="AC13" s="519"/>
      <c r="AD13" s="519"/>
      <c r="AE13" s="519"/>
      <c r="AG13" s="519"/>
      <c r="AH13" s="519"/>
      <c r="AI13" s="519"/>
      <c r="AJ13" s="519"/>
      <c r="AK13" s="246"/>
      <c r="AL13" s="519"/>
      <c r="AM13" s="519"/>
      <c r="AN13" s="519"/>
      <c r="AO13" s="519"/>
      <c r="AP13" s="246"/>
      <c r="AQ13" s="519"/>
      <c r="AR13" s="519"/>
      <c r="AS13" s="519"/>
      <c r="AT13" s="519"/>
      <c r="AU13" s="246"/>
      <c r="AV13" s="519"/>
      <c r="AW13" s="519"/>
      <c r="AX13" s="519"/>
      <c r="AY13" s="519"/>
      <c r="AZ13" s="246"/>
      <c r="BA13" s="519"/>
      <c r="BB13" s="519"/>
      <c r="BC13" s="519"/>
      <c r="BD13" s="519"/>
      <c r="BE13" s="246"/>
      <c r="BF13" s="519"/>
      <c r="BG13" s="519"/>
      <c r="BH13" s="519"/>
      <c r="BI13" s="519"/>
      <c r="BJ13" s="246"/>
      <c r="BK13" s="519"/>
      <c r="BL13" s="519"/>
      <c r="BM13" s="519"/>
      <c r="BN13" s="519"/>
      <c r="BO13" s="246"/>
      <c r="BP13" s="519"/>
      <c r="BQ13" s="519"/>
      <c r="BR13" s="519"/>
      <c r="BS13" s="519"/>
      <c r="BT13" s="246"/>
      <c r="BU13" s="519"/>
      <c r="BV13" s="519"/>
      <c r="BW13" s="519"/>
      <c r="BX13" s="519"/>
      <c r="BY13" s="246"/>
      <c r="BZ13" s="519"/>
      <c r="CA13" s="519"/>
      <c r="CB13" s="519"/>
      <c r="CC13" s="519"/>
      <c r="CD13" s="246"/>
      <c r="CE13" s="519"/>
      <c r="CF13" s="519"/>
      <c r="CG13" s="519"/>
      <c r="CH13" s="519"/>
      <c r="CI13" s="246"/>
      <c r="CJ13" s="519"/>
      <c r="CK13" s="519"/>
      <c r="CL13" s="519"/>
      <c r="CM13" s="519"/>
      <c r="CN13" s="246"/>
      <c r="CO13" s="519"/>
      <c r="CP13" s="519"/>
      <c r="CQ13" s="519"/>
      <c r="CR13" s="519"/>
      <c r="CS13" s="246"/>
      <c r="CT13" s="133"/>
    </row>
    <row r="14" spans="2:293" hidden="1" outlineLevel="1">
      <c r="B14" s="15" t="s">
        <v>35</v>
      </c>
      <c r="C14" s="19"/>
      <c r="D14" s="9"/>
      <c r="E14" s="9"/>
      <c r="F14" s="10"/>
      <c r="G14" s="12"/>
      <c r="H14" s="518">
        <f t="shared" ref="H14:K14" si="12">H89</f>
        <v>205.554</v>
      </c>
      <c r="I14" s="518">
        <f t="shared" si="12"/>
        <v>155.816</v>
      </c>
      <c r="J14" s="518">
        <f t="shared" si="12"/>
        <v>85.591999999999999</v>
      </c>
      <c r="K14" s="612">
        <f t="shared" si="12"/>
        <v>19.398000000000025</v>
      </c>
      <c r="L14" s="12">
        <f>SUM(H14:K14)</f>
        <v>466.36</v>
      </c>
      <c r="M14" s="518">
        <f>M89+M59</f>
        <v>0</v>
      </c>
      <c r="N14" s="518">
        <f>N89+N59</f>
        <v>0</v>
      </c>
      <c r="O14" s="518">
        <f>O89+O59</f>
        <v>0</v>
      </c>
      <c r="P14" s="612">
        <f>P89+P59</f>
        <v>1.1260000000000048</v>
      </c>
      <c r="Q14" s="406">
        <f>SUM(M14:P14)</f>
        <v>1.1260000000000048</v>
      </c>
      <c r="R14" s="518">
        <f>R89+R59</f>
        <v>0</v>
      </c>
      <c r="S14" s="518">
        <f>S89+S59</f>
        <v>0</v>
      </c>
      <c r="T14" s="518">
        <f>T89+T59</f>
        <v>0</v>
      </c>
      <c r="U14" s="518">
        <f>U89+U59</f>
        <v>0</v>
      </c>
      <c r="V14" s="639">
        <f>SUM(R14:U14)</f>
        <v>0</v>
      </c>
      <c r="W14" s="518">
        <f>W89+W59</f>
        <v>0</v>
      </c>
      <c r="X14" s="518">
        <f>X89+X59</f>
        <v>0</v>
      </c>
      <c r="Y14" s="518">
        <f>Y89+Y59</f>
        <v>0</v>
      </c>
      <c r="Z14" s="518">
        <f>Z89+Z59</f>
        <v>0</v>
      </c>
      <c r="AA14" s="246">
        <f>Revs!BE23</f>
        <v>0</v>
      </c>
      <c r="AB14" s="519"/>
      <c r="AC14" s="519"/>
      <c r="AD14" s="519"/>
      <c r="AE14" s="519"/>
      <c r="AF14" s="246">
        <f>Revs!BJ23</f>
        <v>0</v>
      </c>
      <c r="AG14" s="519"/>
      <c r="AH14" s="519"/>
      <c r="AI14" s="519"/>
      <c r="AJ14" s="519"/>
      <c r="AK14" s="246">
        <f>Revs!BO23</f>
        <v>0</v>
      </c>
      <c r="AL14" s="519"/>
      <c r="AM14" s="519"/>
      <c r="AN14" s="519"/>
      <c r="AO14" s="519"/>
      <c r="AP14" s="246">
        <f>Revs!BT23</f>
        <v>0</v>
      </c>
      <c r="AQ14" s="519"/>
      <c r="AR14" s="519"/>
      <c r="AS14" s="519"/>
      <c r="AT14" s="519"/>
      <c r="AU14" s="246">
        <f>Revs!BY23</f>
        <v>0</v>
      </c>
      <c r="AV14" s="519"/>
      <c r="AW14" s="519"/>
      <c r="AX14" s="519"/>
      <c r="AY14" s="519"/>
      <c r="AZ14" s="246">
        <f>Revs!CD23</f>
        <v>0</v>
      </c>
      <c r="BA14" s="519"/>
      <c r="BB14" s="519"/>
      <c r="BC14" s="519"/>
      <c r="BD14" s="519"/>
      <c r="BE14" s="246">
        <f>Revs!CI23</f>
        <v>0</v>
      </c>
      <c r="BF14" s="519"/>
      <c r="BG14" s="519"/>
      <c r="BH14" s="519"/>
      <c r="BI14" s="519"/>
      <c r="BJ14" s="246">
        <f>Revs!CN23</f>
        <v>0</v>
      </c>
      <c r="BK14" s="519"/>
      <c r="BL14" s="519"/>
      <c r="BM14" s="519"/>
      <c r="BN14" s="519"/>
      <c r="BO14" s="246">
        <f>Revs!CS23</f>
        <v>0</v>
      </c>
      <c r="BP14" s="519"/>
      <c r="BQ14" s="519"/>
      <c r="BR14" s="519"/>
      <c r="BS14" s="519"/>
      <c r="BT14" s="246">
        <f>Revs!CX23</f>
        <v>0</v>
      </c>
      <c r="BU14" s="519"/>
      <c r="BV14" s="519"/>
      <c r="BW14" s="519"/>
      <c r="BX14" s="519"/>
      <c r="BY14" s="246">
        <f>Revs!DC23</f>
        <v>0</v>
      </c>
      <c r="BZ14" s="519"/>
      <c r="CA14" s="519"/>
      <c r="CB14" s="519"/>
      <c r="CC14" s="519"/>
      <c r="CD14" s="246">
        <f>Revs!DH23</f>
        <v>0</v>
      </c>
      <c r="CE14" s="519"/>
      <c r="CF14" s="519"/>
      <c r="CG14" s="519"/>
      <c r="CH14" s="519"/>
      <c r="CI14" s="246">
        <f>Revs!DM23</f>
        <v>0</v>
      </c>
      <c r="CJ14" s="519"/>
      <c r="CK14" s="519"/>
      <c r="CL14" s="519"/>
      <c r="CM14" s="519"/>
      <c r="CN14" s="246">
        <f>Revs!DR23</f>
        <v>0</v>
      </c>
      <c r="CO14" s="519"/>
      <c r="CP14" s="519"/>
      <c r="CQ14" s="519"/>
      <c r="CR14" s="519"/>
      <c r="CS14" s="246">
        <f>Revs!DW23</f>
        <v>0</v>
      </c>
      <c r="CT14" s="133"/>
    </row>
    <row r="15" spans="2:293" ht="13.5" collapsed="1" thickBot="1">
      <c r="B15" s="222" t="s">
        <v>32</v>
      </c>
      <c r="C15" s="431"/>
      <c r="D15" s="432"/>
      <c r="E15" s="432"/>
      <c r="F15" s="433"/>
      <c r="G15" s="434"/>
      <c r="H15" s="521">
        <f t="shared" ref="H15:AE15" si="13">H3+H7+H14</f>
        <v>267.38099999999997</v>
      </c>
      <c r="I15" s="521">
        <f t="shared" si="13"/>
        <v>254.78899999999999</v>
      </c>
      <c r="J15" s="521">
        <f t="shared" si="13"/>
        <v>186.65300000000002</v>
      </c>
      <c r="K15" s="616">
        <f t="shared" si="13"/>
        <v>128.82200000000006</v>
      </c>
      <c r="L15" s="434">
        <f t="shared" si="13"/>
        <v>837.64499999999998</v>
      </c>
      <c r="M15" s="521">
        <f t="shared" si="13"/>
        <v>99.515000000000001</v>
      </c>
      <c r="N15" s="521">
        <f t="shared" si="13"/>
        <v>113.05500000000001</v>
      </c>
      <c r="O15" s="521">
        <f t="shared" si="13"/>
        <v>126.801</v>
      </c>
      <c r="P15" s="616">
        <f t="shared" si="13"/>
        <v>125.50500000000002</v>
      </c>
      <c r="Q15" s="621">
        <f t="shared" si="13"/>
        <v>464.87599999999998</v>
      </c>
      <c r="R15" s="521">
        <f>R3+R7+R14</f>
        <v>130.17400000000001</v>
      </c>
      <c r="S15" s="521">
        <f t="shared" si="13"/>
        <v>154.88800000000001</v>
      </c>
      <c r="T15" s="521">
        <f t="shared" si="13"/>
        <v>296.70000000000005</v>
      </c>
      <c r="U15" s="521">
        <f>U3+U7+U14</f>
        <v>400.57499999999999</v>
      </c>
      <c r="V15" s="435">
        <f t="shared" si="13"/>
        <v>982.33699999999999</v>
      </c>
      <c r="W15" s="521">
        <f t="shared" si="13"/>
        <v>394.41</v>
      </c>
      <c r="X15" s="521">
        <f t="shared" si="13"/>
        <v>425.65100000000001</v>
      </c>
      <c r="Y15" s="521">
        <f t="shared" si="13"/>
        <v>409.68900000000002</v>
      </c>
      <c r="Z15" s="521">
        <f t="shared" si="13"/>
        <v>453.88199999999995</v>
      </c>
      <c r="AA15" s="435">
        <f>AA3+AA7+AA14</f>
        <v>1683.6320000000001</v>
      </c>
      <c r="AB15" s="521">
        <f>AB83</f>
        <v>480.62200000000001</v>
      </c>
      <c r="AC15" s="521">
        <f t="shared" si="13"/>
        <v>513.98800000000006</v>
      </c>
      <c r="AD15" s="521">
        <f t="shared" si="13"/>
        <v>549.64200000000005</v>
      </c>
      <c r="AE15" s="521">
        <f t="shared" si="13"/>
        <v>621.22799999999995</v>
      </c>
      <c r="AF15" s="435">
        <f>AF3+AF7+AF14+AF9+AF11+AF5</f>
        <v>2165.4800000000005</v>
      </c>
      <c r="AG15" s="521">
        <f>AG83</f>
        <v>600</v>
      </c>
      <c r="AH15" s="521">
        <f t="shared" ref="AH15:AJ15" si="14">AH83</f>
        <v>645</v>
      </c>
      <c r="AI15" s="521">
        <f t="shared" si="14"/>
        <v>695</v>
      </c>
      <c r="AJ15" s="521">
        <f t="shared" si="14"/>
        <v>722.68467277525519</v>
      </c>
      <c r="AK15" s="435">
        <f>AK3+AK7+AK14+AK9+AK11+AK5</f>
        <v>2662.6846727752554</v>
      </c>
      <c r="AL15" s="521"/>
      <c r="AM15" s="521"/>
      <c r="AN15" s="521"/>
      <c r="AO15" s="521"/>
      <c r="AP15" s="435">
        <f>AP3+AP7+AP14+AP9+AP11+AP5</f>
        <v>2929.7891702143284</v>
      </c>
      <c r="AQ15" s="521"/>
      <c r="AR15" s="521"/>
      <c r="AS15" s="521"/>
      <c r="AT15" s="521"/>
      <c r="AU15" s="435">
        <f>AU3+AU7+AU14+AU9+AU11+AU5</f>
        <v>4032.8449740353076</v>
      </c>
      <c r="AV15" s="521"/>
      <c r="AW15" s="521"/>
      <c r="AX15" s="521"/>
      <c r="AY15" s="521"/>
      <c r="AZ15" s="435">
        <f>AZ3+AZ7+AZ14+AZ9+AZ11+AZ5</f>
        <v>5352.054630757144</v>
      </c>
      <c r="BA15" s="521"/>
      <c r="BB15" s="521"/>
      <c r="BC15" s="521"/>
      <c r="BD15" s="521"/>
      <c r="BE15" s="435">
        <f>BE3+BE7+BE14+BE9+BE11+BE5</f>
        <v>6180.1313251355423</v>
      </c>
      <c r="BF15" s="521"/>
      <c r="BG15" s="521"/>
      <c r="BH15" s="521"/>
      <c r="BI15" s="521"/>
      <c r="BJ15" s="435">
        <f>BJ3+BJ7+BJ14+BJ9+BJ11+BJ5</f>
        <v>6549.5105155973397</v>
      </c>
      <c r="BK15" s="521"/>
      <c r="BL15" s="521"/>
      <c r="BM15" s="521"/>
      <c r="BN15" s="521"/>
      <c r="BO15" s="435">
        <f>BO3+BO7+BO14+BO9+BO11+BO5</f>
        <v>6707.1044423355961</v>
      </c>
      <c r="BP15" s="521"/>
      <c r="BQ15" s="521"/>
      <c r="BR15" s="521"/>
      <c r="BS15" s="521"/>
      <c r="BT15" s="435">
        <f>BT3+BT7+BT14+BT9+BT11+BT5</f>
        <v>7367.4606783273866</v>
      </c>
      <c r="BU15" s="521"/>
      <c r="BV15" s="521"/>
      <c r="BW15" s="521"/>
      <c r="BX15" s="521"/>
      <c r="BY15" s="435">
        <f>BY3+BY7+BY14+BY9+BY11+BY5</f>
        <v>8877.4659624408032</v>
      </c>
      <c r="BZ15" s="521"/>
      <c r="CA15" s="521"/>
      <c r="CB15" s="521"/>
      <c r="CC15" s="521"/>
      <c r="CD15" s="435">
        <f>CD3+CD7+CD14+CD9+CD11+CD5</f>
        <v>9000.8703205211095</v>
      </c>
      <c r="CE15" s="521"/>
      <c r="CF15" s="521"/>
      <c r="CG15" s="521"/>
      <c r="CH15" s="521"/>
      <c r="CI15" s="435">
        <f>CI3+CI7+CI14+CI9+CI11+CI5</f>
        <v>9103.7533482704148</v>
      </c>
      <c r="CJ15" s="521"/>
      <c r="CK15" s="521"/>
      <c r="CL15" s="521"/>
      <c r="CM15" s="521"/>
      <c r="CN15" s="435">
        <f>CN3+CN7+CN14+CN9+CN11+CN5</f>
        <v>9114.9123702383258</v>
      </c>
      <c r="CO15" s="521"/>
      <c r="CP15" s="521"/>
      <c r="CQ15" s="521"/>
      <c r="CR15" s="521"/>
      <c r="CS15" s="435">
        <f>CS3+CS7+CS14+CS9+CS11+CS5</f>
        <v>9197.9032959682863</v>
      </c>
      <c r="CT15" s="133"/>
    </row>
    <row r="16" spans="2:293" ht="13.5" thickBot="1">
      <c r="C16" s="116"/>
      <c r="D16" s="114"/>
      <c r="E16" s="114"/>
      <c r="F16" s="115"/>
      <c r="G16" s="12"/>
      <c r="H16" s="519"/>
      <c r="I16" s="519"/>
      <c r="J16" s="519"/>
      <c r="K16" s="614"/>
      <c r="L16" s="12"/>
      <c r="M16" s="519"/>
      <c r="N16" s="519"/>
      <c r="O16" s="519"/>
      <c r="P16" s="614"/>
      <c r="Q16" s="406"/>
      <c r="R16" s="519"/>
      <c r="S16" s="519"/>
      <c r="T16" s="519"/>
      <c r="U16" s="519"/>
      <c r="V16" s="246"/>
      <c r="W16" s="519"/>
      <c r="X16" s="519"/>
      <c r="Y16" s="519"/>
      <c r="Z16" s="519"/>
      <c r="AA16" s="246"/>
      <c r="AB16" s="519"/>
      <c r="AC16" s="519"/>
      <c r="AD16" s="519"/>
      <c r="AE16" s="519"/>
      <c r="AF16" s="246"/>
      <c r="AG16" s="519"/>
      <c r="AH16" s="519"/>
      <c r="AI16" s="772" t="s">
        <v>280</v>
      </c>
      <c r="AJ16" s="773"/>
      <c r="AK16" s="774" t="s">
        <v>681</v>
      </c>
      <c r="AL16" s="519"/>
      <c r="AM16" s="519"/>
      <c r="AN16" s="519"/>
      <c r="AO16" s="519"/>
      <c r="AP16" s="246"/>
      <c r="AQ16" s="519"/>
      <c r="AR16" s="519"/>
      <c r="AS16" s="519"/>
      <c r="AT16" s="519"/>
      <c r="AU16" s="246"/>
      <c r="AV16" s="519"/>
      <c r="AW16" s="519"/>
      <c r="AX16" s="519"/>
      <c r="AY16" s="519"/>
      <c r="AZ16" s="246"/>
      <c r="BA16" s="519"/>
      <c r="BB16" s="519"/>
      <c r="BC16" s="519"/>
      <c r="BD16" s="519"/>
      <c r="BE16" s="246"/>
      <c r="BF16" s="519"/>
      <c r="BG16" s="519"/>
      <c r="BH16" s="519"/>
      <c r="BI16" s="519"/>
      <c r="BJ16" s="246"/>
      <c r="BK16" s="519"/>
      <c r="BL16" s="519"/>
      <c r="BM16" s="519"/>
      <c r="BN16" s="519"/>
      <c r="BO16" s="246"/>
      <c r="BP16" s="519"/>
      <c r="BQ16" s="519"/>
      <c r="BR16" s="519"/>
      <c r="BS16" s="519"/>
      <c r="BT16" s="246"/>
      <c r="BU16" s="519"/>
      <c r="BV16" s="519"/>
      <c r="BW16" s="519"/>
      <c r="BX16" s="519"/>
      <c r="BY16" s="246"/>
      <c r="BZ16" s="519"/>
      <c r="CA16" s="519"/>
      <c r="CB16" s="519"/>
      <c r="CC16" s="519"/>
      <c r="CD16" s="246"/>
      <c r="CE16" s="519"/>
      <c r="CF16" s="519"/>
      <c r="CG16" s="519"/>
      <c r="CH16" s="519"/>
      <c r="CI16" s="246"/>
      <c r="CJ16" s="519"/>
      <c r="CK16" s="519"/>
      <c r="CL16" s="519"/>
      <c r="CM16" s="519"/>
      <c r="CN16" s="246"/>
      <c r="CO16" s="519"/>
      <c r="CP16" s="519"/>
      <c r="CQ16" s="519"/>
      <c r="CR16" s="519"/>
      <c r="CS16" s="246"/>
      <c r="CT16" s="133"/>
    </row>
    <row r="17" spans="2:108">
      <c r="B17" s="14" t="s">
        <v>36</v>
      </c>
      <c r="C17" s="116"/>
      <c r="D17" s="114"/>
      <c r="E17" s="114"/>
      <c r="F17" s="115"/>
      <c r="G17" s="12"/>
      <c r="H17" s="522">
        <f>17.414+H58</f>
        <v>17.414000000000001</v>
      </c>
      <c r="I17" s="522">
        <f>6.841+I58</f>
        <v>6.8410000000000002</v>
      </c>
      <c r="J17" s="522">
        <f>8.035+J58</f>
        <v>8.0350000000000001</v>
      </c>
      <c r="K17" s="610">
        <f>185.448+K58</f>
        <v>3.0520000000000209</v>
      </c>
      <c r="L17" s="12">
        <f>SUM(H17:K17)</f>
        <v>35.342000000000027</v>
      </c>
      <c r="M17" s="522">
        <f>4.257+M60</f>
        <v>2.8569999999999998</v>
      </c>
      <c r="N17" s="522">
        <f>3.087+N60</f>
        <v>1.5870000000000002</v>
      </c>
      <c r="O17" s="522">
        <f>33.502+O60</f>
        <v>32.102000000000004</v>
      </c>
      <c r="P17" s="610">
        <f>10.829+P60</f>
        <v>8.0289999999999999</v>
      </c>
      <c r="Q17" s="406">
        <f>SUM(M17:P17)</f>
        <v>44.575000000000003</v>
      </c>
      <c r="R17" s="522">
        <f>0.842+R60</f>
        <v>0.17399999999999982</v>
      </c>
      <c r="S17" s="522">
        <f>0.611+S60</f>
        <v>0</v>
      </c>
      <c r="T17" s="522">
        <f>T91+T60</f>
        <v>0.94199999999999995</v>
      </c>
      <c r="U17" s="522">
        <f>U91+U60</f>
        <v>4.9579999999999984</v>
      </c>
      <c r="V17" s="246">
        <f t="shared" ref="V17" si="15">SUM(R17:U17)</f>
        <v>6.0739999999999981</v>
      </c>
      <c r="W17" s="522">
        <f>W91+W60</f>
        <v>0</v>
      </c>
      <c r="X17" s="522">
        <f>X91+X60</f>
        <v>0.10200000000000009</v>
      </c>
      <c r="Y17" s="522">
        <f>Y91+Y60</f>
        <v>0.21600000000000003</v>
      </c>
      <c r="Z17" s="522">
        <f>Z91+Z60</f>
        <v>0.81600000000000006</v>
      </c>
      <c r="AA17" s="246">
        <f>SUM(W17:Z17)</f>
        <v>1.1340000000000001</v>
      </c>
      <c r="AB17" s="519">
        <f>AB91+AB60</f>
        <v>8.2999999999998408E-2</v>
      </c>
      <c r="AC17" s="519">
        <f>AC91+AC60</f>
        <v>6.4000000000000057E-2</v>
      </c>
      <c r="AD17" s="531">
        <f>AD91+AD60</f>
        <v>1.0000000000012221E-3</v>
      </c>
      <c r="AE17" s="519">
        <f>AE91+AE60</f>
        <v>5.4999999999999716E-2</v>
      </c>
      <c r="AF17" s="246">
        <f>AE17+AD17+AC17+AB17</f>
        <v>0.2029999999999994</v>
      </c>
      <c r="AG17" s="519">
        <f>AG91+AG60</f>
        <v>0</v>
      </c>
      <c r="AH17" s="519">
        <f t="shared" ref="AH17:AJ17" si="16">AH91+AH60</f>
        <v>0</v>
      </c>
      <c r="AI17" s="519">
        <f t="shared" si="16"/>
        <v>0</v>
      </c>
      <c r="AJ17" s="519">
        <f t="shared" si="16"/>
        <v>0</v>
      </c>
      <c r="AK17" s="246">
        <f>Revs!BO51</f>
        <v>0</v>
      </c>
      <c r="AL17" s="519"/>
      <c r="AM17" s="519"/>
      <c r="AN17" s="519"/>
      <c r="AO17" s="519"/>
      <c r="AP17" s="246">
        <f>Revs!BT51</f>
        <v>0</v>
      </c>
      <c r="AQ17" s="519"/>
      <c r="AR17" s="519"/>
      <c r="AS17" s="519"/>
      <c r="AT17" s="519"/>
      <c r="AU17" s="246">
        <f>Revs!BY51</f>
        <v>0</v>
      </c>
      <c r="AV17" s="519"/>
      <c r="AW17" s="519"/>
      <c r="AX17" s="519"/>
      <c r="AY17" s="519"/>
      <c r="AZ17" s="246">
        <f>Revs!CD51</f>
        <v>0</v>
      </c>
      <c r="BA17" s="519"/>
      <c r="BB17" s="519"/>
      <c r="BC17" s="519"/>
      <c r="BD17" s="519"/>
      <c r="BE17" s="246">
        <f>Revs!CI51</f>
        <v>0</v>
      </c>
      <c r="BF17" s="519"/>
      <c r="BG17" s="519"/>
      <c r="BH17" s="519"/>
      <c r="BI17" s="519"/>
      <c r="BJ17" s="246">
        <f>Revs!CN51</f>
        <v>0</v>
      </c>
      <c r="BK17" s="519"/>
      <c r="BL17" s="519"/>
      <c r="BM17" s="519"/>
      <c r="BN17" s="519"/>
      <c r="BO17" s="246">
        <f>Revs!CS51</f>
        <v>0</v>
      </c>
      <c r="BP17" s="519"/>
      <c r="BQ17" s="519"/>
      <c r="BR17" s="519"/>
      <c r="BS17" s="519"/>
      <c r="BT17" s="246">
        <f>Revs!CX51</f>
        <v>0</v>
      </c>
      <c r="BU17" s="519"/>
      <c r="BV17" s="519"/>
      <c r="BW17" s="519"/>
      <c r="BX17" s="519"/>
      <c r="BY17" s="246">
        <f>Revs!DC51</f>
        <v>0</v>
      </c>
      <c r="BZ17" s="519"/>
      <c r="CA17" s="519"/>
      <c r="CB17" s="519"/>
      <c r="CC17" s="519"/>
      <c r="CD17" s="246">
        <f>Revs!DH51</f>
        <v>0</v>
      </c>
      <c r="CE17" s="519"/>
      <c r="CF17" s="519"/>
      <c r="CG17" s="519"/>
      <c r="CH17" s="519"/>
      <c r="CI17" s="246">
        <f>Revs!DM51</f>
        <v>0</v>
      </c>
      <c r="CJ17" s="519"/>
      <c r="CK17" s="519"/>
      <c r="CL17" s="519"/>
      <c r="CM17" s="519"/>
      <c r="CN17" s="246">
        <f>Revs!DR51</f>
        <v>0</v>
      </c>
      <c r="CO17" s="519"/>
      <c r="CP17" s="519"/>
      <c r="CQ17" s="519"/>
      <c r="CR17" s="519"/>
      <c r="CS17" s="246">
        <f>Revs!DW51</f>
        <v>0</v>
      </c>
      <c r="CT17" s="133"/>
    </row>
    <row r="18" spans="2:108">
      <c r="B18" s="14" t="s">
        <v>212</v>
      </c>
      <c r="C18" s="116"/>
      <c r="D18" s="114"/>
      <c r="E18" s="114"/>
      <c r="F18" s="115"/>
      <c r="G18" s="12"/>
      <c r="H18" s="522">
        <v>43.573</v>
      </c>
      <c r="I18" s="522">
        <v>49.12</v>
      </c>
      <c r="J18" s="522">
        <v>27.012</v>
      </c>
      <c r="K18" s="610">
        <v>36.887</v>
      </c>
      <c r="L18" s="12">
        <f>SUM(H18:K18)</f>
        <v>156.59199999999998</v>
      </c>
      <c r="M18" s="522">
        <f>10.733+M61</f>
        <v>5.838000000000001</v>
      </c>
      <c r="N18" s="522">
        <f>13.015+N61</f>
        <v>7.3339999999999996</v>
      </c>
      <c r="O18" s="522">
        <f>8.386+O61</f>
        <v>6.1120000000000019</v>
      </c>
      <c r="P18" s="610">
        <f>8.785+P61</f>
        <v>7.0539999999999976</v>
      </c>
      <c r="Q18" s="406">
        <f>SUM(M18:P18)</f>
        <v>26.338000000000001</v>
      </c>
      <c r="R18" s="522">
        <f>6.792+R61</f>
        <v>5.2919999999999998</v>
      </c>
      <c r="S18" s="522">
        <f>5.077+S61</f>
        <v>5.0939999999999994</v>
      </c>
      <c r="T18" s="522">
        <f>T93+T61</f>
        <v>4.6539999999999999</v>
      </c>
      <c r="U18" s="522">
        <f>U93+U61</f>
        <v>4.822000000000001</v>
      </c>
      <c r="V18" s="246">
        <f t="shared" ref="V18" si="17">SUM(R18:U18)</f>
        <v>19.862000000000002</v>
      </c>
      <c r="W18" s="522">
        <f>W93+W61</f>
        <v>2.7450000000000001</v>
      </c>
      <c r="X18" s="522">
        <f>X93+X61</f>
        <v>5.7709999999999999</v>
      </c>
      <c r="Y18" s="530">
        <f>Y93+Y61</f>
        <v>3.6320000000000001</v>
      </c>
      <c r="Z18" s="530">
        <f>Z93+Z61</f>
        <v>3.887</v>
      </c>
      <c r="AA18" s="246">
        <f>SUM(W18:Z18)</f>
        <v>16.035</v>
      </c>
      <c r="AB18" s="519">
        <f>AB93</f>
        <v>1.5509999999999999</v>
      </c>
      <c r="AC18" s="519">
        <f t="shared" ref="AC18:AJ18" si="18">AC93</f>
        <v>2.8610000000000002</v>
      </c>
      <c r="AD18" s="519">
        <f t="shared" si="18"/>
        <v>2.2309999999999999</v>
      </c>
      <c r="AE18" s="519">
        <f t="shared" si="18"/>
        <v>1.345</v>
      </c>
      <c r="AF18" s="246">
        <f>AE18+AD18+AC18+AB18</f>
        <v>7.9879999999999995</v>
      </c>
      <c r="AG18" s="519">
        <f t="shared" si="18"/>
        <v>0</v>
      </c>
      <c r="AH18" s="519">
        <f t="shared" si="18"/>
        <v>0</v>
      </c>
      <c r="AI18" s="519">
        <f t="shared" si="18"/>
        <v>0</v>
      </c>
      <c r="AJ18" s="519">
        <f t="shared" si="18"/>
        <v>0</v>
      </c>
      <c r="AK18" s="246">
        <f>Revs!BO50</f>
        <v>0</v>
      </c>
      <c r="AL18" s="519"/>
      <c r="AM18" s="519"/>
      <c r="AN18" s="519"/>
      <c r="AO18" s="519"/>
      <c r="AP18" s="246">
        <f>Revs!BT50</f>
        <v>0</v>
      </c>
      <c r="AQ18" s="519"/>
      <c r="AR18" s="519"/>
      <c r="AS18" s="519"/>
      <c r="AT18" s="519"/>
      <c r="AU18" s="246">
        <f>Revs!BY50</f>
        <v>0</v>
      </c>
      <c r="AV18" s="519"/>
      <c r="AW18" s="519"/>
      <c r="AX18" s="519"/>
      <c r="AY18" s="519"/>
      <c r="AZ18" s="246">
        <f>Revs!CD50</f>
        <v>0</v>
      </c>
      <c r="BA18" s="519"/>
      <c r="BB18" s="519"/>
      <c r="BC18" s="519"/>
      <c r="BD18" s="519"/>
      <c r="BE18" s="246">
        <f>Revs!CI50</f>
        <v>0</v>
      </c>
      <c r="BF18" s="519"/>
      <c r="BG18" s="519"/>
      <c r="BH18" s="519"/>
      <c r="BI18" s="519"/>
      <c r="BJ18" s="246">
        <f>Revs!CN50</f>
        <v>0</v>
      </c>
      <c r="BK18" s="519"/>
      <c r="BL18" s="519"/>
      <c r="BM18" s="519"/>
      <c r="BN18" s="519"/>
      <c r="BO18" s="246">
        <f>Revs!CS50</f>
        <v>0</v>
      </c>
      <c r="BP18" s="519"/>
      <c r="BQ18" s="519"/>
      <c r="BR18" s="519"/>
      <c r="BS18" s="519"/>
      <c r="BT18" s="246">
        <f>Revs!CX50</f>
        <v>0</v>
      </c>
      <c r="BU18" s="519"/>
      <c r="BV18" s="519"/>
      <c r="BW18" s="519"/>
      <c r="BX18" s="519"/>
      <c r="BY18" s="246">
        <f>Revs!DC50</f>
        <v>0</v>
      </c>
      <c r="BZ18" s="519"/>
      <c r="CA18" s="519"/>
      <c r="CB18" s="519"/>
      <c r="CC18" s="519"/>
      <c r="CD18" s="246">
        <f>Revs!DH50</f>
        <v>0</v>
      </c>
      <c r="CE18" s="519"/>
      <c r="CF18" s="519"/>
      <c r="CG18" s="519"/>
      <c r="CH18" s="519"/>
      <c r="CI18" s="246">
        <f>Revs!DM50</f>
        <v>0</v>
      </c>
      <c r="CJ18" s="519"/>
      <c r="CK18" s="519"/>
      <c r="CL18" s="519"/>
      <c r="CM18" s="519"/>
      <c r="CN18" s="246">
        <f>Revs!DR50</f>
        <v>0</v>
      </c>
      <c r="CO18" s="519"/>
      <c r="CP18" s="519"/>
      <c r="CQ18" s="519"/>
      <c r="CR18" s="519"/>
      <c r="CS18" s="246">
        <f>Revs!DW50</f>
        <v>0</v>
      </c>
      <c r="CT18" s="133"/>
    </row>
    <row r="19" spans="2:108" s="7" customFormat="1">
      <c r="B19" s="31" t="s">
        <v>38</v>
      </c>
      <c r="C19" s="22"/>
      <c r="D19" s="23"/>
      <c r="E19" s="23"/>
      <c r="F19" s="23"/>
      <c r="G19" s="24"/>
      <c r="H19" s="523">
        <f>H15+H17+H18</f>
        <v>328.36799999999994</v>
      </c>
      <c r="I19" s="523">
        <f>I15+I17+I18</f>
        <v>310.75</v>
      </c>
      <c r="J19" s="523">
        <f>J15+J17+J18</f>
        <v>221.70000000000002</v>
      </c>
      <c r="K19" s="581">
        <f>K15+K17+K18</f>
        <v>168.76100000000008</v>
      </c>
      <c r="L19" s="24">
        <f>L15+L17+L18</f>
        <v>1029.579</v>
      </c>
      <c r="M19" s="523">
        <f>M15+M17+M18+M57</f>
        <v>108.21000000000001</v>
      </c>
      <c r="N19" s="523">
        <f>N15+N17+N18+N57</f>
        <v>121.97600000000001</v>
      </c>
      <c r="O19" s="523">
        <f>O15+O17+O18</f>
        <v>165.01500000000001</v>
      </c>
      <c r="P19" s="581">
        <f>P15+P17+P18+P57</f>
        <v>140.58800000000002</v>
      </c>
      <c r="Q19" s="407">
        <f>Q15+Q17+Q18+Q57</f>
        <v>535.78899999999999</v>
      </c>
      <c r="R19" s="523">
        <f>R15+R17+R18+R62</f>
        <v>135.44000000000003</v>
      </c>
      <c r="S19" s="523">
        <f t="shared" ref="S19:W19" si="19">S15+S17+S18+S62</f>
        <v>159.90799999999999</v>
      </c>
      <c r="T19" s="523">
        <f t="shared" si="19"/>
        <v>302.29600000000005</v>
      </c>
      <c r="U19" s="523">
        <f t="shared" si="19"/>
        <v>410.35500000000002</v>
      </c>
      <c r="V19" s="248">
        <f t="shared" si="19"/>
        <v>1007.9989999999999</v>
      </c>
      <c r="W19" s="523">
        <f t="shared" si="19"/>
        <v>397.15500000000003</v>
      </c>
      <c r="X19" s="523">
        <f t="shared" ref="X19:Z19" si="20">X15+X17+X18+X62</f>
        <v>431.524</v>
      </c>
      <c r="Y19" s="523">
        <f t="shared" si="20"/>
        <v>413.53700000000003</v>
      </c>
      <c r="Z19" s="523">
        <f t="shared" si="20"/>
        <v>458.49099999999993</v>
      </c>
      <c r="AA19" s="248">
        <f>AA15+AA17+AA18+AA62</f>
        <v>1700.7070000000001</v>
      </c>
      <c r="AB19" s="523">
        <f t="shared" ref="AB19:AJ19" si="21">AB15+AB17+AB18+AB62</f>
        <v>482.25600000000003</v>
      </c>
      <c r="AC19" s="523">
        <f t="shared" si="21"/>
        <v>516.91300000000001</v>
      </c>
      <c r="AD19" s="523">
        <f t="shared" si="21"/>
        <v>551.87400000000002</v>
      </c>
      <c r="AE19" s="523">
        <f t="shared" si="21"/>
        <v>622.62799999999993</v>
      </c>
      <c r="AF19" s="248">
        <f>AF15+AF17+AF18+AF57</f>
        <v>2173.6710000000003</v>
      </c>
      <c r="AG19" s="523">
        <f t="shared" si="21"/>
        <v>600</v>
      </c>
      <c r="AH19" s="523">
        <f t="shared" si="21"/>
        <v>645</v>
      </c>
      <c r="AI19" s="523">
        <f t="shared" si="21"/>
        <v>695</v>
      </c>
      <c r="AJ19" s="523">
        <f t="shared" si="21"/>
        <v>722.68467277525519</v>
      </c>
      <c r="AK19" s="248">
        <f>AK15+AK17+AK18+AK57</f>
        <v>2662.6846727752554</v>
      </c>
      <c r="AL19" s="523"/>
      <c r="AM19" s="523"/>
      <c r="AN19" s="523"/>
      <c r="AO19" s="523"/>
      <c r="AP19" s="248">
        <f>AP15+AP17+AP18+AP57</f>
        <v>2929.7891702143284</v>
      </c>
      <c r="AQ19" s="523"/>
      <c r="AR19" s="523"/>
      <c r="AS19" s="523"/>
      <c r="AT19" s="523"/>
      <c r="AU19" s="248">
        <f>AU15+AU17+AU18+AU57</f>
        <v>4032.8449740353076</v>
      </c>
      <c r="AV19" s="523"/>
      <c r="AW19" s="523"/>
      <c r="AX19" s="523"/>
      <c r="AY19" s="523"/>
      <c r="AZ19" s="248">
        <f>AZ15+AZ17+AZ18+AZ57</f>
        <v>5352.054630757144</v>
      </c>
      <c r="BA19" s="523"/>
      <c r="BB19" s="523"/>
      <c r="BC19" s="523"/>
      <c r="BD19" s="523"/>
      <c r="BE19" s="248">
        <f>BE15+BE17+BE18+BE57</f>
        <v>6180.1313251355423</v>
      </c>
      <c r="BF19" s="523"/>
      <c r="BG19" s="523"/>
      <c r="BH19" s="523"/>
      <c r="BI19" s="523"/>
      <c r="BJ19" s="248">
        <f>BJ15+BJ17+BJ18+BJ57</f>
        <v>6549.5105155973397</v>
      </c>
      <c r="BK19" s="523"/>
      <c r="BL19" s="523"/>
      <c r="BM19" s="523"/>
      <c r="BN19" s="523"/>
      <c r="BO19" s="248">
        <f>BO15+BO17+BO18+BO57</f>
        <v>6707.1044423355961</v>
      </c>
      <c r="BP19" s="523"/>
      <c r="BQ19" s="523"/>
      <c r="BR19" s="523"/>
      <c r="BS19" s="523"/>
      <c r="BT19" s="248">
        <f>BT15+BT17+BT18+BT57</f>
        <v>7367.4606783273866</v>
      </c>
      <c r="BU19" s="523"/>
      <c r="BV19" s="523"/>
      <c r="BW19" s="523"/>
      <c r="BX19" s="523"/>
      <c r="BY19" s="248">
        <f>BY15+BY17+BY18+BY57</f>
        <v>8877.4659624408032</v>
      </c>
      <c r="BZ19" s="523"/>
      <c r="CA19" s="523"/>
      <c r="CB19" s="523"/>
      <c r="CC19" s="523"/>
      <c r="CD19" s="248">
        <f>CD15+CD17+CD18+CD57</f>
        <v>9000.8703205211095</v>
      </c>
      <c r="CE19" s="523"/>
      <c r="CF19" s="523"/>
      <c r="CG19" s="523"/>
      <c r="CH19" s="523"/>
      <c r="CI19" s="248">
        <f>CI15+CI17+CI18+CI57</f>
        <v>9103.7533482704148</v>
      </c>
      <c r="CJ19" s="523"/>
      <c r="CK19" s="523"/>
      <c r="CL19" s="523"/>
      <c r="CM19" s="523"/>
      <c r="CN19" s="248">
        <f>CN15+CN17+CN18+CN57</f>
        <v>9114.9123702383258</v>
      </c>
      <c r="CO19" s="523"/>
      <c r="CP19" s="523"/>
      <c r="CQ19" s="523"/>
      <c r="CR19" s="523"/>
      <c r="CS19" s="248">
        <f>CS15+CS17+CS18+CS57</f>
        <v>9197.9032959682863</v>
      </c>
      <c r="CT19" s="133"/>
      <c r="CY19"/>
      <c r="CZ19"/>
      <c r="DA19"/>
      <c r="DB19"/>
      <c r="DC19"/>
      <c r="DD19"/>
    </row>
    <row r="20" spans="2:108">
      <c r="B20" s="250" t="s">
        <v>39</v>
      </c>
      <c r="C20" s="250"/>
      <c r="D20" s="250"/>
      <c r="E20" s="250"/>
      <c r="F20" s="250"/>
      <c r="G20" s="250"/>
      <c r="H20" s="250"/>
      <c r="I20" s="250"/>
      <c r="J20" s="250"/>
      <c r="K20" s="613"/>
      <c r="L20" s="620"/>
      <c r="M20" s="250"/>
      <c r="N20" s="250"/>
      <c r="O20" s="250"/>
      <c r="P20" s="613"/>
      <c r="Q20" s="613"/>
      <c r="R20" s="250"/>
      <c r="S20" s="250"/>
      <c r="T20" s="250"/>
      <c r="U20" s="250"/>
      <c r="V20" s="250"/>
      <c r="W20" s="250"/>
      <c r="X20" s="250"/>
      <c r="Y20" s="250"/>
      <c r="Z20" s="250"/>
      <c r="AA20" s="250"/>
      <c r="AB20" s="250"/>
      <c r="AC20" s="250"/>
      <c r="AD20" s="250"/>
      <c r="AE20" s="760"/>
      <c r="AF20" s="250"/>
      <c r="AG20" s="760" t="e">
        <f ca="1">_xll.TR($DH$1,"TR.RevenueMean","Period=#1 Curn=#2 Scale=6 Null=BLANK",,LEFT(AG$2,1)&amp;"CQ20"&amp;MID(AG$2,3,2),$DH$2)</f>
        <v>#NAME?</v>
      </c>
      <c r="AH20" s="760" t="e">
        <f ca="1">_xll.TR($DH$1,"TR.RevenueMean","Period=#1 Curn=#2 Scale=6 Null=BLANK",,LEFT(AH$2,1)&amp;"CQ20"&amp;MID(AH$2,3,2),$DH$2)</f>
        <v>#NAME?</v>
      </c>
      <c r="AI20" s="760" t="e">
        <f ca="1">_xll.TR($DH$1,"TR.RevenueMean","Period=#1 Curn=#2 Scale=6 Null=BLANK",,LEFT(AI$2,1)&amp;"CQ20"&amp;MID(AI$2,3,2),$DH$2)</f>
        <v>#NAME?</v>
      </c>
      <c r="AJ20" s="760" t="e">
        <f ca="1">_xll.TR($DH$1,"TR.RevenueMean","Period=#1 Curn=#2 Scale=6 Null=BLANK",,LEFT(AJ$2,1)&amp;"CQ20"&amp;MID(AJ$2,3,2),$DH$2)</f>
        <v>#NAME?</v>
      </c>
      <c r="AK20" s="250" t="e">
        <f ca="1">_xll.TR($DH$1,"AVAIL(TR.RevenueMean(Methodology=WeightedAnnual),TR.RevenueMean(Methodology=Interimsum))","Period=#1 Curn=#2 Scale=6 Null=BLANK",,"CY"&amp;LEFT(AK$2,4),$DH$2)</f>
        <v>#NAME?</v>
      </c>
      <c r="AL20" s="250"/>
      <c r="AM20" s="250"/>
      <c r="AN20" s="250"/>
      <c r="AO20" s="250"/>
      <c r="AP20" s="250" t="e">
        <f ca="1">_xll.TR($DH$1,"AVAIL(TR.RevenueMean(Methodology=WeightedAnnual),TR.RevenueMean(Methodology=Interimsum))","Period=#1 Curn=#2 Scale=6 Null=BLANK",,"CY"&amp;LEFT(AP$2,4),$DH$2)</f>
        <v>#NAME?</v>
      </c>
      <c r="AQ20" s="251"/>
      <c r="AR20" s="251"/>
      <c r="AS20" s="251"/>
      <c r="AT20" s="251"/>
      <c r="AU20" s="250" t="e">
        <f ca="1">_xll.TR($DH$1,"AVAIL(TR.RevenueMean(Methodology=WeightedAnnual),TR.RevenueMean(Methodology=Interimsum))","Period=#1 Curn=#2 Scale=6 Null=BLANK",,"CY"&amp;LEFT(AU$2,4),$DH$2)</f>
        <v>#NAME?</v>
      </c>
      <c r="AV20" s="251"/>
      <c r="AW20" s="251"/>
      <c r="AX20" s="251"/>
      <c r="AY20" s="251"/>
      <c r="AZ20" s="251"/>
      <c r="BA20" s="251"/>
      <c r="BB20" s="251"/>
      <c r="BC20" s="251"/>
      <c r="BD20" s="251"/>
      <c r="BE20" s="251"/>
      <c r="BF20" s="251"/>
      <c r="BG20" s="251"/>
      <c r="BH20" s="251"/>
      <c r="BI20" s="251"/>
      <c r="BJ20" s="251"/>
      <c r="BK20" s="251"/>
      <c r="BL20" s="251"/>
      <c r="BM20" s="251"/>
      <c r="BN20" s="251"/>
      <c r="BO20" s="251"/>
      <c r="BP20" s="251"/>
      <c r="BQ20" s="251"/>
      <c r="BR20" s="251"/>
      <c r="BS20" s="251"/>
      <c r="BT20" s="251"/>
      <c r="BU20" s="251"/>
      <c r="BV20" s="251"/>
      <c r="BW20" s="251"/>
      <c r="BX20" s="251"/>
      <c r="BY20" s="251"/>
      <c r="BZ20" s="251"/>
      <c r="CA20" s="251"/>
      <c r="CB20" s="251"/>
      <c r="CC20" s="251"/>
      <c r="CD20" s="251"/>
      <c r="CE20" s="251"/>
      <c r="CF20" s="251"/>
      <c r="CG20" s="251"/>
      <c r="CH20" s="251"/>
      <c r="CI20" s="251"/>
      <c r="CJ20" s="251"/>
      <c r="CK20" s="251"/>
      <c r="CL20" s="251"/>
      <c r="CM20" s="251"/>
      <c r="CN20" s="251"/>
      <c r="CO20" s="251"/>
      <c r="CP20" s="251"/>
      <c r="CQ20" s="251"/>
      <c r="CR20" s="251"/>
      <c r="CS20" s="251"/>
      <c r="CT20" s="133"/>
    </row>
    <row r="21" spans="2:108">
      <c r="H21" s="533"/>
      <c r="I21" s="533"/>
      <c r="J21" s="533"/>
      <c r="K21" s="611"/>
      <c r="L21" s="133"/>
      <c r="M21" s="533"/>
      <c r="N21" s="520"/>
      <c r="O21" s="533"/>
      <c r="P21" s="611"/>
      <c r="Q21" s="617"/>
      <c r="R21" s="520"/>
      <c r="S21" s="520"/>
      <c r="T21" s="520"/>
      <c r="U21" s="520"/>
      <c r="V21" s="245"/>
      <c r="W21" s="520"/>
      <c r="X21" s="520"/>
      <c r="Y21" s="520"/>
      <c r="Z21" s="520"/>
      <c r="AA21" s="245"/>
      <c r="AB21" s="520"/>
      <c r="AC21" s="520"/>
      <c r="AD21" s="520"/>
      <c r="AE21" s="520"/>
      <c r="AF21" s="245"/>
      <c r="AG21" s="520"/>
      <c r="AH21" s="520"/>
      <c r="AI21" s="520"/>
      <c r="AJ21" s="533"/>
      <c r="AL21" s="520"/>
      <c r="AM21" s="520"/>
      <c r="AN21" s="520"/>
      <c r="AO21" s="520"/>
      <c r="AQ21" s="520"/>
      <c r="AR21" s="520"/>
      <c r="AS21" s="520"/>
      <c r="AT21" s="520"/>
      <c r="AV21" s="520"/>
      <c r="AW21" s="520"/>
      <c r="AX21" s="520"/>
      <c r="AY21" s="520"/>
      <c r="BA21" s="520"/>
      <c r="BB21" s="520"/>
      <c r="BC21" s="520"/>
      <c r="BD21" s="520"/>
      <c r="BF21" s="520"/>
      <c r="BG21" s="520"/>
      <c r="BH21" s="520"/>
      <c r="BI21" s="520"/>
      <c r="BK21" s="520"/>
      <c r="BL21" s="520"/>
      <c r="BM21" s="520"/>
      <c r="BN21" s="520"/>
      <c r="BP21" s="520"/>
      <c r="BQ21" s="520"/>
      <c r="BR21" s="520"/>
      <c r="BS21" s="520"/>
      <c r="BU21" s="520"/>
      <c r="BV21" s="520"/>
      <c r="BW21" s="520"/>
      <c r="BX21" s="520"/>
      <c r="BZ21" s="520"/>
      <c r="CA21" s="520"/>
      <c r="CB21" s="520"/>
      <c r="CC21" s="520"/>
      <c r="CE21" s="520"/>
      <c r="CF21" s="520"/>
      <c r="CG21" s="520"/>
      <c r="CH21" s="520"/>
      <c r="CJ21" s="520"/>
      <c r="CK21" s="520"/>
      <c r="CL21" s="520"/>
      <c r="CM21" s="520"/>
      <c r="CO21" s="520"/>
      <c r="CP21" s="520"/>
      <c r="CQ21" s="520"/>
      <c r="CR21" s="520"/>
      <c r="CT21" s="133"/>
    </row>
    <row r="22" spans="2:108">
      <c r="B22" s="13" t="s">
        <v>40</v>
      </c>
      <c r="H22" s="533"/>
      <c r="I22" s="533"/>
      <c r="J22" s="533"/>
      <c r="K22" s="611"/>
      <c r="L22" s="133"/>
      <c r="M22" s="533"/>
      <c r="N22" s="520"/>
      <c r="O22" s="533"/>
      <c r="P22" s="611"/>
      <c r="Q22" s="617"/>
      <c r="R22" s="520"/>
      <c r="S22" s="520"/>
      <c r="T22" s="520"/>
      <c r="U22" s="524"/>
      <c r="V22" s="245">
        <f>SUM(R42:U42)</f>
        <v>0.6500000000000602</v>
      </c>
      <c r="W22" s="520"/>
      <c r="X22" s="520"/>
      <c r="Y22" s="520"/>
      <c r="Z22" s="520"/>
      <c r="AA22" s="245"/>
      <c r="AB22" s="533"/>
      <c r="AC22" s="520"/>
      <c r="AD22" s="520"/>
      <c r="AE22" s="520"/>
      <c r="AG22" s="520"/>
      <c r="AH22" s="520"/>
      <c r="AI22" s="520"/>
      <c r="AJ22" s="520"/>
      <c r="AL22" s="520"/>
      <c r="AM22" s="520"/>
      <c r="AN22" s="520"/>
      <c r="AO22" s="520"/>
      <c r="AQ22" s="520"/>
      <c r="AR22" s="520"/>
      <c r="AS22" s="520"/>
      <c r="AT22" s="520"/>
      <c r="AV22" s="520"/>
      <c r="AW22" s="520"/>
      <c r="AX22" s="520"/>
      <c r="AY22" s="520"/>
      <c r="BA22" s="520"/>
      <c r="BB22" s="520"/>
      <c r="BC22" s="520"/>
      <c r="BD22" s="520"/>
      <c r="BF22" s="520"/>
      <c r="BG22" s="520"/>
      <c r="BH22" s="520"/>
      <c r="BI22" s="520"/>
      <c r="BK22" s="520"/>
      <c r="BL22" s="520"/>
      <c r="BM22" s="520"/>
      <c r="BN22" s="520"/>
      <c r="BP22" s="520"/>
      <c r="BQ22" s="520"/>
      <c r="BR22" s="520"/>
      <c r="BS22" s="520"/>
      <c r="BU22" s="520"/>
      <c r="BV22" s="520"/>
      <c r="BW22" s="520"/>
      <c r="BX22" s="520"/>
      <c r="BZ22" s="520"/>
      <c r="CA22" s="520"/>
      <c r="CB22" s="520"/>
      <c r="CC22" s="520"/>
      <c r="CE22" s="520"/>
      <c r="CF22" s="520"/>
      <c r="CG22" s="520"/>
      <c r="CH22" s="520"/>
      <c r="CJ22" s="520"/>
      <c r="CK22" s="520"/>
      <c r="CL22" s="520"/>
      <c r="CM22" s="520"/>
      <c r="CO22" s="520"/>
      <c r="CP22" s="520"/>
      <c r="CQ22" s="520"/>
      <c r="CR22" s="520"/>
      <c r="CT22" s="133"/>
    </row>
    <row r="23" spans="2:108">
      <c r="B23" s="14" t="s">
        <v>190</v>
      </c>
      <c r="C23" s="9"/>
      <c r="D23" s="9"/>
      <c r="E23" s="9"/>
      <c r="F23" s="10"/>
      <c r="G23" s="12"/>
      <c r="H23" s="522">
        <f>H98+H63</f>
        <v>42.742999999999995</v>
      </c>
      <c r="I23" s="522">
        <f>I98+I63</f>
        <v>32.847999999999999</v>
      </c>
      <c r="J23" s="522">
        <f>J98+J63</f>
        <v>22.062999999999995</v>
      </c>
      <c r="K23" s="577">
        <f>K98+K63</f>
        <v>22.264000000000003</v>
      </c>
      <c r="L23" s="12">
        <v>119.919</v>
      </c>
      <c r="M23" s="522">
        <f>M98+M63</f>
        <v>9.5889999999999986</v>
      </c>
      <c r="N23" s="522">
        <f>N98+N63</f>
        <v>11.066999999999997</v>
      </c>
      <c r="O23" s="522">
        <f>O98+O63</f>
        <v>11.018000000000018</v>
      </c>
      <c r="P23" s="577">
        <f>P98+P63</f>
        <v>13.225999999999999</v>
      </c>
      <c r="Q23" s="406">
        <v>44.951000000000001</v>
      </c>
      <c r="R23" s="519">
        <f t="shared" ref="R23:AE23" si="22">R98+R63</f>
        <v>10.711</v>
      </c>
      <c r="S23" s="519">
        <f t="shared" si="22"/>
        <v>16.489000000000001</v>
      </c>
      <c r="T23" s="519">
        <f t="shared" si="22"/>
        <v>33.506</v>
      </c>
      <c r="U23" s="519">
        <f t="shared" si="22"/>
        <v>63.175999999999995</v>
      </c>
      <c r="V23" s="246">
        <f t="shared" si="22"/>
        <v>123.88200000000001</v>
      </c>
      <c r="W23" s="519">
        <f t="shared" si="22"/>
        <v>50.51</v>
      </c>
      <c r="X23" s="519">
        <f t="shared" si="22"/>
        <v>45.258000000000003</v>
      </c>
      <c r="Y23" s="519">
        <f t="shared" si="22"/>
        <v>54.092999999999996</v>
      </c>
      <c r="Z23" s="519">
        <f t="shared" si="22"/>
        <v>60.58</v>
      </c>
      <c r="AA23" s="246">
        <f t="shared" si="22"/>
        <v>210.44100000000003</v>
      </c>
      <c r="AB23" s="519">
        <f t="shared" si="22"/>
        <v>46.988</v>
      </c>
      <c r="AC23" s="519">
        <f t="shared" si="22"/>
        <v>71.204999999999998</v>
      </c>
      <c r="AD23" s="519">
        <f t="shared" si="22"/>
        <v>72.874000000000009</v>
      </c>
      <c r="AE23" s="519">
        <f t="shared" si="22"/>
        <v>84.052000000000007</v>
      </c>
      <c r="AF23" s="246">
        <f>AE23+AD23+AC23+AB23</f>
        <v>275.11900000000003</v>
      </c>
      <c r="AG23" s="519">
        <f t="shared" ref="AG23:AI23" si="23">AG98+AG63</f>
        <v>72.321663479266746</v>
      </c>
      <c r="AH23" s="519">
        <f t="shared" si="23"/>
        <v>77.745788240211766</v>
      </c>
      <c r="AI23" s="519">
        <f t="shared" si="23"/>
        <v>83.772593530150658</v>
      </c>
      <c r="AJ23" s="519">
        <f>AK23-AG23-AH23-AI23</f>
        <v>87.10959617679336</v>
      </c>
      <c r="AK23" s="246">
        <f>AK98+AK63</f>
        <v>320.94964142642255</v>
      </c>
      <c r="AL23" s="519"/>
      <c r="AM23" s="519"/>
      <c r="AN23" s="519"/>
      <c r="AO23" s="519"/>
      <c r="AP23" s="246">
        <f>AP98+AP63</f>
        <v>354.0985363199411</v>
      </c>
      <c r="AQ23" s="519"/>
      <c r="AR23" s="519"/>
      <c r="AS23" s="519"/>
      <c r="AT23" s="519"/>
      <c r="AU23" s="246">
        <f>AU98+AU63</f>
        <v>466.4480145259177</v>
      </c>
      <c r="AV23" s="519"/>
      <c r="AW23" s="519"/>
      <c r="AX23" s="519"/>
      <c r="AY23" s="519"/>
      <c r="AZ23" s="246">
        <f>AZ98+AZ63</f>
        <v>585.35893577750608</v>
      </c>
      <c r="BA23" s="519"/>
      <c r="BB23" s="519"/>
      <c r="BC23" s="519"/>
      <c r="BD23" s="519"/>
      <c r="BE23" s="246">
        <f>BE98+BE63</f>
        <v>652.17575678503817</v>
      </c>
      <c r="BF23" s="519"/>
      <c r="BG23" s="519"/>
      <c r="BH23" s="519"/>
      <c r="BI23" s="519"/>
      <c r="BJ23" s="246">
        <f>BJ98+BJ63</f>
        <v>665.53142023511953</v>
      </c>
      <c r="BK23" s="519"/>
      <c r="BL23" s="519"/>
      <c r="BM23" s="519"/>
      <c r="BN23" s="519"/>
      <c r="BO23" s="246">
        <f>BO98+BO63</f>
        <v>650.93667649661961</v>
      </c>
      <c r="BP23" s="519"/>
      <c r="BQ23" s="519"/>
      <c r="BR23" s="519"/>
      <c r="BS23" s="519"/>
      <c r="BT23" s="246">
        <f>BT98+BT63</f>
        <v>628.91172145390919</v>
      </c>
      <c r="BU23" s="519"/>
      <c r="BV23" s="519"/>
      <c r="BW23" s="519"/>
      <c r="BX23" s="519"/>
      <c r="BY23" s="246">
        <f>BY98+BY63</f>
        <v>726.81424454947637</v>
      </c>
      <c r="BZ23" s="519"/>
      <c r="CA23" s="519"/>
      <c r="CB23" s="519"/>
      <c r="CC23" s="519"/>
      <c r="CD23" s="246">
        <f>CD98+CD63</f>
        <v>740.28339872792264</v>
      </c>
      <c r="CE23" s="519"/>
      <c r="CF23" s="519"/>
      <c r="CG23" s="519"/>
      <c r="CH23" s="519"/>
      <c r="CI23" s="246">
        <f>CI98+CI63</f>
        <v>721.3507733188269</v>
      </c>
      <c r="CJ23" s="519"/>
      <c r="CK23" s="519"/>
      <c r="CL23" s="519"/>
      <c r="CM23" s="519"/>
      <c r="CN23" s="246">
        <f>CN98+CN63</f>
        <v>723.58172905097672</v>
      </c>
      <c r="CO23" s="519"/>
      <c r="CP23" s="519"/>
      <c r="CQ23" s="519"/>
      <c r="CR23" s="519"/>
      <c r="CS23" s="246">
        <f>CS98+CS63</f>
        <v>723.42132064424788</v>
      </c>
      <c r="CT23" s="133"/>
    </row>
    <row r="24" spans="2:108" hidden="1" outlineLevel="1">
      <c r="B24" s="15" t="s">
        <v>42</v>
      </c>
      <c r="C24" s="9"/>
      <c r="D24" s="9"/>
      <c r="E24" s="9"/>
      <c r="F24" s="10"/>
      <c r="G24" s="12"/>
      <c r="H24" s="522"/>
      <c r="I24" s="522"/>
      <c r="J24" s="522"/>
      <c r="K24" s="577"/>
      <c r="L24" s="12"/>
      <c r="M24" s="522"/>
      <c r="N24" s="522"/>
      <c r="O24" s="522"/>
      <c r="P24" s="577"/>
      <c r="Q24" s="406"/>
      <c r="R24" s="519">
        <f t="shared" ref="R24:S26" si="24">R153</f>
        <v>177.17399999999998</v>
      </c>
      <c r="S24" s="519">
        <f t="shared" si="24"/>
        <v>181.911</v>
      </c>
      <c r="T24" s="519">
        <f t="shared" ref="T24" si="25">T153</f>
        <v>201.58799999999999</v>
      </c>
      <c r="U24" s="519">
        <f>U153</f>
        <v>203.51000000000005</v>
      </c>
      <c r="V24" s="246">
        <f>SUM(R24:U24)</f>
        <v>764.18299999999999</v>
      </c>
      <c r="W24" s="519">
        <f t="shared" ref="W24:Z24" si="26">W153</f>
        <v>222.04600000000002</v>
      </c>
      <c r="X24" s="519">
        <f>X153</f>
        <v>215</v>
      </c>
      <c r="Y24" s="519">
        <f t="shared" si="26"/>
        <v>217.51345199999997</v>
      </c>
      <c r="Z24" s="519">
        <f t="shared" si="26"/>
        <v>219.58729000000005</v>
      </c>
      <c r="AA24" s="246">
        <f t="shared" ref="AA24:AA31" si="27">SUM(W24:Z24)</f>
        <v>874.14674200000002</v>
      </c>
      <c r="AB24" s="519"/>
      <c r="AC24" s="519"/>
      <c r="AD24" s="519"/>
      <c r="AE24" s="519">
        <f t="shared" ref="AE24" si="28">AE153</f>
        <v>187.84337552499994</v>
      </c>
      <c r="AF24" s="246">
        <f>AF153</f>
        <v>911.13156998499994</v>
      </c>
      <c r="AG24" s="519"/>
      <c r="AH24" s="519"/>
      <c r="AI24" s="519"/>
      <c r="AJ24" s="519"/>
      <c r="AK24" s="246">
        <f>AK153</f>
        <v>1066.0239368824498</v>
      </c>
      <c r="AL24" s="519"/>
      <c r="AM24" s="519"/>
      <c r="AN24" s="519"/>
      <c r="AO24" s="519"/>
      <c r="AP24" s="246">
        <f>AP153</f>
        <v>1140.6456124642214</v>
      </c>
      <c r="AQ24" s="519"/>
      <c r="AR24" s="519"/>
      <c r="AS24" s="519"/>
      <c r="AT24" s="519"/>
      <c r="AU24" s="246">
        <f>AU153</f>
        <v>1197.6778930874325</v>
      </c>
      <c r="AV24" s="519"/>
      <c r="AW24" s="519"/>
      <c r="AX24" s="519"/>
      <c r="AY24" s="519"/>
      <c r="AZ24" s="246">
        <f>AZ153</f>
        <v>1233.6082298800554</v>
      </c>
      <c r="BA24" s="519"/>
      <c r="BB24" s="519"/>
      <c r="BC24" s="519"/>
      <c r="BD24" s="519"/>
      <c r="BE24" s="246">
        <f>BE153</f>
        <v>1233.6082298800554</v>
      </c>
      <c r="BF24" s="519"/>
      <c r="BG24" s="519"/>
      <c r="BH24" s="519"/>
      <c r="BI24" s="519"/>
      <c r="BJ24" s="246">
        <f>BJ153</f>
        <v>1196.5999829836537</v>
      </c>
      <c r="BK24" s="519"/>
      <c r="BL24" s="519"/>
      <c r="BM24" s="519"/>
      <c r="BN24" s="519"/>
      <c r="BO24" s="246">
        <f>BO153</f>
        <v>1136.7699838344711</v>
      </c>
      <c r="BP24" s="519"/>
      <c r="BQ24" s="519"/>
      <c r="BR24" s="519"/>
      <c r="BS24" s="519"/>
      <c r="BT24" s="246">
        <f>BT153</f>
        <v>1057.1960849660579</v>
      </c>
      <c r="BU24" s="519"/>
      <c r="BV24" s="519"/>
      <c r="BW24" s="519"/>
      <c r="BX24" s="519"/>
      <c r="BY24" s="246">
        <f>BY153</f>
        <v>983.19235901843376</v>
      </c>
      <c r="BZ24" s="519"/>
      <c r="CA24" s="519"/>
      <c r="CB24" s="519"/>
      <c r="CC24" s="519"/>
      <c r="CD24" s="246">
        <f>CD153</f>
        <v>924.20081747732763</v>
      </c>
      <c r="CE24" s="519"/>
      <c r="CF24" s="519"/>
      <c r="CG24" s="519"/>
      <c r="CH24" s="519"/>
      <c r="CI24" s="246">
        <f>CI153</f>
        <v>859.50676025391465</v>
      </c>
      <c r="CJ24" s="519"/>
      <c r="CK24" s="519"/>
      <c r="CL24" s="519"/>
      <c r="CM24" s="519"/>
      <c r="CN24" s="246">
        <f>CN153</f>
        <v>799.34128703614056</v>
      </c>
      <c r="CO24" s="519"/>
      <c r="CP24" s="519"/>
      <c r="CQ24" s="519"/>
      <c r="CR24" s="519"/>
      <c r="CS24" s="246">
        <f>CS153</f>
        <v>731.39727763806866</v>
      </c>
      <c r="CT24" s="133"/>
    </row>
    <row r="25" spans="2:108" hidden="1" outlineLevel="1">
      <c r="B25" s="15" t="s">
        <v>43</v>
      </c>
      <c r="C25" s="9"/>
      <c r="D25" s="9"/>
      <c r="E25" s="9"/>
      <c r="F25" s="10"/>
      <c r="G25" s="12"/>
      <c r="H25" s="522"/>
      <c r="I25" s="522"/>
      <c r="J25" s="522"/>
      <c r="K25" s="577"/>
      <c r="L25" s="12"/>
      <c r="M25" s="522"/>
      <c r="N25" s="522"/>
      <c r="O25" s="522"/>
      <c r="P25" s="577"/>
      <c r="Q25" s="406"/>
      <c r="R25" s="519">
        <f t="shared" si="24"/>
        <v>177.17399999999998</v>
      </c>
      <c r="S25" s="519">
        <f t="shared" si="24"/>
        <v>181.911</v>
      </c>
      <c r="T25" s="519">
        <f t="shared" ref="T25" si="29">T154</f>
        <v>201.58799999999999</v>
      </c>
      <c r="U25" s="519">
        <f>U154</f>
        <v>203.51000000000005</v>
      </c>
      <c r="V25" s="246">
        <f>SUM(R25:U25)</f>
        <v>764.18299999999999</v>
      </c>
      <c r="W25" s="519">
        <f t="shared" ref="W25:Y25" si="30">W154</f>
        <v>222.04600000000002</v>
      </c>
      <c r="X25" s="519">
        <f t="shared" ref="X25" si="31">X154</f>
        <v>215</v>
      </c>
      <c r="Y25" s="519">
        <f t="shared" si="30"/>
        <v>210</v>
      </c>
      <c r="Z25" s="519">
        <f>Z154</f>
        <v>226.03307749999999</v>
      </c>
      <c r="AA25" s="246">
        <f t="shared" si="27"/>
        <v>873.07907750000004</v>
      </c>
      <c r="AB25" s="519">
        <f>AB27</f>
        <v>226.58099999999999</v>
      </c>
      <c r="AC25" s="519">
        <f>AC27</f>
        <v>240.459</v>
      </c>
      <c r="AD25" s="519">
        <f>AD27</f>
        <v>243.21199999999999</v>
      </c>
      <c r="AE25" s="519">
        <f>AF25-AB25-AC25-AD25</f>
        <v>254.50038063749997</v>
      </c>
      <c r="AF25" s="246">
        <f>AF154</f>
        <v>964.75238063749998</v>
      </c>
      <c r="AG25" s="519"/>
      <c r="AH25" s="519"/>
      <c r="AI25" s="519"/>
      <c r="AJ25" s="519"/>
      <c r="AK25" s="246">
        <f>AK154</f>
        <v>1109.4652377331249</v>
      </c>
      <c r="AL25" s="246">
        <f t="shared" ref="AL25:CS25" si="32">AL154</f>
        <v>0</v>
      </c>
      <c r="AM25" s="246">
        <f t="shared" si="32"/>
        <v>0</v>
      </c>
      <c r="AN25" s="246">
        <f t="shared" si="32"/>
        <v>0</v>
      </c>
      <c r="AO25" s="246">
        <f t="shared" si="32"/>
        <v>0</v>
      </c>
      <c r="AP25" s="246">
        <f t="shared" si="32"/>
        <v>1187.1278043744437</v>
      </c>
      <c r="AQ25" s="246">
        <f t="shared" si="32"/>
        <v>0</v>
      </c>
      <c r="AR25" s="246">
        <f t="shared" si="32"/>
        <v>0</v>
      </c>
      <c r="AS25" s="246">
        <f t="shared" si="32"/>
        <v>0</v>
      </c>
      <c r="AT25" s="246">
        <f t="shared" si="32"/>
        <v>0</v>
      </c>
      <c r="AU25" s="246">
        <f t="shared" si="32"/>
        <v>1246.484194593166</v>
      </c>
      <c r="AV25" s="246">
        <f t="shared" si="32"/>
        <v>0</v>
      </c>
      <c r="AW25" s="246">
        <f t="shared" si="32"/>
        <v>0</v>
      </c>
      <c r="AX25" s="246">
        <f t="shared" si="32"/>
        <v>0</v>
      </c>
      <c r="AY25" s="246">
        <f t="shared" si="32"/>
        <v>0</v>
      </c>
      <c r="AZ25" s="246">
        <f t="shared" si="32"/>
        <v>1283.878720430961</v>
      </c>
      <c r="BA25" s="246">
        <f t="shared" si="32"/>
        <v>0</v>
      </c>
      <c r="BB25" s="246">
        <f t="shared" si="32"/>
        <v>0</v>
      </c>
      <c r="BC25" s="246">
        <f t="shared" si="32"/>
        <v>0</v>
      </c>
      <c r="BD25" s="246">
        <f t="shared" si="32"/>
        <v>0</v>
      </c>
      <c r="BE25" s="246">
        <f t="shared" si="32"/>
        <v>1283.878720430961</v>
      </c>
      <c r="BF25" s="246">
        <f t="shared" si="32"/>
        <v>0</v>
      </c>
      <c r="BG25" s="246">
        <f t="shared" si="32"/>
        <v>0</v>
      </c>
      <c r="BH25" s="246">
        <f t="shared" si="32"/>
        <v>0</v>
      </c>
      <c r="BI25" s="246">
        <f t="shared" si="32"/>
        <v>0</v>
      </c>
      <c r="BJ25" s="246">
        <f t="shared" si="32"/>
        <v>1245.3623588180321</v>
      </c>
      <c r="BK25" s="246">
        <f t="shared" si="32"/>
        <v>0</v>
      </c>
      <c r="BL25" s="246">
        <f t="shared" si="32"/>
        <v>0</v>
      </c>
      <c r="BM25" s="246">
        <f t="shared" si="32"/>
        <v>0</v>
      </c>
      <c r="BN25" s="246">
        <f t="shared" si="32"/>
        <v>0</v>
      </c>
      <c r="BO25" s="246">
        <f t="shared" si="32"/>
        <v>1183.0942408771305</v>
      </c>
      <c r="BP25" s="246">
        <f t="shared" si="32"/>
        <v>0</v>
      </c>
      <c r="BQ25" s="246">
        <f t="shared" si="32"/>
        <v>0</v>
      </c>
      <c r="BR25" s="246">
        <f t="shared" si="32"/>
        <v>0</v>
      </c>
      <c r="BS25" s="246">
        <f t="shared" si="32"/>
        <v>0</v>
      </c>
      <c r="BT25" s="246">
        <f t="shared" si="32"/>
        <v>1100.2776440157313</v>
      </c>
      <c r="BU25" s="246">
        <f t="shared" si="32"/>
        <v>0</v>
      </c>
      <c r="BV25" s="246">
        <f t="shared" si="32"/>
        <v>0</v>
      </c>
      <c r="BW25" s="246">
        <f t="shared" si="32"/>
        <v>0</v>
      </c>
      <c r="BX25" s="246">
        <f t="shared" si="32"/>
        <v>0</v>
      </c>
      <c r="BY25" s="246">
        <f t="shared" si="32"/>
        <v>1023.25820893463</v>
      </c>
      <c r="BZ25" s="246">
        <f t="shared" si="32"/>
        <v>0</v>
      </c>
      <c r="CA25" s="246">
        <f t="shared" si="32"/>
        <v>0</v>
      </c>
      <c r="CB25" s="246">
        <f t="shared" si="32"/>
        <v>0</v>
      </c>
      <c r="CC25" s="246">
        <f t="shared" si="32"/>
        <v>0</v>
      </c>
      <c r="CD25" s="246">
        <f t="shared" si="32"/>
        <v>951.63013430920591</v>
      </c>
      <c r="CE25" s="246">
        <f t="shared" si="32"/>
        <v>0</v>
      </c>
      <c r="CF25" s="246">
        <f t="shared" si="32"/>
        <v>0</v>
      </c>
      <c r="CG25" s="246">
        <f t="shared" si="32"/>
        <v>0</v>
      </c>
      <c r="CH25" s="246">
        <f t="shared" si="32"/>
        <v>0</v>
      </c>
      <c r="CI25" s="246">
        <f t="shared" si="32"/>
        <v>885.01602490756147</v>
      </c>
      <c r="CJ25" s="246">
        <f t="shared" si="32"/>
        <v>0</v>
      </c>
      <c r="CK25" s="246">
        <f t="shared" si="32"/>
        <v>0</v>
      </c>
      <c r="CL25" s="246">
        <f t="shared" si="32"/>
        <v>0</v>
      </c>
      <c r="CM25" s="246">
        <f t="shared" si="32"/>
        <v>0</v>
      </c>
      <c r="CN25" s="246">
        <f t="shared" si="32"/>
        <v>823.0649031640321</v>
      </c>
      <c r="CO25" s="246">
        <f t="shared" si="32"/>
        <v>0</v>
      </c>
      <c r="CP25" s="246">
        <f t="shared" si="32"/>
        <v>0</v>
      </c>
      <c r="CQ25" s="246">
        <f t="shared" si="32"/>
        <v>0</v>
      </c>
      <c r="CR25" s="246">
        <f t="shared" si="32"/>
        <v>0</v>
      </c>
      <c r="CS25" s="246">
        <f t="shared" si="32"/>
        <v>753.10438639508936</v>
      </c>
      <c r="CT25" s="133"/>
    </row>
    <row r="26" spans="2:108" hidden="1" outlineLevel="1">
      <c r="B26" s="15" t="s">
        <v>44</v>
      </c>
      <c r="C26" s="9"/>
      <c r="D26" s="9"/>
      <c r="E26" s="9"/>
      <c r="F26" s="10"/>
      <c r="G26" s="12"/>
      <c r="H26" s="522"/>
      <c r="I26" s="522"/>
      <c r="J26" s="522"/>
      <c r="K26" s="577"/>
      <c r="L26" s="12"/>
      <c r="M26" s="522"/>
      <c r="N26" s="522"/>
      <c r="O26" s="522"/>
      <c r="P26" s="577"/>
      <c r="Q26" s="406"/>
      <c r="R26" s="519">
        <f t="shared" si="24"/>
        <v>177.17399999999998</v>
      </c>
      <c r="S26" s="519">
        <f t="shared" si="24"/>
        <v>181.911</v>
      </c>
      <c r="T26" s="519">
        <f t="shared" ref="T26" si="33">T155</f>
        <v>201.58799999999999</v>
      </c>
      <c r="U26" s="519">
        <f t="shared" ref="U26" si="34">U155</f>
        <v>203.51000000000005</v>
      </c>
      <c r="V26" s="246">
        <f>SUM(R26:U26)</f>
        <v>764.18299999999999</v>
      </c>
      <c r="W26" s="519">
        <f t="shared" ref="W26:Z26" si="35">W155</f>
        <v>222.04600000000002</v>
      </c>
      <c r="X26" s="519">
        <f t="shared" ref="X26" si="36">X155</f>
        <v>215</v>
      </c>
      <c r="Y26" s="519">
        <f t="shared" si="35"/>
        <v>207.63564</v>
      </c>
      <c r="Z26" s="519">
        <f t="shared" si="35"/>
        <v>209.61530000000005</v>
      </c>
      <c r="AA26" s="246">
        <f t="shared" si="27"/>
        <v>854.29694000000006</v>
      </c>
      <c r="AB26" s="519"/>
      <c r="AC26" s="519"/>
      <c r="AD26" s="519"/>
      <c r="AE26" s="519">
        <f t="shared" ref="AE26" si="37">AE155</f>
        <v>128.18416500000001</v>
      </c>
      <c r="AF26" s="246">
        <f>AF155</f>
        <v>708.39764100000002</v>
      </c>
      <c r="AG26" s="519"/>
      <c r="AH26" s="519"/>
      <c r="AI26" s="519"/>
      <c r="AJ26" s="519"/>
      <c r="AK26" s="246">
        <f>AK155</f>
        <v>602.13799485000004</v>
      </c>
      <c r="AL26" s="519"/>
      <c r="AM26" s="519"/>
      <c r="AN26" s="519"/>
      <c r="AO26" s="519"/>
      <c r="AP26" s="246">
        <f>AP155</f>
        <v>451.60349613750003</v>
      </c>
      <c r="AQ26" s="519"/>
      <c r="AR26" s="519"/>
      <c r="AS26" s="519"/>
      <c r="AT26" s="519"/>
      <c r="AU26" s="246">
        <f>AU155</f>
        <v>338.70262210312501</v>
      </c>
      <c r="AV26" s="519"/>
      <c r="AW26" s="519"/>
      <c r="AX26" s="519"/>
      <c r="AY26" s="519"/>
      <c r="AZ26" s="246">
        <f>AZ155</f>
        <v>254.02696657734376</v>
      </c>
      <c r="BA26" s="519"/>
      <c r="BB26" s="519"/>
      <c r="BC26" s="519"/>
      <c r="BD26" s="519"/>
      <c r="BE26" s="246">
        <f>BE155</f>
        <v>190.52022493300782</v>
      </c>
      <c r="BF26" s="519"/>
      <c r="BG26" s="519"/>
      <c r="BH26" s="519"/>
      <c r="BI26" s="519"/>
      <c r="BJ26" s="246">
        <f>BJ155</f>
        <v>142.89016869975586</v>
      </c>
      <c r="BK26" s="519"/>
      <c r="BL26" s="519"/>
      <c r="BM26" s="519"/>
      <c r="BN26" s="519"/>
      <c r="BO26" s="246">
        <f>BO155</f>
        <v>107.1676265248169</v>
      </c>
      <c r="BP26" s="519"/>
      <c r="BQ26" s="519"/>
      <c r="BR26" s="519"/>
      <c r="BS26" s="519"/>
      <c r="BT26" s="246">
        <f>BT155</f>
        <v>80.375719893612668</v>
      </c>
      <c r="BU26" s="519"/>
      <c r="BV26" s="519"/>
      <c r="BW26" s="519"/>
      <c r="BX26" s="519"/>
      <c r="BY26" s="246">
        <f>BY155</f>
        <v>60.281789920209505</v>
      </c>
      <c r="BZ26" s="519"/>
      <c r="CA26" s="519"/>
      <c r="CB26" s="519"/>
      <c r="CC26" s="519"/>
      <c r="CD26" s="246">
        <f>CD155</f>
        <v>45.211342440157125</v>
      </c>
      <c r="CE26" s="519"/>
      <c r="CF26" s="519"/>
      <c r="CG26" s="519"/>
      <c r="CH26" s="519"/>
      <c r="CI26" s="246">
        <f>CI155</f>
        <v>33.908506830117844</v>
      </c>
      <c r="CJ26" s="519"/>
      <c r="CK26" s="519"/>
      <c r="CL26" s="519"/>
      <c r="CM26" s="519"/>
      <c r="CN26" s="246">
        <f>CN155</f>
        <v>25.431380122588383</v>
      </c>
      <c r="CO26" s="519"/>
      <c r="CP26" s="519"/>
      <c r="CQ26" s="519"/>
      <c r="CR26" s="519"/>
      <c r="CS26" s="246">
        <f>CS155</f>
        <v>19.073535091941288</v>
      </c>
      <c r="CT26" s="133"/>
    </row>
    <row r="27" spans="2:108" collapsed="1">
      <c r="B27" s="14" t="s">
        <v>45</v>
      </c>
      <c r="C27" s="9"/>
      <c r="D27" s="9"/>
      <c r="E27" s="9"/>
      <c r="F27" s="10"/>
      <c r="G27" s="12"/>
      <c r="H27" s="519">
        <f>H101+H64</f>
        <v>194.774</v>
      </c>
      <c r="I27" s="519">
        <f>I101+I64</f>
        <v>191.18900000000002</v>
      </c>
      <c r="J27" s="519">
        <f>J101+J64</f>
        <v>200.28650000000002</v>
      </c>
      <c r="K27" s="614">
        <f>K101+K64</f>
        <v>208.13200000000001</v>
      </c>
      <c r="L27" s="12">
        <v>787.63900000000001</v>
      </c>
      <c r="M27" s="519">
        <f>M101+M64</f>
        <v>181.535</v>
      </c>
      <c r="N27" s="519">
        <f>N101+N64</f>
        <v>179.512</v>
      </c>
      <c r="O27" s="519">
        <f>O101+O64</f>
        <v>157.38299999999998</v>
      </c>
      <c r="P27" s="614">
        <f>P101+P64</f>
        <v>175.67699999999999</v>
      </c>
      <c r="Q27" s="406">
        <v>694.19200000000001</v>
      </c>
      <c r="R27" s="519">
        <f t="shared" ref="R27:Z27" si="38">R101+R64</f>
        <v>177.17399999999998</v>
      </c>
      <c r="S27" s="519">
        <f t="shared" si="38"/>
        <v>181.911</v>
      </c>
      <c r="T27" s="519">
        <f t="shared" si="38"/>
        <v>201.58799999999999</v>
      </c>
      <c r="U27" s="519">
        <f t="shared" si="38"/>
        <v>203.51000000000005</v>
      </c>
      <c r="V27" s="246">
        <f t="shared" si="38"/>
        <v>764.18299999999999</v>
      </c>
      <c r="W27" s="519">
        <f t="shared" si="38"/>
        <v>222.04600000000002</v>
      </c>
      <c r="X27" s="519">
        <f t="shared" si="38"/>
        <v>217.67299999999997</v>
      </c>
      <c r="Y27" s="631">
        <f t="shared" si="38"/>
        <v>210.96600000000001</v>
      </c>
      <c r="Z27" s="631">
        <f t="shared" si="38"/>
        <v>207.08499999999998</v>
      </c>
      <c r="AA27" s="246">
        <f t="shared" si="27"/>
        <v>857.77</v>
      </c>
      <c r="AB27" s="631">
        <f>AB101+AB64</f>
        <v>226.58099999999999</v>
      </c>
      <c r="AC27" s="631">
        <f>AC101+AC64</f>
        <v>240.459</v>
      </c>
      <c r="AD27" s="631">
        <f>AD101+AD64</f>
        <v>243.21199999999999</v>
      </c>
      <c r="AE27" s="631">
        <f>AE101+AE64</f>
        <v>249.23399999999998</v>
      </c>
      <c r="AF27" s="246">
        <f>AE27+AD27+AC27+AB27</f>
        <v>959.48599999999999</v>
      </c>
      <c r="AG27" s="631">
        <f>AK27/4</f>
        <v>277.36630943328123</v>
      </c>
      <c r="AH27" s="631">
        <f>AK27/4</f>
        <v>277.36630943328123</v>
      </c>
      <c r="AI27" s="631">
        <f>AK27/4</f>
        <v>277.36630943328123</v>
      </c>
      <c r="AJ27" s="631">
        <f>AK27-SUM(AG27:AI27)</f>
        <v>277.36630943328123</v>
      </c>
      <c r="AK27" s="246">
        <f>CHOOSE($B$149,AK24,AK25,AK26)</f>
        <v>1109.4652377331249</v>
      </c>
      <c r="AL27" s="519"/>
      <c r="AM27" s="519"/>
      <c r="AN27" s="519"/>
      <c r="AO27" s="519"/>
      <c r="AP27" s="246">
        <f>CHOOSE($B$149,AP24,AP25,AP26)</f>
        <v>1187.1278043744437</v>
      </c>
      <c r="AQ27" s="519"/>
      <c r="AR27" s="519"/>
      <c r="AS27" s="519"/>
      <c r="AT27" s="519"/>
      <c r="AU27" s="246">
        <f>CHOOSE($B$149,AU24,AU25,AU26)</f>
        <v>1246.484194593166</v>
      </c>
      <c r="AV27" s="519"/>
      <c r="AW27" s="519"/>
      <c r="AX27" s="519"/>
      <c r="AY27" s="519"/>
      <c r="AZ27" s="246">
        <f>CHOOSE($B$149,AZ24,AZ25,AZ26)</f>
        <v>1283.878720430961</v>
      </c>
      <c r="BA27" s="519"/>
      <c r="BB27" s="519"/>
      <c r="BC27" s="519"/>
      <c r="BD27" s="519"/>
      <c r="BE27" s="246">
        <f>CHOOSE($B$149,BE24,BE25,BE26)</f>
        <v>1283.878720430961</v>
      </c>
      <c r="BF27" s="519"/>
      <c r="BG27" s="519"/>
      <c r="BH27" s="519"/>
      <c r="BI27" s="519"/>
      <c r="BJ27" s="246">
        <f>CHOOSE($B$149,BJ24,BJ25,BJ26)</f>
        <v>1245.3623588180321</v>
      </c>
      <c r="BK27" s="519"/>
      <c r="BL27" s="519"/>
      <c r="BM27" s="519"/>
      <c r="BN27" s="519"/>
      <c r="BO27" s="246">
        <f>CHOOSE($B$149,BO24,BO25,BO26)</f>
        <v>1183.0942408771305</v>
      </c>
      <c r="BP27" s="519"/>
      <c r="BQ27" s="519"/>
      <c r="BR27" s="519"/>
      <c r="BS27" s="519"/>
      <c r="BT27" s="246">
        <f>CHOOSE($B$149,BT24,BT25,BT26)</f>
        <v>1100.2776440157313</v>
      </c>
      <c r="BU27" s="519"/>
      <c r="BV27" s="519"/>
      <c r="BW27" s="519"/>
      <c r="BX27" s="519"/>
      <c r="BY27" s="246">
        <f>CHOOSE($B$149,BY24,BY25,BY26)</f>
        <v>1023.25820893463</v>
      </c>
      <c r="BZ27" s="519"/>
      <c r="CA27" s="519"/>
      <c r="CB27" s="519"/>
      <c r="CC27" s="519"/>
      <c r="CD27" s="246">
        <f>CHOOSE($B$149,CD24,CD25,CD26)</f>
        <v>951.63013430920591</v>
      </c>
      <c r="CE27" s="519"/>
      <c r="CF27" s="519"/>
      <c r="CG27" s="519"/>
      <c r="CH27" s="519"/>
      <c r="CI27" s="246">
        <f>CHOOSE($B$149,CI24,CI25,CI26)</f>
        <v>885.01602490756147</v>
      </c>
      <c r="CJ27" s="519"/>
      <c r="CK27" s="519"/>
      <c r="CL27" s="519"/>
      <c r="CM27" s="519"/>
      <c r="CN27" s="246">
        <f>CHOOSE($B$149,CN24,CN25,CN26)</f>
        <v>823.0649031640321</v>
      </c>
      <c r="CO27" s="519"/>
      <c r="CP27" s="519"/>
      <c r="CQ27" s="519"/>
      <c r="CR27" s="519"/>
      <c r="CS27" s="246">
        <f>CHOOSE($B$149,CS24,CS25,CS26)</f>
        <v>753.10438639508936</v>
      </c>
      <c r="CT27" s="133"/>
    </row>
    <row r="28" spans="2:108" hidden="1" outlineLevel="1">
      <c r="B28" s="15" t="s">
        <v>42</v>
      </c>
      <c r="C28" s="9"/>
      <c r="D28" s="9"/>
      <c r="E28" s="9"/>
      <c r="F28" s="10"/>
      <c r="G28" s="12"/>
      <c r="H28" s="522"/>
      <c r="I28" s="522"/>
      <c r="J28" s="522"/>
      <c r="K28" s="577"/>
      <c r="L28" s="12"/>
      <c r="M28" s="522"/>
      <c r="N28" s="522"/>
      <c r="O28" s="522"/>
      <c r="P28" s="577"/>
      <c r="Q28" s="406"/>
      <c r="R28" s="519">
        <f t="shared" ref="R28:U30" si="39">R161</f>
        <v>69.149000000000001</v>
      </c>
      <c r="S28" s="519">
        <f t="shared" si="39"/>
        <v>72.016000000000005</v>
      </c>
      <c r="T28" s="519">
        <f t="shared" si="39"/>
        <v>76.117000000000004</v>
      </c>
      <c r="U28" s="519">
        <f t="shared" si="39"/>
        <v>77.629999999999981</v>
      </c>
      <c r="V28" s="246">
        <f>SUM(R28:U28)</f>
        <v>294.91200000000003</v>
      </c>
      <c r="W28" s="519">
        <f t="shared" ref="W28:Z28" si="40">W161</f>
        <v>83.679000000000016</v>
      </c>
      <c r="X28" s="519">
        <f t="shared" si="40"/>
        <v>84</v>
      </c>
      <c r="Y28" s="519">
        <f t="shared" si="40"/>
        <v>89.627767500000004</v>
      </c>
      <c r="Z28" s="519">
        <f t="shared" si="40"/>
        <v>91.409324999999981</v>
      </c>
      <c r="AA28" s="246">
        <f t="shared" si="27"/>
        <v>348.7160925</v>
      </c>
      <c r="AB28" s="519"/>
      <c r="AC28" s="519"/>
      <c r="AD28" s="519"/>
      <c r="AE28" s="609">
        <f t="shared" ref="AE28" si="41">AE161</f>
        <v>97.598042062500042</v>
      </c>
      <c r="AF28" s="246">
        <f>AF161</f>
        <v>376.77588480000003</v>
      </c>
      <c r="AG28" s="519"/>
      <c r="AH28" s="519"/>
      <c r="AI28" s="519"/>
      <c r="AJ28" s="519"/>
      <c r="AK28" s="246">
        <f>AK161</f>
        <v>418.22123212800005</v>
      </c>
      <c r="AL28" s="519"/>
      <c r="AM28" s="519"/>
      <c r="AN28" s="519"/>
      <c r="AO28" s="519"/>
      <c r="AP28" s="246">
        <f>AP161</f>
        <v>439.13229373440009</v>
      </c>
      <c r="AQ28" s="519"/>
      <c r="AR28" s="519"/>
      <c r="AS28" s="519"/>
      <c r="AT28" s="519"/>
      <c r="AU28" s="246">
        <f>AU161</f>
        <v>461.0889084211201</v>
      </c>
      <c r="AV28" s="519"/>
      <c r="AW28" s="519"/>
      <c r="AX28" s="519"/>
      <c r="AY28" s="519"/>
      <c r="AZ28" s="246">
        <f>AZ161</f>
        <v>484.14335384217611</v>
      </c>
      <c r="BA28" s="519"/>
      <c r="BB28" s="519"/>
      <c r="BC28" s="519"/>
      <c r="BD28" s="519"/>
      <c r="BE28" s="246">
        <f>BE161</f>
        <v>508.35052153428495</v>
      </c>
      <c r="BF28" s="519"/>
      <c r="BG28" s="519"/>
      <c r="BH28" s="519"/>
      <c r="BI28" s="519"/>
      <c r="BJ28" s="246">
        <f>BJ161</f>
        <v>533.76804761099925</v>
      </c>
      <c r="BK28" s="519"/>
      <c r="BL28" s="519"/>
      <c r="BM28" s="519"/>
      <c r="BN28" s="519"/>
      <c r="BO28" s="246">
        <f>BO161</f>
        <v>544.44340856321924</v>
      </c>
      <c r="BP28" s="519"/>
      <c r="BQ28" s="519"/>
      <c r="BR28" s="519"/>
      <c r="BS28" s="519"/>
      <c r="BT28" s="246">
        <f>BT161</f>
        <v>555.33227673448368</v>
      </c>
      <c r="BU28" s="519"/>
      <c r="BV28" s="519"/>
      <c r="BW28" s="519"/>
      <c r="BX28" s="519"/>
      <c r="BY28" s="246">
        <f>BY161</f>
        <v>555.33227673448368</v>
      </c>
      <c r="BZ28" s="519"/>
      <c r="CA28" s="519"/>
      <c r="CB28" s="519"/>
      <c r="CC28" s="519"/>
      <c r="CD28" s="246">
        <f>CD161</f>
        <v>555.33227673448368</v>
      </c>
      <c r="CE28" s="519"/>
      <c r="CF28" s="519"/>
      <c r="CG28" s="519"/>
      <c r="CH28" s="519"/>
      <c r="CI28" s="246">
        <f>CI161</f>
        <v>555.33227673448368</v>
      </c>
      <c r="CJ28" s="519"/>
      <c r="CK28" s="519"/>
      <c r="CL28" s="519"/>
      <c r="CM28" s="519"/>
      <c r="CN28" s="246">
        <f>CN161</f>
        <v>555.33227673448368</v>
      </c>
      <c r="CO28" s="519"/>
      <c r="CP28" s="519"/>
      <c r="CQ28" s="519"/>
      <c r="CR28" s="519"/>
      <c r="CS28" s="246">
        <f>CS161</f>
        <v>555.33227673448368</v>
      </c>
      <c r="CT28" s="133"/>
    </row>
    <row r="29" spans="2:108" hidden="1" outlineLevel="1">
      <c r="B29" s="15" t="s">
        <v>43</v>
      </c>
      <c r="C29" s="9"/>
      <c r="D29" s="9"/>
      <c r="E29" s="9"/>
      <c r="F29" s="10"/>
      <c r="G29" s="12"/>
      <c r="H29" s="522"/>
      <c r="I29" s="522"/>
      <c r="J29" s="522"/>
      <c r="K29" s="577"/>
      <c r="L29" s="12"/>
      <c r="M29" s="522"/>
      <c r="N29" s="522"/>
      <c r="O29" s="522"/>
      <c r="P29" s="577"/>
      <c r="Q29" s="406"/>
      <c r="R29" s="519">
        <f t="shared" si="39"/>
        <v>69.149000000000001</v>
      </c>
      <c r="S29" s="519">
        <f t="shared" si="39"/>
        <v>72.016000000000005</v>
      </c>
      <c r="T29" s="519">
        <f t="shared" si="39"/>
        <v>76.117000000000004</v>
      </c>
      <c r="U29" s="519">
        <f t="shared" ref="U29" si="42">U162</f>
        <v>77.629999999999981</v>
      </c>
      <c r="V29" s="246">
        <f>SUM(R29:U29)</f>
        <v>294.91200000000003</v>
      </c>
      <c r="W29" s="519">
        <f t="shared" ref="W29:Z29" si="43">W162</f>
        <v>83.679000000000016</v>
      </c>
      <c r="X29" s="519">
        <f t="shared" si="43"/>
        <v>84</v>
      </c>
      <c r="Y29" s="519">
        <f t="shared" si="43"/>
        <v>84</v>
      </c>
      <c r="Z29" s="519">
        <f t="shared" si="43"/>
        <v>84.520680000000027</v>
      </c>
      <c r="AA29" s="246">
        <f t="shared" si="27"/>
        <v>336.19968000000006</v>
      </c>
      <c r="AB29" s="519">
        <f>AB31</f>
        <v>86.343999999999994</v>
      </c>
      <c r="AC29" s="519">
        <f>AC31</f>
        <v>92.905999999999992</v>
      </c>
      <c r="AD29" s="519">
        <f>AD31</f>
        <v>90.556999999999988</v>
      </c>
      <c r="AE29" s="609">
        <f>AF29-AB29-AC29-AD29</f>
        <v>94.969652800000091</v>
      </c>
      <c r="AF29" s="246">
        <f>AF162</f>
        <v>364.77665280000008</v>
      </c>
      <c r="AG29" s="519"/>
      <c r="AH29" s="519"/>
      <c r="AI29" s="519"/>
      <c r="AJ29" s="519"/>
      <c r="AK29" s="246">
        <f>AK162</f>
        <v>404.90208460800011</v>
      </c>
      <c r="AL29" s="519"/>
      <c r="AM29" s="519"/>
      <c r="AN29" s="519"/>
      <c r="AO29" s="519"/>
      <c r="AP29" s="246">
        <f>AP162</f>
        <v>425.14718883840015</v>
      </c>
      <c r="AQ29" s="519"/>
      <c r="AR29" s="519"/>
      <c r="AS29" s="519"/>
      <c r="AT29" s="519"/>
      <c r="AU29" s="246">
        <f>AU162</f>
        <v>446.40454828032017</v>
      </c>
      <c r="AV29" s="519"/>
      <c r="AW29" s="519"/>
      <c r="AX29" s="519"/>
      <c r="AY29" s="519"/>
      <c r="AZ29" s="246">
        <f>AZ162</f>
        <v>468.72477569433619</v>
      </c>
      <c r="BA29" s="519"/>
      <c r="BB29" s="519"/>
      <c r="BC29" s="519"/>
      <c r="BD29" s="519"/>
      <c r="BE29" s="246">
        <f>BE162</f>
        <v>492.16101447905299</v>
      </c>
      <c r="BF29" s="519"/>
      <c r="BG29" s="519"/>
      <c r="BH29" s="519"/>
      <c r="BI29" s="519"/>
      <c r="BJ29" s="246">
        <f>BJ162</f>
        <v>516.76906520300565</v>
      </c>
      <c r="BK29" s="519"/>
      <c r="BL29" s="519"/>
      <c r="BM29" s="519"/>
      <c r="BN29" s="519"/>
      <c r="BO29" s="246">
        <f>BO162</f>
        <v>527.10444650706575</v>
      </c>
      <c r="BP29" s="519"/>
      <c r="BQ29" s="519"/>
      <c r="BR29" s="519"/>
      <c r="BS29" s="519"/>
      <c r="BT29" s="246">
        <f>BT162</f>
        <v>537.64653543720704</v>
      </c>
      <c r="BU29" s="519"/>
      <c r="BV29" s="519"/>
      <c r="BW29" s="519"/>
      <c r="BX29" s="519"/>
      <c r="BY29" s="246">
        <f>BY162</f>
        <v>537.64653543720704</v>
      </c>
      <c r="BZ29" s="519"/>
      <c r="CA29" s="519"/>
      <c r="CB29" s="519"/>
      <c r="CC29" s="519"/>
      <c r="CD29" s="246">
        <f>CD162</f>
        <v>537.64653543720704</v>
      </c>
      <c r="CE29" s="519"/>
      <c r="CF29" s="519"/>
      <c r="CG29" s="519"/>
      <c r="CH29" s="519"/>
      <c r="CI29" s="246">
        <f>CI162</f>
        <v>537.64653543720704</v>
      </c>
      <c r="CJ29" s="519"/>
      <c r="CK29" s="519"/>
      <c r="CL29" s="519"/>
      <c r="CM29" s="519"/>
      <c r="CN29" s="246">
        <f>CN162</f>
        <v>537.64653543720704</v>
      </c>
      <c r="CO29" s="519"/>
      <c r="CP29" s="519"/>
      <c r="CQ29" s="519"/>
      <c r="CR29" s="519"/>
      <c r="CS29" s="246">
        <f>CS162</f>
        <v>537.64653543720704</v>
      </c>
      <c r="CT29" s="133"/>
    </row>
    <row r="30" spans="2:108" hidden="1" outlineLevel="1">
      <c r="B30" s="15" t="s">
        <v>44</v>
      </c>
      <c r="C30" s="9"/>
      <c r="D30" s="9"/>
      <c r="E30" s="9"/>
      <c r="F30" s="10"/>
      <c r="G30" s="12"/>
      <c r="H30" s="522"/>
      <c r="I30" s="522"/>
      <c r="J30" s="522"/>
      <c r="K30" s="577"/>
      <c r="L30" s="12"/>
      <c r="M30" s="522"/>
      <c r="N30" s="522"/>
      <c r="O30" s="522"/>
      <c r="P30" s="577"/>
      <c r="Q30" s="406"/>
      <c r="R30" s="519">
        <f t="shared" si="39"/>
        <v>69.149000000000001</v>
      </c>
      <c r="S30" s="519">
        <f t="shared" si="39"/>
        <v>72.016000000000005</v>
      </c>
      <c r="T30" s="519">
        <f t="shared" si="39"/>
        <v>76.117000000000004</v>
      </c>
      <c r="U30" s="519">
        <f t="shared" ref="U30" si="44">U163</f>
        <v>77.629999999999981</v>
      </c>
      <c r="V30" s="246">
        <f>SUM(R30:U30)</f>
        <v>294.91200000000003</v>
      </c>
      <c r="W30" s="519">
        <f t="shared" ref="W30:Z30" si="45">W163</f>
        <v>83.679000000000016</v>
      </c>
      <c r="X30" s="519">
        <f t="shared" si="45"/>
        <v>84</v>
      </c>
      <c r="Y30" s="519">
        <f>Y163</f>
        <v>63.253227000000003</v>
      </c>
      <c r="Z30" s="519">
        <f t="shared" si="45"/>
        <v>64.510529999999974</v>
      </c>
      <c r="AA30" s="246">
        <f t="shared" si="27"/>
        <v>295.44275700000003</v>
      </c>
      <c r="AB30" s="519"/>
      <c r="AC30" s="519"/>
      <c r="AD30" s="519"/>
      <c r="AE30" s="609">
        <v>90</v>
      </c>
      <c r="AF30" s="246">
        <f>AF163</f>
        <v>220.56468480000001</v>
      </c>
      <c r="AG30" s="519"/>
      <c r="AH30" s="519"/>
      <c r="AI30" s="519"/>
      <c r="AJ30" s="519"/>
      <c r="AK30" s="246">
        <f>AK163</f>
        <v>198.50821632</v>
      </c>
      <c r="AL30" s="519"/>
      <c r="AM30" s="519"/>
      <c r="AN30" s="519"/>
      <c r="AO30" s="519"/>
      <c r="AP30" s="246">
        <f>AP163</f>
        <v>168.731983872</v>
      </c>
      <c r="AQ30" s="519"/>
      <c r="AR30" s="519"/>
      <c r="AS30" s="519"/>
      <c r="AT30" s="519"/>
      <c r="AU30" s="246">
        <f>AU163</f>
        <v>143.42218629120001</v>
      </c>
      <c r="AV30" s="519"/>
      <c r="AW30" s="519"/>
      <c r="AX30" s="519"/>
      <c r="AY30" s="519"/>
      <c r="AZ30" s="246">
        <f>AZ163</f>
        <v>121.90885834752</v>
      </c>
      <c r="BA30" s="519"/>
      <c r="BB30" s="519"/>
      <c r="BC30" s="519"/>
      <c r="BD30" s="519"/>
      <c r="BE30" s="246">
        <f>BE163</f>
        <v>103.622529595392</v>
      </c>
      <c r="BF30" s="519"/>
      <c r="BG30" s="519"/>
      <c r="BH30" s="519"/>
      <c r="BI30" s="519"/>
      <c r="BJ30" s="246">
        <f>BJ163</f>
        <v>88.079150156083188</v>
      </c>
      <c r="BK30" s="519"/>
      <c r="BL30" s="519"/>
      <c r="BM30" s="519"/>
      <c r="BN30" s="519"/>
      <c r="BO30" s="246">
        <f>BO163</f>
        <v>74.867277632670707</v>
      </c>
      <c r="BP30" s="519"/>
      <c r="BQ30" s="519"/>
      <c r="BR30" s="519"/>
      <c r="BS30" s="519"/>
      <c r="BT30" s="246">
        <f>BT163</f>
        <v>63.637185987770096</v>
      </c>
      <c r="BU30" s="519"/>
      <c r="BV30" s="519"/>
      <c r="BW30" s="519"/>
      <c r="BX30" s="519"/>
      <c r="BY30" s="246">
        <f>BY163</f>
        <v>54.091608089604577</v>
      </c>
      <c r="BZ30" s="519"/>
      <c r="CA30" s="519"/>
      <c r="CB30" s="519"/>
      <c r="CC30" s="519"/>
      <c r="CD30" s="246">
        <f>CD163</f>
        <v>45.977866876163887</v>
      </c>
      <c r="CE30" s="519"/>
      <c r="CF30" s="519"/>
      <c r="CG30" s="519"/>
      <c r="CH30" s="519"/>
      <c r="CI30" s="246">
        <f>CI163</f>
        <v>39.0811868447393</v>
      </c>
      <c r="CJ30" s="519"/>
      <c r="CK30" s="519"/>
      <c r="CL30" s="519"/>
      <c r="CM30" s="519"/>
      <c r="CN30" s="246">
        <f>CN163</f>
        <v>33.219008818028406</v>
      </c>
      <c r="CO30" s="519"/>
      <c r="CP30" s="519"/>
      <c r="CQ30" s="519"/>
      <c r="CR30" s="519"/>
      <c r="CS30" s="246">
        <f>CS163</f>
        <v>28.236157495324143</v>
      </c>
      <c r="CT30" s="133"/>
    </row>
    <row r="31" spans="2:108" collapsed="1">
      <c r="B31" s="14" t="s">
        <v>46</v>
      </c>
      <c r="C31" s="9"/>
      <c r="D31" s="9"/>
      <c r="E31" s="9"/>
      <c r="F31" s="10"/>
      <c r="G31" s="12"/>
      <c r="H31" s="519">
        <f>H102+H69</f>
        <v>79.759</v>
      </c>
      <c r="I31" s="519">
        <f>I102+I69</f>
        <v>89.516999999999996</v>
      </c>
      <c r="J31" s="519">
        <f>J102+J69</f>
        <v>74.385000000000005</v>
      </c>
      <c r="K31" s="614">
        <f>K102+K69</f>
        <v>65.448000000000008</v>
      </c>
      <c r="L31" s="12">
        <v>309.09699999999998</v>
      </c>
      <c r="M31" s="519">
        <f>M102+M69</f>
        <v>52.411000000000001</v>
      </c>
      <c r="N31" s="519">
        <f>N102+N69</f>
        <v>57.882999999999996</v>
      </c>
      <c r="O31" s="519">
        <f>O102+O69</f>
        <v>55.054000000000002</v>
      </c>
      <c r="P31" s="614">
        <f>P102+P69</f>
        <v>60.367999999999995</v>
      </c>
      <c r="Q31" s="406">
        <v>225.63399999999999</v>
      </c>
      <c r="R31" s="519">
        <f>R102+R69</f>
        <v>69.149000000000001</v>
      </c>
      <c r="S31" s="519">
        <f>S102+S69</f>
        <v>72.016000000000005</v>
      </c>
      <c r="T31" s="519">
        <f>T102+T69</f>
        <v>76.117000000000004</v>
      </c>
      <c r="U31" s="519">
        <f>U102+U69</f>
        <v>77.629999999999981</v>
      </c>
      <c r="V31" s="246">
        <f>SUM(R31:U31)</f>
        <v>294.91200000000003</v>
      </c>
      <c r="W31" s="519">
        <f>W102+W69</f>
        <v>83.679000000000016</v>
      </c>
      <c r="X31" s="519">
        <f>X102+X69</f>
        <v>88.591000000000008</v>
      </c>
      <c r="Y31" s="519">
        <f>Y102+Y69</f>
        <v>83.992000000000004</v>
      </c>
      <c r="Z31" s="519">
        <f>Z102+Z69</f>
        <v>87.921999999999997</v>
      </c>
      <c r="AA31" s="246">
        <f t="shared" si="27"/>
        <v>344.18400000000008</v>
      </c>
      <c r="AB31" s="519">
        <f>AB102+AB69</f>
        <v>86.343999999999994</v>
      </c>
      <c r="AC31" s="519">
        <f>AC102+AC69</f>
        <v>92.905999999999992</v>
      </c>
      <c r="AD31" s="519">
        <f>AD102+AD69</f>
        <v>90.556999999999988</v>
      </c>
      <c r="AE31" s="519">
        <f>AE102+AE69</f>
        <v>105.50400000000002</v>
      </c>
      <c r="AF31" s="246">
        <f>AE31+AD31+AC31+AB31</f>
        <v>375.31099999999998</v>
      </c>
      <c r="AG31" s="631">
        <f>AK31/4</f>
        <v>101.22552115200003</v>
      </c>
      <c r="AH31" s="631">
        <f>AK31/4</f>
        <v>101.22552115200003</v>
      </c>
      <c r="AI31" s="631">
        <f>AK31/4</f>
        <v>101.22552115200003</v>
      </c>
      <c r="AJ31" s="631">
        <f>AK31-SUM(AG31:AI31)</f>
        <v>101.22552115200006</v>
      </c>
      <c r="AK31" s="246">
        <f>CHOOSE($B$149,AK28,AK29,AK30)</f>
        <v>404.90208460800011</v>
      </c>
      <c r="AL31" s="519"/>
      <c r="AM31" s="519"/>
      <c r="AN31" s="519"/>
      <c r="AO31" s="519"/>
      <c r="AP31" s="246">
        <f>CHOOSE($B$149,AP28,AP29,AP30)</f>
        <v>425.14718883840015</v>
      </c>
      <c r="AQ31" s="519"/>
      <c r="AR31" s="519"/>
      <c r="AS31" s="519"/>
      <c r="AT31" s="519"/>
      <c r="AU31" s="246">
        <f>CHOOSE($B$149,AU28,AU29,AU30)</f>
        <v>446.40454828032017</v>
      </c>
      <c r="AV31" s="519"/>
      <c r="AW31" s="519"/>
      <c r="AX31" s="519"/>
      <c r="AY31" s="519"/>
      <c r="AZ31" s="246">
        <f>CHOOSE($B$149,AZ28,AZ29,AZ30)</f>
        <v>468.72477569433619</v>
      </c>
      <c r="BA31" s="519"/>
      <c r="BB31" s="519"/>
      <c r="BC31" s="519"/>
      <c r="BD31" s="519"/>
      <c r="BE31" s="246">
        <f>CHOOSE($B$149,BE28,BE29,BE30)</f>
        <v>492.16101447905299</v>
      </c>
      <c r="BF31" s="519"/>
      <c r="BG31" s="519"/>
      <c r="BH31" s="519"/>
      <c r="BI31" s="519"/>
      <c r="BJ31" s="246">
        <f>CHOOSE($B$149,BJ28,BJ29,BJ30)</f>
        <v>516.76906520300565</v>
      </c>
      <c r="BK31" s="519"/>
      <c r="BL31" s="519"/>
      <c r="BM31" s="519"/>
      <c r="BN31" s="519"/>
      <c r="BO31" s="246">
        <f>CHOOSE($B$149,BO28,BO29,BO30)</f>
        <v>527.10444650706575</v>
      </c>
      <c r="BP31" s="519"/>
      <c r="BQ31" s="519"/>
      <c r="BR31" s="519"/>
      <c r="BS31" s="519"/>
      <c r="BT31" s="246">
        <f>CHOOSE($B$149,BT28,BT29,BT30)</f>
        <v>537.64653543720704</v>
      </c>
      <c r="BU31" s="519"/>
      <c r="BV31" s="519"/>
      <c r="BW31" s="519"/>
      <c r="BX31" s="519"/>
      <c r="BY31" s="246">
        <f>CHOOSE($B$149,BY28,BY29,BY30)</f>
        <v>537.64653543720704</v>
      </c>
      <c r="BZ31" s="519"/>
      <c r="CA31" s="519"/>
      <c r="CB31" s="519"/>
      <c r="CC31" s="519"/>
      <c r="CD31" s="246">
        <f>CHOOSE($B$149,CD28,CD29,CD30)</f>
        <v>537.64653543720704</v>
      </c>
      <c r="CE31" s="519"/>
      <c r="CF31" s="519"/>
      <c r="CG31" s="519"/>
      <c r="CH31" s="519"/>
      <c r="CI31" s="246">
        <f>CHOOSE($B$149,CI28,CI29,CI30)</f>
        <v>537.64653543720704</v>
      </c>
      <c r="CJ31" s="519"/>
      <c r="CK31" s="519"/>
      <c r="CL31" s="519"/>
      <c r="CM31" s="519"/>
      <c r="CN31" s="246">
        <f>CHOOSE($B$149,CN28,CN29,CN30)</f>
        <v>537.64653543720704</v>
      </c>
      <c r="CO31" s="519"/>
      <c r="CP31" s="519"/>
      <c r="CQ31" s="519"/>
      <c r="CR31" s="519"/>
      <c r="CS31" s="246">
        <f>CHOOSE($B$149,CS28,CS29,CS30)</f>
        <v>537.64653543720704</v>
      </c>
      <c r="CT31" s="133"/>
    </row>
    <row r="32" spans="2:108" hidden="1" outlineLevel="1">
      <c r="C32" s="9"/>
      <c r="D32" s="9"/>
      <c r="E32" s="9"/>
      <c r="F32" s="10"/>
      <c r="G32" s="12"/>
      <c r="H32" s="519"/>
      <c r="I32" s="519"/>
      <c r="J32" s="519"/>
      <c r="K32" s="614"/>
      <c r="L32" s="12"/>
      <c r="M32" s="519"/>
      <c r="N32" s="519"/>
      <c r="O32" s="519"/>
      <c r="P32" s="614"/>
      <c r="Q32" s="406"/>
      <c r="R32" s="519"/>
      <c r="S32" s="519"/>
      <c r="T32" s="519"/>
      <c r="U32" s="519"/>
      <c r="V32" s="246"/>
      <c r="W32" s="519"/>
      <c r="X32" s="609"/>
      <c r="Y32" s="519"/>
      <c r="Z32" s="519"/>
      <c r="AA32" s="246"/>
      <c r="AB32" s="519"/>
      <c r="AC32" s="519"/>
      <c r="AD32" s="519"/>
      <c r="AE32" s="519"/>
      <c r="AF32" s="246"/>
      <c r="AG32" s="519"/>
      <c r="AH32" s="519"/>
      <c r="AI32" s="519"/>
      <c r="AJ32" s="519"/>
      <c r="AK32" s="246"/>
      <c r="AL32" s="519"/>
      <c r="AM32" s="519"/>
      <c r="AN32" s="519"/>
      <c r="AO32" s="519"/>
      <c r="AP32" s="246"/>
      <c r="AQ32" s="519"/>
      <c r="AR32" s="519"/>
      <c r="AS32" s="519"/>
      <c r="AT32" s="519"/>
      <c r="AU32" s="246"/>
      <c r="AV32" s="519"/>
      <c r="AW32" s="519"/>
      <c r="AX32" s="519"/>
      <c r="AY32" s="519"/>
      <c r="AZ32" s="246"/>
      <c r="BA32" s="519"/>
      <c r="BB32" s="519"/>
      <c r="BC32" s="519"/>
      <c r="BD32" s="519"/>
      <c r="BE32" s="246"/>
      <c r="BF32" s="519"/>
      <c r="BG32" s="519"/>
      <c r="BH32" s="519"/>
      <c r="BI32" s="519"/>
      <c r="BJ32" s="246"/>
      <c r="BK32" s="519"/>
      <c r="BL32" s="519"/>
      <c r="BM32" s="519"/>
      <c r="BN32" s="519"/>
      <c r="BO32" s="246"/>
      <c r="BP32" s="519"/>
      <c r="BQ32" s="519"/>
      <c r="BR32" s="519"/>
      <c r="BS32" s="519"/>
      <c r="BT32" s="246"/>
      <c r="BU32" s="519"/>
      <c r="BV32" s="519"/>
      <c r="BW32" s="519"/>
      <c r="BX32" s="519"/>
      <c r="BY32" s="246"/>
      <c r="BZ32" s="519"/>
      <c r="CA32" s="519"/>
      <c r="CB32" s="519"/>
      <c r="CC32" s="519"/>
      <c r="CD32" s="246"/>
      <c r="CE32" s="519"/>
      <c r="CF32" s="519"/>
      <c r="CG32" s="519"/>
      <c r="CH32" s="519"/>
      <c r="CI32" s="246"/>
      <c r="CJ32" s="519"/>
      <c r="CK32" s="519"/>
      <c r="CL32" s="519"/>
      <c r="CM32" s="519"/>
      <c r="CN32" s="246"/>
      <c r="CO32" s="519"/>
      <c r="CP32" s="519"/>
      <c r="CQ32" s="519"/>
      <c r="CR32" s="519"/>
      <c r="CS32" s="246"/>
      <c r="CT32" s="133"/>
    </row>
    <row r="33" spans="2:108" ht="13.5" hidden="1" outlineLevel="1" thickBot="1">
      <c r="B33" s="14" t="s">
        <v>506</v>
      </c>
      <c r="C33" s="9"/>
      <c r="D33" s="9"/>
      <c r="E33" s="9"/>
      <c r="F33" s="10"/>
      <c r="G33" s="12"/>
      <c r="H33" s="519"/>
      <c r="I33" s="519"/>
      <c r="J33" s="519"/>
      <c r="K33" s="614"/>
      <c r="L33" s="12">
        <f>L27+L31</f>
        <v>1096.7359999999999</v>
      </c>
      <c r="M33" s="519"/>
      <c r="N33" s="519"/>
      <c r="O33" s="519"/>
      <c r="P33" s="614"/>
      <c r="Q33" s="406">
        <f>Q27+Q31</f>
        <v>919.82600000000002</v>
      </c>
      <c r="R33" s="519"/>
      <c r="S33" s="519"/>
      <c r="T33" s="519"/>
      <c r="U33" s="519"/>
      <c r="V33" s="246">
        <f>V27+V31</f>
        <v>1059.095</v>
      </c>
      <c r="W33" s="519"/>
      <c r="X33" s="609"/>
      <c r="Y33" s="519"/>
      <c r="Z33" s="519"/>
      <c r="AA33" s="246">
        <f>AA27+AA31</f>
        <v>1201.9540000000002</v>
      </c>
      <c r="AB33" s="519"/>
      <c r="AC33" s="519"/>
      <c r="AD33" s="519"/>
      <c r="AE33" s="519"/>
      <c r="AF33" s="246">
        <f>AF27+AF31</f>
        <v>1334.797</v>
      </c>
      <c r="AG33" s="519"/>
      <c r="AH33" s="519"/>
      <c r="AI33" s="519"/>
      <c r="AJ33" s="519"/>
      <c r="AK33" s="246">
        <f>AK27+AK31</f>
        <v>1514.3673223411251</v>
      </c>
      <c r="AL33" s="519"/>
      <c r="AM33" s="519"/>
      <c r="AN33" s="519"/>
      <c r="AO33" s="519"/>
      <c r="AP33" s="246">
        <f>AP27+AP31</f>
        <v>1612.2749932128438</v>
      </c>
      <c r="AQ33" s="519"/>
      <c r="AR33" s="519"/>
      <c r="AS33" s="519"/>
      <c r="AT33" s="519"/>
      <c r="AU33" s="246">
        <f>AU27+AU31</f>
        <v>1692.8887428734861</v>
      </c>
      <c r="AV33" s="519"/>
      <c r="AW33" s="519"/>
      <c r="AX33" s="519"/>
      <c r="AY33" s="519"/>
      <c r="AZ33" s="246">
        <f>AZ27+AZ31</f>
        <v>1752.6034961252972</v>
      </c>
      <c r="BA33" s="519"/>
      <c r="BB33" s="519"/>
      <c r="BC33" s="519"/>
      <c r="BD33" s="519"/>
      <c r="BE33" s="246">
        <f>BE27+BE31</f>
        <v>1776.039734910014</v>
      </c>
      <c r="BF33" s="519"/>
      <c r="BG33" s="519"/>
      <c r="BH33" s="519"/>
      <c r="BI33" s="519"/>
      <c r="BJ33" s="246">
        <f>BJ27+BJ31</f>
        <v>1762.1314240210377</v>
      </c>
      <c r="BK33" s="519"/>
      <c r="BL33" s="519"/>
      <c r="BM33" s="519"/>
      <c r="BN33" s="519"/>
      <c r="BO33" s="246">
        <f>BO27+BO31</f>
        <v>1710.1986873841961</v>
      </c>
      <c r="BP33" s="519"/>
      <c r="BQ33" s="519"/>
      <c r="BR33" s="519"/>
      <c r="BS33" s="519"/>
      <c r="BT33" s="246">
        <f>BT27+BT31</f>
        <v>1637.9241794529385</v>
      </c>
      <c r="BU33" s="519"/>
      <c r="BV33" s="519"/>
      <c r="BW33" s="519"/>
      <c r="BX33" s="519"/>
      <c r="BY33" s="246">
        <f>BY27+BY31</f>
        <v>1560.9047443718371</v>
      </c>
      <c r="BZ33" s="519"/>
      <c r="CA33" s="519"/>
      <c r="CB33" s="519"/>
      <c r="CC33" s="519"/>
      <c r="CD33" s="246">
        <f>CD27+CD31</f>
        <v>1489.2766697464131</v>
      </c>
      <c r="CE33" s="519"/>
      <c r="CF33" s="519"/>
      <c r="CG33" s="519"/>
      <c r="CH33" s="519"/>
      <c r="CI33" s="246">
        <f>CI27+CI31</f>
        <v>1422.6625603447685</v>
      </c>
      <c r="CJ33" s="519"/>
      <c r="CK33" s="519"/>
      <c r="CL33" s="519"/>
      <c r="CM33" s="519"/>
      <c r="CN33" s="246">
        <f>CN27+CN31</f>
        <v>1360.711438601239</v>
      </c>
      <c r="CO33" s="519"/>
      <c r="CP33" s="519"/>
      <c r="CQ33" s="519"/>
      <c r="CR33" s="519"/>
      <c r="CS33" s="246">
        <f>CS27+CS31</f>
        <v>1290.7509218322964</v>
      </c>
      <c r="CT33" s="133"/>
    </row>
    <row r="34" spans="2:108" ht="13.5" hidden="1" outlineLevel="1" thickBot="1">
      <c r="C34" s="9"/>
      <c r="D34" s="9"/>
      <c r="E34" s="9"/>
      <c r="F34" s="10"/>
      <c r="G34" s="12"/>
      <c r="H34" s="519"/>
      <c r="I34" s="519"/>
      <c r="J34" s="519"/>
      <c r="K34" s="614"/>
      <c r="L34" s="12"/>
      <c r="M34" s="519"/>
      <c r="N34" s="519"/>
      <c r="O34" s="519"/>
      <c r="P34" s="614"/>
      <c r="Q34" s="406"/>
      <c r="R34" s="519"/>
      <c r="S34" s="519"/>
      <c r="T34" s="519"/>
      <c r="U34" s="519"/>
      <c r="V34" s="246"/>
      <c r="W34" s="519"/>
      <c r="X34" s="609"/>
      <c r="Y34" s="609"/>
      <c r="Z34" s="609"/>
      <c r="AA34" s="246"/>
      <c r="AB34" s="609"/>
      <c r="AC34" s="609"/>
      <c r="AD34" s="427"/>
      <c r="AE34" s="428"/>
      <c r="AF34" s="629" t="s">
        <v>672</v>
      </c>
      <c r="AG34" s="519"/>
      <c r="AH34" s="519"/>
      <c r="AI34" s="519"/>
      <c r="AJ34" s="519"/>
      <c r="AK34" s="246"/>
      <c r="AL34" s="519"/>
      <c r="AM34" s="519"/>
      <c r="AN34" s="519"/>
      <c r="AO34" s="519"/>
      <c r="AP34" s="246"/>
      <c r="AQ34" s="519"/>
      <c r="AR34" s="519"/>
      <c r="AS34" s="519"/>
      <c r="AT34" s="519"/>
      <c r="AU34" s="246"/>
      <c r="AV34" s="519"/>
      <c r="AW34" s="519"/>
      <c r="AX34" s="519"/>
      <c r="AY34" s="519"/>
      <c r="AZ34" s="246"/>
      <c r="BA34" s="519"/>
      <c r="BB34" s="519"/>
      <c r="BC34" s="519"/>
      <c r="BD34" s="519"/>
      <c r="BE34" s="246"/>
      <c r="BF34" s="519"/>
      <c r="BG34" s="519"/>
      <c r="BH34" s="519"/>
      <c r="BI34" s="519"/>
      <c r="BJ34" s="246"/>
      <c r="BK34" s="519"/>
      <c r="BL34" s="519"/>
      <c r="BM34" s="519"/>
      <c r="BN34" s="519"/>
      <c r="BO34" s="246"/>
      <c r="BP34" s="519"/>
      <c r="BQ34" s="519"/>
      <c r="BR34" s="519"/>
      <c r="BS34" s="519"/>
      <c r="BT34" s="246"/>
      <c r="BU34" s="519"/>
      <c r="BV34" s="519"/>
      <c r="BW34" s="519"/>
      <c r="BX34" s="519"/>
      <c r="BY34" s="246"/>
      <c r="BZ34" s="519"/>
      <c r="CA34" s="519"/>
      <c r="CB34" s="519"/>
      <c r="CC34" s="519"/>
      <c r="CD34" s="246"/>
      <c r="CE34" s="519"/>
      <c r="CF34" s="519"/>
      <c r="CG34" s="519"/>
      <c r="CH34" s="519"/>
      <c r="CI34" s="246"/>
      <c r="CJ34" s="519"/>
      <c r="CK34" s="519"/>
      <c r="CL34" s="519"/>
      <c r="CM34" s="519"/>
      <c r="CN34" s="246"/>
      <c r="CO34" s="519"/>
      <c r="CP34" s="519"/>
      <c r="CQ34" s="519"/>
      <c r="CR34" s="519"/>
      <c r="CS34" s="246"/>
      <c r="CT34" s="133"/>
    </row>
    <row r="35" spans="2:108" collapsed="1">
      <c r="B35" s="14" t="s">
        <v>49</v>
      </c>
      <c r="C35" s="9"/>
      <c r="D35" s="9"/>
      <c r="E35" s="9"/>
      <c r="F35" s="10"/>
      <c r="G35" s="12"/>
      <c r="H35" s="522">
        <f t="shared" ref="H35:AC35" si="46">H104+H74</f>
        <v>0</v>
      </c>
      <c r="I35" s="522">
        <f t="shared" si="46"/>
        <v>0</v>
      </c>
      <c r="J35" s="522">
        <f t="shared" si="46"/>
        <v>0</v>
      </c>
      <c r="K35" s="577">
        <f t="shared" si="46"/>
        <v>0</v>
      </c>
      <c r="L35" s="12">
        <f>L104+L74</f>
        <v>0</v>
      </c>
      <c r="M35" s="522">
        <f t="shared" si="46"/>
        <v>0</v>
      </c>
      <c r="N35" s="522">
        <f t="shared" si="46"/>
        <v>0</v>
      </c>
      <c r="O35" s="522">
        <f t="shared" si="46"/>
        <v>0</v>
      </c>
      <c r="P35" s="577">
        <f t="shared" si="46"/>
        <v>0</v>
      </c>
      <c r="Q35" s="406">
        <f t="shared" si="46"/>
        <v>0</v>
      </c>
      <c r="R35" s="519">
        <f t="shared" si="46"/>
        <v>0</v>
      </c>
      <c r="S35" s="519">
        <f t="shared" si="46"/>
        <v>0</v>
      </c>
      <c r="T35" s="519">
        <f t="shared" si="46"/>
        <v>0</v>
      </c>
      <c r="U35" s="519">
        <f t="shared" si="46"/>
        <v>0</v>
      </c>
      <c r="V35" s="246">
        <f>V104+V74</f>
        <v>0</v>
      </c>
      <c r="W35" s="519">
        <f t="shared" si="46"/>
        <v>0</v>
      </c>
      <c r="X35" s="519">
        <f>X104+X74</f>
        <v>0</v>
      </c>
      <c r="Y35" s="519">
        <f>Y104+Y74</f>
        <v>0</v>
      </c>
      <c r="Z35" s="519">
        <f>Z104+Z74</f>
        <v>0.224</v>
      </c>
      <c r="AA35" s="246">
        <f>AA104+AA74</f>
        <v>0.22399999999999998</v>
      </c>
      <c r="AB35" s="519">
        <f t="shared" si="46"/>
        <v>0</v>
      </c>
      <c r="AC35" s="519">
        <f t="shared" si="46"/>
        <v>0</v>
      </c>
      <c r="AD35" s="519">
        <f>AD104+AD74</f>
        <v>0</v>
      </c>
      <c r="AE35" s="519">
        <f>AE104+AE74</f>
        <v>0</v>
      </c>
      <c r="AF35" s="246">
        <f>AE35+AD35+AC35+AB35</f>
        <v>0</v>
      </c>
      <c r="AG35" s="519">
        <f t="shared" ref="AG35:AH35" si="47">AG104+AG74</f>
        <v>0</v>
      </c>
      <c r="AH35" s="519">
        <f t="shared" si="47"/>
        <v>0</v>
      </c>
      <c r="AI35" s="519">
        <f>AI104+AI74</f>
        <v>0</v>
      </c>
      <c r="AJ35" s="519">
        <v>0</v>
      </c>
      <c r="AK35" s="246">
        <f>AK104+AK74</f>
        <v>0</v>
      </c>
      <c r="AL35" s="519"/>
      <c r="AM35" s="519"/>
      <c r="AN35" s="519"/>
      <c r="AO35" s="519"/>
      <c r="AP35" s="246">
        <f>AP104+AP74</f>
        <v>0</v>
      </c>
      <c r="AQ35" s="519"/>
      <c r="AR35" s="519"/>
      <c r="AS35" s="519"/>
      <c r="AT35" s="519"/>
      <c r="AU35" s="246">
        <f>AU104+AU74</f>
        <v>0</v>
      </c>
      <c r="AV35" s="519"/>
      <c r="AW35" s="519"/>
      <c r="AX35" s="519"/>
      <c r="AY35" s="519"/>
      <c r="AZ35" s="246">
        <f>AZ104+AZ74</f>
        <v>0</v>
      </c>
      <c r="BA35" s="519"/>
      <c r="BB35" s="519"/>
      <c r="BC35" s="519"/>
      <c r="BD35" s="519"/>
      <c r="BE35" s="246">
        <f>BE104+BE74</f>
        <v>0</v>
      </c>
      <c r="BF35" s="519"/>
      <c r="BG35" s="519"/>
      <c r="BH35" s="519"/>
      <c r="BI35" s="519"/>
      <c r="BJ35" s="246">
        <f>BJ104+BJ74</f>
        <v>0</v>
      </c>
      <c r="BK35" s="519"/>
      <c r="BL35" s="519"/>
      <c r="BM35" s="519"/>
      <c r="BN35" s="519"/>
      <c r="BO35" s="246">
        <f>BO104+BO74</f>
        <v>0</v>
      </c>
      <c r="BP35" s="519"/>
      <c r="BQ35" s="519"/>
      <c r="BR35" s="519"/>
      <c r="BS35" s="519"/>
      <c r="BT35" s="246">
        <f>BT104+BT74</f>
        <v>0</v>
      </c>
      <c r="BU35" s="519"/>
      <c r="BV35" s="519"/>
      <c r="BW35" s="519"/>
      <c r="BX35" s="519"/>
      <c r="BY35" s="246">
        <f>BY104+BY74</f>
        <v>0</v>
      </c>
      <c r="BZ35" s="519"/>
      <c r="CA35" s="519"/>
      <c r="CB35" s="519"/>
      <c r="CC35" s="519"/>
      <c r="CD35" s="246">
        <f>CD104+CD74</f>
        <v>0</v>
      </c>
      <c r="CE35" s="519"/>
      <c r="CF35" s="519"/>
      <c r="CG35" s="519"/>
      <c r="CH35" s="519"/>
      <c r="CI35" s="246">
        <f>CI104+CI74</f>
        <v>0</v>
      </c>
      <c r="CJ35" s="519"/>
      <c r="CK35" s="519"/>
      <c r="CL35" s="519"/>
      <c r="CM35" s="519"/>
      <c r="CN35" s="246">
        <f>CN104+CN74</f>
        <v>0</v>
      </c>
      <c r="CO35" s="519"/>
      <c r="CP35" s="519"/>
      <c r="CQ35" s="519"/>
      <c r="CR35" s="519"/>
      <c r="CS35" s="246">
        <f>CS104+CS74</f>
        <v>0</v>
      </c>
      <c r="CT35" s="133"/>
    </row>
    <row r="36" spans="2:108">
      <c r="H36" s="533"/>
      <c r="I36" s="533"/>
      <c r="J36" s="533"/>
      <c r="K36" s="611"/>
      <c r="L36" s="133"/>
      <c r="M36" s="533"/>
      <c r="N36" s="520"/>
      <c r="O36" s="533"/>
      <c r="P36" s="611"/>
      <c r="Q36" s="617"/>
      <c r="R36" s="520"/>
      <c r="S36" s="520"/>
      <c r="T36" s="520"/>
      <c r="U36" s="533"/>
      <c r="V36" s="574"/>
      <c r="W36" s="520"/>
      <c r="X36" s="533"/>
      <c r="Y36" s="520"/>
      <c r="Z36" s="533"/>
      <c r="AB36" s="520"/>
      <c r="AC36" s="520"/>
      <c r="AD36" s="520"/>
      <c r="AE36" s="520"/>
      <c r="AG36" s="520"/>
      <c r="AH36" s="520"/>
      <c r="AI36" s="520"/>
      <c r="AJ36" s="520"/>
      <c r="AL36" s="520"/>
      <c r="AM36" s="520"/>
      <c r="AN36" s="520"/>
      <c r="AO36" s="520"/>
      <c r="AQ36" s="520"/>
      <c r="AR36" s="520"/>
      <c r="AS36" s="520"/>
      <c r="AT36" s="520"/>
      <c r="AV36" s="520"/>
      <c r="AW36" s="520"/>
      <c r="AX36" s="520"/>
      <c r="AY36" s="520"/>
      <c r="BA36" s="520"/>
      <c r="BB36" s="520"/>
      <c r="BC36" s="520"/>
      <c r="BD36" s="520"/>
      <c r="BF36" s="520"/>
      <c r="BG36" s="520"/>
      <c r="BH36" s="520"/>
      <c r="BI36" s="520"/>
      <c r="BK36" s="520"/>
      <c r="BL36" s="520"/>
      <c r="BM36" s="520"/>
      <c r="BN36" s="520"/>
      <c r="BP36" s="520"/>
      <c r="BQ36" s="520"/>
      <c r="BR36" s="520"/>
      <c r="BS36" s="520"/>
      <c r="BU36" s="520"/>
      <c r="BV36" s="520"/>
      <c r="BW36" s="520"/>
      <c r="BX36" s="520"/>
      <c r="BZ36" s="520"/>
      <c r="CA36" s="520"/>
      <c r="CB36" s="520"/>
      <c r="CC36" s="520"/>
      <c r="CE36" s="520"/>
      <c r="CF36" s="520"/>
      <c r="CG36" s="520"/>
      <c r="CH36" s="520"/>
      <c r="CJ36" s="520"/>
      <c r="CK36" s="520"/>
      <c r="CL36" s="520"/>
      <c r="CM36" s="520"/>
      <c r="CO36" s="520"/>
      <c r="CP36" s="520"/>
      <c r="CQ36" s="520"/>
      <c r="CR36" s="520"/>
      <c r="CT36" s="133"/>
    </row>
    <row r="37" spans="2:108">
      <c r="B37" s="21" t="s">
        <v>48</v>
      </c>
      <c r="C37" s="22"/>
      <c r="D37" s="23"/>
      <c r="E37" s="23"/>
      <c r="F37" s="23"/>
      <c r="G37" s="24"/>
      <c r="H37" s="523">
        <f t="shared" ref="H37:AJ37" si="48">H19-H23-H27-H31-H35</f>
        <v>11.091999999999942</v>
      </c>
      <c r="I37" s="523">
        <f t="shared" si="48"/>
        <v>-2.8040000000000305</v>
      </c>
      <c r="J37" s="523">
        <f t="shared" si="48"/>
        <v>-75.034499999999994</v>
      </c>
      <c r="K37" s="581">
        <f t="shared" si="48"/>
        <v>-127.08299999999994</v>
      </c>
      <c r="L37" s="24">
        <f t="shared" si="48"/>
        <v>-187.07600000000002</v>
      </c>
      <c r="M37" s="523">
        <f t="shared" si="48"/>
        <v>-135.32499999999999</v>
      </c>
      <c r="N37" s="523">
        <f t="shared" si="48"/>
        <v>-126.48599999999998</v>
      </c>
      <c r="O37" s="523">
        <f t="shared" si="48"/>
        <v>-58.44</v>
      </c>
      <c r="P37" s="581">
        <f t="shared" si="48"/>
        <v>-108.68299999999996</v>
      </c>
      <c r="Q37" s="407">
        <f t="shared" si="48"/>
        <v>-428.98800000000006</v>
      </c>
      <c r="R37" s="523">
        <f t="shared" si="48"/>
        <v>-121.59399999999995</v>
      </c>
      <c r="S37" s="523">
        <f t="shared" si="48"/>
        <v>-110.50800000000002</v>
      </c>
      <c r="T37" s="523">
        <f t="shared" si="48"/>
        <v>-8.914999999999921</v>
      </c>
      <c r="U37" s="523">
        <f t="shared" si="48"/>
        <v>66.039000000000001</v>
      </c>
      <c r="V37" s="602">
        <f t="shared" si="48"/>
        <v>-174.97800000000007</v>
      </c>
      <c r="W37" s="523">
        <f t="shared" si="48"/>
        <v>40.92</v>
      </c>
      <c r="X37" s="523">
        <f t="shared" si="48"/>
        <v>80.002000000000038</v>
      </c>
      <c r="Y37" s="523">
        <f t="shared" si="48"/>
        <v>64.486000000000004</v>
      </c>
      <c r="Z37" s="523">
        <f t="shared" si="48"/>
        <v>102.67999999999996</v>
      </c>
      <c r="AA37" s="248">
        <f>AA19-AA23-AA27-AA31-AA35</f>
        <v>288.08800000000002</v>
      </c>
      <c r="AB37" s="523">
        <f t="shared" si="48"/>
        <v>122.34300000000005</v>
      </c>
      <c r="AC37" s="523">
        <f t="shared" si="48"/>
        <v>112.34300000000003</v>
      </c>
      <c r="AD37" s="523">
        <f>AD19-AD23-AD27-AD31-AD35</f>
        <v>145.23100000000002</v>
      </c>
      <c r="AE37" s="523">
        <f t="shared" si="48"/>
        <v>183.83799999999991</v>
      </c>
      <c r="AF37" s="248">
        <f>AF19-AF23-AF27-AF31-AF35</f>
        <v>563.75500000000011</v>
      </c>
      <c r="AG37" s="523">
        <f t="shared" si="48"/>
        <v>149.08650593545204</v>
      </c>
      <c r="AH37" s="523">
        <f t="shared" si="48"/>
        <v>188.66238117450692</v>
      </c>
      <c r="AI37" s="523">
        <f>AI19-AI23-AI27-AI31-AI35</f>
        <v>232.63557588456811</v>
      </c>
      <c r="AJ37" s="523">
        <f t="shared" si="48"/>
        <v>256.98324601318052</v>
      </c>
      <c r="AK37" s="248">
        <f>AK19-AK23-AK27-AK31-AK35</f>
        <v>827.36770900770773</v>
      </c>
      <c r="AL37" s="523"/>
      <c r="AM37" s="523"/>
      <c r="AN37" s="523"/>
      <c r="AO37" s="523"/>
      <c r="AP37" s="248">
        <f>AP19-AP23-AP27-AP31-AP35</f>
        <v>963.41564068154344</v>
      </c>
      <c r="AQ37" s="523"/>
      <c r="AR37" s="523"/>
      <c r="AS37" s="523"/>
      <c r="AT37" s="523"/>
      <c r="AU37" s="248">
        <f>AU19-AU23-AU27-AU31-AU35</f>
        <v>1873.5082166359036</v>
      </c>
      <c r="AV37" s="523"/>
      <c r="AW37" s="523"/>
      <c r="AX37" s="523"/>
      <c r="AY37" s="523"/>
      <c r="AZ37" s="248">
        <f>AZ19-AZ23-AZ27-AZ31-AZ35</f>
        <v>3014.0921988543405</v>
      </c>
      <c r="BA37" s="523"/>
      <c r="BB37" s="523"/>
      <c r="BC37" s="523"/>
      <c r="BD37" s="523"/>
      <c r="BE37" s="248">
        <f>BE19-BE23-BE27-BE31-BE35</f>
        <v>3751.9158334404901</v>
      </c>
      <c r="BF37" s="523"/>
      <c r="BG37" s="523"/>
      <c r="BH37" s="523"/>
      <c r="BI37" s="523"/>
      <c r="BJ37" s="248">
        <f>BJ19-BJ23-BJ27-BJ31-BJ35</f>
        <v>4121.8476713411828</v>
      </c>
      <c r="BK37" s="523"/>
      <c r="BL37" s="523"/>
      <c r="BM37" s="523"/>
      <c r="BN37" s="523"/>
      <c r="BO37" s="248">
        <f>BO19-BO23-BO27-BO31-BO35</f>
        <v>4345.9690784547802</v>
      </c>
      <c r="BP37" s="523"/>
      <c r="BQ37" s="523"/>
      <c r="BR37" s="523"/>
      <c r="BS37" s="523"/>
      <c r="BT37" s="248">
        <f>BT19-BT23-BT27-BT31-BT35</f>
        <v>5100.6247774205394</v>
      </c>
      <c r="BU37" s="523"/>
      <c r="BV37" s="523"/>
      <c r="BW37" s="523"/>
      <c r="BX37" s="523"/>
      <c r="BY37" s="248">
        <f>BY19-BY23-BY27-BY31-BY35</f>
        <v>6589.7469735194909</v>
      </c>
      <c r="BZ37" s="523"/>
      <c r="CA37" s="523"/>
      <c r="CB37" s="523"/>
      <c r="CC37" s="523"/>
      <c r="CD37" s="248">
        <f>CD19-CD23-CD27-CD31-CD35</f>
        <v>6771.3102520467746</v>
      </c>
      <c r="CE37" s="523"/>
      <c r="CF37" s="523"/>
      <c r="CG37" s="523"/>
      <c r="CH37" s="523"/>
      <c r="CI37" s="248">
        <f>CI19-CI23-CI27-CI31-CI35</f>
        <v>6959.7400146068194</v>
      </c>
      <c r="CJ37" s="523"/>
      <c r="CK37" s="523"/>
      <c r="CL37" s="523"/>
      <c r="CM37" s="523"/>
      <c r="CN37" s="248">
        <f>CN19-CN23-CN27-CN31-CN35</f>
        <v>7030.6192025861101</v>
      </c>
      <c r="CO37" s="523"/>
      <c r="CP37" s="523"/>
      <c r="CQ37" s="523"/>
      <c r="CR37" s="523"/>
      <c r="CS37" s="248">
        <f>CS19-CS23-CS27-CS31-CS35</f>
        <v>7183.7310534917433</v>
      </c>
      <c r="CT37" s="133"/>
    </row>
    <row r="38" spans="2:108">
      <c r="H38" s="533"/>
      <c r="I38" s="533"/>
      <c r="J38" s="533"/>
      <c r="K38" s="611"/>
      <c r="L38" s="133"/>
      <c r="M38" s="533"/>
      <c r="N38" s="520"/>
      <c r="O38" s="533"/>
      <c r="P38" s="611"/>
      <c r="Q38" s="617"/>
      <c r="R38" s="520"/>
      <c r="S38" s="520"/>
      <c r="T38" s="520"/>
      <c r="U38" s="520"/>
      <c r="W38" s="520"/>
      <c r="X38" s="520"/>
      <c r="Y38" s="533"/>
      <c r="Z38" s="533"/>
      <c r="AA38" s="245"/>
      <c r="AB38" s="520"/>
      <c r="AC38" s="520"/>
      <c r="AD38" s="520"/>
      <c r="AE38" s="520"/>
      <c r="AG38" s="520"/>
      <c r="AH38" s="520"/>
      <c r="AI38" s="520"/>
      <c r="AJ38" s="520"/>
      <c r="AL38" s="520"/>
      <c r="AM38" s="520"/>
      <c r="AN38" s="520"/>
      <c r="AO38" s="520"/>
      <c r="AQ38" s="520"/>
      <c r="AR38" s="520"/>
      <c r="AS38" s="520"/>
      <c r="AT38" s="520"/>
      <c r="AV38" s="520"/>
      <c r="AW38" s="520"/>
      <c r="AX38" s="520"/>
      <c r="AY38" s="520"/>
      <c r="BA38" s="520"/>
      <c r="BB38" s="520"/>
      <c r="BC38" s="520"/>
      <c r="BD38" s="520"/>
      <c r="BF38" s="520"/>
      <c r="BG38" s="520"/>
      <c r="BH38" s="520"/>
      <c r="BI38" s="520"/>
      <c r="BK38" s="520"/>
      <c r="BL38" s="520"/>
      <c r="BM38" s="520"/>
      <c r="BN38" s="520"/>
      <c r="BP38" s="520"/>
      <c r="BQ38" s="520"/>
      <c r="BR38" s="520"/>
      <c r="BS38" s="520"/>
      <c r="BU38" s="520"/>
      <c r="BV38" s="520"/>
      <c r="BW38" s="520"/>
      <c r="BX38" s="520"/>
      <c r="BZ38" s="520"/>
      <c r="CA38" s="520"/>
      <c r="CB38" s="520"/>
      <c r="CC38" s="520"/>
      <c r="CE38" s="520"/>
      <c r="CF38" s="520"/>
      <c r="CG38" s="520"/>
      <c r="CH38" s="520"/>
      <c r="CJ38" s="520"/>
      <c r="CK38" s="520"/>
      <c r="CL38" s="520"/>
      <c r="CM38" s="520"/>
      <c r="CO38" s="520"/>
      <c r="CP38" s="520"/>
      <c r="CQ38" s="520"/>
      <c r="CR38" s="520"/>
      <c r="CT38" s="133"/>
    </row>
    <row r="39" spans="2:108">
      <c r="B39" s="14" t="s">
        <v>180</v>
      </c>
      <c r="C39" s="9"/>
      <c r="D39" s="9"/>
      <c r="E39" s="9"/>
      <c r="F39" s="10"/>
      <c r="G39" s="12"/>
      <c r="H39" s="519">
        <f>H110+H75</f>
        <v>-4.6440000000000001</v>
      </c>
      <c r="I39" s="519">
        <f>I110+I75</f>
        <v>-2.8530000000000002</v>
      </c>
      <c r="J39" s="519">
        <f>J110+J75</f>
        <v>4.6560000000000006</v>
      </c>
      <c r="K39" s="609">
        <f>K110+K75</f>
        <v>-1.1000000000064958E-2</v>
      </c>
      <c r="L39" s="12">
        <f>L110+L75</f>
        <v>-3.0270000000000632</v>
      </c>
      <c r="M39" s="519">
        <f t="shared" ref="M39:AA39" si="49">M110+M75</f>
        <v>-15.266</v>
      </c>
      <c r="N39" s="519">
        <f t="shared" si="49"/>
        <v>-14.539000000000001</v>
      </c>
      <c r="O39" s="519">
        <f t="shared" si="49"/>
        <v>-24.374000000000002</v>
      </c>
      <c r="P39" s="614">
        <f t="shared" si="49"/>
        <v>-24.982000000000003</v>
      </c>
      <c r="Q39" s="406">
        <v>-79.147999999999996</v>
      </c>
      <c r="R39" s="519">
        <f t="shared" si="49"/>
        <v>-26.419999999999998</v>
      </c>
      <c r="S39" s="519">
        <f t="shared" si="49"/>
        <v>-19.696999999999999</v>
      </c>
      <c r="T39" s="519">
        <f>T110+T75</f>
        <v>-22.46</v>
      </c>
      <c r="U39" s="519">
        <f t="shared" si="49"/>
        <v>-22.344000000000001</v>
      </c>
      <c r="V39" s="246">
        <f t="shared" si="49"/>
        <v>-90.920999999999992</v>
      </c>
      <c r="W39" s="519">
        <f>W110+W75</f>
        <v>-16.076000000000001</v>
      </c>
      <c r="X39" s="519">
        <f>X110+X75</f>
        <v>-21.410000000000004</v>
      </c>
      <c r="Y39" s="519">
        <f>Y110+Y75</f>
        <v>-20.343000000000004</v>
      </c>
      <c r="Z39" s="519">
        <f t="shared" si="49"/>
        <v>-19.366</v>
      </c>
      <c r="AA39" s="246">
        <f t="shared" si="49"/>
        <v>-77.195000000000007</v>
      </c>
      <c r="AB39" s="519">
        <f>AB110+AB75</f>
        <v>-17.343</v>
      </c>
      <c r="AC39" s="519">
        <f>AC110+AC75</f>
        <v>-17.241</v>
      </c>
      <c r="AD39" s="519">
        <f>AD110+AD75</f>
        <v>-14.545999999999992</v>
      </c>
      <c r="AE39" s="519">
        <f>AE110+AE75</f>
        <v>-13.298999999999999</v>
      </c>
      <c r="AF39" s="246">
        <f>AE39+AD39+AC39+AB39</f>
        <v>-62.428999999999988</v>
      </c>
      <c r="AG39" s="519">
        <f>AG110+AG75</f>
        <v>-15</v>
      </c>
      <c r="AH39" s="519">
        <f>AH110+AH75</f>
        <v>-15</v>
      </c>
      <c r="AI39" s="519">
        <f>AI110+AI75</f>
        <v>-15</v>
      </c>
      <c r="AJ39" s="519">
        <f>AK39-AG39-AH39-AI39</f>
        <v>-15</v>
      </c>
      <c r="AK39" s="246">
        <f>AK199+AF172</f>
        <v>-60</v>
      </c>
      <c r="AL39" s="519"/>
      <c r="AM39" s="519"/>
      <c r="AN39" s="519"/>
      <c r="AO39" s="519"/>
      <c r="AP39" s="246">
        <f>AP199+AK172</f>
        <v>-46.411520739939938</v>
      </c>
      <c r="AQ39" s="519"/>
      <c r="AR39" s="519"/>
      <c r="AS39" s="519"/>
      <c r="AT39" s="519"/>
      <c r="AU39" s="246">
        <f>AU199+AP172</f>
        <v>-32.752230858817356</v>
      </c>
      <c r="AV39" s="519"/>
      <c r="AW39" s="519"/>
      <c r="AX39" s="519"/>
      <c r="AY39" s="519"/>
      <c r="AZ39" s="246">
        <f>AZ199+AU172</f>
        <v>-7.8170203709781987</v>
      </c>
      <c r="BA39" s="519"/>
      <c r="BB39" s="519"/>
      <c r="BC39" s="519"/>
      <c r="BD39" s="519"/>
      <c r="BE39" s="246">
        <f>BE199+AZ172</f>
        <v>38.212891552292206</v>
      </c>
      <c r="BF39" s="519"/>
      <c r="BG39" s="519"/>
      <c r="BH39" s="519"/>
      <c r="BI39" s="519"/>
      <c r="BJ39" s="246">
        <f>BJ199+BE172</f>
        <v>100.62556404219472</v>
      </c>
      <c r="BK39" s="519"/>
      <c r="BL39" s="519"/>
      <c r="BM39" s="519"/>
      <c r="BN39" s="519"/>
      <c r="BO39" s="246">
        <f>BO199+BJ172</f>
        <v>182.48152680208429</v>
      </c>
      <c r="BP39" s="519"/>
      <c r="BQ39" s="519"/>
      <c r="BR39" s="519"/>
      <c r="BS39" s="519"/>
      <c r="BT39" s="246">
        <f>BT199+BO172</f>
        <v>285.18240139273519</v>
      </c>
      <c r="BU39" s="519"/>
      <c r="BV39" s="519"/>
      <c r="BW39" s="519"/>
      <c r="BX39" s="519"/>
      <c r="BY39" s="246">
        <f>BY199+BT172</f>
        <v>416.17397861277482</v>
      </c>
      <c r="BZ39" s="519"/>
      <c r="CA39" s="519"/>
      <c r="CB39" s="519"/>
      <c r="CC39" s="519"/>
      <c r="CD39" s="246">
        <f>CD199+BY172</f>
        <v>591.66805304525872</v>
      </c>
      <c r="CE39" s="519"/>
      <c r="CF39" s="519"/>
      <c r="CG39" s="519"/>
      <c r="CH39" s="519"/>
      <c r="CI39" s="246">
        <f>CI199+CD172</f>
        <v>809.51310104525419</v>
      </c>
      <c r="CJ39" s="519"/>
      <c r="CK39" s="519"/>
      <c r="CL39" s="519"/>
      <c r="CM39" s="519"/>
      <c r="CN39" s="246">
        <f>CN199+CI172</f>
        <v>1064.8559138239198</v>
      </c>
      <c r="CO39" s="519"/>
      <c r="CP39" s="519"/>
      <c r="CQ39" s="519"/>
      <c r="CR39" s="519"/>
      <c r="CS39" s="246">
        <f>CS199+CN172</f>
        <v>1358.7763011824993</v>
      </c>
      <c r="CT39" s="133"/>
    </row>
    <row r="40" spans="2:108">
      <c r="C40" s="9"/>
      <c r="D40" s="9"/>
      <c r="E40" s="9"/>
      <c r="F40" s="10"/>
      <c r="G40" s="12"/>
      <c r="H40" s="519"/>
      <c r="I40" s="519"/>
      <c r="J40" s="519"/>
      <c r="K40" s="614"/>
      <c r="L40" s="12"/>
      <c r="M40" s="519"/>
      <c r="N40" s="519"/>
      <c r="O40" s="519"/>
      <c r="P40" s="614"/>
      <c r="Q40" s="406"/>
      <c r="R40" s="519"/>
      <c r="S40" s="519"/>
      <c r="T40" s="519"/>
      <c r="U40" s="519"/>
      <c r="V40" s="246"/>
      <c r="W40" s="519"/>
      <c r="X40" s="519"/>
      <c r="Y40" s="519"/>
      <c r="Z40" s="519"/>
      <c r="AA40" s="246"/>
      <c r="AB40" s="519"/>
      <c r="AC40" s="519"/>
      <c r="AD40" s="519"/>
      <c r="AE40" s="519"/>
      <c r="AF40" s="246"/>
      <c r="AG40" s="519"/>
      <c r="AH40" s="519"/>
      <c r="AI40" s="519"/>
      <c r="AJ40" s="519"/>
      <c r="AK40" s="246"/>
      <c r="AL40" s="519"/>
      <c r="AM40" s="519"/>
      <c r="AN40" s="519"/>
      <c r="AO40" s="519"/>
      <c r="AP40" s="246"/>
      <c r="AQ40" s="519"/>
      <c r="AR40" s="519"/>
      <c r="AS40" s="519"/>
      <c r="AT40" s="519"/>
      <c r="AU40" s="246"/>
      <c r="AV40" s="519"/>
      <c r="AW40" s="519"/>
      <c r="AX40" s="519"/>
      <c r="AY40" s="519"/>
      <c r="AZ40" s="246"/>
      <c r="BA40" s="519"/>
      <c r="BB40" s="519"/>
      <c r="BC40" s="519"/>
      <c r="BD40" s="519"/>
      <c r="BE40" s="246"/>
      <c r="BF40" s="519"/>
      <c r="BG40" s="519"/>
      <c r="BH40" s="519"/>
      <c r="BI40" s="519"/>
      <c r="BJ40" s="246"/>
      <c r="BK40" s="519"/>
      <c r="BL40" s="519"/>
      <c r="BM40" s="519"/>
      <c r="BN40" s="519"/>
      <c r="BO40" s="246"/>
      <c r="BP40" s="519"/>
      <c r="BQ40" s="519"/>
      <c r="BR40" s="519"/>
      <c r="BS40" s="519"/>
      <c r="BT40" s="246"/>
      <c r="BU40" s="519"/>
      <c r="BV40" s="519"/>
      <c r="BW40" s="519"/>
      <c r="BX40" s="519"/>
      <c r="BY40" s="246"/>
      <c r="BZ40" s="519"/>
      <c r="CA40" s="519"/>
      <c r="CB40" s="519"/>
      <c r="CC40" s="519"/>
      <c r="CD40" s="246"/>
      <c r="CE40" s="519"/>
      <c r="CF40" s="519"/>
      <c r="CG40" s="519"/>
      <c r="CH40" s="519"/>
      <c r="CI40" s="246"/>
      <c r="CJ40" s="519"/>
      <c r="CK40" s="519"/>
      <c r="CL40" s="519"/>
      <c r="CM40" s="519"/>
      <c r="CN40" s="246"/>
      <c r="CO40" s="519"/>
      <c r="CP40" s="519"/>
      <c r="CQ40" s="519"/>
      <c r="CR40" s="519"/>
      <c r="CS40" s="246"/>
      <c r="CT40" s="133"/>
    </row>
    <row r="41" spans="2:108" s="7" customFormat="1">
      <c r="B41" s="13" t="s">
        <v>50</v>
      </c>
      <c r="C41" s="18"/>
      <c r="D41" s="8"/>
      <c r="E41" s="8"/>
      <c r="F41" s="8"/>
      <c r="G41" s="11"/>
      <c r="H41" s="525">
        <f t="shared" ref="H41:AJ41" si="50">H37+H39</f>
        <v>6.4479999999999418</v>
      </c>
      <c r="I41" s="525">
        <f t="shared" si="50"/>
        <v>-5.6570000000000302</v>
      </c>
      <c r="J41" s="525">
        <f t="shared" si="50"/>
        <v>-70.378499999999988</v>
      </c>
      <c r="K41" s="580">
        <f t="shared" si="50"/>
        <v>-127.09400000000001</v>
      </c>
      <c r="L41" s="11">
        <f t="shared" si="50"/>
        <v>-190.10300000000009</v>
      </c>
      <c r="M41" s="525">
        <f t="shared" si="50"/>
        <v>-150.59099999999998</v>
      </c>
      <c r="N41" s="525">
        <f t="shared" si="50"/>
        <v>-141.02499999999998</v>
      </c>
      <c r="O41" s="525">
        <f t="shared" si="50"/>
        <v>-82.813999999999993</v>
      </c>
      <c r="P41" s="580">
        <f t="shared" si="50"/>
        <v>-133.66499999999996</v>
      </c>
      <c r="Q41" s="405">
        <f t="shared" si="50"/>
        <v>-508.13600000000008</v>
      </c>
      <c r="R41" s="525">
        <f t="shared" si="50"/>
        <v>-148.01399999999995</v>
      </c>
      <c r="S41" s="525">
        <f t="shared" si="50"/>
        <v>-130.20500000000001</v>
      </c>
      <c r="T41" s="525">
        <f t="shared" si="50"/>
        <v>-31.374999999999922</v>
      </c>
      <c r="U41" s="606">
        <f t="shared" si="50"/>
        <v>43.695</v>
      </c>
      <c r="V41" s="249">
        <f t="shared" si="50"/>
        <v>-265.89900000000006</v>
      </c>
      <c r="W41" s="525">
        <f t="shared" si="50"/>
        <v>24.844000000000001</v>
      </c>
      <c r="X41" s="525">
        <f t="shared" si="50"/>
        <v>58.592000000000034</v>
      </c>
      <c r="Y41" s="525">
        <f t="shared" si="50"/>
        <v>44.143000000000001</v>
      </c>
      <c r="Z41" s="525">
        <f t="shared" si="50"/>
        <v>83.313999999999965</v>
      </c>
      <c r="AA41" s="249">
        <f>AA37+AA39</f>
        <v>210.89300000000003</v>
      </c>
      <c r="AB41" s="525">
        <f t="shared" si="50"/>
        <v>105.00000000000004</v>
      </c>
      <c r="AC41" s="525">
        <f t="shared" si="50"/>
        <v>95.102000000000032</v>
      </c>
      <c r="AD41" s="525">
        <f t="shared" si="50"/>
        <v>130.68500000000003</v>
      </c>
      <c r="AE41" s="525">
        <f t="shared" si="50"/>
        <v>170.5389999999999</v>
      </c>
      <c r="AF41" s="249">
        <f>AF37+AF39</f>
        <v>501.32600000000014</v>
      </c>
      <c r="AG41" s="525">
        <f t="shared" si="50"/>
        <v>134.08650593545204</v>
      </c>
      <c r="AH41" s="525">
        <f t="shared" si="50"/>
        <v>173.66238117450692</v>
      </c>
      <c r="AI41" s="525">
        <f t="shared" si="50"/>
        <v>217.63557588456811</v>
      </c>
      <c r="AJ41" s="525">
        <f t="shared" si="50"/>
        <v>241.98324601318052</v>
      </c>
      <c r="AK41" s="249">
        <f>AK37+AK39</f>
        <v>767.36770900770773</v>
      </c>
      <c r="AL41" s="525"/>
      <c r="AM41" s="525"/>
      <c r="AN41" s="525"/>
      <c r="AO41" s="525"/>
      <c r="AP41" s="249">
        <f>AP37+AP39</f>
        <v>917.00411994160345</v>
      </c>
      <c r="AQ41" s="525"/>
      <c r="AR41" s="525"/>
      <c r="AS41" s="525"/>
      <c r="AT41" s="525"/>
      <c r="AU41" s="249">
        <f>AU37+AU39</f>
        <v>1840.7559857770864</v>
      </c>
      <c r="AV41" s="525"/>
      <c r="AW41" s="525"/>
      <c r="AX41" s="525"/>
      <c r="AY41" s="525"/>
      <c r="AZ41" s="249">
        <f>AZ37+AZ39</f>
        <v>3006.2751784833622</v>
      </c>
      <c r="BA41" s="525"/>
      <c r="BB41" s="525"/>
      <c r="BC41" s="525"/>
      <c r="BD41" s="525"/>
      <c r="BE41" s="249">
        <f>BE37+BE39</f>
        <v>3790.1287249927823</v>
      </c>
      <c r="BF41" s="525"/>
      <c r="BG41" s="525"/>
      <c r="BH41" s="525"/>
      <c r="BI41" s="525"/>
      <c r="BJ41" s="249">
        <f>BJ37+BJ39</f>
        <v>4222.4732353833779</v>
      </c>
      <c r="BK41" s="525"/>
      <c r="BL41" s="525"/>
      <c r="BM41" s="525"/>
      <c r="BN41" s="525"/>
      <c r="BO41" s="249">
        <f>BO37+BO39</f>
        <v>4528.450605256864</v>
      </c>
      <c r="BP41" s="525"/>
      <c r="BQ41" s="525"/>
      <c r="BR41" s="525"/>
      <c r="BS41" s="525"/>
      <c r="BT41" s="249">
        <f>BT37+BT39</f>
        <v>5385.8071788132747</v>
      </c>
      <c r="BU41" s="525"/>
      <c r="BV41" s="525"/>
      <c r="BW41" s="525"/>
      <c r="BX41" s="525"/>
      <c r="BY41" s="249">
        <f>BY37+BY39</f>
        <v>7005.9209521322655</v>
      </c>
      <c r="BZ41" s="525"/>
      <c r="CA41" s="525"/>
      <c r="CB41" s="525"/>
      <c r="CC41" s="525"/>
      <c r="CD41" s="249">
        <f>CD37+CD39</f>
        <v>7362.9783050920332</v>
      </c>
      <c r="CE41" s="525"/>
      <c r="CF41" s="525"/>
      <c r="CG41" s="525"/>
      <c r="CH41" s="525"/>
      <c r="CI41" s="249">
        <f>CI37+CI39</f>
        <v>7769.2531156520736</v>
      </c>
      <c r="CJ41" s="525"/>
      <c r="CK41" s="525"/>
      <c r="CL41" s="525"/>
      <c r="CM41" s="525"/>
      <c r="CN41" s="249">
        <f>CN37+CN39</f>
        <v>8095.4751164100298</v>
      </c>
      <c r="CO41" s="525"/>
      <c r="CP41" s="525"/>
      <c r="CQ41" s="525"/>
      <c r="CR41" s="525"/>
      <c r="CS41" s="249">
        <f>CS37+CS39</f>
        <v>8542.5073546742424</v>
      </c>
      <c r="CT41" s="133"/>
      <c r="CY41"/>
      <c r="CZ41"/>
      <c r="DA41"/>
      <c r="DB41"/>
      <c r="DC41"/>
      <c r="DD41"/>
    </row>
    <row r="42" spans="2:108" s="7" customFormat="1">
      <c r="B42" s="25" t="s">
        <v>51</v>
      </c>
      <c r="C42" s="9"/>
      <c r="D42" s="9"/>
      <c r="E42" s="9"/>
      <c r="F42" s="10"/>
      <c r="G42" s="12"/>
      <c r="H42" s="519">
        <f t="shared" ref="H42:S42" si="51">H113-H76</f>
        <v>0.69900000000001228</v>
      </c>
      <c r="I42" s="519">
        <f t="shared" si="51"/>
        <v>0.55800000000000027</v>
      </c>
      <c r="J42" s="519">
        <f>J113-J76</f>
        <v>2.5550000000000002</v>
      </c>
      <c r="K42" s="614">
        <f t="shared" si="51"/>
        <v>4.056</v>
      </c>
      <c r="L42" s="12">
        <f>L113-L76</f>
        <v>13.65100000000001</v>
      </c>
      <c r="M42" s="519">
        <f t="shared" si="51"/>
        <v>0.80300000000000005</v>
      </c>
      <c r="N42" s="519">
        <f t="shared" si="51"/>
        <v>0.69299999999999995</v>
      </c>
      <c r="O42" s="519">
        <f t="shared" si="51"/>
        <v>3.419</v>
      </c>
      <c r="P42" s="614">
        <f t="shared" si="51"/>
        <v>5.9190000000000005</v>
      </c>
      <c r="Q42" s="406">
        <v>3.0819999999999999</v>
      </c>
      <c r="R42" s="519">
        <f>R113-R76</f>
        <v>0.36199999999999999</v>
      </c>
      <c r="S42" s="519">
        <f t="shared" si="51"/>
        <v>0.47799999999998022</v>
      </c>
      <c r="T42" s="531">
        <f t="shared" ref="T42:Y42" si="52">T113-T76</f>
        <v>0.55300000000007998</v>
      </c>
      <c r="U42" s="531">
        <f t="shared" si="52"/>
        <v>-0.74299999999999999</v>
      </c>
      <c r="V42" s="246">
        <f t="shared" si="52"/>
        <v>0.65000000000005542</v>
      </c>
      <c r="W42" s="531">
        <f t="shared" si="52"/>
        <v>2.4220000000000002</v>
      </c>
      <c r="X42" s="519">
        <f t="shared" si="52"/>
        <v>0.61999999999999744</v>
      </c>
      <c r="Y42" s="519">
        <f t="shared" si="52"/>
        <v>1.012</v>
      </c>
      <c r="Z42" s="519">
        <f>Z113-Z76</f>
        <v>-4.1330000000000009</v>
      </c>
      <c r="AA42" s="246">
        <f>SUM(W42:Z42)</f>
        <v>-7.900000000000329E-2</v>
      </c>
      <c r="AB42" s="519">
        <f>AB113-AB76</f>
        <v>3.5939999999999999</v>
      </c>
      <c r="AC42" s="519">
        <f>AC113-AC76</f>
        <v>-3.7949999999999999</v>
      </c>
      <c r="AD42" s="519">
        <f>AD113-AD76</f>
        <v>-5.7220000000000084</v>
      </c>
      <c r="AE42" s="519">
        <f>AE113-AE76</f>
        <v>12.689</v>
      </c>
      <c r="AF42" s="246">
        <f>AE42+AD42+AC42+AB42</f>
        <v>6.7659999999999911</v>
      </c>
      <c r="AG42" s="519">
        <f>AG113-AG76</f>
        <v>0</v>
      </c>
      <c r="AH42" s="519">
        <f>AH113-AH76</f>
        <v>0</v>
      </c>
      <c r="AI42" s="519">
        <f>AI113-AI76</f>
        <v>0</v>
      </c>
      <c r="AJ42" s="519">
        <f t="shared" ref="AJ42" si="53">AJ113-AJ76</f>
        <v>0</v>
      </c>
      <c r="AK42" s="246">
        <f>AK182</f>
        <v>0</v>
      </c>
      <c r="AL42" s="519"/>
      <c r="AM42" s="519"/>
      <c r="AN42" s="519"/>
      <c r="AO42" s="519"/>
      <c r="AP42" s="246">
        <f>AP182</f>
        <v>0</v>
      </c>
      <c r="AQ42" s="519"/>
      <c r="AR42" s="519"/>
      <c r="AS42" s="519"/>
      <c r="AT42" s="519"/>
      <c r="AU42" s="246">
        <f>AU182</f>
        <v>0</v>
      </c>
      <c r="AV42" s="519"/>
      <c r="AW42" s="519"/>
      <c r="AX42" s="519"/>
      <c r="AY42" s="519"/>
      <c r="AZ42" s="246">
        <f>AZ182</f>
        <v>0</v>
      </c>
      <c r="BA42" s="519"/>
      <c r="BB42" s="519"/>
      <c r="BC42" s="519"/>
      <c r="BD42" s="519"/>
      <c r="BE42" s="246">
        <f>BE182</f>
        <v>643.73552441354684</v>
      </c>
      <c r="BF42" s="519"/>
      <c r="BG42" s="519"/>
      <c r="BH42" s="519"/>
      <c r="BI42" s="519"/>
      <c r="BJ42" s="246">
        <f>BJ182</f>
        <v>855.15674560742627</v>
      </c>
      <c r="BK42" s="519"/>
      <c r="BL42" s="519"/>
      <c r="BM42" s="519"/>
      <c r="BN42" s="519"/>
      <c r="BO42" s="246">
        <f>BO182</f>
        <v>920.94188013022574</v>
      </c>
      <c r="BP42" s="519"/>
      <c r="BQ42" s="519"/>
      <c r="BR42" s="519"/>
      <c r="BS42" s="519"/>
      <c r="BT42" s="246">
        <f>BT182</f>
        <v>1105.2735434448541</v>
      </c>
      <c r="BU42" s="519"/>
      <c r="BV42" s="519"/>
      <c r="BW42" s="519"/>
      <c r="BX42" s="519"/>
      <c r="BY42" s="246">
        <f>BY182</f>
        <v>1453.598004708437</v>
      </c>
      <c r="BZ42" s="519"/>
      <c r="CA42" s="519"/>
      <c r="CB42" s="519"/>
      <c r="CC42" s="519"/>
      <c r="CD42" s="246">
        <f>CD182</f>
        <v>1530.3653355947872</v>
      </c>
      <c r="CE42" s="519"/>
      <c r="CF42" s="519"/>
      <c r="CG42" s="519"/>
      <c r="CH42" s="519"/>
      <c r="CI42" s="246">
        <f>CI182</f>
        <v>1617.7144198651959</v>
      </c>
      <c r="CJ42" s="519"/>
      <c r="CK42" s="519"/>
      <c r="CL42" s="519"/>
      <c r="CM42" s="519"/>
      <c r="CN42" s="246">
        <f>CN182</f>
        <v>1687.8521500281563</v>
      </c>
      <c r="CO42" s="519"/>
      <c r="CP42" s="519"/>
      <c r="CQ42" s="519"/>
      <c r="CR42" s="519"/>
      <c r="CS42" s="246">
        <f>CS182</f>
        <v>1783.9640812549621</v>
      </c>
      <c r="CT42" s="133"/>
      <c r="CY42"/>
      <c r="CZ42"/>
      <c r="DA42"/>
      <c r="DB42"/>
      <c r="DC42"/>
      <c r="DD42"/>
    </row>
    <row r="43" spans="2:108" s="27" customFormat="1">
      <c r="B43" s="26" t="s">
        <v>52</v>
      </c>
      <c r="C43" s="29"/>
      <c r="D43" s="29"/>
      <c r="E43" s="29"/>
      <c r="F43" s="30"/>
      <c r="G43" s="28"/>
      <c r="H43" s="578"/>
      <c r="I43" s="578"/>
      <c r="J43" s="578"/>
      <c r="K43" s="615"/>
      <c r="L43" s="619"/>
      <c r="M43" s="578"/>
      <c r="N43" s="578"/>
      <c r="O43" s="578"/>
      <c r="P43" s="615"/>
      <c r="Q43" s="618"/>
      <c r="R43" s="526">
        <f t="shared" ref="R43:AE43" si="54">IF(R41&lt;0,0,R42/R41)</f>
        <v>0</v>
      </c>
      <c r="S43" s="526">
        <f t="shared" si="54"/>
        <v>0</v>
      </c>
      <c r="T43" s="526">
        <f t="shared" si="54"/>
        <v>0</v>
      </c>
      <c r="U43" s="526">
        <f t="shared" si="54"/>
        <v>-1.7004233894038219E-2</v>
      </c>
      <c r="V43" s="28">
        <v>0</v>
      </c>
      <c r="W43" s="526">
        <f t="shared" si="54"/>
        <v>9.7488327161487684E-2</v>
      </c>
      <c r="X43" s="526">
        <f t="shared" si="54"/>
        <v>1.0581649371927859E-2</v>
      </c>
      <c r="Y43" s="526">
        <f t="shared" si="54"/>
        <v>2.2925492150510839E-2</v>
      </c>
      <c r="Z43" s="526">
        <f t="shared" si="54"/>
        <v>-4.9607508942074593E-2</v>
      </c>
      <c r="AA43" s="28">
        <f t="shared" ref="AA43:AJ43" si="55">IF(AA41&lt;0,0,AA42/AA41)</f>
        <v>-3.7459754472648821E-4</v>
      </c>
      <c r="AB43" s="526">
        <f t="shared" si="54"/>
        <v>3.4228571428571414E-2</v>
      </c>
      <c r="AC43" s="526">
        <f t="shared" si="54"/>
        <v>-3.9904523564173192E-2</v>
      </c>
      <c r="AD43" s="526">
        <f t="shared" si="54"/>
        <v>-4.3784673068829681E-2</v>
      </c>
      <c r="AE43" s="526">
        <f t="shared" si="54"/>
        <v>7.4405268003213385E-2</v>
      </c>
      <c r="AF43" s="28">
        <f t="shared" si="55"/>
        <v>1.3496208056234844E-2</v>
      </c>
      <c r="AG43" s="526">
        <f t="shared" si="55"/>
        <v>0</v>
      </c>
      <c r="AH43" s="526">
        <f t="shared" si="55"/>
        <v>0</v>
      </c>
      <c r="AI43" s="526">
        <f t="shared" si="55"/>
        <v>0</v>
      </c>
      <c r="AJ43" s="526">
        <f t="shared" si="55"/>
        <v>0</v>
      </c>
      <c r="AK43" s="28">
        <f>AK42/AK41</f>
        <v>0</v>
      </c>
      <c r="AL43" s="526"/>
      <c r="AM43" s="526"/>
      <c r="AN43" s="526"/>
      <c r="AO43" s="526"/>
      <c r="AP43" s="28">
        <f>AP42/AP41</f>
        <v>0</v>
      </c>
      <c r="AQ43" s="526"/>
      <c r="AR43" s="526"/>
      <c r="AS43" s="526"/>
      <c r="AT43" s="526"/>
      <c r="AU43" s="28">
        <f>AU42/AU41</f>
        <v>0</v>
      </c>
      <c r="AV43" s="526"/>
      <c r="AW43" s="526"/>
      <c r="AX43" s="526"/>
      <c r="AY43" s="526"/>
      <c r="AZ43" s="28">
        <f>AZ42/AZ41</f>
        <v>0</v>
      </c>
      <c r="BA43" s="526"/>
      <c r="BB43" s="526"/>
      <c r="BC43" s="526"/>
      <c r="BD43" s="526"/>
      <c r="BE43" s="28">
        <f>BE42/BE41</f>
        <v>0.16984529316079436</v>
      </c>
      <c r="BF43" s="526"/>
      <c r="BG43" s="526"/>
      <c r="BH43" s="526"/>
      <c r="BI43" s="526"/>
      <c r="BJ43" s="28">
        <f>BJ42/BJ41</f>
        <v>0.20252508374509154</v>
      </c>
      <c r="BK43" s="526"/>
      <c r="BL43" s="526"/>
      <c r="BM43" s="526"/>
      <c r="BN43" s="526"/>
      <c r="BO43" s="28">
        <f>BO42/BO41</f>
        <v>0.20336798618519719</v>
      </c>
      <c r="BP43" s="526"/>
      <c r="BQ43" s="526"/>
      <c r="BR43" s="526"/>
      <c r="BS43" s="526"/>
      <c r="BT43" s="28">
        <f>BT42/BT41</f>
        <v>0.20521966471298617</v>
      </c>
      <c r="BU43" s="526"/>
      <c r="BV43" s="526"/>
      <c r="BW43" s="526"/>
      <c r="BX43" s="526"/>
      <c r="BY43" s="28">
        <f>BY42/BY41</f>
        <v>0.20748135964423517</v>
      </c>
      <c r="BZ43" s="526"/>
      <c r="CA43" s="526"/>
      <c r="CB43" s="526"/>
      <c r="CC43" s="526"/>
      <c r="CD43" s="28">
        <f>CD42/CD41</f>
        <v>0.20784596561101215</v>
      </c>
      <c r="CE43" s="526"/>
      <c r="CF43" s="526"/>
      <c r="CG43" s="526"/>
      <c r="CH43" s="526"/>
      <c r="CI43" s="28">
        <f>CI42/CI41</f>
        <v>0.2082200690058765</v>
      </c>
      <c r="CJ43" s="526"/>
      <c r="CK43" s="526"/>
      <c r="CL43" s="526"/>
      <c r="CM43" s="526"/>
      <c r="CN43" s="28">
        <f>CN42/CN41</f>
        <v>0.20849327874614493</v>
      </c>
      <c r="CO43" s="526"/>
      <c r="CP43" s="526"/>
      <c r="CQ43" s="526"/>
      <c r="CR43" s="526"/>
      <c r="CS43" s="28">
        <f>CS42/CS41</f>
        <v>0.20883377762371166</v>
      </c>
      <c r="CT43" s="133"/>
      <c r="CY43"/>
      <c r="CZ43"/>
      <c r="DA43"/>
      <c r="DB43"/>
      <c r="DC43"/>
      <c r="DD43"/>
    </row>
    <row r="44" spans="2:108">
      <c r="C44" s="9"/>
      <c r="D44" s="9"/>
      <c r="E44" s="9"/>
      <c r="F44" s="10"/>
      <c r="G44" s="12"/>
      <c r="H44" s="519"/>
      <c r="I44" s="519"/>
      <c r="J44" s="519"/>
      <c r="K44" s="614"/>
      <c r="L44" s="12"/>
      <c r="M44" s="519"/>
      <c r="N44" s="519"/>
      <c r="O44" s="519"/>
      <c r="P44" s="614"/>
      <c r="Q44" s="406"/>
      <c r="R44" s="519"/>
      <c r="S44" s="519"/>
      <c r="T44" s="519"/>
      <c r="U44" s="519"/>
      <c r="V44" s="246"/>
      <c r="W44" s="519"/>
      <c r="X44" s="519"/>
      <c r="Y44" s="519"/>
      <c r="Z44" s="519"/>
      <c r="AA44" s="246"/>
      <c r="AB44" s="519"/>
      <c r="AC44" s="519"/>
      <c r="AD44" s="519"/>
      <c r="AE44" s="519"/>
      <c r="AF44" s="246"/>
      <c r="AG44" s="519"/>
      <c r="AH44" s="519"/>
      <c r="AI44" s="519"/>
      <c r="AJ44" s="519"/>
      <c r="AK44" s="246"/>
      <c r="AL44" s="519"/>
      <c r="AM44" s="519"/>
      <c r="AN44" s="519"/>
      <c r="AO44" s="519"/>
      <c r="AP44" s="246"/>
      <c r="AQ44" s="519"/>
      <c r="AR44" s="519"/>
      <c r="AS44" s="519"/>
      <c r="AT44" s="519"/>
      <c r="AU44" s="246"/>
      <c r="AV44" s="519"/>
      <c r="AW44" s="519"/>
      <c r="AX44" s="519"/>
      <c r="AY44" s="519"/>
      <c r="AZ44" s="246"/>
      <c r="BA44" s="519"/>
      <c r="BB44" s="519"/>
      <c r="BC44" s="519"/>
      <c r="BD44" s="519"/>
      <c r="BE44" s="246"/>
      <c r="BF44" s="519"/>
      <c r="BG44" s="519"/>
      <c r="BH44" s="519"/>
      <c r="BI44" s="519"/>
      <c r="BJ44" s="246"/>
      <c r="BK44" s="519"/>
      <c r="BL44" s="519"/>
      <c r="BM44" s="519"/>
      <c r="BN44" s="519"/>
      <c r="BO44" s="246"/>
      <c r="BP44" s="519"/>
      <c r="BQ44" s="519"/>
      <c r="BR44" s="519"/>
      <c r="BS44" s="519"/>
      <c r="BT44" s="246"/>
      <c r="BU44" s="519"/>
      <c r="BV44" s="519"/>
      <c r="BW44" s="519"/>
      <c r="BX44" s="519"/>
      <c r="BY44" s="246"/>
      <c r="BZ44" s="519"/>
      <c r="CA44" s="519"/>
      <c r="CB44" s="519"/>
      <c r="CC44" s="519"/>
      <c r="CD44" s="246"/>
      <c r="CE44" s="519"/>
      <c r="CF44" s="519"/>
      <c r="CG44" s="519"/>
      <c r="CH44" s="519"/>
      <c r="CI44" s="246"/>
      <c r="CJ44" s="519"/>
      <c r="CK44" s="519"/>
      <c r="CL44" s="519"/>
      <c r="CM44" s="519"/>
      <c r="CN44" s="246"/>
      <c r="CO44" s="519"/>
      <c r="CP44" s="519"/>
      <c r="CQ44" s="519"/>
      <c r="CR44" s="519"/>
      <c r="CS44" s="246"/>
      <c r="CT44" s="133"/>
    </row>
    <row r="45" spans="2:108" s="7" customFormat="1">
      <c r="B45" s="31" t="s">
        <v>182</v>
      </c>
      <c r="C45" s="22"/>
      <c r="D45" s="23"/>
      <c r="E45" s="23"/>
      <c r="F45" s="23"/>
      <c r="G45" s="24"/>
      <c r="H45" s="523">
        <f>H41-H42</f>
        <v>5.7489999999999295</v>
      </c>
      <c r="I45" s="523">
        <f>I41-I42</f>
        <v>-6.2150000000000301</v>
      </c>
      <c r="J45" s="523">
        <f>J41-J42-1.22</f>
        <v>-74.153499999999994</v>
      </c>
      <c r="K45" s="581">
        <f>K41-K42</f>
        <v>-131.15</v>
      </c>
      <c r="L45" s="24">
        <f>L41-L42+0.452</f>
        <v>-203.30200000000011</v>
      </c>
      <c r="M45" s="523">
        <f t="shared" ref="M45:U45" si="56">M41-M42</f>
        <v>-151.39399999999998</v>
      </c>
      <c r="N45" s="523">
        <f t="shared" si="56"/>
        <v>-141.71799999999999</v>
      </c>
      <c r="O45" s="523">
        <f t="shared" si="56"/>
        <v>-86.23299999999999</v>
      </c>
      <c r="P45" s="581">
        <f t="shared" si="56"/>
        <v>-139.58399999999997</v>
      </c>
      <c r="Q45" s="407">
        <f t="shared" si="56"/>
        <v>-511.21800000000007</v>
      </c>
      <c r="R45" s="523">
        <f t="shared" si="56"/>
        <v>-148.37599999999995</v>
      </c>
      <c r="S45" s="523">
        <f t="shared" si="56"/>
        <v>-130.68299999999999</v>
      </c>
      <c r="T45" s="523">
        <f t="shared" si="56"/>
        <v>-31.928000000000001</v>
      </c>
      <c r="U45" s="523">
        <f t="shared" si="56"/>
        <v>44.438000000000002</v>
      </c>
      <c r="V45" s="248">
        <f>SUM(R45:U45)</f>
        <v>-266.54899999999998</v>
      </c>
      <c r="W45" s="523">
        <f t="shared" ref="W45:AJ45" si="57">W41-W42</f>
        <v>22.422000000000001</v>
      </c>
      <c r="X45" s="523">
        <f t="shared" si="57"/>
        <v>57.972000000000037</v>
      </c>
      <c r="Y45" s="523">
        <f t="shared" si="57"/>
        <v>43.131</v>
      </c>
      <c r="Z45" s="523">
        <f t="shared" si="57"/>
        <v>87.44699999999996</v>
      </c>
      <c r="AA45" s="248">
        <f>AA41+AA42</f>
        <v>210.81400000000002</v>
      </c>
      <c r="AB45" s="523">
        <f t="shared" si="57"/>
        <v>101.40600000000005</v>
      </c>
      <c r="AC45" s="523">
        <f t="shared" si="57"/>
        <v>98.897000000000034</v>
      </c>
      <c r="AD45" s="523">
        <f>AD41-AD42</f>
        <v>136.40700000000004</v>
      </c>
      <c r="AE45" s="626">
        <f t="shared" si="57"/>
        <v>157.84999999999991</v>
      </c>
      <c r="AF45" s="248">
        <f>AF41-AF42</f>
        <v>494.56000000000017</v>
      </c>
      <c r="AG45" s="523">
        <f t="shared" si="57"/>
        <v>134.08650593545204</v>
      </c>
      <c r="AH45" s="523">
        <f t="shared" si="57"/>
        <v>173.66238117450692</v>
      </c>
      <c r="AI45" s="523">
        <f>AI41-AI42</f>
        <v>217.63557588456811</v>
      </c>
      <c r="AJ45" s="523">
        <f t="shared" si="57"/>
        <v>241.98324601318052</v>
      </c>
      <c r="AK45" s="248">
        <f>AK41-AK42</f>
        <v>767.36770900770773</v>
      </c>
      <c r="AL45" s="523"/>
      <c r="AM45" s="523"/>
      <c r="AN45" s="523"/>
      <c r="AO45" s="523"/>
      <c r="AP45" s="248">
        <f>AP41-AP42</f>
        <v>917.00411994160345</v>
      </c>
      <c r="AQ45" s="523"/>
      <c r="AR45" s="523"/>
      <c r="AS45" s="523"/>
      <c r="AT45" s="523"/>
      <c r="AU45" s="248">
        <f>AU41-AU42</f>
        <v>1840.7559857770864</v>
      </c>
      <c r="AV45" s="523"/>
      <c r="AW45" s="523"/>
      <c r="AX45" s="523"/>
      <c r="AY45" s="523"/>
      <c r="AZ45" s="248">
        <f>AZ41-AZ42</f>
        <v>3006.2751784833622</v>
      </c>
      <c r="BA45" s="523"/>
      <c r="BB45" s="523"/>
      <c r="BC45" s="523"/>
      <c r="BD45" s="523"/>
      <c r="BE45" s="248">
        <f>BE41-BE42</f>
        <v>3146.3932005792353</v>
      </c>
      <c r="BF45" s="523"/>
      <c r="BG45" s="523"/>
      <c r="BH45" s="523"/>
      <c r="BI45" s="523"/>
      <c r="BJ45" s="248">
        <f>BJ41-BJ42</f>
        <v>3367.3164897759516</v>
      </c>
      <c r="BK45" s="523"/>
      <c r="BL45" s="523"/>
      <c r="BM45" s="523"/>
      <c r="BN45" s="523"/>
      <c r="BO45" s="248">
        <f>BO41-BO42</f>
        <v>3607.5087251266382</v>
      </c>
      <c r="BP45" s="523"/>
      <c r="BQ45" s="523"/>
      <c r="BR45" s="523"/>
      <c r="BS45" s="523"/>
      <c r="BT45" s="248">
        <f>BT41-BT42</f>
        <v>4280.5336353684206</v>
      </c>
      <c r="BU45" s="523"/>
      <c r="BV45" s="523"/>
      <c r="BW45" s="523"/>
      <c r="BX45" s="523"/>
      <c r="BY45" s="248">
        <f>BY41-BY42</f>
        <v>5552.3229474238287</v>
      </c>
      <c r="BZ45" s="523"/>
      <c r="CA45" s="523"/>
      <c r="CB45" s="523"/>
      <c r="CC45" s="523"/>
      <c r="CD45" s="248">
        <f>CD41-CD42</f>
        <v>5832.612969497246</v>
      </c>
      <c r="CE45" s="523"/>
      <c r="CF45" s="523"/>
      <c r="CG45" s="523"/>
      <c r="CH45" s="523"/>
      <c r="CI45" s="248">
        <f>CI41-CI42</f>
        <v>6151.5386957868777</v>
      </c>
      <c r="CJ45" s="523"/>
      <c r="CK45" s="523"/>
      <c r="CL45" s="523"/>
      <c r="CM45" s="523"/>
      <c r="CN45" s="248">
        <f>CN41-CN42</f>
        <v>6407.622966381874</v>
      </c>
      <c r="CO45" s="523"/>
      <c r="CP45" s="523"/>
      <c r="CQ45" s="523"/>
      <c r="CR45" s="523"/>
      <c r="CS45" s="248">
        <f>CS41-CS42</f>
        <v>6758.54327341928</v>
      </c>
      <c r="CT45" s="133"/>
      <c r="CY45"/>
      <c r="CZ45"/>
      <c r="DA45"/>
      <c r="DB45"/>
      <c r="DC45"/>
      <c r="DD45"/>
    </row>
    <row r="46" spans="2:108" s="7" customFormat="1">
      <c r="B46" s="13"/>
      <c r="C46" s="18"/>
      <c r="D46" s="8"/>
      <c r="E46" s="8"/>
      <c r="F46" s="8"/>
      <c r="G46" s="11"/>
      <c r="H46" s="525"/>
      <c r="I46" s="525"/>
      <c r="J46" s="525"/>
      <c r="K46" s="525"/>
      <c r="L46" s="249"/>
      <c r="M46" s="525"/>
      <c r="N46" s="525"/>
      <c r="O46" s="525"/>
      <c r="P46" s="525"/>
      <c r="Q46" s="249"/>
      <c r="R46" s="525"/>
      <c r="S46" s="525"/>
      <c r="T46" s="525"/>
      <c r="U46" s="525"/>
      <c r="V46" s="249"/>
      <c r="W46" s="525"/>
      <c r="X46" s="525"/>
      <c r="Y46" s="525"/>
      <c r="Z46" s="525"/>
      <c r="AA46" s="249"/>
      <c r="AB46" s="525"/>
      <c r="AC46" s="525"/>
      <c r="AD46" s="525"/>
      <c r="AE46" s="525"/>
      <c r="AF46" s="249"/>
      <c r="AG46" s="525"/>
      <c r="AH46" s="525"/>
      <c r="AI46" s="525"/>
      <c r="AJ46" s="525"/>
      <c r="AK46" s="249"/>
      <c r="AL46" s="525"/>
      <c r="AM46" s="525"/>
      <c r="AN46" s="525"/>
      <c r="AO46" s="525"/>
      <c r="AP46" s="249"/>
      <c r="AQ46" s="525"/>
      <c r="AR46" s="525"/>
      <c r="AS46" s="525"/>
      <c r="AT46" s="525"/>
      <c r="AU46" s="249"/>
      <c r="AV46" s="525"/>
      <c r="AW46" s="525"/>
      <c r="AX46" s="525"/>
      <c r="AY46" s="525"/>
      <c r="AZ46" s="249"/>
      <c r="BA46" s="525"/>
      <c r="BB46" s="525"/>
      <c r="BC46" s="525"/>
      <c r="BD46" s="525"/>
      <c r="BE46" s="249"/>
      <c r="BF46" s="525"/>
      <c r="BG46" s="525"/>
      <c r="BH46" s="525"/>
      <c r="BI46" s="525"/>
      <c r="BJ46" s="249"/>
      <c r="BK46" s="525"/>
      <c r="BL46" s="525"/>
      <c r="BM46" s="525"/>
      <c r="BN46" s="525"/>
      <c r="BO46" s="249"/>
      <c r="BP46" s="525"/>
      <c r="BQ46" s="525"/>
      <c r="BR46" s="525"/>
      <c r="BS46" s="525"/>
      <c r="BT46" s="249"/>
      <c r="BU46" s="525"/>
      <c r="BV46" s="525"/>
      <c r="BW46" s="525"/>
      <c r="BX46" s="525"/>
      <c r="BY46" s="249"/>
      <c r="BZ46" s="525"/>
      <c r="CA46" s="525"/>
      <c r="CB46" s="525"/>
      <c r="CC46" s="525"/>
      <c r="CD46" s="249"/>
      <c r="CE46" s="525"/>
      <c r="CF46" s="525"/>
      <c r="CG46" s="525"/>
      <c r="CH46" s="525"/>
      <c r="CI46" s="249"/>
      <c r="CJ46" s="525"/>
      <c r="CK46" s="525"/>
      <c r="CL46" s="525"/>
      <c r="CM46" s="525"/>
      <c r="CN46" s="249"/>
      <c r="CO46" s="525"/>
      <c r="CP46" s="525"/>
      <c r="CQ46" s="525"/>
      <c r="CR46" s="525"/>
      <c r="CS46" s="249"/>
      <c r="CT46" s="133"/>
      <c r="CY46"/>
      <c r="CZ46"/>
      <c r="DA46"/>
      <c r="DB46"/>
      <c r="DC46"/>
      <c r="DD46"/>
    </row>
    <row r="47" spans="2:108" s="7" customFormat="1">
      <c r="B47" s="31" t="s">
        <v>56</v>
      </c>
      <c r="C47" s="22"/>
      <c r="D47" s="23"/>
      <c r="E47" s="23"/>
      <c r="F47" s="23"/>
      <c r="G47" s="118"/>
      <c r="H47" s="527">
        <f t="shared" ref="H47:S47" si="58">H45/H135</f>
        <v>2.6687277470626956E-2</v>
      </c>
      <c r="I47" s="527">
        <f t="shared" si="58"/>
        <v>-2.7988813481466271E-2</v>
      </c>
      <c r="J47" s="527">
        <f t="shared" si="58"/>
        <v>-0.32170018003947853</v>
      </c>
      <c r="K47" s="527">
        <f t="shared" si="58"/>
        <v>-0.56710080254600803</v>
      </c>
      <c r="L47" s="118">
        <f t="shared" si="58"/>
        <v>-0.90394209136261416</v>
      </c>
      <c r="M47" s="527">
        <f t="shared" si="58"/>
        <v>-0.65007492904284037</v>
      </c>
      <c r="N47" s="527">
        <f t="shared" si="58"/>
        <v>-0.60612981591733384</v>
      </c>
      <c r="O47" s="527">
        <f t="shared" si="58"/>
        <v>-0.36518207650643481</v>
      </c>
      <c r="P47" s="527">
        <f t="shared" si="58"/>
        <v>-0.58581788879935526</v>
      </c>
      <c r="Q47" s="118">
        <f t="shared" si="58"/>
        <v>-2.1725575524740024</v>
      </c>
      <c r="R47" s="527">
        <f t="shared" si="58"/>
        <v>-0.61954211605349618</v>
      </c>
      <c r="S47" s="527">
        <f t="shared" si="58"/>
        <v>-0.54280041701798909</v>
      </c>
      <c r="T47" s="527">
        <f>T45/T51</f>
        <v>-0.13195078708429592</v>
      </c>
      <c r="U47" s="527">
        <f>U45/U51</f>
        <v>0.18041712172207855</v>
      </c>
      <c r="V47" s="118">
        <f>V45/V51</f>
        <v>-1.1008439628879347</v>
      </c>
      <c r="W47" s="527">
        <f>W45/W51</f>
        <v>9.089508675206745E-2</v>
      </c>
      <c r="X47" s="527">
        <f t="shared" ref="X47:Z47" si="59">X45/X51</f>
        <v>0.237121751294574</v>
      </c>
      <c r="Y47" s="527">
        <f t="shared" si="59"/>
        <v>0.17390901136652301</v>
      </c>
      <c r="Z47" s="527">
        <f t="shared" si="59"/>
        <v>0.35295470965502473</v>
      </c>
      <c r="AA47" s="118">
        <f>AA45/AA51</f>
        <v>0.8544250441774881</v>
      </c>
      <c r="AB47" s="527">
        <f>AB45/AB51</f>
        <v>0.40774427020506654</v>
      </c>
      <c r="AC47" s="527">
        <f t="shared" ref="AC47:AE47" si="60">AC45/AC51</f>
        <v>0.393017664474338</v>
      </c>
      <c r="AD47" s="527">
        <f t="shared" si="60"/>
        <v>0.53327312816663552</v>
      </c>
      <c r="AE47" s="527">
        <f t="shared" si="60"/>
        <v>0.61467111104188377</v>
      </c>
      <c r="AF47" s="118">
        <f>AF45/AF51</f>
        <v>1.9529859388250541</v>
      </c>
      <c r="AG47" s="527">
        <f>AG45/AG51</f>
        <v>0.51658445975751777</v>
      </c>
      <c r="AH47" s="527">
        <f t="shared" ref="AH47:AJ47" si="61">AH45/AH51</f>
        <v>0.66905529928882579</v>
      </c>
      <c r="AI47" s="527">
        <f t="shared" si="61"/>
        <v>0.83846734321250216</v>
      </c>
      <c r="AJ47" s="527">
        <f t="shared" si="61"/>
        <v>0.93226968321678449</v>
      </c>
      <c r="AK47" s="118">
        <f>AK45/AK51</f>
        <v>2.9563767854756309</v>
      </c>
      <c r="AL47" s="527"/>
      <c r="AM47" s="527"/>
      <c r="AN47" s="527"/>
      <c r="AO47" s="527"/>
      <c r="AP47" s="118">
        <f>AP45/AP51</f>
        <v>3.497890230133887</v>
      </c>
      <c r="AQ47" s="527"/>
      <c r="AR47" s="527"/>
      <c r="AS47" s="527"/>
      <c r="AT47" s="527"/>
      <c r="AU47" s="118">
        <f>AU45/AU51</f>
        <v>6.951999579407155</v>
      </c>
      <c r="AV47" s="527"/>
      <c r="AW47" s="527"/>
      <c r="AX47" s="527"/>
      <c r="AY47" s="527"/>
      <c r="AZ47" s="118">
        <f>AZ45/AZ51</f>
        <v>11.241412206832946</v>
      </c>
      <c r="BA47" s="527"/>
      <c r="BB47" s="527"/>
      <c r="BC47" s="527"/>
      <c r="BD47" s="527"/>
      <c r="BE47" s="118">
        <f>BE45/BE51</f>
        <v>11.648869047116708</v>
      </c>
      <c r="BF47" s="527"/>
      <c r="BG47" s="527"/>
      <c r="BH47" s="527"/>
      <c r="BI47" s="527"/>
      <c r="BJ47" s="118">
        <f>BJ45/BJ51</f>
        <v>12.34335817912898</v>
      </c>
      <c r="BK47" s="527"/>
      <c r="BL47" s="527"/>
      <c r="BM47" s="527"/>
      <c r="BN47" s="527"/>
      <c r="BO47" s="118">
        <f>BO45/BO51</f>
        <v>13.092886732948063</v>
      </c>
      <c r="BP47" s="527"/>
      <c r="BQ47" s="527"/>
      <c r="BR47" s="527"/>
      <c r="BS47" s="527"/>
      <c r="BT47" s="118">
        <f>BT45/BT51</f>
        <v>15.38170793658151</v>
      </c>
      <c r="BU47" s="527"/>
      <c r="BV47" s="527"/>
      <c r="BW47" s="527"/>
      <c r="BX47" s="527"/>
      <c r="BY47" s="118">
        <f>BY45/BY51</f>
        <v>19.754224802973038</v>
      </c>
      <c r="BZ47" s="527"/>
      <c r="CA47" s="527"/>
      <c r="CB47" s="527"/>
      <c r="CC47" s="527"/>
      <c r="CD47" s="118">
        <f>CD45/CD51</f>
        <v>20.545989343080912</v>
      </c>
      <c r="CE47" s="527"/>
      <c r="CF47" s="527"/>
      <c r="CG47" s="527"/>
      <c r="CH47" s="527"/>
      <c r="CI47" s="118">
        <f>CI45/CI51</f>
        <v>21.454889680410702</v>
      </c>
      <c r="CJ47" s="527"/>
      <c r="CK47" s="527"/>
      <c r="CL47" s="527"/>
      <c r="CM47" s="527"/>
      <c r="CN47" s="118">
        <f>CN45/CN51</f>
        <v>22.126774051298245</v>
      </c>
      <c r="CO47" s="527"/>
      <c r="CP47" s="527"/>
      <c r="CQ47" s="527"/>
      <c r="CR47" s="527"/>
      <c r="CS47" s="118">
        <f>CS45/CS51</f>
        <v>23.10749548097726</v>
      </c>
      <c r="CT47" s="133"/>
      <c r="CY47"/>
      <c r="CZ47"/>
      <c r="DA47"/>
      <c r="DB47"/>
      <c r="DC47"/>
      <c r="DD47"/>
    </row>
    <row r="48" spans="2:108" s="7" customFormat="1">
      <c r="B48" s="137" t="s">
        <v>186</v>
      </c>
      <c r="C48" s="138"/>
      <c r="D48" s="139"/>
      <c r="E48" s="139"/>
      <c r="F48" s="139"/>
      <c r="G48" s="140"/>
      <c r="H48" s="528">
        <f t="shared" ref="H48:S48" si="62">H45/H136</f>
        <v>2.6687277470626956E-2</v>
      </c>
      <c r="I48" s="528">
        <f t="shared" si="62"/>
        <v>-2.7988813481466271E-2</v>
      </c>
      <c r="J48" s="528">
        <f t="shared" si="62"/>
        <v>-0.32170018003947853</v>
      </c>
      <c r="K48" s="528">
        <f t="shared" si="62"/>
        <v>-0.56710080254600803</v>
      </c>
      <c r="L48" s="140">
        <f t="shared" si="62"/>
        <v>-0.90394209136261416</v>
      </c>
      <c r="M48" s="528">
        <f t="shared" si="62"/>
        <v>-0.65007492904284037</v>
      </c>
      <c r="N48" s="528">
        <f t="shared" si="62"/>
        <v>-0.60612981591733384</v>
      </c>
      <c r="O48" s="528">
        <f t="shared" si="62"/>
        <v>-0.36518207650643481</v>
      </c>
      <c r="P48" s="528">
        <f t="shared" si="62"/>
        <v>-0.58581788879935526</v>
      </c>
      <c r="Q48" s="140">
        <f t="shared" si="62"/>
        <v>-2.1725575524740024</v>
      </c>
      <c r="R48" s="528">
        <f t="shared" si="62"/>
        <v>-0.61954211605349618</v>
      </c>
      <c r="S48" s="528">
        <f t="shared" si="62"/>
        <v>-0.54280041701798909</v>
      </c>
      <c r="T48" s="528">
        <f>T45/T52</f>
        <v>-0.13195078708429592</v>
      </c>
      <c r="U48" s="528">
        <f>U45/U52</f>
        <v>0.18041712172207855</v>
      </c>
      <c r="V48" s="140">
        <f>V45/V52</f>
        <v>-1.1008439628879347</v>
      </c>
      <c r="W48" s="528">
        <f>W45/W52</f>
        <v>9.089508675206745E-2</v>
      </c>
      <c r="X48" s="528">
        <f t="shared" ref="X48:Z48" si="63">X45/X52</f>
        <v>0.237121751294574</v>
      </c>
      <c r="Y48" s="528">
        <f t="shared" si="63"/>
        <v>0.17390901136652301</v>
      </c>
      <c r="Z48" s="528">
        <f t="shared" si="63"/>
        <v>0.35295470965502473</v>
      </c>
      <c r="AA48" s="140">
        <f>AA45/AA52</f>
        <v>0.83502375134263851</v>
      </c>
      <c r="AB48" s="528">
        <f>AB45/AB52</f>
        <v>0.40774427020506654</v>
      </c>
      <c r="AC48" s="528">
        <f t="shared" ref="AC48:AE48" si="64">AC45/AC52</f>
        <v>0.393017664474338</v>
      </c>
      <c r="AD48" s="528">
        <f t="shared" si="64"/>
        <v>0.53327312816663552</v>
      </c>
      <c r="AE48" s="528">
        <f t="shared" si="64"/>
        <v>0.61467111104188377</v>
      </c>
      <c r="AF48" s="140">
        <f>AF45/AF52</f>
        <v>1.9529859388250541</v>
      </c>
      <c r="AG48" s="528">
        <f>AG45/AG52</f>
        <v>0.51658445975751777</v>
      </c>
      <c r="AH48" s="528">
        <f t="shared" ref="AH48:AJ48" si="65">AH45/AH52</f>
        <v>0.66905529928882579</v>
      </c>
      <c r="AI48" s="528">
        <f t="shared" si="65"/>
        <v>0.83846734321250216</v>
      </c>
      <c r="AJ48" s="528">
        <f t="shared" si="65"/>
        <v>0.93226968321678449</v>
      </c>
      <c r="AK48" s="140">
        <f>AK45/AK52</f>
        <v>2.9563767854756309</v>
      </c>
      <c r="AL48" s="528"/>
      <c r="AM48" s="528"/>
      <c r="AN48" s="528"/>
      <c r="AO48" s="528"/>
      <c r="AP48" s="140">
        <f>AP45/AP52</f>
        <v>3.497890230133887</v>
      </c>
      <c r="AQ48" s="528"/>
      <c r="AR48" s="528"/>
      <c r="AS48" s="528"/>
      <c r="AT48" s="528"/>
      <c r="AU48" s="140">
        <f>AU45/AU52</f>
        <v>6.951999579407155</v>
      </c>
      <c r="AV48" s="528"/>
      <c r="AW48" s="528"/>
      <c r="AX48" s="528"/>
      <c r="AY48" s="528"/>
      <c r="AZ48" s="140">
        <f>AZ45/AZ52</f>
        <v>11.241412206832946</v>
      </c>
      <c r="BA48" s="528"/>
      <c r="BB48" s="528"/>
      <c r="BC48" s="528"/>
      <c r="BD48" s="528"/>
      <c r="BE48" s="140">
        <f>BE45/BE52</f>
        <v>11.648869047116708</v>
      </c>
      <c r="BF48" s="528"/>
      <c r="BG48" s="528"/>
      <c r="BH48" s="528"/>
      <c r="BI48" s="528"/>
      <c r="BJ48" s="140">
        <f>BJ45/BJ52</f>
        <v>12.34335817912898</v>
      </c>
      <c r="BK48" s="528"/>
      <c r="BL48" s="528"/>
      <c r="BM48" s="528"/>
      <c r="BN48" s="528"/>
      <c r="BO48" s="140">
        <f>BO45/BO52</f>
        <v>13.092886732948063</v>
      </c>
      <c r="BP48" s="528"/>
      <c r="BQ48" s="528"/>
      <c r="BR48" s="528"/>
      <c r="BS48" s="528"/>
      <c r="BT48" s="140">
        <f>BT45/BT52</f>
        <v>15.38170793658151</v>
      </c>
      <c r="BU48" s="528"/>
      <c r="BV48" s="528"/>
      <c r="BW48" s="528"/>
      <c r="BX48" s="528"/>
      <c r="BY48" s="140">
        <f>BY45/BY52</f>
        <v>19.754224802973038</v>
      </c>
      <c r="BZ48" s="528"/>
      <c r="CA48" s="528"/>
      <c r="CB48" s="528"/>
      <c r="CC48" s="528"/>
      <c r="CD48" s="140">
        <f>CD45/CD52</f>
        <v>20.545989343080912</v>
      </c>
      <c r="CE48" s="528"/>
      <c r="CF48" s="528"/>
      <c r="CG48" s="528"/>
      <c r="CH48" s="528"/>
      <c r="CI48" s="140">
        <f>CI45/CI52</f>
        <v>21.454889680410702</v>
      </c>
      <c r="CJ48" s="528"/>
      <c r="CK48" s="528"/>
      <c r="CL48" s="528"/>
      <c r="CM48" s="528"/>
      <c r="CN48" s="140">
        <f>CN45/CN52</f>
        <v>22.126774051298245</v>
      </c>
      <c r="CO48" s="528"/>
      <c r="CP48" s="528"/>
      <c r="CQ48" s="528"/>
      <c r="CR48" s="528"/>
      <c r="CS48" s="140">
        <f>CS45/CS52</f>
        <v>23.10749548097726</v>
      </c>
      <c r="CT48" s="133"/>
      <c r="CY48"/>
      <c r="CZ48"/>
      <c r="DA48"/>
      <c r="DB48"/>
      <c r="DC48"/>
      <c r="DD48"/>
    </row>
    <row r="49" spans="2:108">
      <c r="B49" s="503" t="s">
        <v>507</v>
      </c>
      <c r="C49" s="430"/>
      <c r="D49" s="430"/>
      <c r="E49" s="430"/>
      <c r="F49" s="430"/>
      <c r="G49" s="430"/>
      <c r="H49" s="430"/>
      <c r="I49" s="430"/>
      <c r="J49" s="430"/>
      <c r="K49" s="430"/>
      <c r="L49" s="430"/>
      <c r="M49" s="430"/>
      <c r="N49" s="430"/>
      <c r="O49" s="430"/>
      <c r="P49" s="430"/>
      <c r="Q49" s="430"/>
      <c r="R49" s="430"/>
      <c r="S49" s="430"/>
      <c r="T49" s="430"/>
      <c r="U49" s="430"/>
      <c r="V49" s="430"/>
      <c r="W49" s="430"/>
      <c r="X49" s="430"/>
      <c r="Y49" s="430"/>
      <c r="Z49" s="430"/>
      <c r="AA49" s="764"/>
      <c r="AB49" s="764"/>
      <c r="AC49" s="764"/>
      <c r="AD49" s="764"/>
      <c r="AE49" s="765"/>
      <c r="AF49" s="430"/>
      <c r="AG49" s="430" t="e">
        <f ca="1">_xll.TR($DH$1,"TR.EPSMean","Period=#1 Curn=#2 Null=-",,LEFT(AG$2,1)&amp;"CQ20"&amp;MID(AG$2,3,2),$DH$2)</f>
        <v>#NAME?</v>
      </c>
      <c r="AH49" s="430" t="e">
        <f ca="1">_xll.TR($DH$1,"TR.EPSMean","Period=#1 Curn=#2 Null=-",,LEFT(AH$2,1)&amp;"CQ20"&amp;MID(AH$2,3,2),$DH$2)</f>
        <v>#NAME?</v>
      </c>
      <c r="AI49" s="430" t="e">
        <f ca="1">_xll.TR($DH$1,"TR.EPSMean","Period=#1 Curn=#2 Null=-",,LEFT(AI$2,1)&amp;"CQ20"&amp;MID(AI$2,3,2),$DH$2)</f>
        <v>#NAME?</v>
      </c>
      <c r="AJ49" s="430" t="e">
        <f ca="1">_xll.TR($DH$1,"TR.EPSMean","Period=#1 Curn=#2 Null=-",,LEFT(AJ$2,1)&amp;"CQ20"&amp;MID(AJ$2,3,2),$DH$2)</f>
        <v>#NAME?</v>
      </c>
      <c r="AK49" s="430" t="e">
        <f ca="1">_xll.TR($DH$1,"AVAIL(TR.EPSMean(Methodology=WeightedAnnual),TR.EPSMean(Methodology=Interimsum))","Period=#1 Curn=#2 Null=BLANK",,"CY"&amp;LEFT(AK$2,4),$DH$2)</f>
        <v>#NAME?</v>
      </c>
      <c r="AL49" s="430"/>
      <c r="AM49" s="430"/>
      <c r="AN49" s="430"/>
      <c r="AO49" s="430"/>
      <c r="AP49" s="430" t="e">
        <f ca="1">_xll.TR($DH$1,"AVAIL(TR.EPSMean(Methodology=WeightedAnnual),TR.EPSMean(Methodology=Interimsum))","Period=#1 Curn=#2 Null=BLANK",,"CY"&amp;LEFT(AP$2,4),$DH$2)</f>
        <v>#NAME?</v>
      </c>
      <c r="AQ49" s="251"/>
      <c r="AR49" s="251"/>
      <c r="AS49" s="251"/>
      <c r="AT49" s="251"/>
      <c r="AU49" s="430" t="e">
        <f ca="1">_xll.TR($DH$1,"AVAIL(TR.EPSMean(Methodology=WeightedAnnual),TR.EPSMean(Methodology=Interimsum))","Period=#1 Curn=#2 Null=BLANK",,"CY"&amp;LEFT(AU$2,4),$DH$2)</f>
        <v>#NAME?</v>
      </c>
      <c r="AV49" s="251"/>
      <c r="AW49" s="251"/>
      <c r="AX49" s="251"/>
      <c r="AY49" s="251"/>
      <c r="AZ49" s="251"/>
      <c r="BA49" s="251"/>
      <c r="BB49" s="251"/>
      <c r="BC49" s="251"/>
      <c r="BD49" s="251"/>
      <c r="BE49" s="251"/>
      <c r="BF49" s="251"/>
      <c r="BG49" s="251"/>
      <c r="BH49" s="251"/>
      <c r="BI49" s="251"/>
      <c r="BJ49" s="251"/>
      <c r="BK49" s="251"/>
      <c r="BL49" s="251"/>
      <c r="BM49" s="251"/>
      <c r="BN49" s="251"/>
      <c r="BO49" s="251"/>
      <c r="BP49" s="251"/>
      <c r="BQ49" s="251"/>
      <c r="BR49" s="251"/>
      <c r="BS49" s="251"/>
      <c r="BT49" s="251"/>
      <c r="BU49" s="251"/>
      <c r="BV49" s="251"/>
      <c r="BW49" s="251"/>
      <c r="BX49" s="251"/>
      <c r="BY49" s="251"/>
      <c r="BZ49" s="251"/>
      <c r="CA49" s="251"/>
      <c r="CB49" s="251"/>
      <c r="CC49" s="251"/>
      <c r="CD49" s="251"/>
      <c r="CE49" s="251"/>
      <c r="CF49" s="251"/>
      <c r="CG49" s="251"/>
      <c r="CH49" s="251"/>
      <c r="CI49" s="251"/>
      <c r="CJ49" s="251"/>
      <c r="CK49" s="251"/>
      <c r="CL49" s="251"/>
      <c r="CM49" s="251"/>
      <c r="CN49" s="251"/>
      <c r="CO49" s="251"/>
      <c r="CP49" s="251"/>
      <c r="CQ49" s="251"/>
      <c r="CR49" s="251"/>
      <c r="CS49" s="251"/>
      <c r="CT49" s="133"/>
    </row>
    <row r="50" spans="2:108" s="7" customFormat="1">
      <c r="B50" s="13"/>
      <c r="C50" s="18"/>
      <c r="D50" s="8"/>
      <c r="E50" s="8"/>
      <c r="F50" s="8"/>
      <c r="G50" s="11"/>
      <c r="H50" s="525"/>
      <c r="I50" s="525"/>
      <c r="J50" s="525"/>
      <c r="K50" s="525"/>
      <c r="L50" s="249"/>
      <c r="M50" s="525"/>
      <c r="N50" s="525"/>
      <c r="O50" s="525"/>
      <c r="P50" s="525"/>
      <c r="Q50" s="249"/>
      <c r="R50" s="525"/>
      <c r="S50" s="525"/>
      <c r="T50" s="525"/>
      <c r="U50" s="525"/>
      <c r="V50" s="249"/>
      <c r="W50" s="529"/>
      <c r="X50" s="529"/>
      <c r="Y50" s="529"/>
      <c r="Z50" s="529"/>
      <c r="AA50" s="117"/>
      <c r="AB50" s="529"/>
      <c r="AC50" s="529"/>
      <c r="AD50" s="529"/>
      <c r="AE50" s="529"/>
      <c r="AF50" s="117"/>
      <c r="AG50" s="529"/>
      <c r="AH50" s="529"/>
      <c r="AI50" s="529"/>
      <c r="AJ50" s="529"/>
      <c r="AK50" s="117"/>
      <c r="AL50" s="529"/>
      <c r="AM50" s="529"/>
      <c r="AN50" s="529"/>
      <c r="AO50" s="529"/>
      <c r="AP50" s="117"/>
      <c r="AQ50" s="529"/>
      <c r="AR50" s="529"/>
      <c r="AS50" s="529"/>
      <c r="AT50" s="529"/>
      <c r="AU50" s="117"/>
      <c r="AV50" s="529"/>
      <c r="AW50" s="529"/>
      <c r="AX50" s="529"/>
      <c r="AY50" s="529"/>
      <c r="AZ50" s="117"/>
      <c r="BA50" s="529"/>
      <c r="BB50" s="529"/>
      <c r="BC50" s="529"/>
      <c r="BD50" s="529"/>
      <c r="BE50" s="117"/>
      <c r="BF50" s="529"/>
      <c r="BG50" s="529"/>
      <c r="BH50" s="529"/>
      <c r="BI50" s="529"/>
      <c r="BJ50" s="117"/>
      <c r="BK50" s="529"/>
      <c r="BL50" s="529"/>
      <c r="BM50" s="529"/>
      <c r="BN50" s="529"/>
      <c r="BO50" s="117"/>
      <c r="BP50" s="529"/>
      <c r="BQ50" s="529"/>
      <c r="BR50" s="529"/>
      <c r="BS50" s="529"/>
      <c r="BT50" s="117"/>
      <c r="BU50" s="529"/>
      <c r="BV50" s="529"/>
      <c r="BW50" s="529"/>
      <c r="BX50" s="529"/>
      <c r="BY50" s="117"/>
      <c r="BZ50" s="529"/>
      <c r="CA50" s="529"/>
      <c r="CB50" s="529"/>
      <c r="CC50" s="529"/>
      <c r="CD50" s="117"/>
      <c r="CE50" s="529"/>
      <c r="CF50" s="529"/>
      <c r="CG50" s="529"/>
      <c r="CH50" s="529"/>
      <c r="CI50" s="117"/>
      <c r="CJ50" s="529"/>
      <c r="CK50" s="529"/>
      <c r="CL50" s="529"/>
      <c r="CM50" s="529"/>
      <c r="CN50" s="117"/>
      <c r="CO50" s="529"/>
      <c r="CP50" s="529"/>
      <c r="CQ50" s="529"/>
      <c r="CR50" s="529"/>
      <c r="CS50" s="117"/>
      <c r="CT50" s="133"/>
      <c r="CY50"/>
      <c r="CZ50"/>
      <c r="DA50"/>
      <c r="DB50"/>
      <c r="DC50"/>
      <c r="DD50"/>
    </row>
    <row r="51" spans="2:108" s="7" customFormat="1">
      <c r="B51" s="37" t="s">
        <v>62</v>
      </c>
      <c r="C51" s="18"/>
      <c r="D51" s="8"/>
      <c r="E51" s="8"/>
      <c r="F51" s="8"/>
      <c r="G51" s="11"/>
      <c r="H51" s="529">
        <v>215.42099999999999</v>
      </c>
      <c r="I51" s="529">
        <v>222.053</v>
      </c>
      <c r="J51" s="529">
        <v>230.505</v>
      </c>
      <c r="K51" s="529">
        <v>231.26400000000001</v>
      </c>
      <c r="L51" s="117">
        <v>224.90600000000001</v>
      </c>
      <c r="M51" s="529">
        <v>232.887</v>
      </c>
      <c r="N51" s="529">
        <v>233.80799999999999</v>
      </c>
      <c r="O51" s="529">
        <v>236.137</v>
      </c>
      <c r="P51" s="529">
        <v>238.27199999999999</v>
      </c>
      <c r="Q51" s="117">
        <v>235.30699999999999</v>
      </c>
      <c r="R51" s="529">
        <v>239.49299999999999</v>
      </c>
      <c r="S51" s="529">
        <v>240.75700000000001</v>
      </c>
      <c r="T51" s="529">
        <v>241.96899999999999</v>
      </c>
      <c r="U51" s="529">
        <v>246.30699999999999</v>
      </c>
      <c r="V51" s="117">
        <f>AVERAGE(R51:U51)</f>
        <v>242.13150000000002</v>
      </c>
      <c r="W51" s="647">
        <v>246.68</v>
      </c>
      <c r="X51" s="647">
        <v>244.482</v>
      </c>
      <c r="Y51" s="647">
        <v>248.00899999999999</v>
      </c>
      <c r="Z51" s="647">
        <v>247.75700000000001</v>
      </c>
      <c r="AA51" s="117">
        <f>AVERAGE(W51:Z51)</f>
        <v>246.73200000000003</v>
      </c>
      <c r="AB51" s="529">
        <v>248.7</v>
      </c>
      <c r="AC51" s="529">
        <v>251.63499999999999</v>
      </c>
      <c r="AD51" s="529">
        <v>255.792</v>
      </c>
      <c r="AE51" s="529">
        <v>256.80399999999997</v>
      </c>
      <c r="AF51" s="117">
        <f>AVERAGE(AB51:AE51)</f>
        <v>253.23274999999998</v>
      </c>
      <c r="AG51" s="529">
        <f>AK51</f>
        <v>259.56356874999994</v>
      </c>
      <c r="AH51" s="529">
        <f>AK51</f>
        <v>259.56356874999994</v>
      </c>
      <c r="AI51" s="529">
        <f>AK51</f>
        <v>259.56356874999994</v>
      </c>
      <c r="AJ51" s="529">
        <f>AK51</f>
        <v>259.56356874999994</v>
      </c>
      <c r="AK51" s="117">
        <f>AF51*1.025</f>
        <v>259.56356874999994</v>
      </c>
      <c r="AL51" s="529"/>
      <c r="AM51" s="529"/>
      <c r="AN51" s="529"/>
      <c r="AO51" s="529"/>
      <c r="AP51" s="117">
        <f>AK51*1.01</f>
        <v>262.15920443749997</v>
      </c>
      <c r="AQ51" s="529"/>
      <c r="AR51" s="529"/>
      <c r="AS51" s="529"/>
      <c r="AT51" s="529"/>
      <c r="AU51" s="117">
        <f>AP51*1.01</f>
        <v>264.78079648187497</v>
      </c>
      <c r="AV51" s="529"/>
      <c r="AW51" s="529"/>
      <c r="AX51" s="529"/>
      <c r="AY51" s="529"/>
      <c r="AZ51" s="117">
        <f>AU51*1.01</f>
        <v>267.42860444669373</v>
      </c>
      <c r="BA51" s="529"/>
      <c r="BB51" s="529"/>
      <c r="BC51" s="529"/>
      <c r="BD51" s="529"/>
      <c r="BE51" s="117">
        <f>AZ51*1.01</f>
        <v>270.10289049116068</v>
      </c>
      <c r="BF51" s="529"/>
      <c r="BG51" s="529"/>
      <c r="BH51" s="529"/>
      <c r="BI51" s="529"/>
      <c r="BJ51" s="117">
        <f>BE51*1.01</f>
        <v>272.80391939607227</v>
      </c>
      <c r="BK51" s="529"/>
      <c r="BL51" s="529"/>
      <c r="BM51" s="529"/>
      <c r="BN51" s="529"/>
      <c r="BO51" s="117">
        <f>BJ51*1.01</f>
        <v>275.53195859003301</v>
      </c>
      <c r="BP51" s="529"/>
      <c r="BQ51" s="529"/>
      <c r="BR51" s="529"/>
      <c r="BS51" s="529"/>
      <c r="BT51" s="117">
        <f>BO51*1.01</f>
        <v>278.28727817593335</v>
      </c>
      <c r="BU51" s="529"/>
      <c r="BV51" s="529"/>
      <c r="BW51" s="529"/>
      <c r="BX51" s="529"/>
      <c r="BY51" s="117">
        <f>BT51*1.01</f>
        <v>281.0701509576927</v>
      </c>
      <c r="BZ51" s="529"/>
      <c r="CA51" s="529"/>
      <c r="CB51" s="529"/>
      <c r="CC51" s="529"/>
      <c r="CD51" s="117">
        <f>BY51*1.01</f>
        <v>283.88085246726962</v>
      </c>
      <c r="CE51" s="529"/>
      <c r="CF51" s="529"/>
      <c r="CG51" s="529"/>
      <c r="CH51" s="529"/>
      <c r="CI51" s="117">
        <f>CD51*1.01</f>
        <v>286.71966099194231</v>
      </c>
      <c r="CJ51" s="529"/>
      <c r="CK51" s="529"/>
      <c r="CL51" s="529"/>
      <c r="CM51" s="529"/>
      <c r="CN51" s="117">
        <f>CI51*1.01</f>
        <v>289.58685760186171</v>
      </c>
      <c r="CO51" s="529"/>
      <c r="CP51" s="529"/>
      <c r="CQ51" s="529"/>
      <c r="CR51" s="529"/>
      <c r="CS51" s="117">
        <f>CN51*1.01</f>
        <v>292.48272617788035</v>
      </c>
      <c r="CT51" s="133"/>
      <c r="CY51"/>
      <c r="CZ51"/>
      <c r="DA51"/>
      <c r="DB51"/>
      <c r="DC51"/>
      <c r="DD51"/>
    </row>
    <row r="52" spans="2:108" s="7" customFormat="1">
      <c r="B52" s="37" t="s">
        <v>63</v>
      </c>
      <c r="C52" s="18"/>
      <c r="D52" s="8"/>
      <c r="E52" s="8"/>
      <c r="F52" s="8"/>
      <c r="G52" s="11"/>
      <c r="H52" s="529">
        <v>215.42099999999999</v>
      </c>
      <c r="I52" s="529">
        <v>222.053</v>
      </c>
      <c r="J52" s="529">
        <v>230.505</v>
      </c>
      <c r="K52" s="529">
        <v>231.26400000000001</v>
      </c>
      <c r="L52" s="117">
        <v>224.90600000000001</v>
      </c>
      <c r="M52" s="529">
        <f>M51</f>
        <v>232.887</v>
      </c>
      <c r="N52" s="529">
        <v>233.80799999999999</v>
      </c>
      <c r="O52" s="529">
        <v>236.137</v>
      </c>
      <c r="P52" s="529">
        <v>238.27199999999999</v>
      </c>
      <c r="Q52" s="117">
        <v>235.30699999999999</v>
      </c>
      <c r="R52" s="529">
        <f>R51</f>
        <v>239.49299999999999</v>
      </c>
      <c r="S52" s="529">
        <v>240.75700000000001</v>
      </c>
      <c r="T52" s="529">
        <f>T51</f>
        <v>241.96899999999999</v>
      </c>
      <c r="U52" s="529">
        <v>246.30699999999999</v>
      </c>
      <c r="V52" s="117">
        <f>AVERAGE(R52:U52)</f>
        <v>242.13150000000002</v>
      </c>
      <c r="W52" s="529">
        <f>W51</f>
        <v>246.68</v>
      </c>
      <c r="X52" s="529">
        <f>X51</f>
        <v>244.482</v>
      </c>
      <c r="Y52" s="529">
        <f>Y51</f>
        <v>248.00899999999999</v>
      </c>
      <c r="Z52" s="529">
        <f>Z51</f>
        <v>247.75700000000001</v>
      </c>
      <c r="AA52" s="117">
        <f>U52*1.025</f>
        <v>252.46467499999997</v>
      </c>
      <c r="AB52" s="529">
        <f>AB51</f>
        <v>248.7</v>
      </c>
      <c r="AC52" s="529">
        <f>AC51</f>
        <v>251.63499999999999</v>
      </c>
      <c r="AD52" s="529">
        <f>AD51</f>
        <v>255.792</v>
      </c>
      <c r="AE52" s="529">
        <f>AE51</f>
        <v>256.80399999999997</v>
      </c>
      <c r="AF52" s="117">
        <f>AVERAGE(AB52:AE52)</f>
        <v>253.23274999999998</v>
      </c>
      <c r="AG52" s="529">
        <f>AG51</f>
        <v>259.56356874999994</v>
      </c>
      <c r="AH52" s="529">
        <f t="shared" ref="AH52:AJ52" si="66">AH51</f>
        <v>259.56356874999994</v>
      </c>
      <c r="AI52" s="529">
        <f t="shared" si="66"/>
        <v>259.56356874999994</v>
      </c>
      <c r="AJ52" s="529">
        <f t="shared" si="66"/>
        <v>259.56356874999994</v>
      </c>
      <c r="AK52" s="117">
        <f>AF52*1.025</f>
        <v>259.56356874999994</v>
      </c>
      <c r="AL52" s="529"/>
      <c r="AM52" s="529"/>
      <c r="AN52" s="529"/>
      <c r="AO52" s="529"/>
      <c r="AP52" s="117">
        <f>AK52*1.01</f>
        <v>262.15920443749997</v>
      </c>
      <c r="AQ52" s="529"/>
      <c r="AR52" s="529"/>
      <c r="AS52" s="529"/>
      <c r="AT52" s="529"/>
      <c r="AU52" s="117">
        <f>AP52*1.01</f>
        <v>264.78079648187497</v>
      </c>
      <c r="AV52" s="529"/>
      <c r="AW52" s="529"/>
      <c r="AX52" s="529"/>
      <c r="AY52" s="529"/>
      <c r="AZ52" s="117">
        <f>AU52*1.01</f>
        <v>267.42860444669373</v>
      </c>
      <c r="BA52" s="529"/>
      <c r="BB52" s="529"/>
      <c r="BC52" s="529"/>
      <c r="BD52" s="529"/>
      <c r="BE52" s="117">
        <f>AZ52*1.01</f>
        <v>270.10289049116068</v>
      </c>
      <c r="BF52" s="529"/>
      <c r="BG52" s="529"/>
      <c r="BH52" s="529"/>
      <c r="BI52" s="529"/>
      <c r="BJ52" s="117">
        <f>BE52*1.01</f>
        <v>272.80391939607227</v>
      </c>
      <c r="BK52" s="529"/>
      <c r="BL52" s="529"/>
      <c r="BM52" s="529"/>
      <c r="BN52" s="529"/>
      <c r="BO52" s="117">
        <f>BJ52*1.01</f>
        <v>275.53195859003301</v>
      </c>
      <c r="BP52" s="529"/>
      <c r="BQ52" s="529"/>
      <c r="BR52" s="529"/>
      <c r="BS52" s="529"/>
      <c r="BT52" s="117">
        <f>BO52*1.01</f>
        <v>278.28727817593335</v>
      </c>
      <c r="BU52" s="529"/>
      <c r="BV52" s="529"/>
      <c r="BW52" s="529"/>
      <c r="BX52" s="529"/>
      <c r="BY52" s="117">
        <f>BT52*1.01</f>
        <v>281.0701509576927</v>
      </c>
      <c r="BZ52" s="529"/>
      <c r="CA52" s="529"/>
      <c r="CB52" s="529"/>
      <c r="CC52" s="529"/>
      <c r="CD52" s="117">
        <f>BY52*1.01</f>
        <v>283.88085246726962</v>
      </c>
      <c r="CE52" s="529"/>
      <c r="CF52" s="529"/>
      <c r="CG52" s="529"/>
      <c r="CH52" s="529"/>
      <c r="CI52" s="117">
        <f>CD52*1.01</f>
        <v>286.71966099194231</v>
      </c>
      <c r="CJ52" s="529"/>
      <c r="CK52" s="529"/>
      <c r="CL52" s="529"/>
      <c r="CM52" s="529"/>
      <c r="CN52" s="117">
        <f>CI52*1.01</f>
        <v>289.58685760186171</v>
      </c>
      <c r="CO52" s="529"/>
      <c r="CP52" s="529"/>
      <c r="CQ52" s="529"/>
      <c r="CR52" s="529"/>
      <c r="CS52" s="117">
        <f>CN52*1.01</f>
        <v>292.48272617788035</v>
      </c>
      <c r="CT52" s="133"/>
      <c r="CY52"/>
      <c r="CZ52"/>
      <c r="DA52"/>
      <c r="DB52"/>
      <c r="DC52"/>
      <c r="DD52"/>
    </row>
    <row r="53" spans="2:108" s="7" customFormat="1">
      <c r="B53" s="37"/>
      <c r="C53" s="18"/>
      <c r="D53" s="8"/>
      <c r="E53" s="8"/>
      <c r="F53" s="8"/>
      <c r="G53" s="11"/>
      <c r="H53" s="525"/>
      <c r="I53" s="525"/>
      <c r="J53" s="525"/>
      <c r="K53" s="525"/>
      <c r="L53" s="249"/>
      <c r="M53" s="525"/>
      <c r="N53" s="525"/>
      <c r="O53" s="525"/>
      <c r="P53" s="525"/>
      <c r="Q53" s="249"/>
      <c r="R53" s="525"/>
      <c r="S53" s="525"/>
      <c r="T53" s="525"/>
      <c r="U53" s="524"/>
      <c r="V53" s="249"/>
      <c r="W53" s="525"/>
      <c r="X53" s="525"/>
      <c r="Y53" s="525"/>
      <c r="Z53" s="525"/>
      <c r="AA53" s="249"/>
      <c r="AB53" s="525"/>
      <c r="AC53" s="525"/>
      <c r="AD53" s="525"/>
      <c r="AE53" s="525"/>
      <c r="AF53" s="249"/>
      <c r="AG53" s="525"/>
      <c r="AH53" s="525"/>
      <c r="AI53" s="525"/>
      <c r="AJ53" s="525"/>
      <c r="AK53" s="249"/>
      <c r="AL53" s="525"/>
      <c r="AM53" s="525"/>
      <c r="AN53" s="525"/>
      <c r="AO53" s="525"/>
      <c r="AP53" s="249"/>
      <c r="AQ53" s="525"/>
      <c r="AR53" s="525"/>
      <c r="AS53" s="525"/>
      <c r="AT53" s="525"/>
      <c r="AU53" s="249"/>
      <c r="AV53" s="525"/>
      <c r="AW53" s="525"/>
      <c r="AX53" s="525"/>
      <c r="AY53" s="525"/>
      <c r="AZ53" s="249"/>
      <c r="BA53" s="525"/>
      <c r="BB53" s="525"/>
      <c r="BC53" s="525"/>
      <c r="BD53" s="525"/>
      <c r="BE53" s="249"/>
      <c r="BF53" s="525"/>
      <c r="BG53" s="525"/>
      <c r="BH53" s="525"/>
      <c r="BI53" s="525"/>
      <c r="BJ53" s="249"/>
      <c r="BK53" s="525"/>
      <c r="BL53" s="525"/>
      <c r="BM53" s="525"/>
      <c r="BN53" s="525"/>
      <c r="BO53" s="249"/>
      <c r="BP53" s="525"/>
      <c r="BQ53" s="525"/>
      <c r="BR53" s="525"/>
      <c r="BS53" s="525"/>
      <c r="BT53" s="249"/>
      <c r="BU53" s="525"/>
      <c r="BV53" s="525"/>
      <c r="BW53" s="525"/>
      <c r="BX53" s="525"/>
      <c r="BY53" s="249"/>
      <c r="BZ53" s="525"/>
      <c r="CA53" s="525"/>
      <c r="CB53" s="525"/>
      <c r="CC53" s="525"/>
      <c r="CD53" s="249"/>
      <c r="CE53" s="525"/>
      <c r="CF53" s="525"/>
      <c r="CG53" s="525"/>
      <c r="CH53" s="525"/>
      <c r="CI53" s="249"/>
      <c r="CJ53" s="525"/>
      <c r="CK53" s="525"/>
      <c r="CL53" s="525"/>
      <c r="CM53" s="525"/>
      <c r="CN53" s="249"/>
      <c r="CO53" s="525"/>
      <c r="CP53" s="525"/>
      <c r="CQ53" s="525"/>
      <c r="CR53" s="525"/>
      <c r="CS53" s="249"/>
      <c r="CT53" s="133"/>
      <c r="CY53"/>
      <c r="CZ53"/>
      <c r="DA53"/>
      <c r="DB53"/>
      <c r="DC53"/>
      <c r="DD53"/>
    </row>
    <row r="54" spans="2:108" s="7" customFormat="1">
      <c r="B54" s="37"/>
      <c r="C54" s="18"/>
      <c r="D54" s="8"/>
      <c r="E54" s="8"/>
      <c r="F54" s="8"/>
      <c r="G54" s="11"/>
      <c r="H54" s="525"/>
      <c r="I54" s="525"/>
      <c r="J54" s="525"/>
      <c r="K54" s="525"/>
      <c r="L54" s="249">
        <f>+L57+L63+L64+L69+L74+L75+L76</f>
        <v>-923.08450000000016</v>
      </c>
      <c r="M54" s="525"/>
      <c r="N54" s="525"/>
      <c r="O54" s="525"/>
      <c r="P54" s="525"/>
      <c r="Q54" s="249"/>
      <c r="R54" s="525"/>
      <c r="S54" s="525"/>
      <c r="T54" s="580"/>
      <c r="U54" s="525"/>
      <c r="V54" s="249"/>
      <c r="W54" s="525"/>
      <c r="X54" s="525"/>
      <c r="Y54" s="525"/>
      <c r="Z54" s="525"/>
      <c r="AA54" s="607"/>
      <c r="AB54" s="608"/>
      <c r="AC54" s="608"/>
      <c r="AD54" s="608"/>
      <c r="AE54" s="770"/>
      <c r="AF54" s="607"/>
      <c r="AG54" s="608"/>
      <c r="AH54" s="608"/>
      <c r="AI54" s="608"/>
      <c r="AJ54" s="608"/>
      <c r="AK54" s="607"/>
      <c r="AL54" s="608"/>
      <c r="AM54" s="608"/>
      <c r="AN54" s="608"/>
      <c r="AO54" s="608"/>
      <c r="AP54" s="607"/>
      <c r="AQ54" s="608"/>
      <c r="AR54" s="608"/>
      <c r="AS54" s="608"/>
      <c r="AT54" s="608"/>
      <c r="AU54" s="607"/>
      <c r="AV54" s="608"/>
      <c r="AW54" s="608"/>
      <c r="AX54" s="608"/>
      <c r="AY54" s="608"/>
      <c r="AZ54" s="607"/>
      <c r="BA54" s="608"/>
      <c r="BB54" s="608"/>
      <c r="BC54" s="608"/>
      <c r="BD54" s="608"/>
      <c r="BE54" s="607"/>
      <c r="BF54" s="608"/>
      <c r="BG54" s="608"/>
      <c r="BH54" s="608"/>
      <c r="BI54" s="608"/>
      <c r="BJ54" s="607"/>
      <c r="BK54" s="608"/>
      <c r="BL54" s="608"/>
      <c r="BM54" s="608"/>
      <c r="BN54" s="608"/>
      <c r="BO54" s="607"/>
      <c r="BP54" s="608"/>
      <c r="BQ54" s="608"/>
      <c r="BR54" s="608"/>
      <c r="BS54" s="608"/>
      <c r="BT54" s="607"/>
      <c r="BU54" s="608"/>
      <c r="BV54" s="608"/>
      <c r="BW54" s="608"/>
      <c r="BX54" s="608"/>
      <c r="BY54" s="607"/>
      <c r="BZ54" s="608"/>
      <c r="CA54" s="608"/>
      <c r="CB54" s="608"/>
      <c r="CC54" s="608"/>
      <c r="CD54" s="607"/>
      <c r="CE54" s="608"/>
      <c r="CF54" s="608"/>
      <c r="CG54" s="608"/>
      <c r="CH54" s="608"/>
      <c r="CI54" s="607"/>
      <c r="CJ54" s="608"/>
      <c r="CK54" s="608"/>
      <c r="CL54" s="608"/>
      <c r="CM54" s="608"/>
      <c r="CN54" s="607"/>
      <c r="CO54" s="608"/>
      <c r="CP54" s="608"/>
      <c r="CQ54" s="608"/>
      <c r="CR54" s="608"/>
      <c r="CS54" s="607"/>
      <c r="CT54" s="133"/>
      <c r="CY54"/>
      <c r="CZ54"/>
      <c r="DA54"/>
      <c r="DB54"/>
      <c r="DC54"/>
      <c r="DD54"/>
    </row>
    <row r="55" spans="2:108" s="7" customFormat="1">
      <c r="B55" s="37"/>
      <c r="C55" s="18"/>
      <c r="D55" s="8"/>
      <c r="E55" s="8"/>
      <c r="F55" s="8"/>
      <c r="G55" s="11"/>
      <c r="H55" s="525"/>
      <c r="I55" s="525"/>
      <c r="J55" s="525"/>
      <c r="K55" s="525"/>
      <c r="L55" s="249"/>
      <c r="M55" s="525"/>
      <c r="N55" s="525"/>
      <c r="O55" s="525"/>
      <c r="P55" s="525"/>
      <c r="Q55" s="249"/>
      <c r="R55" s="525"/>
      <c r="S55" s="525"/>
      <c r="T55" s="525"/>
      <c r="U55" s="580"/>
      <c r="V55" s="405"/>
      <c r="W55" s="525"/>
      <c r="X55" s="525"/>
      <c r="Y55" s="525"/>
      <c r="Z55" s="525"/>
      <c r="AA55" s="607"/>
      <c r="AB55" s="608"/>
      <c r="AC55" s="608"/>
      <c r="AD55" s="608"/>
      <c r="AE55" s="608"/>
      <c r="AF55" s="607"/>
      <c r="AG55" s="608"/>
      <c r="AH55" s="608"/>
      <c r="AI55" s="608"/>
      <c r="AJ55" s="608"/>
      <c r="AK55" s="607"/>
      <c r="AL55" s="608"/>
      <c r="AM55" s="608"/>
      <c r="AN55" s="608"/>
      <c r="AO55" s="608"/>
      <c r="AP55" s="607"/>
      <c r="AQ55" s="608"/>
      <c r="AR55" s="608"/>
      <c r="AS55" s="608"/>
      <c r="AT55" s="608"/>
      <c r="AU55" s="607"/>
      <c r="AV55" s="608"/>
      <c r="AW55" s="608"/>
      <c r="AX55" s="608"/>
      <c r="AY55" s="608"/>
      <c r="AZ55" s="607"/>
      <c r="BA55" s="608"/>
      <c r="BB55" s="608"/>
      <c r="BC55" s="608"/>
      <c r="BD55" s="608"/>
      <c r="BE55" s="607"/>
      <c r="BF55" s="608"/>
      <c r="BG55" s="608"/>
      <c r="BH55" s="608"/>
      <c r="BI55" s="608"/>
      <c r="BJ55" s="607"/>
      <c r="BK55" s="608"/>
      <c r="BL55" s="608"/>
      <c r="BM55" s="608"/>
      <c r="BN55" s="608"/>
      <c r="BO55" s="607"/>
      <c r="BP55" s="608"/>
      <c r="BQ55" s="608"/>
      <c r="BR55" s="608"/>
      <c r="BS55" s="608"/>
      <c r="BT55" s="607"/>
      <c r="BU55" s="608"/>
      <c r="BV55" s="608"/>
      <c r="BW55" s="608"/>
      <c r="BX55" s="608"/>
      <c r="BY55" s="607"/>
      <c r="BZ55" s="608"/>
      <c r="CA55" s="608"/>
      <c r="CB55" s="608"/>
      <c r="CC55" s="608"/>
      <c r="CD55" s="607"/>
      <c r="CE55" s="608"/>
      <c r="CF55" s="608"/>
      <c r="CG55" s="608"/>
      <c r="CH55" s="608"/>
      <c r="CI55" s="607"/>
      <c r="CJ55" s="608"/>
      <c r="CK55" s="608"/>
      <c r="CL55" s="608"/>
      <c r="CM55" s="608"/>
      <c r="CN55" s="607"/>
      <c r="CO55" s="608"/>
      <c r="CP55" s="608"/>
      <c r="CQ55" s="608"/>
      <c r="CR55" s="608"/>
      <c r="CS55" s="607"/>
      <c r="CT55" s="133"/>
      <c r="CY55"/>
      <c r="CZ55"/>
      <c r="DA55"/>
      <c r="DB55"/>
      <c r="DC55"/>
      <c r="DD55"/>
    </row>
    <row r="56" spans="2:108" s="7" customFormat="1">
      <c r="B56" s="413" t="s">
        <v>482</v>
      </c>
      <c r="C56" s="18"/>
      <c r="D56" s="8"/>
      <c r="E56" s="8"/>
      <c r="F56" s="8"/>
      <c r="G56" s="11"/>
      <c r="H56" s="525"/>
      <c r="I56" s="525"/>
      <c r="J56" s="525"/>
      <c r="K56" s="525"/>
      <c r="L56" s="249"/>
      <c r="M56" s="525"/>
      <c r="N56" s="525"/>
      <c r="O56" s="525"/>
      <c r="P56" s="525"/>
      <c r="Q56" s="249"/>
      <c r="R56" s="525"/>
      <c r="S56" s="525"/>
      <c r="T56" s="525"/>
      <c r="U56" s="580"/>
      <c r="V56" s="249"/>
      <c r="W56" s="525"/>
      <c r="X56" s="525"/>
      <c r="Y56" s="525"/>
      <c r="Z56" s="525"/>
      <c r="AA56" s="249"/>
      <c r="AB56" s="525"/>
      <c r="AC56" s="525"/>
      <c r="AD56" s="525"/>
      <c r="AE56" s="525"/>
      <c r="AF56" s="249"/>
      <c r="AG56" s="525"/>
      <c r="AH56" s="525"/>
      <c r="AI56" s="525"/>
      <c r="AJ56" s="525"/>
      <c r="AK56" s="249"/>
      <c r="AL56" s="525"/>
      <c r="AM56" s="525"/>
      <c r="AN56" s="525"/>
      <c r="AO56" s="525"/>
      <c r="AP56" s="249"/>
      <c r="AQ56" s="525"/>
      <c r="AR56" s="525"/>
      <c r="AS56" s="525"/>
      <c r="AT56" s="525"/>
      <c r="AU56" s="249"/>
      <c r="AV56" s="525"/>
      <c r="AW56" s="525"/>
      <c r="AX56" s="525"/>
      <c r="AY56" s="525"/>
      <c r="AZ56" s="249"/>
      <c r="BA56" s="525"/>
      <c r="BB56" s="525"/>
      <c r="BC56" s="525"/>
      <c r="BD56" s="525"/>
      <c r="BE56" s="249"/>
      <c r="BF56" s="525"/>
      <c r="BG56" s="525"/>
      <c r="BH56" s="525"/>
      <c r="BI56" s="525"/>
      <c r="BJ56" s="249"/>
      <c r="BK56" s="525"/>
      <c r="BL56" s="525"/>
      <c r="BM56" s="525"/>
      <c r="BN56" s="525"/>
      <c r="BO56" s="249"/>
      <c r="BP56" s="525"/>
      <c r="BQ56" s="525"/>
      <c r="BR56" s="525"/>
      <c r="BS56" s="525"/>
      <c r="BT56" s="249"/>
      <c r="BU56" s="525"/>
      <c r="BV56" s="525"/>
      <c r="BW56" s="525"/>
      <c r="BX56" s="525"/>
      <c r="BY56" s="249"/>
      <c r="BZ56" s="525"/>
      <c r="CA56" s="525"/>
      <c r="CB56" s="525"/>
      <c r="CC56" s="525"/>
      <c r="CD56" s="249"/>
      <c r="CE56" s="525"/>
      <c r="CF56" s="525"/>
      <c r="CG56" s="525"/>
      <c r="CH56" s="525"/>
      <c r="CI56" s="249"/>
      <c r="CJ56" s="525"/>
      <c r="CK56" s="525"/>
      <c r="CL56" s="525"/>
      <c r="CM56" s="525"/>
      <c r="CN56" s="249"/>
      <c r="CO56" s="525"/>
      <c r="CP56" s="525"/>
      <c r="CQ56" s="525"/>
      <c r="CR56" s="525"/>
      <c r="CS56" s="249"/>
      <c r="CT56" s="133"/>
      <c r="CY56"/>
      <c r="CZ56"/>
      <c r="DA56"/>
      <c r="DB56"/>
      <c r="DC56"/>
      <c r="DD56"/>
    </row>
    <row r="57" spans="2:108">
      <c r="B57" s="15" t="s">
        <v>476</v>
      </c>
      <c r="C57" s="116"/>
      <c r="D57" s="114"/>
      <c r="E57" s="114"/>
      <c r="F57" s="115"/>
      <c r="G57" s="12">
        <f t="shared" ref="G57:V57" si="67">G58+G62</f>
        <v>0</v>
      </c>
      <c r="H57" s="519">
        <f t="shared" si="67"/>
        <v>0</v>
      </c>
      <c r="I57" s="519">
        <f t="shared" si="67"/>
        <v>0</v>
      </c>
      <c r="J57" s="519">
        <f t="shared" si="67"/>
        <v>0</v>
      </c>
      <c r="K57" s="575">
        <f t="shared" si="67"/>
        <v>-182.39599999999999</v>
      </c>
      <c r="L57" s="246">
        <f t="shared" si="67"/>
        <v>-182.39599999999999</v>
      </c>
      <c r="M57" s="519">
        <v>0</v>
      </c>
      <c r="N57" s="519">
        <v>0</v>
      </c>
      <c r="O57" s="519">
        <f t="shared" si="67"/>
        <v>-13.971999999999998</v>
      </c>
      <c r="P57" s="575">
        <v>0</v>
      </c>
      <c r="Q57" s="246"/>
      <c r="R57" s="519">
        <f t="shared" si="67"/>
        <v>-3.0690000000000004</v>
      </c>
      <c r="S57" s="519">
        <f t="shared" si="67"/>
        <v>-6.1680000000000001</v>
      </c>
      <c r="T57" s="519">
        <f t="shared" si="67"/>
        <v>-7.52</v>
      </c>
      <c r="U57" s="519">
        <f t="shared" si="67"/>
        <v>-7.58</v>
      </c>
      <c r="V57" s="246">
        <f t="shared" si="67"/>
        <v>-24.337000000000003</v>
      </c>
      <c r="W57" s="519">
        <f>W58+W62</f>
        <v>-0.92499999999999993</v>
      </c>
      <c r="X57" s="519">
        <f t="shared" ref="X57:Y57" si="68">X58+X62</f>
        <v>-8.3999999999999964E-2</v>
      </c>
      <c r="Y57" s="519">
        <f t="shared" si="68"/>
        <v>-0.246</v>
      </c>
      <c r="Z57" s="519">
        <f>Z58+Z62</f>
        <v>-0.215</v>
      </c>
      <c r="AA57" s="246">
        <f t="shared" ref="AA57" si="69">AA58+AA62</f>
        <v>-1.47</v>
      </c>
      <c r="AB57" s="519"/>
      <c r="AC57" s="519"/>
      <c r="AD57" s="519"/>
      <c r="AE57" s="519"/>
      <c r="AF57" s="246">
        <f>AF58+AF62</f>
        <v>0</v>
      </c>
      <c r="AG57" s="519"/>
      <c r="AH57" s="519"/>
      <c r="AI57" s="519"/>
      <c r="AJ57" s="519"/>
      <c r="AK57" s="246">
        <f>AK58+AK62</f>
        <v>0</v>
      </c>
      <c r="AL57" s="519"/>
      <c r="AM57" s="519"/>
      <c r="AN57" s="519"/>
      <c r="AO57" s="519"/>
      <c r="AP57" s="246">
        <f>AP58+AP62</f>
        <v>0</v>
      </c>
      <c r="AQ57" s="519"/>
      <c r="AR57" s="519"/>
      <c r="AS57" s="519"/>
      <c r="AT57" s="519"/>
      <c r="AU57" s="246">
        <f>AU58+AU62</f>
        <v>0</v>
      </c>
      <c r="AV57" s="519"/>
      <c r="AW57" s="519"/>
      <c r="AX57" s="519"/>
      <c r="AY57" s="519"/>
      <c r="AZ57" s="246"/>
      <c r="BA57" s="519"/>
      <c r="BB57" s="519"/>
      <c r="BC57" s="519"/>
      <c r="BD57" s="519"/>
      <c r="BE57" s="246"/>
      <c r="BF57" s="519"/>
      <c r="BG57" s="519"/>
      <c r="BH57" s="519"/>
      <c r="BI57" s="519"/>
      <c r="BJ57" s="246"/>
      <c r="BK57" s="519"/>
      <c r="BL57" s="519"/>
      <c r="BM57" s="519"/>
      <c r="BN57" s="519"/>
      <c r="BO57" s="246"/>
      <c r="BP57" s="519"/>
      <c r="BQ57" s="519"/>
      <c r="BR57" s="519"/>
      <c r="BS57" s="519"/>
      <c r="BT57" s="246"/>
      <c r="BU57" s="519"/>
      <c r="BV57" s="519"/>
      <c r="BW57" s="519"/>
      <c r="BX57" s="519"/>
      <c r="BY57" s="246"/>
      <c r="BZ57" s="519"/>
      <c r="CA57" s="519"/>
      <c r="CB57" s="519"/>
      <c r="CC57" s="519"/>
      <c r="CD57" s="246"/>
      <c r="CE57" s="519"/>
      <c r="CF57" s="519"/>
      <c r="CG57" s="519"/>
      <c r="CH57" s="519"/>
      <c r="CI57" s="246"/>
      <c r="CJ57" s="519"/>
      <c r="CK57" s="519"/>
      <c r="CL57" s="519"/>
      <c r="CM57" s="519"/>
      <c r="CN57" s="246"/>
      <c r="CO57" s="519"/>
      <c r="CP57" s="519"/>
      <c r="CQ57" s="519"/>
      <c r="CR57" s="519"/>
      <c r="CS57" s="246"/>
      <c r="CT57" s="133"/>
    </row>
    <row r="58" spans="2:108" hidden="1" outlineLevel="1">
      <c r="B58" s="119" t="s">
        <v>177</v>
      </c>
      <c r="C58" s="19"/>
      <c r="D58" s="9"/>
      <c r="E58" s="9"/>
      <c r="F58" s="10"/>
      <c r="G58" s="12"/>
      <c r="H58" s="522">
        <v>0</v>
      </c>
      <c r="I58" s="522">
        <v>0</v>
      </c>
      <c r="J58" s="522">
        <v>0</v>
      </c>
      <c r="K58" s="576">
        <v>-182.39599999999999</v>
      </c>
      <c r="L58" s="246">
        <f>SUM(H58:K58)</f>
        <v>-182.39599999999999</v>
      </c>
      <c r="M58" s="522">
        <v>-10.241</v>
      </c>
      <c r="N58" s="522">
        <v>-16.445</v>
      </c>
      <c r="O58" s="522">
        <f>-44.626-M58-N58-P58</f>
        <v>-13.971999999999998</v>
      </c>
      <c r="P58" s="576">
        <v>-3.968</v>
      </c>
      <c r="Q58" s="246">
        <f>SUM(M58:P58)</f>
        <v>-44.626000000000005</v>
      </c>
      <c r="R58" s="522">
        <v>-2.8690000000000002</v>
      </c>
      <c r="S58" s="522">
        <v>-6.0940000000000003</v>
      </c>
      <c r="T58" s="519">
        <f>T59+T60+T61</f>
        <v>-7.52</v>
      </c>
      <c r="U58" s="519">
        <f>U59+U60+U61</f>
        <v>-7.58</v>
      </c>
      <c r="V58" s="246">
        <f>SUM(R58:U58)</f>
        <v>-24.063000000000002</v>
      </c>
      <c r="W58" s="519">
        <f>W59+W60+W61+W62</f>
        <v>-0.92499999999999993</v>
      </c>
      <c r="X58" s="519">
        <f>X59+X60+X61+X62</f>
        <v>-8.3999999999999964E-2</v>
      </c>
      <c r="Y58" s="519">
        <f t="shared" ref="Y58" si="70">Y59+Y60+Y61+Y62</f>
        <v>-0.246</v>
      </c>
      <c r="Z58" s="519">
        <f>Z59+Z60+Z61</f>
        <v>-0.121</v>
      </c>
      <c r="AA58" s="246">
        <f>SUM(W58:Z58)</f>
        <v>-1.3759999999999999</v>
      </c>
      <c r="AB58" s="519"/>
      <c r="AC58" s="519"/>
      <c r="AD58" s="519"/>
      <c r="AE58" s="519"/>
      <c r="AF58" s="246"/>
      <c r="AG58" s="519"/>
      <c r="AH58" s="519"/>
      <c r="AI58" s="519"/>
      <c r="AJ58" s="519"/>
      <c r="AK58" s="246"/>
      <c r="AL58" s="519"/>
      <c r="AM58" s="519"/>
      <c r="AN58" s="519"/>
      <c r="AO58" s="519"/>
      <c r="AP58" s="246"/>
      <c r="AQ58" s="519"/>
      <c r="AR58" s="519"/>
      <c r="AS58" s="519"/>
      <c r="AT58" s="519"/>
      <c r="AU58" s="246"/>
      <c r="AV58" s="519"/>
      <c r="AW58" s="519"/>
      <c r="AX58" s="519"/>
      <c r="AY58" s="519"/>
      <c r="AZ58" s="246"/>
      <c r="BA58" s="519"/>
      <c r="BB58" s="519"/>
      <c r="BC58" s="519"/>
      <c r="BD58" s="519"/>
      <c r="BE58" s="246"/>
      <c r="BF58" s="519"/>
      <c r="BG58" s="519"/>
      <c r="BH58" s="519"/>
      <c r="BI58" s="519"/>
      <c r="BJ58" s="246"/>
      <c r="BK58" s="519"/>
      <c r="BL58" s="519"/>
      <c r="BM58" s="519"/>
      <c r="BN58" s="519"/>
      <c r="BO58" s="246"/>
      <c r="BP58" s="519"/>
      <c r="BQ58" s="519"/>
      <c r="BR58" s="519"/>
      <c r="BS58" s="519"/>
      <c r="BT58" s="246"/>
      <c r="BU58" s="519"/>
      <c r="BV58" s="519"/>
      <c r="BW58" s="519"/>
      <c r="BX58" s="519"/>
      <c r="BY58" s="246"/>
      <c r="BZ58" s="519"/>
      <c r="CA58" s="519"/>
      <c r="CB58" s="519"/>
      <c r="CC58" s="519"/>
      <c r="CD58" s="246"/>
      <c r="CE58" s="519"/>
      <c r="CF58" s="519"/>
      <c r="CG58" s="519"/>
      <c r="CH58" s="519"/>
      <c r="CI58" s="246"/>
      <c r="CJ58" s="519"/>
      <c r="CK58" s="519"/>
      <c r="CL58" s="519"/>
      <c r="CM58" s="519"/>
      <c r="CN58" s="246"/>
      <c r="CO58" s="519"/>
      <c r="CP58" s="519"/>
      <c r="CQ58" s="519"/>
      <c r="CR58" s="519"/>
      <c r="CS58" s="246"/>
      <c r="CT58" s="133"/>
    </row>
    <row r="59" spans="2:108" hidden="1" outlineLevel="1">
      <c r="B59" s="414" t="s">
        <v>483</v>
      </c>
      <c r="C59" s="19"/>
      <c r="D59" s="9"/>
      <c r="E59" s="9"/>
      <c r="F59" s="10"/>
      <c r="G59" s="12"/>
      <c r="H59" s="522"/>
      <c r="I59" s="522"/>
      <c r="J59" s="522"/>
      <c r="K59" s="576"/>
      <c r="L59" s="246"/>
      <c r="M59" s="522">
        <v>-3.9460000000000002</v>
      </c>
      <c r="N59" s="522">
        <v>-9.2639999999999993</v>
      </c>
      <c r="O59" s="522">
        <v>-10.298</v>
      </c>
      <c r="P59" s="576">
        <f>24.071-SUM(M89:O89)</f>
        <v>0.56300000000000239</v>
      </c>
      <c r="Q59" s="246">
        <f t="shared" ref="Q59:Q61" si="71">SUM(M59:P59)</f>
        <v>-22.944999999999997</v>
      </c>
      <c r="R59" s="522">
        <v>-0.70099999999999996</v>
      </c>
      <c r="S59" s="522">
        <v>-5.5</v>
      </c>
      <c r="T59" s="522">
        <f>-T89</f>
        <v>-5.8109999999999999</v>
      </c>
      <c r="U59" s="522">
        <f>-U89</f>
        <v>-5.9749999999999979</v>
      </c>
      <c r="V59" s="246">
        <f t="shared" ref="V59:V61" si="72">SUM(R59:U59)</f>
        <v>-17.986999999999998</v>
      </c>
      <c r="W59" s="570"/>
      <c r="X59" s="519"/>
      <c r="Y59" s="519"/>
      <c r="Z59" s="519"/>
      <c r="AA59" s="246">
        <f t="shared" ref="AA59:AA61" si="73">SUM(W59:Z59)</f>
        <v>0</v>
      </c>
      <c r="AB59" s="519"/>
      <c r="AC59" s="519"/>
      <c r="AD59" s="519"/>
      <c r="AE59" s="519"/>
      <c r="AF59" s="246"/>
      <c r="AG59" s="519"/>
      <c r="AH59" s="519"/>
      <c r="AI59" s="519"/>
      <c r="AJ59" s="519"/>
      <c r="AK59" s="246"/>
      <c r="AL59" s="519"/>
      <c r="AM59" s="519"/>
      <c r="AN59" s="519"/>
      <c r="AO59" s="519"/>
      <c r="AP59" s="246"/>
      <c r="AQ59" s="519"/>
      <c r="AR59" s="519"/>
      <c r="AS59" s="519"/>
      <c r="AT59" s="519"/>
      <c r="AU59" s="246"/>
      <c r="AV59" s="519"/>
      <c r="AW59" s="519"/>
      <c r="AX59" s="519"/>
      <c r="AY59" s="519"/>
      <c r="AZ59" s="246"/>
      <c r="BA59" s="519"/>
      <c r="BB59" s="519"/>
      <c r="BC59" s="519"/>
      <c r="BD59" s="519"/>
      <c r="BE59" s="246"/>
      <c r="BF59" s="519"/>
      <c r="BG59" s="519"/>
      <c r="BH59" s="519"/>
      <c r="BI59" s="519"/>
      <c r="BJ59" s="246"/>
      <c r="BK59" s="519"/>
      <c r="BL59" s="519"/>
      <c r="BM59" s="519"/>
      <c r="BN59" s="519"/>
      <c r="BO59" s="246"/>
      <c r="BP59" s="519"/>
      <c r="BQ59" s="519"/>
      <c r="BR59" s="519"/>
      <c r="BS59" s="519"/>
      <c r="BT59" s="246"/>
      <c r="BU59" s="519"/>
      <c r="BV59" s="519"/>
      <c r="BW59" s="519"/>
      <c r="BX59" s="519"/>
      <c r="BY59" s="246"/>
      <c r="BZ59" s="519"/>
      <c r="CA59" s="519"/>
      <c r="CB59" s="519"/>
      <c r="CC59" s="519"/>
      <c r="CD59" s="246"/>
      <c r="CE59" s="519"/>
      <c r="CF59" s="519"/>
      <c r="CG59" s="519"/>
      <c r="CH59" s="519"/>
      <c r="CI59" s="246"/>
      <c r="CJ59" s="519"/>
      <c r="CK59" s="519"/>
      <c r="CL59" s="519"/>
      <c r="CM59" s="519"/>
      <c r="CN59" s="246"/>
      <c r="CO59" s="519"/>
      <c r="CP59" s="519"/>
      <c r="CQ59" s="519"/>
      <c r="CR59" s="519"/>
      <c r="CS59" s="246"/>
      <c r="CT59" s="133"/>
    </row>
    <row r="60" spans="2:108" hidden="1" outlineLevel="1">
      <c r="B60" s="414" t="s">
        <v>484</v>
      </c>
      <c r="C60" s="19"/>
      <c r="D60" s="9"/>
      <c r="E60" s="9"/>
      <c r="F60" s="10"/>
      <c r="G60" s="12"/>
      <c r="H60" s="522"/>
      <c r="I60" s="522"/>
      <c r="J60" s="522"/>
      <c r="K60" s="576"/>
      <c r="L60" s="246"/>
      <c r="M60" s="522">
        <v>-1.4</v>
      </c>
      <c r="N60" s="522">
        <v>-1.5</v>
      </c>
      <c r="O60" s="522">
        <v>-1.4</v>
      </c>
      <c r="P60" s="576">
        <v>-2.8</v>
      </c>
      <c r="Q60" s="246">
        <f t="shared" si="71"/>
        <v>-7.1</v>
      </c>
      <c r="R60" s="522">
        <f>R58-R59-R61</f>
        <v>-0.66800000000000015</v>
      </c>
      <c r="S60" s="522">
        <v>-0.61099999999999999</v>
      </c>
      <c r="T60" s="519">
        <f>-6.415-T59</f>
        <v>-0.60400000000000009</v>
      </c>
      <c r="U60" s="570">
        <f>-6.071-U59</f>
        <v>-9.6000000000001862E-2</v>
      </c>
      <c r="V60" s="246">
        <f t="shared" si="72"/>
        <v>-1.9790000000000021</v>
      </c>
      <c r="W60" s="570">
        <v>-7.3999999999999996E-2</v>
      </c>
      <c r="X60" s="570">
        <v>-0.57299999999999995</v>
      </c>
      <c r="Y60" s="570">
        <v>-4.2999999999999997E-2</v>
      </c>
      <c r="Z60" s="519">
        <v>-0.121</v>
      </c>
      <c r="AA60" s="246">
        <f t="shared" si="73"/>
        <v>-0.81099999999999994</v>
      </c>
      <c r="AB60" s="570">
        <v>-232.46199999999999</v>
      </c>
      <c r="AC60" s="519">
        <v>-27.222000000000001</v>
      </c>
      <c r="AD60" s="519">
        <f>-21.082-5.209</f>
        <v>-26.291</v>
      </c>
      <c r="AE60" s="519">
        <f>-0.497-28.509</f>
        <v>-29.006</v>
      </c>
      <c r="AF60" s="246">
        <f>AE60+AD60+AC60+AB60</f>
        <v>-314.98099999999999</v>
      </c>
      <c r="AG60" s="519"/>
      <c r="AH60" s="519"/>
      <c r="AI60" s="519"/>
      <c r="AJ60" s="519"/>
      <c r="AK60" s="246"/>
      <c r="AL60" s="519"/>
      <c r="AM60" s="519"/>
      <c r="AN60" s="519"/>
      <c r="AO60" s="519"/>
      <c r="AP60" s="246"/>
      <c r="AQ60" s="519"/>
      <c r="AR60" s="519"/>
      <c r="AS60" s="519"/>
      <c r="AT60" s="519"/>
      <c r="AU60" s="246"/>
      <c r="AV60" s="519"/>
      <c r="AW60" s="519"/>
      <c r="AX60" s="519"/>
      <c r="AY60" s="519"/>
      <c r="AZ60" s="246"/>
      <c r="BA60" s="519"/>
      <c r="BB60" s="519"/>
      <c r="BC60" s="519"/>
      <c r="BD60" s="519"/>
      <c r="BE60" s="246"/>
      <c r="BF60" s="519"/>
      <c r="BG60" s="519"/>
      <c r="BH60" s="519"/>
      <c r="BI60" s="519"/>
      <c r="BJ60" s="246"/>
      <c r="BK60" s="519"/>
      <c r="BL60" s="519"/>
      <c r="BM60" s="519"/>
      <c r="BN60" s="519"/>
      <c r="BO60" s="246"/>
      <c r="BP60" s="519"/>
      <c r="BQ60" s="519"/>
      <c r="BR60" s="519"/>
      <c r="BS60" s="519"/>
      <c r="BT60" s="246"/>
      <c r="BU60" s="519"/>
      <c r="BV60" s="519"/>
      <c r="BW60" s="519"/>
      <c r="BX60" s="519"/>
      <c r="BY60" s="246"/>
      <c r="BZ60" s="519"/>
      <c r="CA60" s="519"/>
      <c r="CB60" s="519"/>
      <c r="CC60" s="519"/>
      <c r="CD60" s="246"/>
      <c r="CE60" s="519"/>
      <c r="CF60" s="519"/>
      <c r="CG60" s="519"/>
      <c r="CH60" s="519"/>
      <c r="CI60" s="246"/>
      <c r="CJ60" s="519"/>
      <c r="CK60" s="519"/>
      <c r="CL60" s="519"/>
      <c r="CM60" s="519"/>
      <c r="CN60" s="246"/>
      <c r="CO60" s="519"/>
      <c r="CP60" s="519"/>
      <c r="CQ60" s="519"/>
      <c r="CR60" s="519"/>
      <c r="CS60" s="246"/>
      <c r="CT60" s="133"/>
    </row>
    <row r="61" spans="2:108" hidden="1" outlineLevel="1">
      <c r="B61" s="414" t="s">
        <v>212</v>
      </c>
      <c r="C61" s="19"/>
      <c r="D61" s="9"/>
      <c r="E61" s="9"/>
      <c r="F61" s="10"/>
      <c r="G61" s="12"/>
      <c r="H61" s="522"/>
      <c r="I61" s="522"/>
      <c r="J61" s="522"/>
      <c r="K61" s="576"/>
      <c r="L61" s="246"/>
      <c r="M61" s="522">
        <f>M58-M59-M60</f>
        <v>-4.8949999999999996</v>
      </c>
      <c r="N61" s="522">
        <f>N58-N59-N60</f>
        <v>-5.6810000000000009</v>
      </c>
      <c r="O61" s="522">
        <f>O58-O59-O60</f>
        <v>-2.2739999999999978</v>
      </c>
      <c r="P61" s="576">
        <f>P58-P59-P60</f>
        <v>-1.7310000000000025</v>
      </c>
      <c r="Q61" s="246">
        <f t="shared" si="71"/>
        <v>-14.581</v>
      </c>
      <c r="R61" s="522">
        <v>-1.5</v>
      </c>
      <c r="S61" s="522">
        <f>S58-S59-S60</f>
        <v>1.6999999999999682E-2</v>
      </c>
      <c r="T61" s="519">
        <v>-1.105</v>
      </c>
      <c r="U61" s="570">
        <v>-1.5089999999999999</v>
      </c>
      <c r="V61" s="246">
        <f t="shared" si="72"/>
        <v>-4.0969999999999995</v>
      </c>
      <c r="W61" s="570">
        <f>-0.851</f>
        <v>-0.85099999999999998</v>
      </c>
      <c r="X61" s="570">
        <v>0.48899999999999999</v>
      </c>
      <c r="Y61" s="570">
        <v>-0.20300000000000001</v>
      </c>
      <c r="Z61" s="519">
        <v>0</v>
      </c>
      <c r="AA61" s="246">
        <f t="shared" si="73"/>
        <v>-0.56499999999999995</v>
      </c>
      <c r="AB61" s="519"/>
      <c r="AC61" s="519"/>
      <c r="AD61" s="519"/>
      <c r="AE61" s="519"/>
      <c r="AF61" s="246"/>
      <c r="AG61" s="519"/>
      <c r="AH61" s="519"/>
      <c r="AI61" s="519"/>
      <c r="AJ61" s="519"/>
      <c r="AK61" s="246"/>
      <c r="AL61" s="519"/>
      <c r="AM61" s="519"/>
      <c r="AN61" s="519"/>
      <c r="AO61" s="519"/>
      <c r="AP61" s="246"/>
      <c r="AQ61" s="519"/>
      <c r="AR61" s="519"/>
      <c r="AS61" s="519"/>
      <c r="AT61" s="519"/>
      <c r="AU61" s="246"/>
      <c r="AV61" s="519"/>
      <c r="AW61" s="519"/>
      <c r="AX61" s="519"/>
      <c r="AY61" s="519"/>
      <c r="AZ61" s="246"/>
      <c r="BA61" s="519"/>
      <c r="BB61" s="519"/>
      <c r="BC61" s="519"/>
      <c r="BD61" s="519"/>
      <c r="BE61" s="246"/>
      <c r="BF61" s="519"/>
      <c r="BG61" s="519"/>
      <c r="BH61" s="519"/>
      <c r="BI61" s="519"/>
      <c r="BJ61" s="246"/>
      <c r="BK61" s="519"/>
      <c r="BL61" s="519"/>
      <c r="BM61" s="519"/>
      <c r="BN61" s="519"/>
      <c r="BO61" s="246"/>
      <c r="BP61" s="519"/>
      <c r="BQ61" s="519"/>
      <c r="BR61" s="519"/>
      <c r="BS61" s="519"/>
      <c r="BT61" s="246"/>
      <c r="BU61" s="519"/>
      <c r="BV61" s="519"/>
      <c r="BW61" s="519"/>
      <c r="BX61" s="519"/>
      <c r="BY61" s="246"/>
      <c r="BZ61" s="519"/>
      <c r="CA61" s="519"/>
      <c r="CB61" s="519"/>
      <c r="CC61" s="519"/>
      <c r="CD61" s="246"/>
      <c r="CE61" s="519"/>
      <c r="CF61" s="519"/>
      <c r="CG61" s="519"/>
      <c r="CH61" s="519"/>
      <c r="CI61" s="246"/>
      <c r="CJ61" s="519"/>
      <c r="CK61" s="519"/>
      <c r="CL61" s="519"/>
      <c r="CM61" s="519"/>
      <c r="CN61" s="246"/>
      <c r="CO61" s="519"/>
      <c r="CP61" s="519"/>
      <c r="CQ61" s="519"/>
      <c r="CR61" s="519"/>
      <c r="CS61" s="246"/>
      <c r="CT61" s="133"/>
    </row>
    <row r="62" spans="2:108" hidden="1" outlineLevel="1">
      <c r="B62" s="119" t="s">
        <v>178</v>
      </c>
      <c r="C62" s="19"/>
      <c r="D62" s="9"/>
      <c r="E62" s="9"/>
      <c r="F62" s="10"/>
      <c r="G62" s="12"/>
      <c r="H62" s="522">
        <v>0</v>
      </c>
      <c r="I62" s="522">
        <v>0</v>
      </c>
      <c r="J62" s="522">
        <v>0</v>
      </c>
      <c r="K62" s="576">
        <v>0</v>
      </c>
      <c r="L62" s="246">
        <f>SUM(H62:K62)</f>
        <v>0</v>
      </c>
      <c r="M62" s="522">
        <v>0</v>
      </c>
      <c r="N62" s="522">
        <v>0</v>
      </c>
      <c r="O62" s="522">
        <v>0</v>
      </c>
      <c r="P62" s="576">
        <v>0</v>
      </c>
      <c r="Q62" s="246">
        <f>SUM(M62:P62)</f>
        <v>0</v>
      </c>
      <c r="R62" s="522">
        <v>-0.2</v>
      </c>
      <c r="S62" s="522">
        <v>-7.3999999999999996E-2</v>
      </c>
      <c r="T62" s="519"/>
      <c r="U62" s="519"/>
      <c r="V62" s="246">
        <f>SUM(R62:U62)</f>
        <v>-0.27400000000000002</v>
      </c>
      <c r="W62" s="519"/>
      <c r="X62" s="519"/>
      <c r="Y62" s="519"/>
      <c r="Z62" s="519">
        <v>-9.4E-2</v>
      </c>
      <c r="AA62" s="246">
        <f>SUM(W62:Z62)</f>
        <v>-9.4E-2</v>
      </c>
      <c r="AB62" s="519"/>
      <c r="AC62" s="519"/>
      <c r="AD62" s="519"/>
      <c r="AE62" s="519"/>
      <c r="AF62" s="246"/>
      <c r="AG62" s="519"/>
      <c r="AH62" s="519"/>
      <c r="AI62" s="519"/>
      <c r="AJ62" s="519"/>
      <c r="AK62" s="246"/>
      <c r="AL62" s="519"/>
      <c r="AM62" s="519"/>
      <c r="AN62" s="519"/>
      <c r="AO62" s="519"/>
      <c r="AP62" s="246"/>
      <c r="AQ62" s="519"/>
      <c r="AR62" s="519"/>
      <c r="AS62" s="519"/>
      <c r="AT62" s="519"/>
      <c r="AU62" s="246"/>
      <c r="AV62" s="519"/>
      <c r="AW62" s="519"/>
      <c r="AX62" s="519"/>
      <c r="AY62" s="519"/>
      <c r="AZ62" s="246"/>
      <c r="BA62" s="519"/>
      <c r="BB62" s="519"/>
      <c r="BC62" s="519"/>
      <c r="BD62" s="519"/>
      <c r="BE62" s="246"/>
      <c r="BF62" s="519"/>
      <c r="BG62" s="519"/>
      <c r="BH62" s="519"/>
      <c r="BI62" s="519"/>
      <c r="BJ62" s="246"/>
      <c r="BK62" s="519"/>
      <c r="BL62" s="519"/>
      <c r="BM62" s="519"/>
      <c r="BN62" s="519"/>
      <c r="BO62" s="246"/>
      <c r="BP62" s="519"/>
      <c r="BQ62" s="519"/>
      <c r="BR62" s="519"/>
      <c r="BS62" s="519"/>
      <c r="BT62" s="246"/>
      <c r="BU62" s="519"/>
      <c r="BV62" s="519"/>
      <c r="BW62" s="519"/>
      <c r="BX62" s="519"/>
      <c r="BY62" s="246"/>
      <c r="BZ62" s="519"/>
      <c r="CA62" s="519"/>
      <c r="CB62" s="519"/>
      <c r="CC62" s="519"/>
      <c r="CD62" s="246"/>
      <c r="CE62" s="519"/>
      <c r="CF62" s="519"/>
      <c r="CG62" s="519"/>
      <c r="CH62" s="519"/>
      <c r="CI62" s="246"/>
      <c r="CJ62" s="519"/>
      <c r="CK62" s="519"/>
      <c r="CL62" s="519"/>
      <c r="CM62" s="519"/>
      <c r="CN62" s="246"/>
      <c r="CO62" s="519"/>
      <c r="CP62" s="519"/>
      <c r="CQ62" s="519"/>
      <c r="CR62" s="519"/>
      <c r="CS62" s="246"/>
      <c r="CT62" s="133"/>
    </row>
    <row r="63" spans="2:108" collapsed="1">
      <c r="B63" s="15" t="s">
        <v>189</v>
      </c>
      <c r="C63" s="9"/>
      <c r="D63" s="9"/>
      <c r="E63" s="9"/>
      <c r="F63" s="10"/>
      <c r="G63" s="12"/>
      <c r="H63" s="522">
        <v>0</v>
      </c>
      <c r="I63" s="522">
        <f>-5.083</f>
        <v>-5.0830000000000002</v>
      </c>
      <c r="J63" s="522">
        <f>-17.324+12.048</f>
        <v>-5.2760000000000016</v>
      </c>
      <c r="K63" s="522">
        <v>0</v>
      </c>
      <c r="L63" s="246">
        <f>SUM(H63:K63)</f>
        <v>-10.359000000000002</v>
      </c>
      <c r="M63" s="522">
        <v>-5.8869999999999996</v>
      </c>
      <c r="N63" s="522">
        <v>-6.2329999999999997</v>
      </c>
      <c r="O63" s="522">
        <f>(-142.203+58.44)-(O64+O69+O74-O58-O62)</f>
        <v>-3.1659999999999826</v>
      </c>
      <c r="P63" s="522">
        <v>-0.80100000000000005</v>
      </c>
      <c r="Q63" s="246">
        <f>SUM(M63:P63)</f>
        <v>-16.086999999999982</v>
      </c>
      <c r="R63" s="522">
        <v>-1.5960000000000001</v>
      </c>
      <c r="S63" s="522">
        <v>-0.371</v>
      </c>
      <c r="T63" s="522">
        <v>1.546</v>
      </c>
      <c r="U63" s="522">
        <v>-0.20899999999999999</v>
      </c>
      <c r="V63" s="246">
        <f>SUM(R63:U63)</f>
        <v>-0.63</v>
      </c>
      <c r="W63" s="522">
        <v>-0.13900000000000001</v>
      </c>
      <c r="X63" s="522">
        <v>6.0000000000000001E-3</v>
      </c>
      <c r="Y63" s="570">
        <f>0.016</f>
        <v>1.6E-2</v>
      </c>
      <c r="Z63" s="570">
        <v>9.8000000000000004E-2</v>
      </c>
      <c r="AA63" s="246">
        <f>SUM(W63:Z63)</f>
        <v>-1.9000000000000003E-2</v>
      </c>
      <c r="AB63" s="522">
        <v>0</v>
      </c>
      <c r="AC63" s="522">
        <v>0</v>
      </c>
      <c r="AD63" s="522"/>
      <c r="AE63" s="522"/>
      <c r="AF63" s="246">
        <f>AE63+AD63+AC63+AB63</f>
        <v>0</v>
      </c>
      <c r="AG63" s="522"/>
      <c r="AH63" s="522"/>
      <c r="AI63" s="522"/>
      <c r="AJ63" s="522"/>
      <c r="AK63" s="247">
        <v>0</v>
      </c>
      <c r="AL63" s="522"/>
      <c r="AM63" s="522"/>
      <c r="AN63" s="522"/>
      <c r="AO63" s="522"/>
      <c r="AP63" s="247">
        <v>0</v>
      </c>
      <c r="AQ63" s="522"/>
      <c r="AR63" s="522"/>
      <c r="AS63" s="522"/>
      <c r="AT63" s="522"/>
      <c r="AU63" s="247">
        <v>0</v>
      </c>
      <c r="AV63" s="522"/>
      <c r="AW63" s="522"/>
      <c r="AX63" s="522"/>
      <c r="AY63" s="522"/>
      <c r="AZ63" s="247">
        <v>0</v>
      </c>
      <c r="BA63" s="522"/>
      <c r="BB63" s="522"/>
      <c r="BC63" s="522"/>
      <c r="BD63" s="522"/>
      <c r="BE63" s="247">
        <v>0</v>
      </c>
      <c r="BF63" s="522"/>
      <c r="BG63" s="522"/>
      <c r="BH63" s="522"/>
      <c r="BI63" s="522"/>
      <c r="BJ63" s="247">
        <v>0</v>
      </c>
      <c r="BK63" s="522"/>
      <c r="BL63" s="522"/>
      <c r="BM63" s="522"/>
      <c r="BN63" s="522"/>
      <c r="BO63" s="247">
        <v>0</v>
      </c>
      <c r="BP63" s="522"/>
      <c r="BQ63" s="522"/>
      <c r="BR63" s="522"/>
      <c r="BS63" s="522"/>
      <c r="BT63" s="247">
        <v>0</v>
      </c>
      <c r="BU63" s="522"/>
      <c r="BV63" s="522"/>
      <c r="BW63" s="522"/>
      <c r="BX63" s="522"/>
      <c r="BY63" s="247">
        <v>0</v>
      </c>
      <c r="BZ63" s="522"/>
      <c r="CA63" s="522"/>
      <c r="CB63" s="522"/>
      <c r="CC63" s="522"/>
      <c r="CD63" s="247">
        <v>0</v>
      </c>
      <c r="CE63" s="522"/>
      <c r="CF63" s="522"/>
      <c r="CG63" s="522"/>
      <c r="CH63" s="522"/>
      <c r="CI63" s="247">
        <v>0</v>
      </c>
      <c r="CJ63" s="522"/>
      <c r="CK63" s="522"/>
      <c r="CL63" s="522"/>
      <c r="CM63" s="522"/>
      <c r="CN63" s="247">
        <v>0</v>
      </c>
      <c r="CO63" s="522"/>
      <c r="CP63" s="522"/>
      <c r="CQ63" s="522"/>
      <c r="CR63" s="522"/>
      <c r="CS63" s="247">
        <v>0</v>
      </c>
      <c r="CT63" s="133"/>
    </row>
    <row r="64" spans="2:108">
      <c r="B64" s="15" t="s">
        <v>477</v>
      </c>
      <c r="C64" s="9"/>
      <c r="D64" s="9"/>
      <c r="E64" s="9"/>
      <c r="F64" s="10"/>
      <c r="G64" s="12">
        <f>SUM(C64:F64)</f>
        <v>0</v>
      </c>
      <c r="H64" s="519">
        <f t="shared" ref="H64:U64" si="74">SUM(H65:H68)</f>
        <v>-23.320999999999998</v>
      </c>
      <c r="I64" s="519">
        <f t="shared" si="74"/>
        <v>-31.265999999999998</v>
      </c>
      <c r="J64" s="519">
        <f t="shared" si="74"/>
        <v>-19.1555</v>
      </c>
      <c r="K64" s="519">
        <f t="shared" si="74"/>
        <v>-30.329000000000001</v>
      </c>
      <c r="L64" s="246">
        <f t="shared" si="74"/>
        <v>-104.0715</v>
      </c>
      <c r="M64" s="519">
        <f t="shared" si="74"/>
        <v>-57.428000000000004</v>
      </c>
      <c r="N64" s="519">
        <f t="shared" si="74"/>
        <v>-45.268000000000001</v>
      </c>
      <c r="O64" s="519">
        <f t="shared" si="74"/>
        <v>-33.556000000000004</v>
      </c>
      <c r="P64" s="519">
        <f t="shared" si="74"/>
        <v>-25.785999999999998</v>
      </c>
      <c r="Q64" s="246">
        <f t="shared" si="74"/>
        <v>-162.03799999999998</v>
      </c>
      <c r="R64" s="519">
        <f t="shared" si="74"/>
        <v>-38.424999999999997</v>
      </c>
      <c r="S64" s="519">
        <f t="shared" si="74"/>
        <v>-41.946999999999996</v>
      </c>
      <c r="T64" s="519">
        <f t="shared" si="74"/>
        <v>-44.695999999999998</v>
      </c>
      <c r="U64" s="519">
        <f t="shared" si="74"/>
        <v>-106.67100000000001</v>
      </c>
      <c r="V64" s="246">
        <f>SUM(R64:U64)</f>
        <v>-231.73899999999998</v>
      </c>
      <c r="W64" s="519">
        <f>SUM(W65:W68)</f>
        <v>-33.814</v>
      </c>
      <c r="X64" s="519">
        <f>SUM(X65:X68)</f>
        <v>-53.335000000000001</v>
      </c>
      <c r="Y64" s="519">
        <f>SUM(Y65:Y68)</f>
        <v>-61.403999999999996</v>
      </c>
      <c r="Z64" s="519">
        <f>SUM(Z65:Z68)</f>
        <v>-41.367000000000004</v>
      </c>
      <c r="AA64" s="246">
        <f>SUM(W64:Z64)</f>
        <v>-189.92000000000002</v>
      </c>
      <c r="AB64" s="519">
        <f>SUM(AB65:AB68)</f>
        <v>-46.982000000000006</v>
      </c>
      <c r="AC64" s="519">
        <f>SUM(AC65:AC68)</f>
        <v>-48.992000000000004</v>
      </c>
      <c r="AD64" s="519">
        <f>SUM(AD65:AD68)</f>
        <v>-211.73500000000001</v>
      </c>
      <c r="AE64" s="519">
        <f>SUM(AE65:AE68)</f>
        <v>-57.43</v>
      </c>
      <c r="AF64" s="246">
        <f>AE64+AD64+AC64+AB64</f>
        <v>-365.13900000000007</v>
      </c>
      <c r="AG64" s="519">
        <f>SUM(AG65:AG68)</f>
        <v>-41.25</v>
      </c>
      <c r="AH64" s="519">
        <f t="shared" ref="AH64:AJ64" si="75">SUM(AH65:AH68)</f>
        <v>-41.25</v>
      </c>
      <c r="AI64" s="519">
        <f t="shared" si="75"/>
        <v>-41.25</v>
      </c>
      <c r="AJ64" s="519">
        <f t="shared" si="75"/>
        <v>-41.25</v>
      </c>
      <c r="AK64" s="246">
        <f>+SUM(AK65:AK68)</f>
        <v>-165</v>
      </c>
      <c r="AL64" s="519"/>
      <c r="AM64" s="519"/>
      <c r="AN64" s="519"/>
      <c r="AO64" s="519"/>
      <c r="AP64" s="246">
        <f>+SUM(AP65:AP68)</f>
        <v>-165</v>
      </c>
      <c r="AQ64" s="519"/>
      <c r="AR64" s="519"/>
      <c r="AS64" s="519"/>
      <c r="AT64" s="519"/>
      <c r="AU64" s="246">
        <f>+SUM(AU65:AU68)</f>
        <v>-165</v>
      </c>
      <c r="AV64" s="519"/>
      <c r="AW64" s="519"/>
      <c r="AX64" s="519"/>
      <c r="AY64" s="519"/>
      <c r="AZ64" s="246">
        <f>+SUM(AZ65:AZ68)</f>
        <v>-165</v>
      </c>
      <c r="BA64" s="519"/>
      <c r="BB64" s="519"/>
      <c r="BC64" s="519"/>
      <c r="BD64" s="519"/>
      <c r="BE64" s="246">
        <f>+SUM(BE65:BE68)</f>
        <v>-165</v>
      </c>
      <c r="BF64" s="519"/>
      <c r="BG64" s="519"/>
      <c r="BH64" s="519"/>
      <c r="BI64" s="519"/>
      <c r="BJ64" s="246">
        <f>+SUM(BJ65:BJ68)</f>
        <v>-165</v>
      </c>
      <c r="BK64" s="519"/>
      <c r="BL64" s="519"/>
      <c r="BM64" s="519"/>
      <c r="BN64" s="519"/>
      <c r="BO64" s="246">
        <f>+SUM(BO65:BO68)</f>
        <v>-165</v>
      </c>
      <c r="BP64" s="519"/>
      <c r="BQ64" s="519"/>
      <c r="BR64" s="519"/>
      <c r="BS64" s="519"/>
      <c r="BT64" s="246">
        <f>+SUM(BT65:BT68)</f>
        <v>-165</v>
      </c>
      <c r="BU64" s="519"/>
      <c r="BV64" s="519"/>
      <c r="BW64" s="519"/>
      <c r="BX64" s="519"/>
      <c r="BY64" s="246">
        <f>+SUM(BY65:BY68)</f>
        <v>-165</v>
      </c>
      <c r="BZ64" s="519"/>
      <c r="CA64" s="519"/>
      <c r="CB64" s="519"/>
      <c r="CC64" s="519"/>
      <c r="CD64" s="246">
        <f>+SUM(CD65:CD68)</f>
        <v>-165</v>
      </c>
      <c r="CE64" s="519"/>
      <c r="CF64" s="519"/>
      <c r="CG64" s="519"/>
      <c r="CH64" s="519"/>
      <c r="CI64" s="246">
        <f>+SUM(CI65:CI68)</f>
        <v>-165</v>
      </c>
      <c r="CJ64" s="519"/>
      <c r="CK64" s="519"/>
      <c r="CL64" s="519"/>
      <c r="CM64" s="519"/>
      <c r="CN64" s="246">
        <f>+SUM(CN65:CN68)</f>
        <v>-165</v>
      </c>
      <c r="CO64" s="519"/>
      <c r="CP64" s="519"/>
      <c r="CQ64" s="519"/>
      <c r="CR64" s="519"/>
      <c r="CS64" s="246">
        <f>+SUM(CS65:CS68)</f>
        <v>-165</v>
      </c>
      <c r="CT64" s="133"/>
    </row>
    <row r="65" spans="2:293" hidden="1" outlineLevel="1">
      <c r="B65" s="119" t="s">
        <v>187</v>
      </c>
      <c r="C65" s="9"/>
      <c r="D65" s="9"/>
      <c r="E65" s="9"/>
      <c r="F65" s="10"/>
      <c r="G65" s="12"/>
      <c r="H65" s="522">
        <v>-19.273</v>
      </c>
      <c r="I65" s="522">
        <v>-25.7</v>
      </c>
      <c r="J65" s="522">
        <v>-19.1555</v>
      </c>
      <c r="K65" s="576">
        <v>-17.074999999999999</v>
      </c>
      <c r="L65" s="246">
        <f t="shared" ref="L65:L76" si="76">SUM(H65:K65)</f>
        <v>-81.203500000000005</v>
      </c>
      <c r="M65" s="522">
        <v>-32.9</v>
      </c>
      <c r="N65" s="522">
        <v>-27.253</v>
      </c>
      <c r="O65" s="522">
        <v>-31.131</v>
      </c>
      <c r="P65" s="576">
        <v>-25.713999999999999</v>
      </c>
      <c r="Q65" s="246">
        <f t="shared" ref="Q65:Q75" si="77">SUM(M65:P65)</f>
        <v>-116.99799999999999</v>
      </c>
      <c r="R65" s="522">
        <v>-38.216999999999999</v>
      </c>
      <c r="S65" s="522">
        <v>-41.631999999999998</v>
      </c>
      <c r="T65" s="522">
        <v>-44.7</v>
      </c>
      <c r="U65" s="519">
        <v>-28.696000000000002</v>
      </c>
      <c r="V65" s="246">
        <f>SUM(R65:U65)</f>
        <v>-153.245</v>
      </c>
      <c r="W65" s="570">
        <v>-34.448</v>
      </c>
      <c r="X65" s="570">
        <v>-40.64</v>
      </c>
      <c r="Y65" s="570">
        <v>-39.979999999999997</v>
      </c>
      <c r="Z65" s="519">
        <v>-38.383000000000003</v>
      </c>
      <c r="AA65" s="246">
        <f>SUM(W65:Z65)</f>
        <v>-153.45099999999999</v>
      </c>
      <c r="AB65" s="519">
        <v>-44.837000000000003</v>
      </c>
      <c r="AC65" s="519">
        <v>-43.832000000000001</v>
      </c>
      <c r="AD65" s="519">
        <v>-46.186</v>
      </c>
      <c r="AE65" s="633">
        <v>-47.045000000000002</v>
      </c>
      <c r="AF65" s="246">
        <f>AE65+AD65+AC65+AB65</f>
        <v>-181.89999999999998</v>
      </c>
      <c r="AG65" s="519">
        <f>AK65/4</f>
        <v>-41.25</v>
      </c>
      <c r="AH65" s="519">
        <f>AK65/4</f>
        <v>-41.25</v>
      </c>
      <c r="AI65" s="519">
        <f>AK65/4</f>
        <v>-41.25</v>
      </c>
      <c r="AJ65" s="633">
        <f>AK65-SUM(AG65:AI65)</f>
        <v>-41.25</v>
      </c>
      <c r="AK65" s="246">
        <f>-AK141</f>
        <v>-165</v>
      </c>
      <c r="AL65" s="519"/>
      <c r="AM65" s="519"/>
      <c r="AN65" s="519"/>
      <c r="AO65" s="519"/>
      <c r="AP65" s="246">
        <f>-AP141</f>
        <v>-165</v>
      </c>
      <c r="AQ65" s="519"/>
      <c r="AR65" s="519"/>
      <c r="AS65" s="519"/>
      <c r="AT65" s="519"/>
      <c r="AU65" s="246">
        <f>-AU141</f>
        <v>-165</v>
      </c>
      <c r="AV65" s="519"/>
      <c r="AW65" s="519"/>
      <c r="AX65" s="519"/>
      <c r="AY65" s="519"/>
      <c r="AZ65" s="246">
        <f>-AZ141</f>
        <v>-165</v>
      </c>
      <c r="BA65" s="519"/>
      <c r="BB65" s="519"/>
      <c r="BC65" s="519"/>
      <c r="BD65" s="519"/>
      <c r="BE65" s="246">
        <f>-BE141</f>
        <v>-165</v>
      </c>
      <c r="BF65" s="519"/>
      <c r="BG65" s="519"/>
      <c r="BH65" s="519"/>
      <c r="BI65" s="519"/>
      <c r="BJ65" s="246">
        <f>-BJ141</f>
        <v>-165</v>
      </c>
      <c r="BK65" s="519"/>
      <c r="BL65" s="519"/>
      <c r="BM65" s="519"/>
      <c r="BN65" s="519"/>
      <c r="BO65" s="246">
        <f>-BO141</f>
        <v>-165</v>
      </c>
      <c r="BP65" s="519"/>
      <c r="BQ65" s="519"/>
      <c r="BR65" s="519"/>
      <c r="BS65" s="519"/>
      <c r="BT65" s="246">
        <f>-BT141</f>
        <v>-165</v>
      </c>
      <c r="BU65" s="519"/>
      <c r="BV65" s="519"/>
      <c r="BW65" s="519"/>
      <c r="BX65" s="519"/>
      <c r="BY65" s="246">
        <f>-BY141</f>
        <v>-165</v>
      </c>
      <c r="BZ65" s="519"/>
      <c r="CA65" s="519"/>
      <c r="CB65" s="519"/>
      <c r="CC65" s="519"/>
      <c r="CD65" s="246">
        <f>-CD141</f>
        <v>-165</v>
      </c>
      <c r="CE65" s="519"/>
      <c r="CF65" s="519"/>
      <c r="CG65" s="519"/>
      <c r="CH65" s="519"/>
      <c r="CI65" s="246">
        <f>-CI141</f>
        <v>-165</v>
      </c>
      <c r="CJ65" s="519"/>
      <c r="CK65" s="519"/>
      <c r="CL65" s="519"/>
      <c r="CM65" s="519"/>
      <c r="CN65" s="246">
        <f>-CN141</f>
        <v>-165</v>
      </c>
      <c r="CO65" s="519"/>
      <c r="CP65" s="519"/>
      <c r="CQ65" s="519"/>
      <c r="CR65" s="519"/>
      <c r="CS65" s="246">
        <f>-CS141</f>
        <v>-165</v>
      </c>
      <c r="CT65" s="133"/>
    </row>
    <row r="66" spans="2:293" hidden="1" outlineLevel="1">
      <c r="B66" s="119" t="s">
        <v>299</v>
      </c>
      <c r="C66" s="9"/>
      <c r="D66" s="9"/>
      <c r="E66" s="9"/>
      <c r="F66" s="10"/>
      <c r="G66" s="12"/>
      <c r="H66" s="522">
        <v>0</v>
      </c>
      <c r="I66" s="522">
        <v>0</v>
      </c>
      <c r="J66" s="522">
        <v>0</v>
      </c>
      <c r="K66" s="576">
        <v>-5.2880000000000003</v>
      </c>
      <c r="L66" s="246">
        <f t="shared" si="76"/>
        <v>-5.2880000000000003</v>
      </c>
      <c r="M66" s="522">
        <v>-12.201000000000001</v>
      </c>
      <c r="N66" s="522">
        <v>-9.3819999999999997</v>
      </c>
      <c r="O66" s="522">
        <v>-3.5110000000000001</v>
      </c>
      <c r="P66" s="576">
        <v>0</v>
      </c>
      <c r="Q66" s="246">
        <f t="shared" si="77"/>
        <v>-25.093999999999998</v>
      </c>
      <c r="R66" s="522">
        <v>0</v>
      </c>
      <c r="S66" s="522">
        <v>0</v>
      </c>
      <c r="T66" s="522">
        <v>0</v>
      </c>
      <c r="U66" s="522">
        <v>0</v>
      </c>
      <c r="V66" s="246">
        <f>SUM(R66:U66)</f>
        <v>0</v>
      </c>
      <c r="W66" s="570"/>
      <c r="X66" s="570"/>
      <c r="Y66" s="519"/>
      <c r="Z66" s="519"/>
      <c r="AA66" s="246">
        <f>SUM(W66:Z66)</f>
        <v>0</v>
      </c>
      <c r="AB66" s="522"/>
      <c r="AC66" s="522"/>
      <c r="AD66" s="522"/>
      <c r="AE66" s="522"/>
      <c r="AF66" s="247">
        <v>0</v>
      </c>
      <c r="AG66" s="522"/>
      <c r="AH66" s="522"/>
      <c r="AI66" s="522"/>
      <c r="AJ66" s="522"/>
      <c r="AK66" s="247">
        <v>0</v>
      </c>
      <c r="AL66" s="522"/>
      <c r="AM66" s="522"/>
      <c r="AN66" s="522"/>
      <c r="AO66" s="522"/>
      <c r="AP66" s="247">
        <v>0</v>
      </c>
      <c r="AQ66" s="522"/>
      <c r="AR66" s="522"/>
      <c r="AS66" s="522"/>
      <c r="AT66" s="522"/>
      <c r="AU66" s="247">
        <v>0</v>
      </c>
      <c r="AV66" s="522"/>
      <c r="AW66" s="522"/>
      <c r="AX66" s="522"/>
      <c r="AY66" s="522"/>
      <c r="AZ66" s="247">
        <v>0</v>
      </c>
      <c r="BA66" s="522"/>
      <c r="BB66" s="522"/>
      <c r="BC66" s="522"/>
      <c r="BD66" s="522"/>
      <c r="BE66" s="247">
        <v>0</v>
      </c>
      <c r="BF66" s="522"/>
      <c r="BG66" s="522"/>
      <c r="BH66" s="522"/>
      <c r="BI66" s="522"/>
      <c r="BJ66" s="247">
        <v>0</v>
      </c>
      <c r="BK66" s="522"/>
      <c r="BL66" s="522"/>
      <c r="BM66" s="522"/>
      <c r="BN66" s="522"/>
      <c r="BO66" s="247">
        <v>0</v>
      </c>
      <c r="BP66" s="522"/>
      <c r="BQ66" s="522"/>
      <c r="BR66" s="522"/>
      <c r="BS66" s="522"/>
      <c r="BT66" s="247">
        <v>0</v>
      </c>
      <c r="BU66" s="522"/>
      <c r="BV66" s="522"/>
      <c r="BW66" s="522"/>
      <c r="BX66" s="522"/>
      <c r="BY66" s="247">
        <v>0</v>
      </c>
      <c r="BZ66" s="522"/>
      <c r="CA66" s="522"/>
      <c r="CB66" s="522"/>
      <c r="CC66" s="522"/>
      <c r="CD66" s="247">
        <v>0</v>
      </c>
      <c r="CE66" s="522"/>
      <c r="CF66" s="522"/>
      <c r="CG66" s="522"/>
      <c r="CH66" s="522"/>
      <c r="CI66" s="247">
        <v>0</v>
      </c>
      <c r="CJ66" s="522"/>
      <c r="CK66" s="522"/>
      <c r="CL66" s="522"/>
      <c r="CM66" s="522"/>
      <c r="CN66" s="247">
        <v>0</v>
      </c>
      <c r="CO66" s="522"/>
      <c r="CP66" s="522"/>
      <c r="CQ66" s="522"/>
      <c r="CR66" s="522"/>
      <c r="CS66" s="247">
        <v>0</v>
      </c>
      <c r="CT66" s="133"/>
    </row>
    <row r="67" spans="2:293" hidden="1" outlineLevel="1">
      <c r="B67" s="119" t="s">
        <v>188</v>
      </c>
      <c r="C67" s="9"/>
      <c r="D67" s="9"/>
      <c r="E67" s="9"/>
      <c r="F67" s="10"/>
      <c r="G67" s="12"/>
      <c r="H67" s="522">
        <v>0</v>
      </c>
      <c r="I67" s="522">
        <v>0</v>
      </c>
      <c r="J67" s="522">
        <v>0</v>
      </c>
      <c r="K67" s="576">
        <v>-7.9660000000000002</v>
      </c>
      <c r="L67" s="246">
        <f t="shared" si="76"/>
        <v>-7.9660000000000002</v>
      </c>
      <c r="M67" s="522">
        <v>-9.0020000000000007</v>
      </c>
      <c r="N67" s="522">
        <v>-5.0490000000000004</v>
      </c>
      <c r="O67" s="522">
        <v>-1.494</v>
      </c>
      <c r="P67" s="576">
        <v>-0.159</v>
      </c>
      <c r="Q67" s="246">
        <f t="shared" si="77"/>
        <v>-15.704000000000002</v>
      </c>
      <c r="R67" s="522">
        <v>0.48799999999999999</v>
      </c>
      <c r="S67" s="522">
        <v>0.51200000000000001</v>
      </c>
      <c r="T67" s="522">
        <v>-0.29399999999999998</v>
      </c>
      <c r="U67" s="522">
        <v>-0.21299999999999999</v>
      </c>
      <c r="V67" s="246">
        <f t="shared" ref="V67" si="78">SUM(R67:U67)</f>
        <v>0.49299999999999999</v>
      </c>
      <c r="W67" s="570">
        <v>0.82599999999999996</v>
      </c>
      <c r="X67" s="570">
        <v>5.0999999999999997E-2</v>
      </c>
      <c r="Y67" s="570">
        <v>2.4649999999999999</v>
      </c>
      <c r="Z67" s="519">
        <v>-1.2999999999999999E-2</v>
      </c>
      <c r="AA67" s="246">
        <f t="shared" ref="AA67:AA68" si="79">SUM(W67:Z67)</f>
        <v>3.3289999999999997</v>
      </c>
      <c r="AB67" s="522"/>
      <c r="AC67" s="522"/>
      <c r="AD67" s="522"/>
      <c r="AE67" s="522"/>
      <c r="AF67" s="247">
        <v>0</v>
      </c>
      <c r="AG67" s="522"/>
      <c r="AH67" s="522"/>
      <c r="AI67" s="522"/>
      <c r="AJ67" s="522"/>
      <c r="AK67" s="247">
        <v>0</v>
      </c>
      <c r="AL67" s="522"/>
      <c r="AM67" s="522"/>
      <c r="AN67" s="522"/>
      <c r="AO67" s="522"/>
      <c r="AP67" s="247">
        <v>0</v>
      </c>
      <c r="AQ67" s="522"/>
      <c r="AR67" s="522"/>
      <c r="AS67" s="522"/>
      <c r="AT67" s="522"/>
      <c r="AU67" s="247">
        <v>0</v>
      </c>
      <c r="AV67" s="522"/>
      <c r="AW67" s="522"/>
      <c r="AX67" s="522"/>
      <c r="AY67" s="522"/>
      <c r="AZ67" s="247">
        <v>0</v>
      </c>
      <c r="BA67" s="522"/>
      <c r="BB67" s="522"/>
      <c r="BC67" s="522"/>
      <c r="BD67" s="522"/>
      <c r="BE67" s="247">
        <v>0</v>
      </c>
      <c r="BF67" s="522"/>
      <c r="BG67" s="522"/>
      <c r="BH67" s="522"/>
      <c r="BI67" s="522"/>
      <c r="BJ67" s="247">
        <v>0</v>
      </c>
      <c r="BK67" s="522"/>
      <c r="BL67" s="522"/>
      <c r="BM67" s="522"/>
      <c r="BN67" s="522"/>
      <c r="BO67" s="247">
        <v>0</v>
      </c>
      <c r="BP67" s="522"/>
      <c r="BQ67" s="522"/>
      <c r="BR67" s="522"/>
      <c r="BS67" s="522"/>
      <c r="BT67" s="247">
        <v>0</v>
      </c>
      <c r="BU67" s="522"/>
      <c r="BV67" s="522"/>
      <c r="BW67" s="522"/>
      <c r="BX67" s="522"/>
      <c r="BY67" s="247">
        <v>0</v>
      </c>
      <c r="BZ67" s="522"/>
      <c r="CA67" s="522"/>
      <c r="CB67" s="522"/>
      <c r="CC67" s="522"/>
      <c r="CD67" s="247">
        <v>0</v>
      </c>
      <c r="CE67" s="522"/>
      <c r="CF67" s="522"/>
      <c r="CG67" s="522"/>
      <c r="CH67" s="522"/>
      <c r="CI67" s="247">
        <v>0</v>
      </c>
      <c r="CJ67" s="522"/>
      <c r="CK67" s="522"/>
      <c r="CL67" s="522"/>
      <c r="CM67" s="522"/>
      <c r="CN67" s="247">
        <v>0</v>
      </c>
      <c r="CO67" s="522"/>
      <c r="CP67" s="522"/>
      <c r="CQ67" s="522"/>
      <c r="CR67" s="522"/>
      <c r="CS67" s="247">
        <v>0</v>
      </c>
      <c r="CT67" s="133"/>
    </row>
    <row r="68" spans="2:293" hidden="1" outlineLevel="1">
      <c r="B68" s="119" t="s">
        <v>178</v>
      </c>
      <c r="C68" s="9"/>
      <c r="D68" s="9"/>
      <c r="E68" s="9"/>
      <c r="F68" s="10"/>
      <c r="G68" s="12"/>
      <c r="H68" s="522">
        <v>-4.048</v>
      </c>
      <c r="I68" s="522">
        <v>-5.5659999999999998</v>
      </c>
      <c r="J68" s="522">
        <v>0</v>
      </c>
      <c r="K68" s="576">
        <v>0</v>
      </c>
      <c r="L68" s="246">
        <f t="shared" si="76"/>
        <v>-9.6140000000000008</v>
      </c>
      <c r="M68" s="522">
        <v>-3.3250000000000002</v>
      </c>
      <c r="N68" s="522">
        <v>-3.5840000000000001</v>
      </c>
      <c r="O68" s="522">
        <v>2.58</v>
      </c>
      <c r="P68" s="576">
        <v>8.6999999999999994E-2</v>
      </c>
      <c r="Q68" s="246">
        <f t="shared" si="77"/>
        <v>-4.2420000000000009</v>
      </c>
      <c r="R68" s="522">
        <v>-0.69599999999999995</v>
      </c>
      <c r="S68" s="522">
        <v>-0.82699999999999996</v>
      </c>
      <c r="T68" s="522">
        <v>0.29799999999999999</v>
      </c>
      <c r="U68" s="522">
        <f>-77.762</f>
        <v>-77.762</v>
      </c>
      <c r="V68" s="246">
        <f t="shared" ref="V68" si="80">SUM(R68:U68)</f>
        <v>-78.986999999999995</v>
      </c>
      <c r="W68" s="570">
        <v>-0.192</v>
      </c>
      <c r="X68" s="570">
        <v>-12.746</v>
      </c>
      <c r="Y68" s="570">
        <v>-23.888999999999999</v>
      </c>
      <c r="Z68" s="519">
        <v>-2.9710000000000001</v>
      </c>
      <c r="AA68" s="246">
        <f t="shared" si="79"/>
        <v>-39.798000000000002</v>
      </c>
      <c r="AB68" s="522">
        <f>-2.009-0.136</f>
        <v>-2.145</v>
      </c>
      <c r="AC68" s="522">
        <f>-5.024-0.136</f>
        <v>-5.16</v>
      </c>
      <c r="AD68" s="522">
        <f>-160-3.548-1.865-0.136</f>
        <v>-165.54900000000001</v>
      </c>
      <c r="AE68" s="522">
        <f>-0.967-9.282-0.136</f>
        <v>-10.385</v>
      </c>
      <c r="AF68" s="246">
        <f>AE68+AD68+AC68+AB68</f>
        <v>-183.239</v>
      </c>
      <c r="AG68" s="522"/>
      <c r="AH68" s="522"/>
      <c r="AI68" s="522"/>
      <c r="AJ68" s="522"/>
      <c r="AK68" s="247">
        <v>0</v>
      </c>
      <c r="AL68" s="522"/>
      <c r="AM68" s="522"/>
      <c r="AN68" s="522"/>
      <c r="AO68" s="522"/>
      <c r="AP68" s="247">
        <v>0</v>
      </c>
      <c r="AQ68" s="522"/>
      <c r="AR68" s="522"/>
      <c r="AS68" s="522"/>
      <c r="AT68" s="522"/>
      <c r="AU68" s="247">
        <v>0</v>
      </c>
      <c r="AV68" s="522"/>
      <c r="AW68" s="522"/>
      <c r="AX68" s="522"/>
      <c r="AY68" s="522"/>
      <c r="AZ68" s="247">
        <v>0</v>
      </c>
      <c r="BA68" s="522"/>
      <c r="BB68" s="522"/>
      <c r="BC68" s="522"/>
      <c r="BD68" s="522"/>
      <c r="BE68" s="247">
        <v>0</v>
      </c>
      <c r="BF68" s="522"/>
      <c r="BG68" s="522"/>
      <c r="BH68" s="522"/>
      <c r="BI68" s="522"/>
      <c r="BJ68" s="247">
        <v>0</v>
      </c>
      <c r="BK68" s="522"/>
      <c r="BL68" s="522"/>
      <c r="BM68" s="522"/>
      <c r="BN68" s="522"/>
      <c r="BO68" s="247">
        <v>0</v>
      </c>
      <c r="BP68" s="522"/>
      <c r="BQ68" s="522"/>
      <c r="BR68" s="522"/>
      <c r="BS68" s="522"/>
      <c r="BT68" s="247">
        <v>0</v>
      </c>
      <c r="BU68" s="522"/>
      <c r="BV68" s="522"/>
      <c r="BW68" s="522"/>
      <c r="BX68" s="522"/>
      <c r="BY68" s="247">
        <v>0</v>
      </c>
      <c r="BZ68" s="522"/>
      <c r="CA68" s="522"/>
      <c r="CB68" s="522"/>
      <c r="CC68" s="522"/>
      <c r="CD68" s="247">
        <v>0</v>
      </c>
      <c r="CE68" s="522"/>
      <c r="CF68" s="522"/>
      <c r="CG68" s="522"/>
      <c r="CH68" s="522"/>
      <c r="CI68" s="247">
        <v>0</v>
      </c>
      <c r="CJ68" s="522"/>
      <c r="CK68" s="522"/>
      <c r="CL68" s="522"/>
      <c r="CM68" s="522"/>
      <c r="CN68" s="247">
        <v>0</v>
      </c>
      <c r="CO68" s="522"/>
      <c r="CP68" s="522"/>
      <c r="CQ68" s="522"/>
      <c r="CR68" s="522"/>
      <c r="CS68" s="247">
        <v>0</v>
      </c>
      <c r="CT68" s="133"/>
    </row>
    <row r="69" spans="2:293" collapsed="1">
      <c r="B69" s="15" t="s">
        <v>478</v>
      </c>
      <c r="C69" s="9"/>
      <c r="D69" s="9"/>
      <c r="E69" s="9"/>
      <c r="F69" s="10"/>
      <c r="G69" s="12">
        <f>SUM(C69:F69)</f>
        <v>0</v>
      </c>
      <c r="H69" s="519">
        <f>SUM(H70:H73)</f>
        <v>-13.12</v>
      </c>
      <c r="I69" s="519">
        <f>SUM(I70:I73)</f>
        <v>-17.004000000000001</v>
      </c>
      <c r="J69" s="519">
        <f>SUM(J70:J73)</f>
        <v>-12.042</v>
      </c>
      <c r="K69" s="519">
        <f>SUM(K70:K73)</f>
        <v>-7.6070000000000002</v>
      </c>
      <c r="L69" s="246">
        <f t="shared" si="76"/>
        <v>-49.773000000000003</v>
      </c>
      <c r="M69" s="519">
        <f>SUM(M70:M73)</f>
        <v>-21.800999999999998</v>
      </c>
      <c r="N69" s="519">
        <f>SUM(N70:N73)</f>
        <v>-19.563000000000002</v>
      </c>
      <c r="O69" s="519">
        <f>SUM(O70:O73)</f>
        <v>-20.170000000000002</v>
      </c>
      <c r="P69" s="519">
        <f>SUM(P70:P73)</f>
        <v>-18.159000000000002</v>
      </c>
      <c r="Q69" s="246">
        <f t="shared" si="77"/>
        <v>-79.693000000000012</v>
      </c>
      <c r="R69" s="519">
        <f>SUM(R70:R73)</f>
        <v>-16.711000000000002</v>
      </c>
      <c r="S69" s="519">
        <f>SUM(S70:S73)</f>
        <v>-22.378</v>
      </c>
      <c r="T69" s="519">
        <f>SUM(T70:T73)</f>
        <v>-23.654999999999998</v>
      </c>
      <c r="U69" s="519">
        <f>SUM(U70:U73)</f>
        <v>-18.918999999999997</v>
      </c>
      <c r="V69" s="246">
        <f>SUM(R69:U69)</f>
        <v>-81.662999999999997</v>
      </c>
      <c r="W69" s="519">
        <f>SUM(W70:W73)</f>
        <v>-21.535</v>
      </c>
      <c r="X69" s="519">
        <f>SUM(X70:X73)</f>
        <v>-23.061</v>
      </c>
      <c r="Y69" s="519">
        <f>SUM(Y70:Y73)</f>
        <v>-22.062999999999999</v>
      </c>
      <c r="Z69" s="519">
        <f>SUM(Z70:Z73)</f>
        <v>-21.986000000000001</v>
      </c>
      <c r="AA69" s="246">
        <f>SUM(W69:Z69)</f>
        <v>-88.64500000000001</v>
      </c>
      <c r="AB69" s="519">
        <f t="shared" ref="AB69:AG69" si="81">SUM(AB70:AB73)</f>
        <v>-26.981999999999999</v>
      </c>
      <c r="AC69" s="519">
        <f t="shared" si="81"/>
        <v>-34.343000000000004</v>
      </c>
      <c r="AD69" s="519">
        <f t="shared" si="81"/>
        <v>-30.152999999999999</v>
      </c>
      <c r="AE69" s="519">
        <f t="shared" si="81"/>
        <v>-29.29</v>
      </c>
      <c r="AF69" s="246">
        <f>AE69+AD69+AC69+AB69</f>
        <v>-120.768</v>
      </c>
      <c r="AG69" s="519">
        <f t="shared" si="81"/>
        <v>-20</v>
      </c>
      <c r="AH69" s="519">
        <f t="shared" ref="AH69" si="82">SUM(AH70:AH73)</f>
        <v>-20</v>
      </c>
      <c r="AI69" s="519">
        <f t="shared" ref="AI69" si="83">SUM(AI70:AI73)</f>
        <v>-20</v>
      </c>
      <c r="AJ69" s="519">
        <f t="shared" ref="AJ69" si="84">SUM(AJ70:AJ73)</f>
        <v>-20</v>
      </c>
      <c r="AK69" s="246">
        <f>SUM(AK70:AK73)</f>
        <v>-80</v>
      </c>
      <c r="AL69" s="519"/>
      <c r="AM69" s="519"/>
      <c r="AN69" s="519"/>
      <c r="AO69" s="519"/>
      <c r="AP69" s="246">
        <f>SUM(AP70:AP73)</f>
        <v>-80</v>
      </c>
      <c r="AQ69" s="519"/>
      <c r="AR69" s="519"/>
      <c r="AS69" s="519"/>
      <c r="AT69" s="519"/>
      <c r="AU69" s="246">
        <f>SUM(AU70:AU73)</f>
        <v>-80</v>
      </c>
      <c r="AV69" s="519"/>
      <c r="AW69" s="519"/>
      <c r="AX69" s="519"/>
      <c r="AY69" s="519"/>
      <c r="AZ69" s="246">
        <f>SUM(AZ70:AZ73)</f>
        <v>-80</v>
      </c>
      <c r="BA69" s="519"/>
      <c r="BB69" s="519"/>
      <c r="BC69" s="519"/>
      <c r="BD69" s="519"/>
      <c r="BE69" s="246">
        <f>SUM(BE70:BE73)</f>
        <v>-80</v>
      </c>
      <c r="BF69" s="519"/>
      <c r="BG69" s="519"/>
      <c r="BH69" s="519"/>
      <c r="BI69" s="519"/>
      <c r="BJ69" s="246">
        <f>SUM(BJ70:BJ73)</f>
        <v>-80</v>
      </c>
      <c r="BK69" s="519"/>
      <c r="BL69" s="519"/>
      <c r="BM69" s="519"/>
      <c r="BN69" s="519"/>
      <c r="BO69" s="246">
        <f>SUM(BO70:BO73)</f>
        <v>-80</v>
      </c>
      <c r="BP69" s="519"/>
      <c r="BQ69" s="519"/>
      <c r="BR69" s="519"/>
      <c r="BS69" s="519"/>
      <c r="BT69" s="246">
        <f>SUM(BT70:BT73)</f>
        <v>-80</v>
      </c>
      <c r="BU69" s="519"/>
      <c r="BV69" s="519"/>
      <c r="BW69" s="519"/>
      <c r="BX69" s="519"/>
      <c r="BY69" s="246">
        <f>SUM(BY70:BY73)</f>
        <v>-80</v>
      </c>
      <c r="BZ69" s="519"/>
      <c r="CA69" s="519"/>
      <c r="CB69" s="519"/>
      <c r="CC69" s="519"/>
      <c r="CD69" s="246">
        <f>SUM(CD70:CD73)</f>
        <v>-80</v>
      </c>
      <c r="CE69" s="519"/>
      <c r="CF69" s="519"/>
      <c r="CG69" s="519"/>
      <c r="CH69" s="519"/>
      <c r="CI69" s="246">
        <f>SUM(CI70:CI73)</f>
        <v>-80</v>
      </c>
      <c r="CJ69" s="519"/>
      <c r="CK69" s="519"/>
      <c r="CL69" s="519"/>
      <c r="CM69" s="519"/>
      <c r="CN69" s="246">
        <f>SUM(CN70:CN73)</f>
        <v>-80</v>
      </c>
      <c r="CO69" s="519"/>
      <c r="CP69" s="519"/>
      <c r="CQ69" s="519"/>
      <c r="CR69" s="519"/>
      <c r="CS69" s="246">
        <f>SUM(CS70:CS73)</f>
        <v>-80</v>
      </c>
      <c r="CT69" s="133"/>
    </row>
    <row r="70" spans="2:293" hidden="1" outlineLevel="1">
      <c r="B70" s="119" t="s">
        <v>187</v>
      </c>
      <c r="C70" s="9"/>
      <c r="D70" s="9"/>
      <c r="E70" s="9"/>
      <c r="F70" s="10"/>
      <c r="G70" s="12"/>
      <c r="H70" s="522">
        <v>-11.879</v>
      </c>
      <c r="I70" s="522">
        <v>-15.563000000000001</v>
      </c>
      <c r="J70" s="522">
        <v>-12.042</v>
      </c>
      <c r="K70" s="576">
        <v>-6.165</v>
      </c>
      <c r="L70" s="246">
        <f t="shared" si="76"/>
        <v>-45.649000000000001</v>
      </c>
      <c r="M70" s="522">
        <v>-13.68</v>
      </c>
      <c r="N70" s="522">
        <v>-15.191000000000001</v>
      </c>
      <c r="O70" s="522">
        <v>-15.005000000000001</v>
      </c>
      <c r="P70" s="576">
        <v>-16.667000000000002</v>
      </c>
      <c r="Q70" s="246">
        <f t="shared" si="77"/>
        <v>-60.543000000000006</v>
      </c>
      <c r="R70" s="522">
        <v>-19.167000000000002</v>
      </c>
      <c r="S70" s="522">
        <v>-21.629000000000001</v>
      </c>
      <c r="T70" s="522">
        <v>-21.033999999999999</v>
      </c>
      <c r="U70" s="519">
        <v>-16.742999999999999</v>
      </c>
      <c r="V70" s="246">
        <f>SUM(R70:U70)</f>
        <v>-78.573000000000008</v>
      </c>
      <c r="W70" s="570">
        <v>-21.024000000000001</v>
      </c>
      <c r="X70" s="570">
        <v>-21.302</v>
      </c>
      <c r="Y70" s="570">
        <v>-21.228999999999999</v>
      </c>
      <c r="Z70" s="519">
        <v>-20.699000000000002</v>
      </c>
      <c r="AA70" s="246">
        <f>SUM(W70:Z70)</f>
        <v>-84.254000000000005</v>
      </c>
      <c r="AB70" s="519">
        <v>-24.145</v>
      </c>
      <c r="AC70" s="519">
        <v>-28.75</v>
      </c>
      <c r="AD70" s="519">
        <v>-27.584</v>
      </c>
      <c r="AE70" s="519">
        <v>-28.356999999999999</v>
      </c>
      <c r="AF70" s="246">
        <f>AE70+AD70+AC70+AB70</f>
        <v>-108.836</v>
      </c>
      <c r="AG70" s="519">
        <f>AK70/4</f>
        <v>-20</v>
      </c>
      <c r="AH70" s="519">
        <f>AK70/4</f>
        <v>-20</v>
      </c>
      <c r="AI70" s="519">
        <f>AK70/4</f>
        <v>-20</v>
      </c>
      <c r="AJ70" s="633">
        <f>AK70-SUM(AG70:AI70)</f>
        <v>-20</v>
      </c>
      <c r="AK70" s="246">
        <f>-AK142</f>
        <v>-80</v>
      </c>
      <c r="AL70" s="519"/>
      <c r="AM70" s="519"/>
      <c r="AN70" s="519"/>
      <c r="AO70" s="519"/>
      <c r="AP70" s="246">
        <f>-AP142</f>
        <v>-80</v>
      </c>
      <c r="AQ70" s="519"/>
      <c r="AR70" s="519"/>
      <c r="AS70" s="519"/>
      <c r="AT70" s="519"/>
      <c r="AU70" s="246">
        <f>-AU142</f>
        <v>-80</v>
      </c>
      <c r="AV70" s="519"/>
      <c r="AW70" s="519"/>
      <c r="AX70" s="519"/>
      <c r="AY70" s="519"/>
      <c r="AZ70" s="246">
        <f>-AZ142</f>
        <v>-80</v>
      </c>
      <c r="BA70" s="519"/>
      <c r="BB70" s="519"/>
      <c r="BC70" s="519"/>
      <c r="BD70" s="519"/>
      <c r="BE70" s="246">
        <f>-BE142</f>
        <v>-80</v>
      </c>
      <c r="BF70" s="519"/>
      <c r="BG70" s="519"/>
      <c r="BH70" s="519"/>
      <c r="BI70" s="519"/>
      <c r="BJ70" s="246">
        <f>-BJ142</f>
        <v>-80</v>
      </c>
      <c r="BK70" s="519"/>
      <c r="BL70" s="519"/>
      <c r="BM70" s="519"/>
      <c r="BN70" s="519"/>
      <c r="BO70" s="246">
        <f>-BO142</f>
        <v>-80</v>
      </c>
      <c r="BP70" s="519"/>
      <c r="BQ70" s="519"/>
      <c r="BR70" s="519"/>
      <c r="BS70" s="519"/>
      <c r="BT70" s="246">
        <f>-BT142</f>
        <v>-80</v>
      </c>
      <c r="BU70" s="519"/>
      <c r="BV70" s="519"/>
      <c r="BW70" s="519"/>
      <c r="BX70" s="519"/>
      <c r="BY70" s="246">
        <f>-BY142</f>
        <v>-80</v>
      </c>
      <c r="BZ70" s="519"/>
      <c r="CA70" s="519"/>
      <c r="CB70" s="519"/>
      <c r="CC70" s="519"/>
      <c r="CD70" s="246">
        <f>-CD142</f>
        <v>-80</v>
      </c>
      <c r="CE70" s="519"/>
      <c r="CF70" s="519"/>
      <c r="CG70" s="519"/>
      <c r="CH70" s="519"/>
      <c r="CI70" s="246">
        <f>-CI142</f>
        <v>-80</v>
      </c>
      <c r="CJ70" s="519"/>
      <c r="CK70" s="519"/>
      <c r="CL70" s="519"/>
      <c r="CM70" s="519"/>
      <c r="CN70" s="246">
        <f>-CN142</f>
        <v>-80</v>
      </c>
      <c r="CO70" s="519"/>
      <c r="CP70" s="519"/>
      <c r="CQ70" s="519"/>
      <c r="CR70" s="519"/>
      <c r="CS70" s="246">
        <f>-CS142</f>
        <v>-80</v>
      </c>
      <c r="CT70" s="133"/>
    </row>
    <row r="71" spans="2:293" hidden="1" outlineLevel="1">
      <c r="B71" s="119" t="s">
        <v>299</v>
      </c>
      <c r="C71" s="9"/>
      <c r="D71" s="9"/>
      <c r="E71" s="9"/>
      <c r="F71" s="10"/>
      <c r="G71" s="12"/>
      <c r="H71" s="522">
        <v>0</v>
      </c>
      <c r="I71" s="522">
        <v>0</v>
      </c>
      <c r="J71" s="522">
        <v>0</v>
      </c>
      <c r="K71" s="576">
        <v>-1.4419999999999999</v>
      </c>
      <c r="L71" s="246">
        <f t="shared" si="76"/>
        <v>-1.4419999999999999</v>
      </c>
      <c r="M71" s="522">
        <v>-2.2000000000000002</v>
      </c>
      <c r="N71" s="522">
        <v>-1.706</v>
      </c>
      <c r="O71" s="522">
        <v>-0.63300000000000001</v>
      </c>
      <c r="P71" s="576">
        <v>-0.122</v>
      </c>
      <c r="Q71" s="246">
        <f t="shared" si="77"/>
        <v>-4.6609999999999996</v>
      </c>
      <c r="R71" s="522">
        <v>0</v>
      </c>
      <c r="S71" s="522">
        <v>0</v>
      </c>
      <c r="T71" s="522">
        <v>0</v>
      </c>
      <c r="U71" s="522">
        <v>0</v>
      </c>
      <c r="V71" s="246">
        <f>SUM(R71:U71)</f>
        <v>0</v>
      </c>
      <c r="W71" s="570"/>
      <c r="X71" s="570"/>
      <c r="Y71" s="570"/>
      <c r="Z71" s="519"/>
      <c r="AA71" s="246">
        <f>SUM(W71:Z71)</f>
        <v>0</v>
      </c>
      <c r="AB71" s="522"/>
      <c r="AC71" s="522"/>
      <c r="AD71" s="522"/>
      <c r="AE71" s="522"/>
      <c r="AF71" s="247">
        <v>0</v>
      </c>
      <c r="AG71" s="522"/>
      <c r="AH71" s="522"/>
      <c r="AI71" s="522"/>
      <c r="AJ71" s="522"/>
      <c r="AK71" s="247">
        <v>0</v>
      </c>
      <c r="AL71" s="522"/>
      <c r="AM71" s="522"/>
      <c r="AN71" s="522"/>
      <c r="AO71" s="522"/>
      <c r="AP71" s="247">
        <v>0</v>
      </c>
      <c r="AQ71" s="522"/>
      <c r="AR71" s="522"/>
      <c r="AS71" s="522"/>
      <c r="AT71" s="522"/>
      <c r="AU71" s="247">
        <v>0</v>
      </c>
      <c r="AV71" s="522"/>
      <c r="AW71" s="522"/>
      <c r="AX71" s="522"/>
      <c r="AY71" s="522"/>
      <c r="AZ71" s="247">
        <v>0</v>
      </c>
      <c r="BA71" s="522"/>
      <c r="BB71" s="522"/>
      <c r="BC71" s="522"/>
      <c r="BD71" s="522"/>
      <c r="BE71" s="247">
        <v>0</v>
      </c>
      <c r="BF71" s="522"/>
      <c r="BG71" s="522"/>
      <c r="BH71" s="522"/>
      <c r="BI71" s="522"/>
      <c r="BJ71" s="247">
        <v>0</v>
      </c>
      <c r="BK71" s="522"/>
      <c r="BL71" s="522"/>
      <c r="BM71" s="522"/>
      <c r="BN71" s="522"/>
      <c r="BO71" s="247">
        <v>0</v>
      </c>
      <c r="BP71" s="522"/>
      <c r="BQ71" s="522"/>
      <c r="BR71" s="522"/>
      <c r="BS71" s="522"/>
      <c r="BT71" s="247">
        <v>0</v>
      </c>
      <c r="BU71" s="522"/>
      <c r="BV71" s="522"/>
      <c r="BW71" s="522"/>
      <c r="BX71" s="522"/>
      <c r="BY71" s="247">
        <v>0</v>
      </c>
      <c r="BZ71" s="522"/>
      <c r="CA71" s="522"/>
      <c r="CB71" s="522"/>
      <c r="CC71" s="522"/>
      <c r="CD71" s="247">
        <v>0</v>
      </c>
      <c r="CE71" s="522"/>
      <c r="CF71" s="522"/>
      <c r="CG71" s="522"/>
      <c r="CH71" s="522"/>
      <c r="CI71" s="247">
        <v>0</v>
      </c>
      <c r="CJ71" s="522"/>
      <c r="CK71" s="522"/>
      <c r="CL71" s="522"/>
      <c r="CM71" s="522"/>
      <c r="CN71" s="247">
        <v>0</v>
      </c>
      <c r="CO71" s="522"/>
      <c r="CP71" s="522"/>
      <c r="CQ71" s="522"/>
      <c r="CR71" s="522"/>
      <c r="CS71" s="247">
        <v>0</v>
      </c>
      <c r="CT71" s="133"/>
    </row>
    <row r="72" spans="2:293" hidden="1" outlineLevel="1">
      <c r="B72" s="119" t="s">
        <v>188</v>
      </c>
      <c r="C72" s="9"/>
      <c r="D72" s="9"/>
      <c r="E72" s="9"/>
      <c r="F72" s="10"/>
      <c r="G72" s="12"/>
      <c r="H72" s="522">
        <v>0</v>
      </c>
      <c r="I72" s="522">
        <v>0</v>
      </c>
      <c r="J72" s="522">
        <v>0</v>
      </c>
      <c r="K72" s="576">
        <v>0</v>
      </c>
      <c r="L72" s="246">
        <f t="shared" si="76"/>
        <v>0</v>
      </c>
      <c r="M72" s="522">
        <v>-5.9210000000000003</v>
      </c>
      <c r="N72" s="522">
        <v>-2.6659999999999999</v>
      </c>
      <c r="O72" s="522">
        <v>-4.532</v>
      </c>
      <c r="P72" s="576">
        <v>-0.879</v>
      </c>
      <c r="Q72" s="246">
        <f t="shared" si="77"/>
        <v>-13.997999999999999</v>
      </c>
      <c r="R72" s="522">
        <v>2.9039999999999999</v>
      </c>
      <c r="S72" s="522">
        <v>-5.3999999999999999E-2</v>
      </c>
      <c r="T72" s="522">
        <v>-4.2999999999999997E-2</v>
      </c>
      <c r="U72" s="522">
        <v>0</v>
      </c>
      <c r="V72" s="246">
        <f>SUM(R72:U72)</f>
        <v>2.8069999999999999</v>
      </c>
      <c r="W72" s="570">
        <v>3.2000000000000001E-2</v>
      </c>
      <c r="X72" s="570">
        <v>-6.0999999999999999E-2</v>
      </c>
      <c r="Y72" s="570">
        <v>-7.5999999999999998E-2</v>
      </c>
      <c r="Z72" s="519">
        <v>-0.127</v>
      </c>
      <c r="AA72" s="246">
        <f>SUM(W72:Z72)</f>
        <v>-0.23199999999999998</v>
      </c>
      <c r="AB72" s="522"/>
      <c r="AC72" s="522"/>
      <c r="AD72" s="522"/>
      <c r="AE72" s="522"/>
      <c r="AF72" s="247">
        <v>0</v>
      </c>
      <c r="AG72" s="522"/>
      <c r="AH72" s="522"/>
      <c r="AI72" s="522"/>
      <c r="AJ72" s="522"/>
      <c r="AK72" s="247">
        <v>0</v>
      </c>
      <c r="AL72" s="522"/>
      <c r="AM72" s="522"/>
      <c r="AN72" s="522"/>
      <c r="AO72" s="522"/>
      <c r="AP72" s="247">
        <v>0</v>
      </c>
      <c r="AQ72" s="522"/>
      <c r="AR72" s="522"/>
      <c r="AS72" s="522"/>
      <c r="AT72" s="522"/>
      <c r="AU72" s="247">
        <v>0</v>
      </c>
      <c r="AV72" s="522"/>
      <c r="AW72" s="522"/>
      <c r="AX72" s="522"/>
      <c r="AY72" s="522"/>
      <c r="AZ72" s="247">
        <v>0</v>
      </c>
      <c r="BA72" s="522"/>
      <c r="BB72" s="522"/>
      <c r="BC72" s="522"/>
      <c r="BD72" s="522"/>
      <c r="BE72" s="247">
        <v>0</v>
      </c>
      <c r="BF72" s="522"/>
      <c r="BG72" s="522"/>
      <c r="BH72" s="522"/>
      <c r="BI72" s="522"/>
      <c r="BJ72" s="247">
        <v>0</v>
      </c>
      <c r="BK72" s="522"/>
      <c r="BL72" s="522"/>
      <c r="BM72" s="522"/>
      <c r="BN72" s="522"/>
      <c r="BO72" s="247">
        <v>0</v>
      </c>
      <c r="BP72" s="522"/>
      <c r="BQ72" s="522"/>
      <c r="BR72" s="522"/>
      <c r="BS72" s="522"/>
      <c r="BT72" s="247">
        <v>0</v>
      </c>
      <c r="BU72" s="522"/>
      <c r="BV72" s="522"/>
      <c r="BW72" s="522"/>
      <c r="BX72" s="522"/>
      <c r="BY72" s="247">
        <v>0</v>
      </c>
      <c r="BZ72" s="522"/>
      <c r="CA72" s="522"/>
      <c r="CB72" s="522"/>
      <c r="CC72" s="522"/>
      <c r="CD72" s="247">
        <v>0</v>
      </c>
      <c r="CE72" s="522"/>
      <c r="CF72" s="522"/>
      <c r="CG72" s="522"/>
      <c r="CH72" s="522"/>
      <c r="CI72" s="247">
        <v>0</v>
      </c>
      <c r="CJ72" s="522"/>
      <c r="CK72" s="522"/>
      <c r="CL72" s="522"/>
      <c r="CM72" s="522"/>
      <c r="CN72" s="247">
        <v>0</v>
      </c>
      <c r="CO72" s="522"/>
      <c r="CP72" s="522"/>
      <c r="CQ72" s="522"/>
      <c r="CR72" s="522"/>
      <c r="CS72" s="247">
        <v>0</v>
      </c>
      <c r="CT72" s="133"/>
    </row>
    <row r="73" spans="2:293" hidden="1" outlineLevel="1">
      <c r="B73" s="119" t="s">
        <v>178</v>
      </c>
      <c r="C73" s="9"/>
      <c r="D73" s="9"/>
      <c r="E73" s="9"/>
      <c r="F73" s="10"/>
      <c r="G73" s="12"/>
      <c r="H73" s="522">
        <v>-1.2410000000000001</v>
      </c>
      <c r="I73" s="522">
        <v>-1.4410000000000001</v>
      </c>
      <c r="J73" s="522">
        <v>0</v>
      </c>
      <c r="K73" s="576">
        <v>0</v>
      </c>
      <c r="L73" s="246">
        <f t="shared" si="76"/>
        <v>-2.6820000000000004</v>
      </c>
      <c r="M73" s="522">
        <v>0</v>
      </c>
      <c r="N73" s="522">
        <v>0</v>
      </c>
      <c r="O73" s="522">
        <v>0</v>
      </c>
      <c r="P73" s="576">
        <v>-0.49099999999999999</v>
      </c>
      <c r="Q73" s="246">
        <f t="shared" si="77"/>
        <v>-0.49099999999999999</v>
      </c>
      <c r="R73" s="522">
        <v>-0.44800000000000001</v>
      </c>
      <c r="S73" s="522">
        <v>-0.69499999999999995</v>
      </c>
      <c r="T73" s="522">
        <v>-2.5779999999999998</v>
      </c>
      <c r="U73" s="522">
        <v>-2.1760000000000002</v>
      </c>
      <c r="V73" s="246">
        <f t="shared" ref="V73" si="85">SUM(R73:U73)</f>
        <v>-5.8970000000000002</v>
      </c>
      <c r="W73" s="570">
        <v>-0.54300000000000004</v>
      </c>
      <c r="X73" s="570">
        <v>-1.698</v>
      </c>
      <c r="Y73" s="570">
        <v>-0.75800000000000001</v>
      </c>
      <c r="Z73" s="519">
        <v>-1.1599999999999999</v>
      </c>
      <c r="AA73" s="246">
        <f t="shared" ref="AA73" si="86">SUM(W73:Z73)</f>
        <v>-4.1589999999999998</v>
      </c>
      <c r="AB73" s="522">
        <f>-2.004-0.833</f>
        <v>-2.8369999999999997</v>
      </c>
      <c r="AC73" s="522">
        <f>-4.984-0.609</f>
        <v>-5.593</v>
      </c>
      <c r="AD73" s="522">
        <f>-0.962-1.201-0.109-0.297</f>
        <v>-2.5690000000000004</v>
      </c>
      <c r="AE73" s="522">
        <f>-0.465-0.05-0.418</f>
        <v>-0.93300000000000005</v>
      </c>
      <c r="AF73" s="246">
        <f>AE73+AD73+AC73+AB73</f>
        <v>-11.932</v>
      </c>
      <c r="AG73" s="522"/>
      <c r="AH73" s="522"/>
      <c r="AI73" s="522"/>
      <c r="AJ73" s="522"/>
      <c r="AK73" s="247">
        <v>0</v>
      </c>
      <c r="AL73" s="522"/>
      <c r="AM73" s="522"/>
      <c r="AN73" s="522"/>
      <c r="AO73" s="522"/>
      <c r="AP73" s="247">
        <v>0</v>
      </c>
      <c r="AQ73" s="522"/>
      <c r="AR73" s="522"/>
      <c r="AS73" s="522"/>
      <c r="AT73" s="522"/>
      <c r="AU73" s="247">
        <v>0</v>
      </c>
      <c r="AV73" s="522"/>
      <c r="AW73" s="522"/>
      <c r="AX73" s="522"/>
      <c r="AY73" s="522"/>
      <c r="AZ73" s="247">
        <v>0</v>
      </c>
      <c r="BA73" s="522"/>
      <c r="BB73" s="522"/>
      <c r="BC73" s="522"/>
      <c r="BD73" s="522"/>
      <c r="BE73" s="247">
        <v>0</v>
      </c>
      <c r="BF73" s="522"/>
      <c r="BG73" s="522"/>
      <c r="BH73" s="522"/>
      <c r="BI73" s="522"/>
      <c r="BJ73" s="247">
        <v>0</v>
      </c>
      <c r="BK73" s="522"/>
      <c r="BL73" s="522"/>
      <c r="BM73" s="522"/>
      <c r="BN73" s="522"/>
      <c r="BO73" s="247">
        <v>0</v>
      </c>
      <c r="BP73" s="522"/>
      <c r="BQ73" s="522"/>
      <c r="BR73" s="522"/>
      <c r="BS73" s="522"/>
      <c r="BT73" s="247">
        <v>0</v>
      </c>
      <c r="BU73" s="522"/>
      <c r="BV73" s="522"/>
      <c r="BW73" s="522"/>
      <c r="BX73" s="522"/>
      <c r="BY73" s="247">
        <v>0</v>
      </c>
      <c r="BZ73" s="522"/>
      <c r="CA73" s="522"/>
      <c r="CB73" s="522"/>
      <c r="CC73" s="522"/>
      <c r="CD73" s="247">
        <v>0</v>
      </c>
      <c r="CE73" s="522"/>
      <c r="CF73" s="522"/>
      <c r="CG73" s="522"/>
      <c r="CH73" s="522"/>
      <c r="CI73" s="247">
        <v>0</v>
      </c>
      <c r="CJ73" s="522"/>
      <c r="CK73" s="522"/>
      <c r="CL73" s="522"/>
      <c r="CM73" s="522"/>
      <c r="CN73" s="247">
        <v>0</v>
      </c>
      <c r="CO73" s="522"/>
      <c r="CP73" s="522"/>
      <c r="CQ73" s="522"/>
      <c r="CR73" s="522"/>
      <c r="CS73" s="247">
        <v>0</v>
      </c>
      <c r="CT73" s="133"/>
    </row>
    <row r="74" spans="2:293" collapsed="1">
      <c r="B74" s="15" t="s">
        <v>479</v>
      </c>
      <c r="C74" s="9"/>
      <c r="D74" s="9"/>
      <c r="E74" s="9"/>
      <c r="F74" s="10"/>
      <c r="G74" s="12">
        <f>SUM(C74:F74)</f>
        <v>0</v>
      </c>
      <c r="H74" s="519">
        <f>-H104</f>
        <v>-412.93899999999996</v>
      </c>
      <c r="I74" s="519">
        <f>-I104</f>
        <v>-0.77600000000000002</v>
      </c>
      <c r="J74" s="519">
        <f>-J104</f>
        <v>-12.048</v>
      </c>
      <c r="K74" s="519">
        <f>-K104</f>
        <v>-27.658000000000001</v>
      </c>
      <c r="L74" s="246">
        <f t="shared" si="76"/>
        <v>-453.42099999999999</v>
      </c>
      <c r="M74" s="519">
        <f>-M104</f>
        <v>-6.1879999999999997</v>
      </c>
      <c r="N74" s="519">
        <f>-N104</f>
        <v>0.27</v>
      </c>
      <c r="O74" s="519">
        <f>-O104</f>
        <v>-40.843000000000004</v>
      </c>
      <c r="P74" s="519">
        <f>-P104</f>
        <v>-4.1639999999999997</v>
      </c>
      <c r="Q74" s="246">
        <f t="shared" si="77"/>
        <v>-50.925000000000004</v>
      </c>
      <c r="R74" s="519">
        <f>-R104</f>
        <v>3.2719999999999998</v>
      </c>
      <c r="S74" s="519">
        <f>-S104</f>
        <v>-2.1280000000000001</v>
      </c>
      <c r="T74" s="519">
        <f>-T104</f>
        <v>-1.8260000000000001</v>
      </c>
      <c r="U74" s="519">
        <f>-U104</f>
        <v>-1.5239999999999996</v>
      </c>
      <c r="V74" s="246">
        <f>SUM(R74:U74)</f>
        <v>-2.206</v>
      </c>
      <c r="W74" s="519">
        <f>-W104</f>
        <v>-0.68700000000000006</v>
      </c>
      <c r="X74" s="519">
        <f>-X104</f>
        <v>-0.34300000000000003</v>
      </c>
      <c r="Y74" s="519">
        <f>-Y104</f>
        <v>-8.0000000000000002E-3</v>
      </c>
      <c r="Z74" s="519"/>
      <c r="AA74" s="246">
        <f>SUM(W74:Z74)</f>
        <v>-1.038</v>
      </c>
      <c r="AB74" s="522">
        <f>-10.968+0.136+0.833</f>
        <v>-9.9990000000000006</v>
      </c>
      <c r="AC74" s="522">
        <v>-3.5230000000000001</v>
      </c>
      <c r="AD74" s="522">
        <f>-255.34-0.337</f>
        <v>-255.67699999999999</v>
      </c>
      <c r="AE74" s="522">
        <v>-0.38700000000000001</v>
      </c>
      <c r="AF74" s="246">
        <f>AE74+AD74+AC74+AB74</f>
        <v>-269.58600000000001</v>
      </c>
      <c r="AG74" s="522"/>
      <c r="AH74" s="522"/>
      <c r="AI74" s="522"/>
      <c r="AJ74" s="522"/>
      <c r="AK74" s="247">
        <f>SUM(AG74:AJ74)</f>
        <v>0</v>
      </c>
      <c r="AL74" s="522"/>
      <c r="AM74" s="522"/>
      <c r="AN74" s="522"/>
      <c r="AO74" s="522"/>
      <c r="AP74" s="247">
        <f>SUM(AL74:AO74)</f>
        <v>0</v>
      </c>
      <c r="AQ74" s="522"/>
      <c r="AR74" s="522"/>
      <c r="AS74" s="522"/>
      <c r="AT74" s="522"/>
      <c r="AU74" s="247">
        <f>SUM(AQ74:AT74)</f>
        <v>0</v>
      </c>
      <c r="AV74" s="522"/>
      <c r="AW74" s="522"/>
      <c r="AX74" s="522"/>
      <c r="AY74" s="522"/>
      <c r="AZ74" s="247">
        <f>SUM(AV74:AY74)</f>
        <v>0</v>
      </c>
      <c r="BA74" s="522"/>
      <c r="BB74" s="522"/>
      <c r="BC74" s="522"/>
      <c r="BD74" s="522"/>
      <c r="BE74" s="247">
        <f>SUM(BA74:BD74)</f>
        <v>0</v>
      </c>
      <c r="BF74" s="522"/>
      <c r="BG74" s="522"/>
      <c r="BH74" s="522"/>
      <c r="BI74" s="522"/>
      <c r="BJ74" s="247">
        <f>SUM(BF74:BI74)</f>
        <v>0</v>
      </c>
      <c r="BK74" s="522"/>
      <c r="BL74" s="522"/>
      <c r="BM74" s="522"/>
      <c r="BN74" s="522"/>
      <c r="BO74" s="247">
        <f>SUM(BK74:BN74)</f>
        <v>0</v>
      </c>
      <c r="BP74" s="522"/>
      <c r="BQ74" s="522"/>
      <c r="BR74" s="522"/>
      <c r="BS74" s="522"/>
      <c r="BT74" s="247">
        <f>SUM(BP74:BS74)</f>
        <v>0</v>
      </c>
      <c r="BU74" s="522"/>
      <c r="BV74" s="522"/>
      <c r="BW74" s="522"/>
      <c r="BX74" s="522"/>
      <c r="BY74" s="247">
        <f>SUM(BU74:BX74)</f>
        <v>0</v>
      </c>
      <c r="BZ74" s="522"/>
      <c r="CA74" s="522"/>
      <c r="CB74" s="522"/>
      <c r="CC74" s="522"/>
      <c r="CD74" s="247">
        <f>SUM(BZ74:CC74)</f>
        <v>0</v>
      </c>
      <c r="CE74" s="522"/>
      <c r="CF74" s="522"/>
      <c r="CG74" s="522"/>
      <c r="CH74" s="522"/>
      <c r="CI74" s="247">
        <f>SUM(CE74:CH74)</f>
        <v>0</v>
      </c>
      <c r="CJ74" s="522"/>
      <c r="CK74" s="522"/>
      <c r="CL74" s="522"/>
      <c r="CM74" s="522"/>
      <c r="CN74" s="247">
        <f>SUM(CJ74:CM74)</f>
        <v>0</v>
      </c>
      <c r="CO74" s="522"/>
      <c r="CP74" s="522"/>
      <c r="CQ74" s="522"/>
      <c r="CR74" s="522"/>
      <c r="CS74" s="247">
        <f>SUM(CO74:CR74)</f>
        <v>0</v>
      </c>
      <c r="CT74" s="133"/>
    </row>
    <row r="75" spans="2:293">
      <c r="B75" s="15" t="s">
        <v>480</v>
      </c>
      <c r="C75" s="9"/>
      <c r="D75" s="9"/>
      <c r="E75" s="9"/>
      <c r="F75" s="10"/>
      <c r="G75" s="12">
        <f>SUM(C75:F75)</f>
        <v>0</v>
      </c>
      <c r="H75" s="522">
        <v>8.0000000000000002E-3</v>
      </c>
      <c r="I75" s="522">
        <f>3.908-0.183</f>
        <v>3.7250000000000001</v>
      </c>
      <c r="J75" s="522">
        <v>0</v>
      </c>
      <c r="K75" s="576">
        <v>9.2759999999999341</v>
      </c>
      <c r="L75" s="246">
        <f t="shared" si="76"/>
        <v>13.008999999999935</v>
      </c>
      <c r="M75" s="522">
        <v>0</v>
      </c>
      <c r="N75" s="522">
        <v>-36.685000000000002</v>
      </c>
      <c r="O75" s="522">
        <v>0</v>
      </c>
      <c r="P75" s="576">
        <v>-1.2999999999999999E-2</v>
      </c>
      <c r="Q75" s="246">
        <f t="shared" si="77"/>
        <v>-36.698</v>
      </c>
      <c r="R75" s="522">
        <v>0</v>
      </c>
      <c r="S75" s="522">
        <v>0</v>
      </c>
      <c r="T75" s="519"/>
      <c r="U75" s="519"/>
      <c r="V75" s="246">
        <f>SUM(R75:U75)</f>
        <v>0</v>
      </c>
      <c r="W75" s="519">
        <v>0.21099999999999999</v>
      </c>
      <c r="X75" s="519">
        <v>-3.5999999999999997E-2</v>
      </c>
      <c r="Y75" s="519">
        <v>-3.5999999999999997E-2</v>
      </c>
      <c r="Z75" s="519">
        <v>-3.2000000000000001E-2</v>
      </c>
      <c r="AA75" s="246">
        <f>SUM(W75:Z75)</f>
        <v>0.10699999999999998</v>
      </c>
      <c r="AB75" s="519">
        <v>-3.4000000000000002E-2</v>
      </c>
      <c r="AC75" s="519">
        <v>-0.04</v>
      </c>
      <c r="AD75" s="519">
        <v>76.581000000000003</v>
      </c>
      <c r="AE75" s="519">
        <v>-4.0000000000000001E-3</v>
      </c>
      <c r="AF75" s="246">
        <f>AE75+AD75+AC75+AB75</f>
        <v>76.502999999999986</v>
      </c>
      <c r="AG75" s="519"/>
      <c r="AH75" s="519"/>
      <c r="AI75" s="519"/>
      <c r="AJ75" s="519"/>
      <c r="AK75" s="246">
        <f t="shared" ref="AK75" si="87">SUM(AG75:AJ75)</f>
        <v>0</v>
      </c>
      <c r="AL75" s="519"/>
      <c r="AM75" s="519"/>
      <c r="AN75" s="519"/>
      <c r="AO75" s="519"/>
      <c r="AP75" s="246">
        <f t="shared" ref="AP75" si="88">SUM(AL75:AO75)</f>
        <v>0</v>
      </c>
      <c r="AQ75" s="519"/>
      <c r="AR75" s="519"/>
      <c r="AS75" s="519"/>
      <c r="AT75" s="519"/>
      <c r="AU75" s="246">
        <f t="shared" ref="AU75" si="89">SUM(AQ75:AT75)</f>
        <v>0</v>
      </c>
      <c r="AV75" s="519"/>
      <c r="AW75" s="519"/>
      <c r="AX75" s="519"/>
      <c r="AY75" s="519"/>
      <c r="AZ75" s="246">
        <f t="shared" ref="AZ75" si="90">SUM(AV75:AY75)</f>
        <v>0</v>
      </c>
      <c r="BA75" s="519"/>
      <c r="BB75" s="519"/>
      <c r="BC75" s="519"/>
      <c r="BD75" s="519"/>
      <c r="BE75" s="246">
        <f t="shared" ref="BE75" si="91">SUM(BA75:BD75)</f>
        <v>0</v>
      </c>
      <c r="BF75" s="519"/>
      <c r="BG75" s="519"/>
      <c r="BH75" s="519"/>
      <c r="BI75" s="519"/>
      <c r="BJ75" s="246">
        <f t="shared" ref="BJ75" si="92">SUM(BF75:BI75)</f>
        <v>0</v>
      </c>
      <c r="BK75" s="519"/>
      <c r="BL75" s="519"/>
      <c r="BM75" s="519"/>
      <c r="BN75" s="519"/>
      <c r="BO75" s="246">
        <f t="shared" ref="BO75" si="93">SUM(BK75:BN75)</f>
        <v>0</v>
      </c>
      <c r="BP75" s="519"/>
      <c r="BQ75" s="519"/>
      <c r="BR75" s="519"/>
      <c r="BS75" s="519"/>
      <c r="BT75" s="246">
        <f t="shared" ref="BT75" si="94">SUM(BP75:BS75)</f>
        <v>0</v>
      </c>
      <c r="BU75" s="519"/>
      <c r="BV75" s="519"/>
      <c r="BW75" s="519"/>
      <c r="BX75" s="519"/>
      <c r="BY75" s="246">
        <f t="shared" ref="BY75" si="95">SUM(BU75:BX75)</f>
        <v>0</v>
      </c>
      <c r="BZ75" s="519"/>
      <c r="CA75" s="519"/>
      <c r="CB75" s="519"/>
      <c r="CC75" s="519"/>
      <c r="CD75" s="246">
        <f t="shared" ref="CD75" si="96">SUM(BZ75:CC75)</f>
        <v>0</v>
      </c>
      <c r="CE75" s="519"/>
      <c r="CF75" s="519"/>
      <c r="CG75" s="519"/>
      <c r="CH75" s="519"/>
      <c r="CI75" s="246">
        <f t="shared" ref="CI75" si="97">SUM(CE75:CH75)</f>
        <v>0</v>
      </c>
      <c r="CJ75" s="519"/>
      <c r="CK75" s="519"/>
      <c r="CL75" s="519"/>
      <c r="CM75" s="519"/>
      <c r="CN75" s="246">
        <f t="shared" ref="CN75" si="98">SUM(CJ75:CM75)</f>
        <v>0</v>
      </c>
      <c r="CO75" s="519"/>
      <c r="CP75" s="519"/>
      <c r="CQ75" s="519"/>
      <c r="CR75" s="519"/>
      <c r="CS75" s="246">
        <f t="shared" ref="CS75" si="99">SUM(CO75:CR75)</f>
        <v>0</v>
      </c>
      <c r="CT75" s="133"/>
    </row>
    <row r="76" spans="2:293">
      <c r="B76" s="15" t="s">
        <v>481</v>
      </c>
      <c r="C76" s="9"/>
      <c r="D76" s="9"/>
      <c r="E76" s="9"/>
      <c r="F76" s="10"/>
      <c r="G76" s="12"/>
      <c r="H76" s="522">
        <v>-131.012</v>
      </c>
      <c r="I76" s="522">
        <v>-2.3570000000000002</v>
      </c>
      <c r="J76" s="522">
        <v>0</v>
      </c>
      <c r="K76" s="576">
        <v>-2.7040000000000002</v>
      </c>
      <c r="L76" s="246">
        <f t="shared" si="76"/>
        <v>-136.07300000000001</v>
      </c>
      <c r="M76" s="522">
        <v>0</v>
      </c>
      <c r="N76" s="522">
        <v>0</v>
      </c>
      <c r="O76" s="522">
        <v>0</v>
      </c>
      <c r="P76" s="576">
        <v>-3.8759999999999999</v>
      </c>
      <c r="Q76" s="246"/>
      <c r="R76" s="522">
        <v>-6.3E-2</v>
      </c>
      <c r="S76" s="522">
        <v>29.65300000000002</v>
      </c>
      <c r="T76" s="522">
        <v>0.77699999999992009</v>
      </c>
      <c r="U76" s="522">
        <v>-0.63600000000000001</v>
      </c>
      <c r="V76" s="246">
        <f>SUM(R76:U76)</f>
        <v>29.730999999999941</v>
      </c>
      <c r="W76" s="519">
        <v>3.0630000000000002</v>
      </c>
      <c r="X76" s="519">
        <v>17.510000000000002</v>
      </c>
      <c r="Y76" s="519">
        <v>-0.50900000000000001</v>
      </c>
      <c r="Z76" s="519">
        <v>-3.32</v>
      </c>
      <c r="AA76" s="246">
        <f>SUM(W76:Z76)</f>
        <v>16.744</v>
      </c>
      <c r="AB76" s="570">
        <v>0.39100000000000001</v>
      </c>
      <c r="AC76" s="570">
        <v>8.1319999999999997</v>
      </c>
      <c r="AD76" s="570">
        <v>-120.181</v>
      </c>
      <c r="AE76" s="570">
        <v>-2.4319999999999999</v>
      </c>
      <c r="AF76" s="246">
        <f>AE76+AD76+AC76+AB76</f>
        <v>-114.08999999999999</v>
      </c>
      <c r="AG76" s="570"/>
      <c r="AH76" s="570"/>
      <c r="AI76" s="570"/>
      <c r="AJ76" s="570"/>
      <c r="AK76" s="399">
        <v>0</v>
      </c>
      <c r="AL76" s="570"/>
      <c r="AM76" s="570"/>
      <c r="AN76" s="570"/>
      <c r="AO76" s="570"/>
      <c r="AP76" s="399">
        <v>0</v>
      </c>
      <c r="AQ76" s="570"/>
      <c r="AR76" s="570"/>
      <c r="AS76" s="570"/>
      <c r="AT76" s="570"/>
      <c r="AU76" s="399">
        <v>0</v>
      </c>
      <c r="AV76" s="570"/>
      <c r="AW76" s="570"/>
      <c r="AX76" s="570"/>
      <c r="AY76" s="570"/>
      <c r="AZ76" s="399">
        <v>0</v>
      </c>
      <c r="BA76" s="570"/>
      <c r="BB76" s="570"/>
      <c r="BC76" s="570"/>
      <c r="BD76" s="570"/>
      <c r="BE76" s="399">
        <v>0</v>
      </c>
      <c r="BF76" s="570"/>
      <c r="BG76" s="570"/>
      <c r="BH76" s="570"/>
      <c r="BI76" s="570"/>
      <c r="BJ76" s="399">
        <v>0</v>
      </c>
      <c r="BK76" s="570"/>
      <c r="BL76" s="570"/>
      <c r="BM76" s="570"/>
      <c r="BN76" s="570"/>
      <c r="BO76" s="399">
        <v>0</v>
      </c>
      <c r="BP76" s="570"/>
      <c r="BQ76" s="570"/>
      <c r="BR76" s="570"/>
      <c r="BS76" s="570"/>
      <c r="BT76" s="399">
        <v>0</v>
      </c>
      <c r="BU76" s="570"/>
      <c r="BV76" s="570"/>
      <c r="BW76" s="570"/>
      <c r="BX76" s="570"/>
      <c r="BY76" s="399">
        <v>0</v>
      </c>
      <c r="BZ76" s="570"/>
      <c r="CA76" s="570"/>
      <c r="CB76" s="570"/>
      <c r="CC76" s="570"/>
      <c r="CD76" s="399">
        <v>0</v>
      </c>
      <c r="CE76" s="570"/>
      <c r="CF76" s="570"/>
      <c r="CG76" s="570"/>
      <c r="CH76" s="570"/>
      <c r="CI76" s="399">
        <v>0</v>
      </c>
      <c r="CJ76" s="570"/>
      <c r="CK76" s="570"/>
      <c r="CL76" s="570"/>
      <c r="CM76" s="570"/>
      <c r="CN76" s="399">
        <v>0</v>
      </c>
      <c r="CO76" s="570"/>
      <c r="CP76" s="570"/>
      <c r="CQ76" s="570"/>
      <c r="CR76" s="570"/>
      <c r="CS76" s="399">
        <v>0</v>
      </c>
      <c r="CT76" s="133"/>
    </row>
    <row r="77" spans="2:293">
      <c r="CT77" s="133"/>
    </row>
    <row r="78" spans="2:293" s="2" customFormat="1" ht="13.5" thickBot="1">
      <c r="B78" s="3"/>
      <c r="C78" s="16"/>
      <c r="T78" s="113"/>
      <c r="U78" s="113"/>
      <c r="V78" s="113"/>
      <c r="W78" s="113"/>
      <c r="X78" s="113"/>
      <c r="Y78" s="113"/>
      <c r="Z78" s="113"/>
      <c r="AA78" s="113"/>
      <c r="AB78" s="113"/>
      <c r="AC78" s="113"/>
      <c r="AD78" s="113"/>
      <c r="AE78" s="113"/>
      <c r="AF78" s="113"/>
      <c r="AG78" s="113"/>
      <c r="AH78" s="113"/>
      <c r="AI78" s="113"/>
      <c r="AJ78" s="113"/>
      <c r="AK78" s="113"/>
      <c r="AL78" s="113"/>
      <c r="AM78" s="113"/>
      <c r="AN78" s="113"/>
      <c r="AO78" s="113"/>
      <c r="AP78" s="113"/>
      <c r="AQ78" s="113"/>
      <c r="AR78" s="113"/>
      <c r="AS78" s="113"/>
      <c r="AT78" s="113"/>
      <c r="AU78" s="113"/>
      <c r="AV78" s="113"/>
      <c r="AW78" s="113"/>
      <c r="AX78" s="113"/>
      <c r="AY78" s="113"/>
      <c r="AZ78" s="113"/>
      <c r="BA78" s="113"/>
      <c r="BB78" s="113"/>
      <c r="BC78" s="113"/>
      <c r="BD78" s="113"/>
      <c r="BE78" s="113"/>
      <c r="BF78" s="113"/>
      <c r="BG78" s="113"/>
      <c r="BH78" s="113"/>
      <c r="BI78" s="113"/>
      <c r="BJ78" s="113"/>
      <c r="BK78" s="113"/>
      <c r="BL78" s="113"/>
      <c r="BM78" s="113"/>
      <c r="BN78" s="113"/>
      <c r="BO78" s="113"/>
      <c r="BP78" s="113"/>
      <c r="BQ78" s="113"/>
      <c r="BR78" s="113"/>
      <c r="BS78" s="113"/>
      <c r="BT78" s="113"/>
      <c r="BU78" s="113"/>
      <c r="BV78" s="113"/>
      <c r="BW78" s="113"/>
      <c r="BX78" s="113"/>
      <c r="BY78" s="113"/>
      <c r="BZ78" s="113"/>
      <c r="CA78" s="113"/>
      <c r="CB78" s="113"/>
      <c r="CC78" s="113"/>
      <c r="CD78" s="113"/>
      <c r="CE78" s="113"/>
      <c r="CF78" s="113"/>
      <c r="CG78" s="113"/>
      <c r="CH78" s="113"/>
      <c r="CI78" s="113"/>
      <c r="CJ78" s="113"/>
      <c r="CK78" s="113"/>
      <c r="CL78" s="113"/>
      <c r="CM78" s="113"/>
      <c r="CN78" s="113"/>
      <c r="CO78" s="113"/>
      <c r="CP78" s="113"/>
      <c r="CQ78" s="113"/>
      <c r="CR78" s="113"/>
      <c r="CS78" s="113"/>
      <c r="CT78" s="133"/>
      <c r="CU78" s="202"/>
      <c r="CV78" s="202"/>
      <c r="CW78" s="202"/>
      <c r="CX78" s="202"/>
      <c r="CY78"/>
      <c r="CZ78"/>
      <c r="DA78"/>
      <c r="DB78"/>
      <c r="DC78"/>
      <c r="DD78"/>
      <c r="DE78" s="202"/>
      <c r="DF78" s="202"/>
      <c r="DG78" s="202"/>
      <c r="DH78" s="202"/>
      <c r="DI78" s="202"/>
      <c r="DJ78" s="202"/>
      <c r="DK78" s="202"/>
      <c r="DL78" s="202"/>
      <c r="DM78" s="202"/>
      <c r="DN78" s="202"/>
      <c r="DO78" s="202"/>
      <c r="DP78" s="202"/>
      <c r="DQ78" s="202"/>
      <c r="DR78" s="202"/>
      <c r="DS78" s="202"/>
      <c r="DT78" s="202"/>
      <c r="DU78" s="202"/>
      <c r="DV78" s="202"/>
      <c r="DW78" s="202"/>
      <c r="DX78" s="202"/>
      <c r="DY78" s="202"/>
      <c r="DZ78" s="202"/>
      <c r="EA78" s="202"/>
      <c r="EB78" s="202"/>
      <c r="EC78" s="202"/>
      <c r="ED78" s="202"/>
      <c r="EE78" s="202"/>
      <c r="EF78" s="202"/>
      <c r="EG78" s="202"/>
      <c r="EH78" s="202"/>
      <c r="EI78" s="202"/>
      <c r="EJ78" s="202"/>
      <c r="EK78" s="202"/>
      <c r="EL78" s="202"/>
      <c r="EM78" s="202"/>
      <c r="EN78" s="202"/>
      <c r="EO78" s="202"/>
      <c r="EP78" s="202"/>
      <c r="EQ78" s="202"/>
      <c r="ER78" s="202"/>
      <c r="ES78" s="202"/>
      <c r="ET78" s="202"/>
      <c r="EU78" s="202"/>
      <c r="EV78" s="202"/>
      <c r="EW78" s="202"/>
      <c r="EX78" s="202"/>
      <c r="EY78" s="202"/>
      <c r="EZ78" s="202"/>
      <c r="FA78" s="202"/>
      <c r="FB78" s="202"/>
      <c r="FC78" s="202"/>
      <c r="FD78" s="202"/>
      <c r="FE78" s="202"/>
      <c r="FF78" s="202"/>
      <c r="FG78" s="202"/>
      <c r="FH78" s="202"/>
      <c r="FI78" s="202"/>
      <c r="FJ78" s="202"/>
      <c r="FK78" s="202"/>
      <c r="FL78" s="202"/>
      <c r="FM78" s="202"/>
      <c r="FN78" s="202"/>
      <c r="FO78" s="202"/>
      <c r="FP78" s="202"/>
      <c r="FQ78" s="202"/>
      <c r="FR78" s="202"/>
      <c r="FS78" s="202"/>
      <c r="FT78" s="202"/>
      <c r="FU78" s="202"/>
      <c r="FV78" s="202"/>
      <c r="FW78" s="202"/>
      <c r="FX78" s="202"/>
      <c r="FY78" s="202"/>
      <c r="FZ78" s="202"/>
      <c r="GA78" s="202"/>
      <c r="GB78" s="202"/>
      <c r="GC78" s="202"/>
      <c r="GD78" s="202"/>
      <c r="GE78" s="202"/>
      <c r="GF78" s="202"/>
      <c r="GG78" s="202"/>
      <c r="GH78" s="202"/>
      <c r="GI78" s="202"/>
      <c r="GJ78" s="202"/>
      <c r="GK78" s="202"/>
      <c r="GL78" s="202"/>
      <c r="GM78" s="202"/>
      <c r="GN78" s="202"/>
      <c r="GO78" s="202"/>
      <c r="GP78" s="202"/>
      <c r="GQ78" s="202"/>
      <c r="GR78" s="202"/>
      <c r="GS78" s="202"/>
      <c r="GT78" s="202"/>
      <c r="GU78" s="202"/>
      <c r="GV78" s="202"/>
      <c r="GW78" s="202"/>
      <c r="GX78" s="202"/>
      <c r="GY78" s="202"/>
      <c r="GZ78" s="202"/>
      <c r="HA78" s="202"/>
      <c r="HB78" s="202"/>
      <c r="HC78" s="202"/>
      <c r="HD78" s="202"/>
      <c r="HE78" s="202"/>
      <c r="HF78" s="202"/>
      <c r="HG78" s="202"/>
      <c r="HH78" s="202"/>
      <c r="HI78" s="202"/>
      <c r="HJ78" s="202"/>
      <c r="HK78" s="202"/>
      <c r="HL78" s="202"/>
      <c r="HM78" s="202"/>
      <c r="HN78" s="202"/>
      <c r="HO78" s="202"/>
      <c r="HP78" s="202"/>
      <c r="HQ78" s="202"/>
      <c r="HR78" s="202"/>
      <c r="HS78" s="202"/>
      <c r="HT78" s="202"/>
      <c r="HU78" s="202"/>
      <c r="HV78" s="202"/>
      <c r="HW78" s="202"/>
      <c r="HX78" s="202"/>
      <c r="HY78" s="202"/>
      <c r="HZ78" s="202"/>
      <c r="IA78" s="202"/>
      <c r="IB78" s="202"/>
      <c r="IC78" s="202"/>
      <c r="ID78" s="202"/>
      <c r="IE78" s="202"/>
      <c r="IF78" s="202"/>
      <c r="IG78" s="202"/>
      <c r="IH78" s="202"/>
      <c r="II78" s="202"/>
      <c r="IJ78" s="202"/>
      <c r="IK78" s="202"/>
      <c r="IL78" s="202"/>
      <c r="IM78" s="202"/>
      <c r="IN78" s="202"/>
      <c r="IO78" s="202"/>
      <c r="IP78" s="202"/>
      <c r="IQ78" s="202"/>
      <c r="IR78" s="202"/>
      <c r="IS78" s="202"/>
      <c r="IT78" s="202"/>
      <c r="IU78" s="202"/>
      <c r="IV78" s="202"/>
      <c r="IW78" s="202"/>
      <c r="IX78" s="202"/>
      <c r="IY78" s="202"/>
      <c r="IZ78" s="202"/>
      <c r="JA78" s="202"/>
      <c r="JB78" s="202"/>
      <c r="JC78" s="202"/>
      <c r="JD78" s="202"/>
      <c r="JE78" s="202"/>
      <c r="JF78" s="202"/>
      <c r="JG78" s="202"/>
      <c r="JH78" s="202"/>
      <c r="JI78" s="202"/>
      <c r="JJ78" s="202"/>
      <c r="JK78" s="202"/>
      <c r="JL78" s="202"/>
      <c r="JM78" s="202"/>
      <c r="JN78" s="202"/>
      <c r="JO78" s="202"/>
      <c r="JP78" s="202"/>
      <c r="JQ78" s="202"/>
      <c r="JR78" s="202"/>
      <c r="JS78" s="202"/>
      <c r="JT78" s="202"/>
      <c r="JU78" s="202"/>
      <c r="JV78" s="202"/>
      <c r="JW78" s="202"/>
      <c r="JX78" s="202"/>
      <c r="JY78" s="202"/>
      <c r="JZ78" s="202"/>
      <c r="KA78" s="202"/>
      <c r="KB78" s="202"/>
      <c r="KC78" s="202"/>
      <c r="KD78" s="202"/>
      <c r="KE78" s="202"/>
      <c r="KF78" s="202"/>
      <c r="KG78" s="202"/>
    </row>
    <row r="79" spans="2:293" s="2" customFormat="1">
      <c r="B79" s="4" t="s">
        <v>27</v>
      </c>
      <c r="C79" s="17" t="s">
        <v>0</v>
      </c>
      <c r="D79" s="5" t="s">
        <v>1</v>
      </c>
      <c r="E79" s="5" t="s">
        <v>2</v>
      </c>
      <c r="F79" s="5" t="s">
        <v>3</v>
      </c>
      <c r="G79" s="6">
        <v>2012</v>
      </c>
      <c r="H79" s="5" t="s">
        <v>4</v>
      </c>
      <c r="I79" s="5" t="s">
        <v>5</v>
      </c>
      <c r="J79" s="5" t="s">
        <v>6</v>
      </c>
      <c r="K79" s="5" t="s">
        <v>7</v>
      </c>
      <c r="L79" s="6">
        <v>2013</v>
      </c>
      <c r="M79" s="5" t="s">
        <v>8</v>
      </c>
      <c r="N79" s="5" t="s">
        <v>9</v>
      </c>
      <c r="O79" s="5" t="s">
        <v>28</v>
      </c>
      <c r="P79" s="5" t="s">
        <v>29</v>
      </c>
      <c r="Q79" s="6">
        <v>2014</v>
      </c>
      <c r="R79" s="5" t="s">
        <v>511</v>
      </c>
      <c r="S79" s="5" t="s">
        <v>512</v>
      </c>
      <c r="T79" s="5" t="s">
        <v>510</v>
      </c>
      <c r="U79" s="5" t="s">
        <v>516</v>
      </c>
      <c r="V79" s="6" t="s">
        <v>517</v>
      </c>
      <c r="W79" s="5" t="s">
        <v>518</v>
      </c>
      <c r="X79" s="5" t="s">
        <v>519</v>
      </c>
      <c r="Y79" s="5" t="s">
        <v>520</v>
      </c>
      <c r="Z79" s="5" t="s">
        <v>522</v>
      </c>
      <c r="AA79" s="6" t="s">
        <v>526</v>
      </c>
      <c r="AB79" s="5" t="s">
        <v>527</v>
      </c>
      <c r="AC79" s="5" t="s">
        <v>668</v>
      </c>
      <c r="AD79" s="5" t="s">
        <v>669</v>
      </c>
      <c r="AE79" s="5" t="s">
        <v>677</v>
      </c>
      <c r="AF79" s="6" t="s">
        <v>678</v>
      </c>
      <c r="AG79" s="5" t="s">
        <v>13</v>
      </c>
      <c r="AH79" s="5" t="s">
        <v>14</v>
      </c>
      <c r="AI79" s="5" t="s">
        <v>15</v>
      </c>
      <c r="AJ79" s="5" t="s">
        <v>16</v>
      </c>
      <c r="AK79" s="6" t="s">
        <v>17</v>
      </c>
      <c r="AL79" s="5" t="s">
        <v>30</v>
      </c>
      <c r="AM79" s="5" t="s">
        <v>18</v>
      </c>
      <c r="AN79" s="5" t="s">
        <v>19</v>
      </c>
      <c r="AO79" s="5" t="s">
        <v>20</v>
      </c>
      <c r="AP79" s="6" t="s">
        <v>21</v>
      </c>
      <c r="AQ79" s="5" t="s">
        <v>22</v>
      </c>
      <c r="AR79" s="5" t="s">
        <v>23</v>
      </c>
      <c r="AS79" s="5" t="s">
        <v>24</v>
      </c>
      <c r="AT79" s="5" t="s">
        <v>25</v>
      </c>
      <c r="AU79" s="6" t="s">
        <v>26</v>
      </c>
      <c r="AV79" s="429" t="s">
        <v>272</v>
      </c>
      <c r="AW79" s="429" t="s">
        <v>273</v>
      </c>
      <c r="AX79" s="429" t="s">
        <v>274</v>
      </c>
      <c r="AY79" s="429" t="s">
        <v>275</v>
      </c>
      <c r="AZ79" s="436" t="s">
        <v>276</v>
      </c>
      <c r="BA79" s="429" t="s">
        <v>590</v>
      </c>
      <c r="BB79" s="429" t="s">
        <v>593</v>
      </c>
      <c r="BC79" s="429" t="s">
        <v>592</v>
      </c>
      <c r="BD79" s="429" t="s">
        <v>594</v>
      </c>
      <c r="BE79" s="436" t="s">
        <v>595</v>
      </c>
      <c r="BF79" s="429" t="s">
        <v>596</v>
      </c>
      <c r="BG79" s="429" t="s">
        <v>591</v>
      </c>
      <c r="BH79" s="429" t="s">
        <v>597</v>
      </c>
      <c r="BI79" s="429" t="s">
        <v>598</v>
      </c>
      <c r="BJ79" s="436" t="s">
        <v>599</v>
      </c>
      <c r="BK79" s="429" t="s">
        <v>600</v>
      </c>
      <c r="BL79" s="429" t="s">
        <v>601</v>
      </c>
      <c r="BM79" s="429" t="s">
        <v>602</v>
      </c>
      <c r="BN79" s="429" t="s">
        <v>603</v>
      </c>
      <c r="BO79" s="436" t="s">
        <v>604</v>
      </c>
      <c r="BP79" s="429" t="s">
        <v>605</v>
      </c>
      <c r="BQ79" s="429" t="s">
        <v>606</v>
      </c>
      <c r="BR79" s="429" t="s">
        <v>607</v>
      </c>
      <c r="BS79" s="429" t="s">
        <v>608</v>
      </c>
      <c r="BT79" s="436" t="s">
        <v>609</v>
      </c>
      <c r="BU79" s="429" t="s">
        <v>610</v>
      </c>
      <c r="BV79" s="429" t="s">
        <v>611</v>
      </c>
      <c r="BW79" s="429" t="s">
        <v>612</v>
      </c>
      <c r="BX79" s="429" t="s">
        <v>613</v>
      </c>
      <c r="BY79" s="436" t="s">
        <v>614</v>
      </c>
      <c r="BZ79" s="429" t="s">
        <v>615</v>
      </c>
      <c r="CA79" s="429" t="s">
        <v>616</v>
      </c>
      <c r="CB79" s="429" t="s">
        <v>617</v>
      </c>
      <c r="CC79" s="429" t="s">
        <v>618</v>
      </c>
      <c r="CD79" s="436" t="s">
        <v>619</v>
      </c>
      <c r="CE79" s="429" t="s">
        <v>620</v>
      </c>
      <c r="CF79" s="429" t="s">
        <v>621</v>
      </c>
      <c r="CG79" s="429" t="s">
        <v>622</v>
      </c>
      <c r="CH79" s="429" t="s">
        <v>623</v>
      </c>
      <c r="CI79" s="436" t="s">
        <v>624</v>
      </c>
      <c r="CJ79" s="429" t="s">
        <v>625</v>
      </c>
      <c r="CK79" s="429" t="s">
        <v>626</v>
      </c>
      <c r="CL79" s="429" t="s">
        <v>627</v>
      </c>
      <c r="CM79" s="429" t="s">
        <v>628</v>
      </c>
      <c r="CN79" s="436" t="s">
        <v>629</v>
      </c>
      <c r="CO79" s="429" t="s">
        <v>630</v>
      </c>
      <c r="CP79" s="429" t="s">
        <v>631</v>
      </c>
      <c r="CQ79" s="429" t="s">
        <v>632</v>
      </c>
      <c r="CR79" s="429" t="s">
        <v>633</v>
      </c>
      <c r="CS79" s="436" t="s">
        <v>634</v>
      </c>
      <c r="CT79" s="133"/>
      <c r="CU79" s="202"/>
      <c r="CV79" s="202"/>
      <c r="CW79" s="202"/>
      <c r="CX79" s="202"/>
      <c r="CY79"/>
      <c r="CZ79"/>
      <c r="DA79"/>
      <c r="DB79"/>
      <c r="DC79"/>
      <c r="DD79"/>
      <c r="DE79" s="202"/>
      <c r="DF79" s="202"/>
      <c r="DG79" s="202"/>
      <c r="DH79" s="202"/>
      <c r="DI79" s="202"/>
      <c r="DJ79" s="202"/>
      <c r="DK79" s="202"/>
      <c r="DL79" s="202"/>
      <c r="DM79" s="202"/>
      <c r="DN79" s="202"/>
      <c r="DO79" s="202"/>
      <c r="DP79" s="202"/>
      <c r="DQ79" s="202"/>
      <c r="DR79" s="202"/>
      <c r="DS79" s="202"/>
      <c r="DT79" s="202"/>
      <c r="DU79" s="202"/>
      <c r="DV79" s="202"/>
      <c r="DW79" s="202"/>
      <c r="DX79" s="202"/>
      <c r="DY79" s="202"/>
      <c r="DZ79" s="202"/>
      <c r="EA79" s="202"/>
      <c r="EB79" s="202"/>
      <c r="EC79" s="202"/>
      <c r="ED79" s="202"/>
      <c r="EE79" s="202"/>
      <c r="EF79" s="202"/>
      <c r="EG79" s="202"/>
      <c r="EH79" s="202"/>
      <c r="EI79" s="202"/>
      <c r="EJ79" s="202"/>
      <c r="EK79" s="202"/>
      <c r="EL79" s="202"/>
      <c r="EM79" s="202"/>
      <c r="EN79" s="202"/>
      <c r="EO79" s="202"/>
      <c r="EP79" s="202"/>
      <c r="EQ79" s="202"/>
      <c r="ER79" s="202"/>
      <c r="ES79" s="202"/>
      <c r="ET79" s="202"/>
      <c r="EU79" s="202"/>
      <c r="EV79" s="202"/>
      <c r="EW79" s="202"/>
      <c r="EX79" s="202"/>
      <c r="EY79" s="202"/>
      <c r="EZ79" s="202"/>
      <c r="FA79" s="202"/>
      <c r="FB79" s="202"/>
      <c r="FC79" s="202"/>
      <c r="FD79" s="202"/>
      <c r="FE79" s="202"/>
      <c r="FF79" s="202"/>
      <c r="FG79" s="202"/>
      <c r="FH79" s="202"/>
      <c r="FI79" s="202"/>
      <c r="FJ79" s="202"/>
      <c r="FK79" s="202"/>
      <c r="FL79" s="202"/>
      <c r="FM79" s="202"/>
      <c r="FN79" s="202"/>
      <c r="FO79" s="202"/>
      <c r="FP79" s="202"/>
      <c r="FQ79" s="202"/>
      <c r="FR79" s="202"/>
      <c r="FS79" s="202"/>
      <c r="FT79" s="202"/>
      <c r="FU79" s="202"/>
      <c r="FV79" s="202"/>
      <c r="FW79" s="202"/>
      <c r="FX79" s="202"/>
      <c r="FY79" s="202"/>
      <c r="FZ79" s="202"/>
      <c r="GA79" s="202"/>
      <c r="GB79" s="202"/>
      <c r="GC79" s="202"/>
      <c r="GD79" s="202"/>
      <c r="GE79" s="202"/>
      <c r="GF79" s="202"/>
      <c r="GG79" s="202"/>
      <c r="GH79" s="202"/>
      <c r="GI79" s="202"/>
      <c r="GJ79" s="202"/>
      <c r="GK79" s="202"/>
      <c r="GL79" s="202"/>
      <c r="GM79" s="202"/>
      <c r="GN79" s="202"/>
      <c r="GO79" s="202"/>
      <c r="GP79" s="202"/>
      <c r="GQ79" s="202"/>
      <c r="GR79" s="202"/>
      <c r="GS79" s="202"/>
      <c r="GT79" s="202"/>
      <c r="GU79" s="202"/>
      <c r="GV79" s="202"/>
      <c r="GW79" s="202"/>
      <c r="GX79" s="202"/>
      <c r="GY79" s="202"/>
      <c r="GZ79" s="202"/>
      <c r="HA79" s="202"/>
      <c r="HB79" s="202"/>
      <c r="HC79" s="202"/>
      <c r="HD79" s="202"/>
      <c r="HE79" s="202"/>
      <c r="HF79" s="202"/>
      <c r="HG79" s="202"/>
      <c r="HH79" s="202"/>
      <c r="HI79" s="202"/>
      <c r="HJ79" s="202"/>
      <c r="HK79" s="202"/>
      <c r="HL79" s="202"/>
      <c r="HM79" s="202"/>
      <c r="HN79" s="202"/>
      <c r="HO79" s="202"/>
      <c r="HP79" s="202"/>
      <c r="HQ79" s="202"/>
      <c r="HR79" s="202"/>
      <c r="HS79" s="202"/>
      <c r="HT79" s="202"/>
      <c r="HU79" s="202"/>
      <c r="HV79" s="202"/>
      <c r="HW79" s="202"/>
      <c r="HX79" s="202"/>
      <c r="HY79" s="202"/>
      <c r="HZ79" s="202"/>
      <c r="IA79" s="202"/>
      <c r="IB79" s="202"/>
      <c r="IC79" s="202"/>
      <c r="ID79" s="202"/>
      <c r="IE79" s="202"/>
      <c r="IF79" s="202"/>
      <c r="IG79" s="202"/>
      <c r="IH79" s="202"/>
      <c r="II79" s="202"/>
      <c r="IJ79" s="202"/>
      <c r="IK79" s="202"/>
      <c r="IL79" s="202"/>
      <c r="IM79" s="202"/>
      <c r="IN79" s="202"/>
      <c r="IO79" s="202"/>
      <c r="IP79" s="202"/>
      <c r="IQ79" s="202"/>
      <c r="IR79" s="202"/>
      <c r="IS79" s="202"/>
      <c r="IT79" s="202"/>
      <c r="IU79" s="202"/>
      <c r="IV79" s="202"/>
      <c r="IW79" s="202"/>
      <c r="IX79" s="202"/>
      <c r="IY79" s="202"/>
      <c r="IZ79" s="202"/>
      <c r="JA79" s="202"/>
      <c r="JB79" s="202"/>
      <c r="JC79" s="202"/>
      <c r="JD79" s="202"/>
      <c r="JE79" s="202"/>
      <c r="JF79" s="202"/>
      <c r="JG79" s="202"/>
      <c r="JH79" s="202"/>
      <c r="JI79" s="202"/>
      <c r="JJ79" s="202"/>
      <c r="JK79" s="202"/>
      <c r="JL79" s="202"/>
      <c r="JM79" s="202"/>
      <c r="JN79" s="202"/>
      <c r="JO79" s="202"/>
      <c r="JP79" s="202"/>
      <c r="JQ79" s="202"/>
      <c r="JR79" s="202"/>
      <c r="JS79" s="202"/>
      <c r="JT79" s="202"/>
      <c r="JU79" s="202"/>
      <c r="JV79" s="202"/>
      <c r="JW79" s="202"/>
      <c r="JX79" s="202"/>
      <c r="JY79" s="202"/>
      <c r="JZ79" s="202"/>
      <c r="KA79" s="202"/>
      <c r="KB79" s="202"/>
      <c r="KC79" s="202"/>
      <c r="KD79" s="202"/>
      <c r="KE79" s="202"/>
      <c r="KF79" s="202"/>
      <c r="KG79" s="202"/>
    </row>
    <row r="80" spans="2:293">
      <c r="AA80" s="245"/>
      <c r="AE80" s="245"/>
      <c r="CT80" s="133"/>
    </row>
    <row r="81" spans="2:108" s="7" customFormat="1">
      <c r="B81" s="13" t="s">
        <v>31</v>
      </c>
      <c r="C81" s="18"/>
      <c r="D81" s="8"/>
      <c r="E81" s="8"/>
      <c r="F81" s="8"/>
      <c r="G81" s="11"/>
      <c r="H81" s="525">
        <f t="shared" ref="H81:Q81" si="100">H83+H91+H93</f>
        <v>328.36799999999994</v>
      </c>
      <c r="I81" s="525">
        <f t="shared" si="100"/>
        <v>310.75</v>
      </c>
      <c r="J81" s="525">
        <f t="shared" si="100"/>
        <v>221.70000000000002</v>
      </c>
      <c r="K81" s="525">
        <f t="shared" si="100"/>
        <v>351.1570000000001</v>
      </c>
      <c r="L81" s="249">
        <f t="shared" ref="L81" si="101">L83+L91+L93</f>
        <v>1211.9749999999999</v>
      </c>
      <c r="M81" s="525">
        <f t="shared" si="100"/>
        <v>118.45100000000001</v>
      </c>
      <c r="N81" s="525">
        <f t="shared" si="100"/>
        <v>138.42099999999999</v>
      </c>
      <c r="O81" s="525">
        <f t="shared" si="100"/>
        <v>178.98699999999999</v>
      </c>
      <c r="P81" s="525">
        <f t="shared" si="100"/>
        <v>144.55600000000001</v>
      </c>
      <c r="Q81" s="249">
        <f t="shared" si="100"/>
        <v>580.41499999999996</v>
      </c>
      <c r="R81" s="525">
        <f>R83+R91+R93</f>
        <v>138.50900000000001</v>
      </c>
      <c r="S81" s="525">
        <f>S83+S91+S93</f>
        <v>166.07599999999999</v>
      </c>
      <c r="T81" s="525">
        <f>T83+T91+T93</f>
        <v>309.81600000000003</v>
      </c>
      <c r="U81" s="525">
        <f>U83+U91+U93</f>
        <v>417.935</v>
      </c>
      <c r="V81" s="249">
        <f>SUM(R81:U81)</f>
        <v>1032.336</v>
      </c>
      <c r="W81" s="525">
        <f>W83+W91+W93</f>
        <v>398.08000000000004</v>
      </c>
      <c r="X81" s="525">
        <f>X83+X91+X93</f>
        <v>431.608</v>
      </c>
      <c r="Y81" s="525">
        <f t="shared" ref="Y81:Z81" si="102">Y83+Y91+Y93</f>
        <v>413.78300000000002</v>
      </c>
      <c r="Z81" s="525">
        <f t="shared" si="102"/>
        <v>458.70599999999996</v>
      </c>
      <c r="AA81" s="249">
        <f>AA15+AA17+AA18</f>
        <v>1700.8010000000002</v>
      </c>
      <c r="AB81" s="525">
        <f t="shared" ref="AB81:AJ81" si="103">AB83+AB91+AB93</f>
        <v>714.71800000000007</v>
      </c>
      <c r="AC81" s="525">
        <f t="shared" si="103"/>
        <v>544.1350000000001</v>
      </c>
      <c r="AD81" s="525">
        <f t="shared" si="103"/>
        <v>578.16500000000008</v>
      </c>
      <c r="AE81" s="525">
        <f t="shared" si="103"/>
        <v>651.63400000000001</v>
      </c>
      <c r="AF81" s="759">
        <f t="shared" si="103"/>
        <v>2488.6520000000005</v>
      </c>
      <c r="AG81" s="525">
        <f t="shared" si="103"/>
        <v>600</v>
      </c>
      <c r="AH81" s="525">
        <f t="shared" si="103"/>
        <v>645</v>
      </c>
      <c r="AI81" s="525">
        <f t="shared" si="103"/>
        <v>695</v>
      </c>
      <c r="AJ81" s="525">
        <f t="shared" si="103"/>
        <v>722.68467277525519</v>
      </c>
      <c r="AK81" s="249">
        <f>AK15+AK17+AK18</f>
        <v>2662.6846727752554</v>
      </c>
      <c r="AL81" s="525"/>
      <c r="AM81" s="525"/>
      <c r="AN81" s="525"/>
      <c r="AO81" s="525"/>
      <c r="AP81" s="249">
        <f>AP15+AP17+AP18</f>
        <v>2929.7891702143284</v>
      </c>
      <c r="AQ81" s="525"/>
      <c r="AR81" s="525"/>
      <c r="AS81" s="525"/>
      <c r="AT81" s="525"/>
      <c r="AU81" s="249">
        <f>AU15+AU17+AU18</f>
        <v>4032.8449740353076</v>
      </c>
      <c r="AV81" s="525"/>
      <c r="AW81" s="525"/>
      <c r="AX81" s="525"/>
      <c r="AY81" s="525"/>
      <c r="AZ81" s="249">
        <f>AZ15+AZ17+AZ18</f>
        <v>5352.054630757144</v>
      </c>
      <c r="BA81" s="525"/>
      <c r="BB81" s="525"/>
      <c r="BC81" s="525"/>
      <c r="BD81" s="525"/>
      <c r="BE81" s="249">
        <f>BE15+BE17+BE18</f>
        <v>6180.1313251355423</v>
      </c>
      <c r="BF81" s="525"/>
      <c r="BG81" s="525"/>
      <c r="BH81" s="525"/>
      <c r="BI81" s="525"/>
      <c r="BJ81" s="249">
        <f>BJ15+BJ17+BJ18</f>
        <v>6549.5105155973397</v>
      </c>
      <c r="BK81" s="525"/>
      <c r="BL81" s="525"/>
      <c r="BM81" s="525"/>
      <c r="BN81" s="525"/>
      <c r="BO81" s="249">
        <f>BO15+BO17+BO18</f>
        <v>6707.1044423355961</v>
      </c>
      <c r="BP81" s="525"/>
      <c r="BQ81" s="525"/>
      <c r="BR81" s="525"/>
      <c r="BS81" s="525"/>
      <c r="BT81" s="249">
        <f>BT15+BT17+BT18</f>
        <v>7367.4606783273866</v>
      </c>
      <c r="BU81" s="525"/>
      <c r="BV81" s="525"/>
      <c r="BW81" s="525"/>
      <c r="BX81" s="525"/>
      <c r="BY81" s="249">
        <f>BY15+BY17+BY18</f>
        <v>8877.4659624408032</v>
      </c>
      <c r="BZ81" s="525"/>
      <c r="CA81" s="525"/>
      <c r="CB81" s="525"/>
      <c r="CC81" s="525"/>
      <c r="CD81" s="249">
        <f>CD15+CD17+CD18</f>
        <v>9000.8703205211095</v>
      </c>
      <c r="CE81" s="525"/>
      <c r="CF81" s="525"/>
      <c r="CG81" s="525"/>
      <c r="CH81" s="525"/>
      <c r="CI81" s="249">
        <f>CI15+CI17+CI18</f>
        <v>9103.7533482704148</v>
      </c>
      <c r="CJ81" s="525"/>
      <c r="CK81" s="525"/>
      <c r="CL81" s="525"/>
      <c r="CM81" s="525"/>
      <c r="CN81" s="249">
        <f>CN15+CN17+CN18</f>
        <v>9114.9123702383258</v>
      </c>
      <c r="CO81" s="525"/>
      <c r="CP81" s="525"/>
      <c r="CQ81" s="525"/>
      <c r="CR81" s="525"/>
      <c r="CS81" s="249">
        <f>CS15+CS17+CS18</f>
        <v>9197.9032959682863</v>
      </c>
      <c r="CT81" s="133"/>
      <c r="CY81"/>
      <c r="CZ81"/>
      <c r="DA81"/>
      <c r="DB81"/>
      <c r="DC81"/>
      <c r="DD81"/>
    </row>
    <row r="82" spans="2:108" s="7" customFormat="1">
      <c r="B82" s="13"/>
      <c r="C82" s="18"/>
      <c r="D82" s="8"/>
      <c r="E82" s="8"/>
      <c r="F82" s="8"/>
      <c r="G82" s="11"/>
      <c r="H82" s="525"/>
      <c r="I82" s="525"/>
      <c r="J82" s="525"/>
      <c r="K82" s="525"/>
      <c r="L82" s="249"/>
      <c r="M82" s="525"/>
      <c r="N82" s="525"/>
      <c r="O82" s="525"/>
      <c r="P82" s="525"/>
      <c r="Q82" s="249"/>
      <c r="R82" s="525"/>
      <c r="S82" s="525"/>
      <c r="T82" s="525"/>
      <c r="U82" s="525"/>
      <c r="V82" s="249"/>
      <c r="W82" s="525"/>
      <c r="X82" s="525"/>
      <c r="Y82" s="525"/>
      <c r="Z82" s="525"/>
      <c r="AA82" s="249"/>
      <c r="AB82" s="525"/>
      <c r="AC82" s="525"/>
      <c r="AD82" s="525"/>
      <c r="AE82" s="525"/>
      <c r="AF82" s="249"/>
      <c r="AG82" s="525"/>
      <c r="AH82" s="525"/>
      <c r="AI82" s="525"/>
      <c r="AJ82" s="525">
        <f>SUM(AG96:AJ96)</f>
        <v>320.94964142642255</v>
      </c>
      <c r="AK82" s="249"/>
      <c r="AL82" s="525"/>
      <c r="AM82" s="525"/>
      <c r="AN82" s="525"/>
      <c r="AO82" s="525"/>
      <c r="AP82" s="249"/>
      <c r="AQ82" s="525"/>
      <c r="AR82" s="525"/>
      <c r="AS82" s="525"/>
      <c r="AT82" s="525"/>
      <c r="AU82" s="249"/>
      <c r="AV82" s="525"/>
      <c r="AW82" s="525"/>
      <c r="AX82" s="525"/>
      <c r="AY82" s="525"/>
      <c r="AZ82" s="249"/>
      <c r="BA82" s="525"/>
      <c r="BB82" s="525"/>
      <c r="BC82" s="525"/>
      <c r="BD82" s="525"/>
      <c r="BE82" s="249"/>
      <c r="BF82" s="525"/>
      <c r="BG82" s="525"/>
      <c r="BH82" s="525"/>
      <c r="BI82" s="525"/>
      <c r="BJ82" s="249"/>
      <c r="BK82" s="525"/>
      <c r="BL82" s="525"/>
      <c r="BM82" s="525"/>
      <c r="BN82" s="525"/>
      <c r="BO82" s="249"/>
      <c r="BP82" s="525"/>
      <c r="BQ82" s="525"/>
      <c r="BR82" s="525"/>
      <c r="BS82" s="525"/>
      <c r="BT82" s="249"/>
      <c r="BU82" s="525"/>
      <c r="BV82" s="525"/>
      <c r="BW82" s="525"/>
      <c r="BX82" s="525"/>
      <c r="BY82" s="249"/>
      <c r="BZ82" s="525"/>
      <c r="CA82" s="525"/>
      <c r="CB82" s="525"/>
      <c r="CC82" s="525"/>
      <c r="CD82" s="249"/>
      <c r="CE82" s="525"/>
      <c r="CF82" s="525"/>
      <c r="CG82" s="525"/>
      <c r="CH82" s="525"/>
      <c r="CI82" s="249"/>
      <c r="CJ82" s="525"/>
      <c r="CK82" s="525"/>
      <c r="CL82" s="525"/>
      <c r="CM82" s="525"/>
      <c r="CN82" s="249"/>
      <c r="CO82" s="525"/>
      <c r="CP82" s="525"/>
      <c r="CQ82" s="525"/>
      <c r="CR82" s="525"/>
      <c r="CS82" s="249"/>
      <c r="CT82" s="133"/>
      <c r="CY82"/>
      <c r="CZ82"/>
      <c r="DA82"/>
      <c r="DB82"/>
      <c r="DC82"/>
      <c r="DD82"/>
    </row>
    <row r="83" spans="2:108">
      <c r="B83" s="14" t="s">
        <v>32</v>
      </c>
      <c r="C83" s="116"/>
      <c r="D83" s="114"/>
      <c r="E83" s="114"/>
      <c r="F83" s="115"/>
      <c r="G83" s="12"/>
      <c r="H83" s="519">
        <f t="shared" ref="H83:V83" si="104">H84+H86+H89</f>
        <v>267.38099999999997</v>
      </c>
      <c r="I83" s="519">
        <f t="shared" si="104"/>
        <v>254.78899999999999</v>
      </c>
      <c r="J83" s="519">
        <f t="shared" si="104"/>
        <v>186.65300000000002</v>
      </c>
      <c r="K83" s="575">
        <f t="shared" si="104"/>
        <v>128.82200000000006</v>
      </c>
      <c r="L83" s="246">
        <f t="shared" ref="L83" si="105">L84+L86+L89</f>
        <v>837.64499999999998</v>
      </c>
      <c r="M83" s="519">
        <f t="shared" si="104"/>
        <v>103.461</v>
      </c>
      <c r="N83" s="519">
        <f t="shared" si="104"/>
        <v>122.319</v>
      </c>
      <c r="O83" s="519">
        <f t="shared" si="104"/>
        <v>137.09899999999999</v>
      </c>
      <c r="P83" s="575">
        <f t="shared" si="104"/>
        <v>124.94200000000002</v>
      </c>
      <c r="Q83" s="246">
        <f t="shared" si="104"/>
        <v>487.82100000000003</v>
      </c>
      <c r="R83" s="519">
        <f t="shared" si="104"/>
        <v>130.875</v>
      </c>
      <c r="S83" s="519">
        <f t="shared" si="104"/>
        <v>160.38800000000001</v>
      </c>
      <c r="T83" s="519">
        <f t="shared" si="104"/>
        <v>302.51100000000002</v>
      </c>
      <c r="U83" s="519">
        <f t="shared" si="104"/>
        <v>406.55</v>
      </c>
      <c r="V83" s="246">
        <f t="shared" si="104"/>
        <v>1000.324</v>
      </c>
      <c r="W83" s="519">
        <f t="shared" ref="W83:AC83" si="106">W84+W86+W89</f>
        <v>394.41</v>
      </c>
      <c r="X83" s="519">
        <f t="shared" si="106"/>
        <v>425.65100000000001</v>
      </c>
      <c r="Y83" s="519">
        <f t="shared" si="106"/>
        <v>409.68900000000002</v>
      </c>
      <c r="Z83" s="519">
        <f t="shared" si="106"/>
        <v>453.88199999999995</v>
      </c>
      <c r="AA83" s="246">
        <f t="shared" ref="AA83" si="107">AA84+AA86+AA89</f>
        <v>1683.6320000000001</v>
      </c>
      <c r="AB83" s="519">
        <f t="shared" si="106"/>
        <v>480.62200000000001</v>
      </c>
      <c r="AC83" s="519">
        <f t="shared" si="106"/>
        <v>513.98800000000006</v>
      </c>
      <c r="AD83" s="519">
        <v>549.64200000000005</v>
      </c>
      <c r="AE83" s="519">
        <v>621.22799999999995</v>
      </c>
      <c r="AF83" s="246">
        <f>AF84+AF86+AF89+AF87+AF88</f>
        <v>2165.4800000000005</v>
      </c>
      <c r="AG83" s="519">
        <f>SUM(AG84:AG89)</f>
        <v>600</v>
      </c>
      <c r="AH83" s="519">
        <f t="shared" ref="AH83:AJ83" si="108">SUM(AH84:AH89)</f>
        <v>645</v>
      </c>
      <c r="AI83" s="519">
        <f t="shared" si="108"/>
        <v>695</v>
      </c>
      <c r="AJ83" s="519">
        <f t="shared" si="108"/>
        <v>722.68467277525519</v>
      </c>
      <c r="AK83" s="246">
        <f>AK84+AK86+AK89+AK87+AK88</f>
        <v>2662.6846727752554</v>
      </c>
      <c r="AL83" s="519"/>
      <c r="AM83" s="519"/>
      <c r="AN83" s="519"/>
      <c r="AO83" s="519"/>
      <c r="AP83" s="246">
        <f>AP84+AP86+AP89+AP87+AP88</f>
        <v>2929.7891702143284</v>
      </c>
      <c r="AQ83" s="519"/>
      <c r="AR83" s="519"/>
      <c r="AS83" s="519"/>
      <c r="AT83" s="519"/>
      <c r="AU83" s="246">
        <f>AU84+AU86+AU89+AU87+AU88</f>
        <v>4032.8449740353076</v>
      </c>
      <c r="AV83" s="519"/>
      <c r="AW83" s="519"/>
      <c r="AX83" s="519"/>
      <c r="AY83" s="519"/>
      <c r="AZ83" s="246">
        <f>AZ84+AZ86+AZ89+AZ87+AZ88</f>
        <v>5352.054630757144</v>
      </c>
      <c r="BA83" s="519"/>
      <c r="BB83" s="519"/>
      <c r="BC83" s="519"/>
      <c r="BD83" s="519"/>
      <c r="BE83" s="246">
        <f>BE84+BE86+BE89+BE87+BE88</f>
        <v>6180.1313251355423</v>
      </c>
      <c r="BF83" s="519"/>
      <c r="BG83" s="519"/>
      <c r="BH83" s="519"/>
      <c r="BI83" s="519"/>
      <c r="BJ83" s="246">
        <f>BJ84+BJ86+BJ89+BJ87+BJ88</f>
        <v>6549.5105155973397</v>
      </c>
      <c r="BK83" s="519"/>
      <c r="BL83" s="519"/>
      <c r="BM83" s="519"/>
      <c r="BN83" s="519"/>
      <c r="BO83" s="246">
        <f>BO84+BO86+BO89+BO87+BO88</f>
        <v>6707.1044423355961</v>
      </c>
      <c r="BP83" s="519"/>
      <c r="BQ83" s="519"/>
      <c r="BR83" s="519"/>
      <c r="BS83" s="519"/>
      <c r="BT83" s="246">
        <f>BT84+BT86+BT89+BT87+BT88</f>
        <v>6755.9127537598597</v>
      </c>
      <c r="BU83" s="519"/>
      <c r="BV83" s="519"/>
      <c r="BW83" s="519"/>
      <c r="BX83" s="519"/>
      <c r="BY83" s="246">
        <f>BY84+BY86+BY89+BY87+BY88</f>
        <v>8089.7663916855818</v>
      </c>
      <c r="BZ83" s="519"/>
      <c r="CA83" s="519"/>
      <c r="CB83" s="519"/>
      <c r="CC83" s="519"/>
      <c r="CD83" s="246">
        <f>CD84+CD86+CD89+CD87+CD88</f>
        <v>8216.625556760946</v>
      </c>
      <c r="CE83" s="519"/>
      <c r="CF83" s="519"/>
      <c r="CG83" s="519"/>
      <c r="CH83" s="519"/>
      <c r="CI83" s="246">
        <f>CI84+CI86+CI89+CI87+CI88</f>
        <v>8035.3227007995329</v>
      </c>
      <c r="CJ83" s="519"/>
      <c r="CK83" s="519"/>
      <c r="CL83" s="519"/>
      <c r="CM83" s="519"/>
      <c r="CN83" s="246">
        <f>CN84+CN86+CN89+CN87+CN88</f>
        <v>8045.2762018564617</v>
      </c>
      <c r="CO83" s="519"/>
      <c r="CP83" s="519"/>
      <c r="CQ83" s="519"/>
      <c r="CR83" s="519"/>
      <c r="CS83" s="246">
        <f>CS84+CS86+CS89+CS87+CS88</f>
        <v>8038.3480246027939</v>
      </c>
      <c r="CT83" s="133"/>
    </row>
    <row r="84" spans="2:108">
      <c r="B84" s="15" t="s">
        <v>33</v>
      </c>
      <c r="C84" s="19"/>
      <c r="D84" s="9"/>
      <c r="E84" s="9"/>
      <c r="F84" s="10"/>
      <c r="G84" s="12"/>
      <c r="H84" s="522">
        <v>61.826999999999998</v>
      </c>
      <c r="I84" s="522">
        <v>98.972999999999999</v>
      </c>
      <c r="J84" s="522">
        <v>101.06100000000001</v>
      </c>
      <c r="K84" s="522">
        <f>371.285-SUM(H84:J84)</f>
        <v>109.42400000000004</v>
      </c>
      <c r="L84" s="246">
        <f t="shared" ref="L84:L89" si="109">SUM(H84:K84)</f>
        <v>371.28500000000003</v>
      </c>
      <c r="M84" s="522">
        <v>99.515000000000001</v>
      </c>
      <c r="N84" s="522">
        <v>113.05500000000001</v>
      </c>
      <c r="O84" s="522">
        <v>126.801</v>
      </c>
      <c r="P84" s="522">
        <f>463.75-SUM(M84:O84)</f>
        <v>124.37900000000002</v>
      </c>
      <c r="Q84" s="246">
        <f>SUM(M84:P84)</f>
        <v>463.75</v>
      </c>
      <c r="R84" s="522">
        <v>130.17400000000001</v>
      </c>
      <c r="S84" s="522">
        <v>154.88800000000001</v>
      </c>
      <c r="T84" s="570">
        <v>165.9</v>
      </c>
      <c r="U84" s="570">
        <f>V84-SUM(R84:T84)</f>
        <v>180.71199999999999</v>
      </c>
      <c r="V84" s="246">
        <v>631.67399999999998</v>
      </c>
      <c r="W84" s="570">
        <v>170.5</v>
      </c>
      <c r="X84" s="570">
        <v>180</v>
      </c>
      <c r="Y84" s="570">
        <v>176</v>
      </c>
      <c r="Z84" s="640">
        <f>AA84-SUM(W84:Y84)</f>
        <v>176.89999999999998</v>
      </c>
      <c r="AA84" s="246">
        <v>703.4</v>
      </c>
      <c r="AB84" s="570">
        <v>186</v>
      </c>
      <c r="AC84" s="570">
        <v>190</v>
      </c>
      <c r="AD84" s="570">
        <v>213</v>
      </c>
      <c r="AE84" s="570">
        <v>256</v>
      </c>
      <c r="AF84" s="246">
        <f>AE84+AD84+AC84+AB84</f>
        <v>845</v>
      </c>
      <c r="AG84" s="519">
        <f>Revs!BK7</f>
        <v>230</v>
      </c>
      <c r="AH84" s="519">
        <f>Revs!BL7</f>
        <v>235</v>
      </c>
      <c r="AI84" s="519">
        <f>Revs!BM7</f>
        <v>240</v>
      </c>
      <c r="AJ84" s="519">
        <f>Revs!BN7</f>
        <v>244.21632786806776</v>
      </c>
      <c r="AK84" s="246">
        <f>AK3</f>
        <v>949.21632786806776</v>
      </c>
      <c r="AL84" s="519"/>
      <c r="AM84" s="519"/>
      <c r="AN84" s="519"/>
      <c r="AO84" s="519"/>
      <c r="AP84" s="246">
        <f>AP3</f>
        <v>980.27101305607869</v>
      </c>
      <c r="AQ84" s="519"/>
      <c r="AR84" s="519"/>
      <c r="AS84" s="519"/>
      <c r="AT84" s="519"/>
      <c r="AU84" s="246">
        <f>AU3</f>
        <v>1110.9818322149695</v>
      </c>
      <c r="AV84" s="519"/>
      <c r="AW84" s="519"/>
      <c r="AX84" s="519"/>
      <c r="AY84" s="519"/>
      <c r="AZ84" s="246">
        <f>AZ3</f>
        <v>1156.4902249580355</v>
      </c>
      <c r="BA84" s="519"/>
      <c r="BB84" s="519"/>
      <c r="BC84" s="519"/>
      <c r="BD84" s="519"/>
      <c r="BE84" s="246">
        <f>BE3</f>
        <v>1148.5927903151307</v>
      </c>
      <c r="BF84" s="519"/>
      <c r="BG84" s="519"/>
      <c r="BH84" s="519"/>
      <c r="BI84" s="519"/>
      <c r="BJ84" s="246">
        <f>BJ3</f>
        <v>1140.8533043650841</v>
      </c>
      <c r="BK84" s="519"/>
      <c r="BL84" s="519"/>
      <c r="BM84" s="519"/>
      <c r="BN84" s="519"/>
      <c r="BO84" s="246">
        <f>BO3</f>
        <v>1133.2686081340385</v>
      </c>
      <c r="BP84" s="519"/>
      <c r="BQ84" s="519"/>
      <c r="BR84" s="519"/>
      <c r="BS84" s="519"/>
      <c r="BT84" s="246">
        <f>BT3</f>
        <v>549.58741477528724</v>
      </c>
      <c r="BU84" s="519"/>
      <c r="BV84" s="519"/>
      <c r="BW84" s="519"/>
      <c r="BX84" s="519"/>
      <c r="BY84" s="246">
        <f>BY3</f>
        <v>309.22508799858781</v>
      </c>
      <c r="BZ84" s="519"/>
      <c r="CA84" s="519"/>
      <c r="CB84" s="519"/>
      <c r="CC84" s="519"/>
      <c r="CD84" s="246">
        <f>CD3</f>
        <v>305.22554891513346</v>
      </c>
      <c r="CE84" s="519"/>
      <c r="CF84" s="519"/>
      <c r="CG84" s="519"/>
      <c r="CH84" s="519"/>
      <c r="CI84" s="246">
        <f>CI3</f>
        <v>53.740211231645119</v>
      </c>
      <c r="CJ84" s="519"/>
      <c r="CK84" s="519"/>
      <c r="CL84" s="519"/>
      <c r="CM84" s="519"/>
      <c r="CN84" s="246">
        <f>CN3</f>
        <v>8.7714489340799986</v>
      </c>
      <c r="CO84" s="519"/>
      <c r="CP84" s="519"/>
      <c r="CQ84" s="519"/>
      <c r="CR84" s="519"/>
      <c r="CS84" s="246">
        <f>CS3</f>
        <v>0</v>
      </c>
      <c r="CT84" s="133"/>
    </row>
    <row r="85" spans="2:108">
      <c r="B85" s="15" t="s">
        <v>667</v>
      </c>
      <c r="C85" s="19"/>
      <c r="D85" s="9"/>
      <c r="E85" s="9"/>
      <c r="F85" s="10"/>
      <c r="G85" s="12"/>
      <c r="H85" s="522"/>
      <c r="I85" s="522"/>
      <c r="J85" s="522"/>
      <c r="K85" s="522"/>
      <c r="L85" s="246"/>
      <c r="M85" s="522"/>
      <c r="N85" s="522"/>
      <c r="O85" s="522"/>
      <c r="P85" s="522"/>
      <c r="Q85" s="246"/>
      <c r="R85" s="522"/>
      <c r="S85" s="522"/>
      <c r="T85" s="570"/>
      <c r="U85" s="570"/>
      <c r="V85" s="246"/>
      <c r="W85" s="570"/>
      <c r="X85" s="570"/>
      <c r="Y85" s="570"/>
      <c r="Z85" s="640"/>
      <c r="AA85" s="246"/>
      <c r="AB85" s="570"/>
      <c r="AC85" s="519"/>
      <c r="AD85" s="519"/>
      <c r="AE85" s="519"/>
      <c r="AF85" s="246"/>
      <c r="AG85" s="519">
        <f>Revs!BK14</f>
        <v>0</v>
      </c>
      <c r="AH85" s="519">
        <f>Revs!BL14</f>
        <v>0</v>
      </c>
      <c r="AI85" s="519">
        <f>Revs!BM14</f>
        <v>0</v>
      </c>
      <c r="AJ85" s="519">
        <f>Revs!BN14</f>
        <v>0</v>
      </c>
      <c r="AK85" s="246">
        <f>AK5</f>
        <v>0</v>
      </c>
      <c r="AL85" s="519"/>
      <c r="AM85" s="519"/>
      <c r="AN85" s="519"/>
      <c r="AO85" s="519"/>
      <c r="AP85" s="246">
        <f>AP5</f>
        <v>0</v>
      </c>
      <c r="AQ85" s="519"/>
      <c r="AR85" s="519"/>
      <c r="AS85" s="519"/>
      <c r="AT85" s="519"/>
      <c r="AU85" s="246">
        <f>AU5</f>
        <v>0</v>
      </c>
      <c r="AV85" s="519"/>
      <c r="AW85" s="519"/>
      <c r="AX85" s="519"/>
      <c r="AY85" s="519"/>
      <c r="AZ85" s="246">
        <f>AZ5</f>
        <v>0</v>
      </c>
      <c r="BA85" s="519"/>
      <c r="BB85" s="519"/>
      <c r="BC85" s="519"/>
      <c r="BD85" s="519"/>
      <c r="BE85" s="246">
        <f>BE5</f>
        <v>0</v>
      </c>
      <c r="BF85" s="519"/>
      <c r="BG85" s="519"/>
      <c r="BH85" s="519"/>
      <c r="BI85" s="519"/>
      <c r="BJ85" s="246">
        <f>BJ5</f>
        <v>0</v>
      </c>
      <c r="BK85" s="519"/>
      <c r="BL85" s="519"/>
      <c r="BM85" s="519"/>
      <c r="BN85" s="519"/>
      <c r="BO85" s="246">
        <f>BO5</f>
        <v>0</v>
      </c>
      <c r="BP85" s="519"/>
      <c r="BQ85" s="519"/>
      <c r="BR85" s="519"/>
      <c r="BS85" s="519"/>
      <c r="BT85" s="246">
        <f>BT5</f>
        <v>611.54792456752671</v>
      </c>
      <c r="BU85" s="519"/>
      <c r="BV85" s="519"/>
      <c r="BW85" s="519"/>
      <c r="BX85" s="519"/>
      <c r="BY85" s="246">
        <f>BY5</f>
        <v>787.69957075522166</v>
      </c>
      <c r="BZ85" s="519"/>
      <c r="CA85" s="519"/>
      <c r="CB85" s="519"/>
      <c r="CC85" s="519"/>
      <c r="CD85" s="246">
        <f>CD5</f>
        <v>784.24476376016401</v>
      </c>
      <c r="CE85" s="519"/>
      <c r="CF85" s="519"/>
      <c r="CG85" s="519"/>
      <c r="CH85" s="519"/>
      <c r="CI85" s="246">
        <f>CI5</f>
        <v>1068.4306474708826</v>
      </c>
      <c r="CJ85" s="519"/>
      <c r="CK85" s="519"/>
      <c r="CL85" s="519"/>
      <c r="CM85" s="519"/>
      <c r="CN85" s="246">
        <f>CN5</f>
        <v>1069.636168381865</v>
      </c>
      <c r="CO85" s="519"/>
      <c r="CP85" s="519"/>
      <c r="CQ85" s="519"/>
      <c r="CR85" s="519"/>
      <c r="CS85" s="246">
        <f>CS5</f>
        <v>1159.5552713654918</v>
      </c>
      <c r="CT85" s="133"/>
    </row>
    <row r="86" spans="2:108">
      <c r="B86" s="15" t="s">
        <v>34</v>
      </c>
      <c r="C86" s="19"/>
      <c r="D86" s="9"/>
      <c r="E86" s="9"/>
      <c r="F86" s="10"/>
      <c r="G86" s="12"/>
      <c r="H86" s="522">
        <v>0</v>
      </c>
      <c r="I86" s="522">
        <v>0</v>
      </c>
      <c r="J86" s="522">
        <v>0</v>
      </c>
      <c r="K86" s="576">
        <v>0</v>
      </c>
      <c r="L86" s="246">
        <f t="shared" si="109"/>
        <v>0</v>
      </c>
      <c r="M86" s="522">
        <v>0</v>
      </c>
      <c r="N86" s="522">
        <v>0</v>
      </c>
      <c r="O86" s="522">
        <v>0</v>
      </c>
      <c r="P86" s="576">
        <v>0</v>
      </c>
      <c r="Q86" s="246">
        <f>SUM(M86:P86)</f>
        <v>0</v>
      </c>
      <c r="R86" s="522">
        <v>0</v>
      </c>
      <c r="S86" s="522">
        <v>0</v>
      </c>
      <c r="T86" s="570">
        <v>130.80000000000001</v>
      </c>
      <c r="U86" s="570">
        <f>V86-SUM(R86:T86)</f>
        <v>219.863</v>
      </c>
      <c r="V86" s="246">
        <v>350.66300000000001</v>
      </c>
      <c r="W86" s="570">
        <f>394.41-W84</f>
        <v>223.91000000000003</v>
      </c>
      <c r="X86" s="570">
        <f>425.651-X84</f>
        <v>245.65100000000001</v>
      </c>
      <c r="Y86" s="570">
        <f>409.689-Y84</f>
        <v>233.68900000000002</v>
      </c>
      <c r="Z86" s="640">
        <f>AA86-SUM(W86:Y86)</f>
        <v>276.98199999999997</v>
      </c>
      <c r="AA86" s="246">
        <v>980.23199999999997</v>
      </c>
      <c r="AB86" s="570">
        <f>480.622-AB84</f>
        <v>294.62200000000001</v>
      </c>
      <c r="AC86" s="570">
        <f>513.988-AC84</f>
        <v>323.98800000000006</v>
      </c>
      <c r="AD86" s="570">
        <f>AD83-AD84</f>
        <v>336.64200000000005</v>
      </c>
      <c r="AE86" s="570">
        <f>AE83-AE84</f>
        <v>365.22799999999995</v>
      </c>
      <c r="AF86" s="246">
        <f>AE86+AD86+AC86+AB86</f>
        <v>1320.4800000000002</v>
      </c>
      <c r="AG86" s="519">
        <f>Revs!BK29</f>
        <v>360</v>
      </c>
      <c r="AH86" s="519">
        <f>Revs!BL29</f>
        <v>370</v>
      </c>
      <c r="AI86" s="519">
        <f>Revs!BM29</f>
        <v>380</v>
      </c>
      <c r="AJ86" s="519">
        <f>Revs!BN29</f>
        <v>383.7494914975</v>
      </c>
      <c r="AK86" s="246">
        <f>AK7</f>
        <v>1493.7494914975</v>
      </c>
      <c r="AL86" s="519"/>
      <c r="AM86" s="519"/>
      <c r="AN86" s="519"/>
      <c r="AO86" s="519"/>
      <c r="AP86" s="246">
        <f>AP7</f>
        <v>1464.5137588842499</v>
      </c>
      <c r="AQ86" s="519"/>
      <c r="AR86" s="519"/>
      <c r="AS86" s="519"/>
      <c r="AT86" s="519"/>
      <c r="AU86" s="246">
        <f>AU7</f>
        <v>1274.3007461072498</v>
      </c>
      <c r="AV86" s="519"/>
      <c r="AW86" s="519"/>
      <c r="AX86" s="519"/>
      <c r="AY86" s="519"/>
      <c r="AZ86" s="246">
        <f>AZ7</f>
        <v>1205.860913172125</v>
      </c>
      <c r="BA86" s="519"/>
      <c r="BB86" s="519"/>
      <c r="BC86" s="519"/>
      <c r="BD86" s="519"/>
      <c r="BE86" s="246">
        <f>BE7</f>
        <v>1054.5015557289041</v>
      </c>
      <c r="BF86" s="519"/>
      <c r="BG86" s="519"/>
      <c r="BH86" s="519"/>
      <c r="BI86" s="519"/>
      <c r="BJ86" s="246">
        <f>BJ7</f>
        <v>899.68021101206341</v>
      </c>
      <c r="BK86" s="519"/>
      <c r="BL86" s="519"/>
      <c r="BM86" s="519"/>
      <c r="BN86" s="519"/>
      <c r="BO86" s="246">
        <f>BO7</f>
        <v>620.57975028983219</v>
      </c>
      <c r="BP86" s="519"/>
      <c r="BQ86" s="519"/>
      <c r="BR86" s="519"/>
      <c r="BS86" s="519"/>
      <c r="BT86" s="246">
        <f>BT7</f>
        <v>388.74280549896889</v>
      </c>
      <c r="BU86" s="519"/>
      <c r="BV86" s="519"/>
      <c r="BW86" s="519"/>
      <c r="BX86" s="519"/>
      <c r="BY86" s="246">
        <f>BY7</f>
        <v>212.11479648765442</v>
      </c>
      <c r="BZ86" s="519"/>
      <c r="CA86" s="519"/>
      <c r="CB86" s="519"/>
      <c r="CC86" s="519"/>
      <c r="CD86" s="246">
        <f>CD7</f>
        <v>110.87854845751767</v>
      </c>
      <c r="CE86" s="519"/>
      <c r="CF86" s="519"/>
      <c r="CG86" s="519"/>
      <c r="CH86" s="519"/>
      <c r="CI86" s="246">
        <f>CI7</f>
        <v>52.1956396845505</v>
      </c>
      <c r="CJ86" s="519"/>
      <c r="CK86" s="519"/>
      <c r="CL86" s="519"/>
      <c r="CM86" s="519"/>
      <c r="CN86" s="246">
        <f>CN7</f>
        <v>17.921059831157176</v>
      </c>
      <c r="CO86" s="519"/>
      <c r="CP86" s="519"/>
      <c r="CQ86" s="519"/>
      <c r="CR86" s="519"/>
      <c r="CS86" s="246">
        <f>CS7</f>
        <v>1.487066666840702</v>
      </c>
      <c r="CT86" s="133"/>
    </row>
    <row r="87" spans="2:108">
      <c r="B87" s="15" t="s">
        <v>639</v>
      </c>
      <c r="C87" s="19"/>
      <c r="D87" s="9"/>
      <c r="E87" s="9"/>
      <c r="F87" s="10"/>
      <c r="G87" s="12"/>
      <c r="H87" s="522"/>
      <c r="I87" s="522"/>
      <c r="J87" s="522"/>
      <c r="K87" s="576"/>
      <c r="L87" s="246"/>
      <c r="M87" s="522"/>
      <c r="N87" s="522"/>
      <c r="O87" s="522"/>
      <c r="P87" s="576"/>
      <c r="Q87" s="246"/>
      <c r="R87" s="522"/>
      <c r="S87" s="522"/>
      <c r="T87" s="570"/>
      <c r="U87" s="570"/>
      <c r="V87" s="246"/>
      <c r="W87" s="570"/>
      <c r="X87" s="570"/>
      <c r="Y87" s="570"/>
      <c r="Z87" s="640"/>
      <c r="AA87" s="246"/>
      <c r="AB87" s="570"/>
      <c r="AC87" s="519"/>
      <c r="AD87" s="519"/>
      <c r="AE87" s="519"/>
      <c r="AF87" s="246"/>
      <c r="AG87" s="519">
        <f>Revs!BK36</f>
        <v>10</v>
      </c>
      <c r="AH87" s="519">
        <f>Revs!BL36</f>
        <v>40</v>
      </c>
      <c r="AI87" s="519">
        <f>Revs!BM36</f>
        <v>75</v>
      </c>
      <c r="AJ87" s="519">
        <f>Revs!BN36</f>
        <v>94.718853409687483</v>
      </c>
      <c r="AK87" s="246">
        <f>AK9</f>
        <v>219.71885340968748</v>
      </c>
      <c r="AL87" s="519"/>
      <c r="AM87" s="519"/>
      <c r="AN87" s="519"/>
      <c r="AO87" s="519"/>
      <c r="AP87" s="246">
        <f>AP9</f>
        <v>485.00439827399998</v>
      </c>
      <c r="AQ87" s="519"/>
      <c r="AR87" s="519"/>
      <c r="AS87" s="519"/>
      <c r="AT87" s="519"/>
      <c r="AU87" s="246">
        <f>AU9</f>
        <v>571.6307606132109</v>
      </c>
      <c r="AV87" s="519"/>
      <c r="AW87" s="519"/>
      <c r="AX87" s="519"/>
      <c r="AY87" s="519"/>
      <c r="AZ87" s="246">
        <f>AZ9</f>
        <v>599.76369070878513</v>
      </c>
      <c r="BA87" s="519"/>
      <c r="BB87" s="519"/>
      <c r="BC87" s="519"/>
      <c r="BD87" s="519"/>
      <c r="BE87" s="246">
        <f>BE9</f>
        <v>538.7324403228024</v>
      </c>
      <c r="BF87" s="519"/>
      <c r="BG87" s="519"/>
      <c r="BH87" s="519"/>
      <c r="BI87" s="519"/>
      <c r="BJ87" s="246">
        <f>BJ9</f>
        <v>465.68007931587726</v>
      </c>
      <c r="BK87" s="519"/>
      <c r="BL87" s="519"/>
      <c r="BM87" s="519"/>
      <c r="BN87" s="519"/>
      <c r="BO87" s="246">
        <f>BO9</f>
        <v>291.16132635909793</v>
      </c>
      <c r="BP87" s="519"/>
      <c r="BQ87" s="519"/>
      <c r="BR87" s="519"/>
      <c r="BS87" s="519"/>
      <c r="BT87" s="246">
        <f>BT9</f>
        <v>149.56093044018823</v>
      </c>
      <c r="BU87" s="519"/>
      <c r="BV87" s="519"/>
      <c r="BW87" s="519"/>
      <c r="BX87" s="519"/>
      <c r="BY87" s="246">
        <f>BY9</f>
        <v>78.350642326459507</v>
      </c>
      <c r="BZ87" s="519"/>
      <c r="CA87" s="519"/>
      <c r="CB87" s="519"/>
      <c r="CC87" s="519"/>
      <c r="CD87" s="246">
        <f>CD9</f>
        <v>40.131909523396416</v>
      </c>
      <c r="CE87" s="519"/>
      <c r="CF87" s="519"/>
      <c r="CG87" s="519"/>
      <c r="CH87" s="519"/>
      <c r="CI87" s="246">
        <f>CI9</f>
        <v>15.948799292532268</v>
      </c>
      <c r="CJ87" s="519"/>
      <c r="CK87" s="519"/>
      <c r="CL87" s="519"/>
      <c r="CM87" s="519"/>
      <c r="CN87" s="246">
        <f>CN9</f>
        <v>6.182765641749226</v>
      </c>
      <c r="CO87" s="519"/>
      <c r="CP87" s="519"/>
      <c r="CQ87" s="519"/>
      <c r="CR87" s="519"/>
      <c r="CS87" s="246">
        <f>CS9</f>
        <v>0.51303800006004219</v>
      </c>
      <c r="CT87" s="133"/>
    </row>
    <row r="88" spans="2:108">
      <c r="B88" s="15" t="s">
        <v>640</v>
      </c>
      <c r="C88" s="19"/>
      <c r="D88" s="9"/>
      <c r="E88" s="9"/>
      <c r="F88" s="10"/>
      <c r="G88" s="12"/>
      <c r="H88" s="522"/>
      <c r="I88" s="522"/>
      <c r="J88" s="522"/>
      <c r="K88" s="576"/>
      <c r="L88" s="246"/>
      <c r="M88" s="522"/>
      <c r="N88" s="522"/>
      <c r="O88" s="522"/>
      <c r="P88" s="576"/>
      <c r="Q88" s="246"/>
      <c r="R88" s="522"/>
      <c r="S88" s="522"/>
      <c r="T88" s="570"/>
      <c r="U88" s="570"/>
      <c r="V88" s="246"/>
      <c r="W88" s="570"/>
      <c r="X88" s="570"/>
      <c r="Y88" s="570"/>
      <c r="Z88" s="640"/>
      <c r="AA88" s="246"/>
      <c r="AB88" s="570"/>
      <c r="AC88" s="519"/>
      <c r="AD88" s="519"/>
      <c r="AE88" s="519"/>
      <c r="AF88" s="246"/>
      <c r="AG88" s="519">
        <f>Revs!BK43</f>
        <v>0</v>
      </c>
      <c r="AH88" s="519">
        <f>Revs!BL43</f>
        <v>0</v>
      </c>
      <c r="AI88" s="519">
        <f>Revs!BM43</f>
        <v>0</v>
      </c>
      <c r="AJ88" s="519">
        <f>Revs!BN43</f>
        <v>0</v>
      </c>
      <c r="AK88" s="246">
        <f>AK11</f>
        <v>0</v>
      </c>
      <c r="AL88" s="519"/>
      <c r="AM88" s="519"/>
      <c r="AN88" s="519"/>
      <c r="AO88" s="519"/>
      <c r="AP88" s="246">
        <f>AP11</f>
        <v>0</v>
      </c>
      <c r="AQ88" s="519"/>
      <c r="AR88" s="519"/>
      <c r="AS88" s="519"/>
      <c r="AT88" s="519"/>
      <c r="AU88" s="246">
        <f>AU11</f>
        <v>1075.9316350998774</v>
      </c>
      <c r="AV88" s="519"/>
      <c r="AW88" s="519"/>
      <c r="AX88" s="519"/>
      <c r="AY88" s="519"/>
      <c r="AZ88" s="246">
        <f>AZ11</f>
        <v>2389.9398019181981</v>
      </c>
      <c r="BA88" s="519"/>
      <c r="BB88" s="519"/>
      <c r="BC88" s="519"/>
      <c r="BD88" s="519"/>
      <c r="BE88" s="246">
        <f>BE11</f>
        <v>3438.3045387687052</v>
      </c>
      <c r="BF88" s="519"/>
      <c r="BG88" s="519"/>
      <c r="BH88" s="519"/>
      <c r="BI88" s="519"/>
      <c r="BJ88" s="246">
        <f>BJ11</f>
        <v>4043.2969209043149</v>
      </c>
      <c r="BK88" s="519"/>
      <c r="BL88" s="519"/>
      <c r="BM88" s="519"/>
      <c r="BN88" s="519"/>
      <c r="BO88" s="246">
        <f>BO11</f>
        <v>4662.0947575526279</v>
      </c>
      <c r="BP88" s="519"/>
      <c r="BQ88" s="519"/>
      <c r="BR88" s="519"/>
      <c r="BS88" s="519"/>
      <c r="BT88" s="246">
        <f>BT11</f>
        <v>5668.0216030454148</v>
      </c>
      <c r="BU88" s="519"/>
      <c r="BV88" s="519"/>
      <c r="BW88" s="519"/>
      <c r="BX88" s="519"/>
      <c r="BY88" s="246">
        <f>BY11</f>
        <v>7490.0758648728797</v>
      </c>
      <c r="BZ88" s="519"/>
      <c r="CA88" s="519"/>
      <c r="CB88" s="519"/>
      <c r="CC88" s="519"/>
      <c r="CD88" s="246">
        <f>CD11</f>
        <v>7760.3895498648981</v>
      </c>
      <c r="CE88" s="519"/>
      <c r="CF88" s="519"/>
      <c r="CG88" s="519"/>
      <c r="CH88" s="519"/>
      <c r="CI88" s="246">
        <f>CI11</f>
        <v>7913.4380505908048</v>
      </c>
      <c r="CJ88" s="519"/>
      <c r="CK88" s="519"/>
      <c r="CL88" s="519"/>
      <c r="CM88" s="519"/>
      <c r="CN88" s="246">
        <f>CN11</f>
        <v>8012.4009274494756</v>
      </c>
      <c r="CO88" s="519"/>
      <c r="CP88" s="519"/>
      <c r="CQ88" s="519"/>
      <c r="CR88" s="519"/>
      <c r="CS88" s="246">
        <f>CS11</f>
        <v>8036.3479199358935</v>
      </c>
      <c r="CT88" s="133"/>
    </row>
    <row r="89" spans="2:108">
      <c r="B89" s="15" t="s">
        <v>35</v>
      </c>
      <c r="C89" s="19"/>
      <c r="D89" s="9"/>
      <c r="E89" s="9"/>
      <c r="F89" s="10"/>
      <c r="G89" s="12"/>
      <c r="H89" s="522">
        <v>205.554</v>
      </c>
      <c r="I89" s="522">
        <v>155.816</v>
      </c>
      <c r="J89" s="522">
        <v>85.591999999999999</v>
      </c>
      <c r="K89" s="576">
        <f>466.36-SUM(H89:J89)</f>
        <v>19.398000000000025</v>
      </c>
      <c r="L89" s="246">
        <f t="shared" si="109"/>
        <v>466.36</v>
      </c>
      <c r="M89" s="522">
        <v>3.9460000000000002</v>
      </c>
      <c r="N89" s="522">
        <v>9.2639999999999993</v>
      </c>
      <c r="O89" s="522">
        <v>10.298</v>
      </c>
      <c r="P89" s="576">
        <f>24.071-SUM(M89:O89)</f>
        <v>0.56300000000000239</v>
      </c>
      <c r="Q89" s="246">
        <f>SUM(M89:P89)</f>
        <v>24.071000000000002</v>
      </c>
      <c r="R89" s="522">
        <v>0.70099999999999996</v>
      </c>
      <c r="S89" s="522">
        <v>5.5</v>
      </c>
      <c r="T89" s="519">
        <v>5.8109999999999999</v>
      </c>
      <c r="U89" s="570">
        <f>V89-SUM(R89:T89)</f>
        <v>5.9749999999999979</v>
      </c>
      <c r="V89" s="246">
        <v>17.986999999999998</v>
      </c>
      <c r="W89" s="519">
        <v>0</v>
      </c>
      <c r="X89" s="519">
        <v>0</v>
      </c>
      <c r="Y89" s="570">
        <v>0</v>
      </c>
      <c r="Z89" s="570">
        <v>0</v>
      </c>
      <c r="AA89" s="246">
        <f>AA14</f>
        <v>0</v>
      </c>
      <c r="AB89" s="519">
        <v>0</v>
      </c>
      <c r="AC89" s="519">
        <f>Revs!BG23</f>
        <v>0</v>
      </c>
      <c r="AD89" s="519">
        <f>Revs!BH23</f>
        <v>0</v>
      </c>
      <c r="AE89" s="519">
        <f>Revs!BI23</f>
        <v>0</v>
      </c>
      <c r="AF89" s="246">
        <f>AE89+AD89+AC89+AB89</f>
        <v>0</v>
      </c>
      <c r="AG89" s="519"/>
      <c r="AH89" s="519"/>
      <c r="AI89" s="519"/>
      <c r="AJ89" s="519"/>
      <c r="AK89" s="246">
        <f>AK14</f>
        <v>0</v>
      </c>
      <c r="AL89" s="519"/>
      <c r="AM89" s="519"/>
      <c r="AN89" s="519"/>
      <c r="AO89" s="519"/>
      <c r="AP89" s="246">
        <f>AP14</f>
        <v>0</v>
      </c>
      <c r="AQ89" s="519"/>
      <c r="AR89" s="519"/>
      <c r="AS89" s="519"/>
      <c r="AT89" s="519"/>
      <c r="AU89" s="246">
        <f>AU14</f>
        <v>0</v>
      </c>
      <c r="AV89" s="519"/>
      <c r="AW89" s="519"/>
      <c r="AX89" s="519"/>
      <c r="AY89" s="519"/>
      <c r="AZ89" s="246">
        <f>AZ14</f>
        <v>0</v>
      </c>
      <c r="BA89" s="519"/>
      <c r="BB89" s="519"/>
      <c r="BC89" s="519"/>
      <c r="BD89" s="519"/>
      <c r="BE89" s="246">
        <f>BE14</f>
        <v>0</v>
      </c>
      <c r="BF89" s="519"/>
      <c r="BG89" s="519"/>
      <c r="BH89" s="519"/>
      <c r="BI89" s="519"/>
      <c r="BJ89" s="246">
        <f>BJ14</f>
        <v>0</v>
      </c>
      <c r="BK89" s="519"/>
      <c r="BL89" s="519"/>
      <c r="BM89" s="519"/>
      <c r="BN89" s="519"/>
      <c r="BO89" s="246">
        <f>BO14</f>
        <v>0</v>
      </c>
      <c r="BP89" s="519"/>
      <c r="BQ89" s="519"/>
      <c r="BR89" s="519"/>
      <c r="BS89" s="519"/>
      <c r="BT89" s="246">
        <f>BT14</f>
        <v>0</v>
      </c>
      <c r="BU89" s="519"/>
      <c r="BV89" s="519"/>
      <c r="BW89" s="519"/>
      <c r="BX89" s="519"/>
      <c r="BY89" s="246">
        <f>BY14</f>
        <v>0</v>
      </c>
      <c r="BZ89" s="519"/>
      <c r="CA89" s="519"/>
      <c r="CB89" s="519"/>
      <c r="CC89" s="519"/>
      <c r="CD89" s="246">
        <f>CD14</f>
        <v>0</v>
      </c>
      <c r="CE89" s="519"/>
      <c r="CF89" s="519"/>
      <c r="CG89" s="519"/>
      <c r="CH89" s="519"/>
      <c r="CI89" s="246">
        <f>CI14</f>
        <v>0</v>
      </c>
      <c r="CJ89" s="519"/>
      <c r="CK89" s="519"/>
      <c r="CL89" s="519"/>
      <c r="CM89" s="519"/>
      <c r="CN89" s="246">
        <f>CN14</f>
        <v>0</v>
      </c>
      <c r="CO89" s="519"/>
      <c r="CP89" s="519"/>
      <c r="CQ89" s="519"/>
      <c r="CR89" s="519"/>
      <c r="CS89" s="246">
        <f>CS14</f>
        <v>0</v>
      </c>
      <c r="CT89" s="133"/>
    </row>
    <row r="90" spans="2:108">
      <c r="B90" s="15"/>
      <c r="C90" s="19"/>
      <c r="D90" s="9"/>
      <c r="E90" s="9"/>
      <c r="F90" s="10"/>
      <c r="G90" s="12"/>
      <c r="H90" s="522"/>
      <c r="I90" s="522"/>
      <c r="J90" s="522"/>
      <c r="K90" s="576"/>
      <c r="L90" s="246"/>
      <c r="M90" s="522"/>
      <c r="N90" s="522"/>
      <c r="O90" s="522"/>
      <c r="P90" s="576"/>
      <c r="Q90" s="246"/>
      <c r="R90" s="522"/>
      <c r="S90" s="522"/>
      <c r="T90" s="519"/>
      <c r="U90" s="519"/>
      <c r="V90" s="604"/>
      <c r="W90" s="519"/>
      <c r="X90" s="519"/>
      <c r="Y90" s="570"/>
      <c r="Z90" s="519"/>
      <c r="AA90" s="246"/>
      <c r="AB90" s="519"/>
      <c r="AC90" s="519"/>
      <c r="AD90" s="519"/>
      <c r="AE90" s="570"/>
      <c r="AF90" s="246"/>
      <c r="AG90" s="519"/>
      <c r="AH90" s="519"/>
      <c r="AI90" s="519"/>
      <c r="AJ90" s="519"/>
      <c r="AK90" s="246"/>
      <c r="AL90" s="519"/>
      <c r="AM90" s="519"/>
      <c r="AN90" s="519"/>
      <c r="AO90" s="519"/>
      <c r="AP90" s="246"/>
      <c r="AQ90" s="519"/>
      <c r="AR90" s="519"/>
      <c r="AS90" s="519"/>
      <c r="AT90" s="519"/>
      <c r="AU90" s="246"/>
      <c r="AV90" s="519"/>
      <c r="AW90" s="519"/>
      <c r="AX90" s="519"/>
      <c r="AY90" s="519"/>
      <c r="AZ90" s="246"/>
      <c r="BA90" s="519"/>
      <c r="BB90" s="519"/>
      <c r="BC90" s="519"/>
      <c r="BD90" s="519"/>
      <c r="BE90" s="246"/>
      <c r="BF90" s="519"/>
      <c r="BG90" s="519"/>
      <c r="BH90" s="519"/>
      <c r="BI90" s="519"/>
      <c r="BJ90" s="246"/>
      <c r="BK90" s="519"/>
      <c r="BL90" s="519"/>
      <c r="BM90" s="519"/>
      <c r="BN90" s="519"/>
      <c r="BO90" s="246"/>
      <c r="BP90" s="519"/>
      <c r="BQ90" s="519"/>
      <c r="BR90" s="519"/>
      <c r="BS90" s="519"/>
      <c r="BT90" s="246"/>
      <c r="BU90" s="519"/>
      <c r="BV90" s="519"/>
      <c r="BW90" s="519"/>
      <c r="BX90" s="519"/>
      <c r="BY90" s="246"/>
      <c r="BZ90" s="519"/>
      <c r="CA90" s="519"/>
      <c r="CB90" s="519"/>
      <c r="CC90" s="519"/>
      <c r="CD90" s="246"/>
      <c r="CE90" s="519"/>
      <c r="CF90" s="519"/>
      <c r="CG90" s="519"/>
      <c r="CH90" s="519"/>
      <c r="CI90" s="246"/>
      <c r="CJ90" s="519"/>
      <c r="CK90" s="519"/>
      <c r="CL90" s="519"/>
      <c r="CM90" s="519"/>
      <c r="CN90" s="246"/>
      <c r="CO90" s="519"/>
      <c r="CP90" s="519"/>
      <c r="CQ90" s="519"/>
      <c r="CR90" s="519"/>
      <c r="CS90" s="246"/>
      <c r="CT90" s="133"/>
    </row>
    <row r="91" spans="2:108">
      <c r="B91" s="14" t="s">
        <v>36</v>
      </c>
      <c r="C91" s="116"/>
      <c r="D91" s="114"/>
      <c r="E91" s="114"/>
      <c r="F91" s="115"/>
      <c r="G91" s="12"/>
      <c r="H91" s="522">
        <v>17.414000000000001</v>
      </c>
      <c r="I91" s="522">
        <v>6.8410000000000002</v>
      </c>
      <c r="J91" s="522">
        <v>8.0350000000000001</v>
      </c>
      <c r="K91" s="522">
        <v>185.44800000000001</v>
      </c>
      <c r="L91" s="246">
        <f>SUM(H91:K91)</f>
        <v>217.738</v>
      </c>
      <c r="M91" s="522">
        <v>4.2569999999999997</v>
      </c>
      <c r="N91" s="522">
        <v>3.0870000000000002</v>
      </c>
      <c r="O91" s="522">
        <v>33.502000000000002</v>
      </c>
      <c r="P91" s="522">
        <v>10.829000000000001</v>
      </c>
      <c r="Q91" s="246">
        <f>SUM(M91:P91)</f>
        <v>51.675000000000004</v>
      </c>
      <c r="R91" s="522">
        <v>0.84199999999999997</v>
      </c>
      <c r="S91" s="522">
        <v>0.61099999999999999</v>
      </c>
      <c r="T91" s="570">
        <v>1.546</v>
      </c>
      <c r="U91" s="570">
        <v>5.0540000000000003</v>
      </c>
      <c r="V91" s="246">
        <f t="shared" ref="V91" si="110">SUM(R91:U91)</f>
        <v>8.0530000000000008</v>
      </c>
      <c r="W91" s="570">
        <v>7.3999999999999996E-2</v>
      </c>
      <c r="X91" s="570">
        <v>0.67500000000000004</v>
      </c>
      <c r="Y91" s="570">
        <v>0.25900000000000001</v>
      </c>
      <c r="Z91" s="570">
        <v>0.93700000000000006</v>
      </c>
      <c r="AA91" s="246">
        <f t="shared" ref="AA91" si="111">SUM(W91:Z91)</f>
        <v>1.9450000000000001</v>
      </c>
      <c r="AB91" s="570">
        <v>232.54499999999999</v>
      </c>
      <c r="AC91" s="570">
        <v>27.286000000000001</v>
      </c>
      <c r="AD91" s="570">
        <v>26.292000000000002</v>
      </c>
      <c r="AE91" s="570">
        <v>29.061</v>
      </c>
      <c r="AF91" s="246">
        <f>AE91+AD91+AC91+AB91</f>
        <v>315.18399999999997</v>
      </c>
      <c r="AG91" s="519">
        <f>Revs!BK51</f>
        <v>0</v>
      </c>
      <c r="AH91" s="519">
        <f>Revs!BL51</f>
        <v>0</v>
      </c>
      <c r="AI91" s="519">
        <f>Revs!BM51</f>
        <v>0</v>
      </c>
      <c r="AJ91" s="519">
        <f>Revs!BN51</f>
        <v>0</v>
      </c>
      <c r="AK91" s="246">
        <f>Revs!BO51</f>
        <v>0</v>
      </c>
      <c r="AL91" s="519"/>
      <c r="AM91" s="519"/>
      <c r="AN91" s="519"/>
      <c r="AO91" s="519"/>
      <c r="AP91" s="246">
        <f>Revs!BT51</f>
        <v>0</v>
      </c>
      <c r="AQ91" s="519"/>
      <c r="AR91" s="519"/>
      <c r="AS91" s="519"/>
      <c r="AT91" s="519"/>
      <c r="AU91" s="246">
        <f>Revs!BY51</f>
        <v>0</v>
      </c>
      <c r="AV91" s="519"/>
      <c r="AW91" s="519"/>
      <c r="AX91" s="519"/>
      <c r="AY91" s="519"/>
      <c r="AZ91" s="246">
        <f>Revs!CD51</f>
        <v>0</v>
      </c>
      <c r="BA91" s="519"/>
      <c r="BB91" s="519"/>
      <c r="BC91" s="519"/>
      <c r="BD91" s="519"/>
      <c r="BE91" s="246">
        <f>Revs!CI51</f>
        <v>0</v>
      </c>
      <c r="BF91" s="519"/>
      <c r="BG91" s="519"/>
      <c r="BH91" s="519"/>
      <c r="BI91" s="519"/>
      <c r="BJ91" s="246">
        <f>Revs!CN51</f>
        <v>0</v>
      </c>
      <c r="BK91" s="519"/>
      <c r="BL91" s="519"/>
      <c r="BM91" s="519"/>
      <c r="BN91" s="519"/>
      <c r="BO91" s="246">
        <f>Revs!CS51</f>
        <v>0</v>
      </c>
      <c r="BP91" s="519"/>
      <c r="BQ91" s="519"/>
      <c r="BR91" s="519"/>
      <c r="BS91" s="519"/>
      <c r="BT91" s="246">
        <f>Revs!CX51</f>
        <v>0</v>
      </c>
      <c r="BU91" s="519"/>
      <c r="BV91" s="519"/>
      <c r="BW91" s="519"/>
      <c r="BX91" s="519"/>
      <c r="BY91" s="246">
        <f>Revs!DC51</f>
        <v>0</v>
      </c>
      <c r="BZ91" s="519"/>
      <c r="CA91" s="519"/>
      <c r="CB91" s="519"/>
      <c r="CC91" s="519"/>
      <c r="CD91" s="246">
        <f>Revs!DH51</f>
        <v>0</v>
      </c>
      <c r="CE91" s="519"/>
      <c r="CF91" s="519"/>
      <c r="CG91" s="519"/>
      <c r="CH91" s="519"/>
      <c r="CI91" s="246">
        <f>Revs!DM51</f>
        <v>0</v>
      </c>
      <c r="CJ91" s="519"/>
      <c r="CK91" s="519"/>
      <c r="CL91" s="519"/>
      <c r="CM91" s="519"/>
      <c r="CN91" s="246">
        <f>Revs!DR51</f>
        <v>0</v>
      </c>
      <c r="CO91" s="519"/>
      <c r="CP91" s="519"/>
      <c r="CQ91" s="519"/>
      <c r="CR91" s="519"/>
      <c r="CS91" s="246">
        <f>Revs!DW51</f>
        <v>0</v>
      </c>
      <c r="CT91" s="133"/>
    </row>
    <row r="92" spans="2:108">
      <c r="B92" s="15"/>
      <c r="C92" s="19"/>
      <c r="D92" s="9"/>
      <c r="E92" s="9"/>
      <c r="F92" s="10"/>
      <c r="G92" s="12"/>
      <c r="H92" s="522"/>
      <c r="I92" s="522"/>
      <c r="J92" s="522"/>
      <c r="K92" s="576"/>
      <c r="L92" s="246"/>
      <c r="M92" s="522"/>
      <c r="N92" s="522"/>
      <c r="O92" s="522"/>
      <c r="P92" s="576"/>
      <c r="Q92" s="246"/>
      <c r="R92" s="522"/>
      <c r="S92" s="522"/>
      <c r="T92" s="519"/>
      <c r="U92" s="519"/>
      <c r="V92" s="246"/>
      <c r="W92" s="519"/>
      <c r="X92" s="519"/>
      <c r="Y92" s="570"/>
      <c r="Z92" s="519"/>
      <c r="AA92" s="246"/>
      <c r="AB92" s="519"/>
      <c r="AC92" s="519"/>
      <c r="AD92" s="519"/>
      <c r="AE92" s="519"/>
      <c r="AF92" s="246"/>
      <c r="AG92" s="519"/>
      <c r="AH92" s="519"/>
      <c r="AI92" s="519"/>
      <c r="AJ92" s="519"/>
      <c r="AK92" s="246"/>
      <c r="AL92" s="519"/>
      <c r="AM92" s="519"/>
      <c r="AN92" s="519"/>
      <c r="AO92" s="519"/>
      <c r="AP92" s="246"/>
      <c r="AQ92" s="519"/>
      <c r="AR92" s="519"/>
      <c r="AS92" s="519"/>
      <c r="AT92" s="519"/>
      <c r="AU92" s="246"/>
      <c r="AV92" s="519"/>
      <c r="AW92" s="519"/>
      <c r="AX92" s="519"/>
      <c r="AY92" s="519"/>
      <c r="AZ92" s="246"/>
      <c r="BA92" s="519"/>
      <c r="BB92" s="519"/>
      <c r="BC92" s="519"/>
      <c r="BD92" s="519"/>
      <c r="BE92" s="246"/>
      <c r="BF92" s="519"/>
      <c r="BG92" s="519"/>
      <c r="BH92" s="519"/>
      <c r="BI92" s="519"/>
      <c r="BJ92" s="246"/>
      <c r="BK92" s="519"/>
      <c r="BL92" s="519"/>
      <c r="BM92" s="519"/>
      <c r="BN92" s="519"/>
      <c r="BO92" s="246"/>
      <c r="BP92" s="519"/>
      <c r="BQ92" s="519"/>
      <c r="BR92" s="519"/>
      <c r="BS92" s="519"/>
      <c r="BT92" s="246"/>
      <c r="BU92" s="519"/>
      <c r="BV92" s="519"/>
      <c r="BW92" s="519"/>
      <c r="BX92" s="519"/>
      <c r="BY92" s="246"/>
      <c r="BZ92" s="519"/>
      <c r="CA92" s="519"/>
      <c r="CB92" s="519"/>
      <c r="CC92" s="519"/>
      <c r="CD92" s="246"/>
      <c r="CE92" s="519"/>
      <c r="CF92" s="519"/>
      <c r="CG92" s="519"/>
      <c r="CH92" s="519"/>
      <c r="CI92" s="246"/>
      <c r="CJ92" s="519"/>
      <c r="CK92" s="519"/>
      <c r="CL92" s="519"/>
      <c r="CM92" s="519"/>
      <c r="CN92" s="246"/>
      <c r="CO92" s="519"/>
      <c r="CP92" s="519"/>
      <c r="CQ92" s="519"/>
      <c r="CR92" s="519"/>
      <c r="CS92" s="246"/>
      <c r="CT92" s="133"/>
    </row>
    <row r="93" spans="2:108">
      <c r="B93" s="14" t="s">
        <v>212</v>
      </c>
      <c r="C93" s="116"/>
      <c r="D93" s="114"/>
      <c r="E93" s="114"/>
      <c r="F93" s="115"/>
      <c r="G93" s="12"/>
      <c r="H93" s="522">
        <v>43.573</v>
      </c>
      <c r="I93" s="522">
        <v>49.12</v>
      </c>
      <c r="J93" s="522">
        <v>27.012</v>
      </c>
      <c r="K93" s="522">
        <v>36.887</v>
      </c>
      <c r="L93" s="246">
        <f>SUM(H93:K93)</f>
        <v>156.59199999999998</v>
      </c>
      <c r="M93" s="522">
        <v>10.733000000000001</v>
      </c>
      <c r="N93" s="522">
        <v>13.015000000000001</v>
      </c>
      <c r="O93" s="522">
        <v>8.3859999999999992</v>
      </c>
      <c r="P93" s="522">
        <v>8.7850000000000001</v>
      </c>
      <c r="Q93" s="246">
        <f>SUM(M93:P93)</f>
        <v>40.918999999999997</v>
      </c>
      <c r="R93" s="522">
        <v>6.7919999999999998</v>
      </c>
      <c r="S93" s="522">
        <v>5.077</v>
      </c>
      <c r="T93" s="570">
        <v>5.7590000000000003</v>
      </c>
      <c r="U93" s="570">
        <v>6.3310000000000004</v>
      </c>
      <c r="V93" s="246">
        <f t="shared" ref="V93" si="112">SUM(R93:U93)</f>
        <v>23.959</v>
      </c>
      <c r="W93" s="570">
        <v>3.5960000000000001</v>
      </c>
      <c r="X93" s="570">
        <v>5.282</v>
      </c>
      <c r="Y93" s="570">
        <v>3.835</v>
      </c>
      <c r="Z93" s="570">
        <v>3.887</v>
      </c>
      <c r="AA93" s="246">
        <f t="shared" ref="AA93" si="113">SUM(W93:Z93)</f>
        <v>16.600000000000001</v>
      </c>
      <c r="AB93" s="570">
        <v>1.5509999999999999</v>
      </c>
      <c r="AC93" s="570">
        <v>2.8610000000000002</v>
      </c>
      <c r="AD93" s="570">
        <v>2.2309999999999999</v>
      </c>
      <c r="AE93" s="570">
        <v>1.345</v>
      </c>
      <c r="AF93" s="246">
        <f>AE93+AD93+AC93+AB93</f>
        <v>7.9879999999999995</v>
      </c>
      <c r="AG93" s="519">
        <f>Revs!BK50</f>
        <v>0</v>
      </c>
      <c r="AH93" s="519">
        <f>Revs!BL50</f>
        <v>0</v>
      </c>
      <c r="AI93" s="519">
        <f>Revs!BM50</f>
        <v>0</v>
      </c>
      <c r="AJ93" s="519">
        <f>Revs!BN50</f>
        <v>0</v>
      </c>
      <c r="AK93" s="246">
        <f>Revs!BO50</f>
        <v>0</v>
      </c>
      <c r="AL93" s="519"/>
      <c r="AM93" s="519"/>
      <c r="AN93" s="519"/>
      <c r="AO93" s="519"/>
      <c r="AP93" s="246">
        <f>Revs!BT50</f>
        <v>0</v>
      </c>
      <c r="AQ93" s="519"/>
      <c r="AR93" s="519"/>
      <c r="AS93" s="519"/>
      <c r="AT93" s="519"/>
      <c r="AU93" s="246">
        <f>Revs!BY50</f>
        <v>0</v>
      </c>
      <c r="AV93" s="519"/>
      <c r="AW93" s="519"/>
      <c r="AX93" s="519"/>
      <c r="AY93" s="519"/>
      <c r="AZ93" s="246">
        <f>Revs!CD50</f>
        <v>0</v>
      </c>
      <c r="BA93" s="519"/>
      <c r="BB93" s="519"/>
      <c r="BC93" s="519"/>
      <c r="BD93" s="519"/>
      <c r="BE93" s="246">
        <f>Revs!CI50</f>
        <v>0</v>
      </c>
      <c r="BF93" s="519"/>
      <c r="BG93" s="519"/>
      <c r="BH93" s="519"/>
      <c r="BI93" s="519"/>
      <c r="BJ93" s="246">
        <f>Revs!CN50</f>
        <v>0</v>
      </c>
      <c r="BK93" s="519"/>
      <c r="BL93" s="519"/>
      <c r="BM93" s="519"/>
      <c r="BN93" s="519"/>
      <c r="BO93" s="246">
        <f>Revs!CS50</f>
        <v>0</v>
      </c>
      <c r="BP93" s="519"/>
      <c r="BQ93" s="519"/>
      <c r="BR93" s="519"/>
      <c r="BS93" s="519"/>
      <c r="BT93" s="246">
        <f>Revs!CX50</f>
        <v>0</v>
      </c>
      <c r="BU93" s="519"/>
      <c r="BV93" s="519"/>
      <c r="BW93" s="519"/>
      <c r="BX93" s="519"/>
      <c r="BY93" s="246">
        <f>Revs!DC50</f>
        <v>0</v>
      </c>
      <c r="BZ93" s="519"/>
      <c r="CA93" s="519"/>
      <c r="CB93" s="519"/>
      <c r="CC93" s="519"/>
      <c r="CD93" s="246">
        <f>Revs!DH50</f>
        <v>0</v>
      </c>
      <c r="CE93" s="519"/>
      <c r="CF93" s="519"/>
      <c r="CG93" s="519"/>
      <c r="CH93" s="519"/>
      <c r="CI93" s="246">
        <f>Revs!DM50</f>
        <v>0</v>
      </c>
      <c r="CJ93" s="519"/>
      <c r="CK93" s="519"/>
      <c r="CL93" s="519"/>
      <c r="CM93" s="519"/>
      <c r="CN93" s="246">
        <f>Revs!DR50</f>
        <v>0</v>
      </c>
      <c r="CO93" s="519"/>
      <c r="CP93" s="519"/>
      <c r="CQ93" s="519"/>
      <c r="CR93" s="519"/>
      <c r="CS93" s="246">
        <f>Revs!DW50</f>
        <v>0</v>
      </c>
      <c r="CT93" s="133"/>
    </row>
    <row r="94" spans="2:108">
      <c r="C94" s="19"/>
      <c r="D94" s="9"/>
      <c r="E94" s="9"/>
      <c r="F94" s="10"/>
      <c r="G94" s="12"/>
      <c r="H94" s="522"/>
      <c r="I94" s="522"/>
      <c r="J94" s="522"/>
      <c r="K94" s="576"/>
      <c r="L94" s="246"/>
      <c r="M94" s="522"/>
      <c r="N94" s="522"/>
      <c r="O94" s="522"/>
      <c r="P94" s="576"/>
      <c r="Q94" s="406"/>
      <c r="R94" s="522"/>
      <c r="S94" s="522"/>
      <c r="T94" s="519"/>
      <c r="U94" s="519"/>
      <c r="V94" s="246"/>
      <c r="W94" s="519"/>
      <c r="X94" s="519"/>
      <c r="Y94" s="570"/>
      <c r="Z94" s="519"/>
      <c r="AA94" s="246"/>
      <c r="AB94" s="519"/>
      <c r="AC94" s="519"/>
      <c r="AD94" s="519"/>
      <c r="AE94" s="519"/>
      <c r="AF94" s="246"/>
      <c r="AG94" s="519"/>
      <c r="AH94" s="519"/>
      <c r="AI94" s="519"/>
      <c r="AJ94" s="519"/>
      <c r="AK94" s="246"/>
      <c r="AL94" s="519"/>
      <c r="AM94" s="519"/>
      <c r="AN94" s="519"/>
      <c r="AO94" s="519"/>
      <c r="AP94" s="246"/>
      <c r="AQ94" s="519"/>
      <c r="AR94" s="519"/>
      <c r="AS94" s="519"/>
      <c r="AT94" s="519"/>
      <c r="AU94" s="246"/>
      <c r="AV94" s="519"/>
      <c r="AW94" s="519"/>
      <c r="AX94" s="519"/>
      <c r="AY94" s="519"/>
      <c r="AZ94" s="246"/>
      <c r="BA94" s="519"/>
      <c r="BB94" s="519"/>
      <c r="BC94" s="519"/>
      <c r="BD94" s="519"/>
      <c r="BE94" s="246"/>
      <c r="BF94" s="519"/>
      <c r="BG94" s="519"/>
      <c r="BH94" s="519"/>
      <c r="BI94" s="519"/>
      <c r="BJ94" s="246"/>
      <c r="BK94" s="519"/>
      <c r="BL94" s="519"/>
      <c r="BM94" s="519"/>
      <c r="BN94" s="519"/>
      <c r="BO94" s="246"/>
      <c r="BP94" s="519"/>
      <c r="BQ94" s="519"/>
      <c r="BR94" s="519"/>
      <c r="BS94" s="519"/>
      <c r="BT94" s="246"/>
      <c r="BU94" s="519"/>
      <c r="BV94" s="519"/>
      <c r="BW94" s="519"/>
      <c r="BX94" s="519"/>
      <c r="BY94" s="246"/>
      <c r="BZ94" s="519"/>
      <c r="CA94" s="519"/>
      <c r="CB94" s="519"/>
      <c r="CC94" s="519"/>
      <c r="CD94" s="246"/>
      <c r="CE94" s="519"/>
      <c r="CF94" s="519"/>
      <c r="CG94" s="519"/>
      <c r="CH94" s="519"/>
      <c r="CI94" s="246"/>
      <c r="CJ94" s="519"/>
      <c r="CK94" s="519"/>
      <c r="CL94" s="519"/>
      <c r="CM94" s="519"/>
      <c r="CN94" s="246"/>
      <c r="CO94" s="519"/>
      <c r="CP94" s="519"/>
      <c r="CQ94" s="519"/>
      <c r="CR94" s="519"/>
      <c r="CS94" s="246"/>
      <c r="CT94" s="133"/>
    </row>
    <row r="95" spans="2:108" s="7" customFormat="1">
      <c r="B95" s="13" t="s">
        <v>40</v>
      </c>
      <c r="C95" s="18"/>
      <c r="D95" s="8"/>
      <c r="E95" s="8"/>
      <c r="F95" s="8"/>
      <c r="G95" s="11"/>
      <c r="H95" s="525"/>
      <c r="I95" s="525"/>
      <c r="J95" s="525"/>
      <c r="K95" s="525"/>
      <c r="L95" s="249"/>
      <c r="M95" s="525"/>
      <c r="N95" s="525"/>
      <c r="O95" s="525"/>
      <c r="P95" s="525"/>
      <c r="Q95" s="405"/>
      <c r="R95" s="525"/>
      <c r="S95" s="525"/>
      <c r="T95" s="525"/>
      <c r="U95" s="525"/>
      <c r="V95" s="249"/>
      <c r="W95" s="525"/>
      <c r="X95" s="525"/>
      <c r="Y95" s="630"/>
      <c r="Z95" s="525"/>
      <c r="AA95" s="249"/>
      <c r="AB95" s="525"/>
      <c r="AC95" s="525"/>
      <c r="AD95" s="525"/>
      <c r="AE95" s="525"/>
      <c r="AF95" s="249"/>
      <c r="AG95" s="525"/>
      <c r="AH95" s="525"/>
      <c r="AI95" s="525"/>
      <c r="AJ95" s="525"/>
      <c r="AK95" s="249"/>
      <c r="AL95" s="525"/>
      <c r="AM95" s="525"/>
      <c r="AN95" s="525"/>
      <c r="AO95" s="525"/>
      <c r="AP95" s="249"/>
      <c r="AQ95" s="525"/>
      <c r="AR95" s="525"/>
      <c r="AS95" s="525"/>
      <c r="AT95" s="525"/>
      <c r="AU95" s="249"/>
      <c r="AV95" s="525"/>
      <c r="AW95" s="525"/>
      <c r="AX95" s="525"/>
      <c r="AY95" s="525"/>
      <c r="AZ95" s="249"/>
      <c r="BA95" s="525"/>
      <c r="BB95" s="525"/>
      <c r="BC95" s="525"/>
      <c r="BD95" s="525"/>
      <c r="BE95" s="249"/>
      <c r="BF95" s="525"/>
      <c r="BG95" s="525"/>
      <c r="BH95" s="525"/>
      <c r="BI95" s="525"/>
      <c r="BJ95" s="249"/>
      <c r="BK95" s="525"/>
      <c r="BL95" s="525"/>
      <c r="BM95" s="525"/>
      <c r="BN95" s="525"/>
      <c r="BO95" s="249"/>
      <c r="BP95" s="525"/>
      <c r="BQ95" s="525"/>
      <c r="BR95" s="525"/>
      <c r="BS95" s="525"/>
      <c r="BT95" s="249"/>
      <c r="BU95" s="525"/>
      <c r="BV95" s="525"/>
      <c r="BW95" s="525"/>
      <c r="BX95" s="525"/>
      <c r="BY95" s="249"/>
      <c r="BZ95" s="525"/>
      <c r="CA95" s="525"/>
      <c r="CB95" s="525"/>
      <c r="CC95" s="525"/>
      <c r="CD95" s="249"/>
      <c r="CE95" s="525"/>
      <c r="CF95" s="525"/>
      <c r="CG95" s="525"/>
      <c r="CH95" s="525"/>
      <c r="CI95" s="249"/>
      <c r="CJ95" s="525"/>
      <c r="CK95" s="525"/>
      <c r="CL95" s="525"/>
      <c r="CM95" s="525"/>
      <c r="CN95" s="249"/>
      <c r="CO95" s="525"/>
      <c r="CP95" s="525"/>
      <c r="CQ95" s="525"/>
      <c r="CR95" s="525"/>
      <c r="CS95" s="249"/>
      <c r="CT95" s="133"/>
      <c r="CY95"/>
      <c r="CZ95"/>
      <c r="DA95"/>
      <c r="DB95"/>
      <c r="DC95"/>
      <c r="DD95"/>
    </row>
    <row r="96" spans="2:108" outlineLevel="1">
      <c r="B96" s="15" t="s">
        <v>41</v>
      </c>
      <c r="C96" s="9"/>
      <c r="D96" s="9"/>
      <c r="E96" s="9"/>
      <c r="F96" s="10"/>
      <c r="G96" s="12"/>
      <c r="H96" s="522">
        <v>30.954999999999998</v>
      </c>
      <c r="I96" s="522">
        <v>24.695</v>
      </c>
      <c r="J96" s="522">
        <v>20.047999999999998</v>
      </c>
      <c r="K96" s="576">
        <v>13.281000000000001</v>
      </c>
      <c r="L96" s="246">
        <f>SUM(H96:K96)</f>
        <v>88.978999999999999</v>
      </c>
      <c r="M96" s="522">
        <v>8.5719999999999992</v>
      </c>
      <c r="N96" s="522">
        <v>9.6549999999999994</v>
      </c>
      <c r="O96" s="522">
        <v>10.208</v>
      </c>
      <c r="P96" s="576">
        <v>11.29</v>
      </c>
      <c r="Q96" s="246">
        <f>SUM(M96:P96)</f>
        <v>39.724999999999994</v>
      </c>
      <c r="R96" s="522">
        <v>9.3810000000000002</v>
      </c>
      <c r="S96" s="522">
        <v>15.409000000000001</v>
      </c>
      <c r="T96" s="570">
        <v>30.268999999999998</v>
      </c>
      <c r="U96" s="570">
        <f>V96-SUM(R96:T96)</f>
        <v>62.091999999999999</v>
      </c>
      <c r="V96" s="400">
        <v>117.151</v>
      </c>
      <c r="W96" s="570">
        <v>49.789000000000001</v>
      </c>
      <c r="X96" s="570">
        <v>44.154000000000003</v>
      </c>
      <c r="Y96" s="570">
        <v>53.222000000000001</v>
      </c>
      <c r="Z96" s="570">
        <v>59.646000000000001</v>
      </c>
      <c r="AA96" s="400">
        <f>SUM(W96:Z96)</f>
        <v>206.81100000000004</v>
      </c>
      <c r="AB96" s="570">
        <v>46.241999999999997</v>
      </c>
      <c r="AC96" s="570">
        <v>70.534999999999997</v>
      </c>
      <c r="AD96" s="570">
        <v>72.186000000000007</v>
      </c>
      <c r="AE96" s="570">
        <v>83.712000000000003</v>
      </c>
      <c r="AF96" s="246">
        <f>AE96+AD96+AC96+AB96</f>
        <v>272.67500000000001</v>
      </c>
      <c r="AG96" s="519">
        <f>AG19/AK19*AK96</f>
        <v>72.321663479266746</v>
      </c>
      <c r="AH96" s="519">
        <f>AH19/AK19*AK96</f>
        <v>77.745788240211766</v>
      </c>
      <c r="AI96" s="519">
        <f>AI19/AK19*AK96</f>
        <v>83.772593530150658</v>
      </c>
      <c r="AJ96" s="519">
        <f>AJ19/AK19*AK96</f>
        <v>87.109596176793346</v>
      </c>
      <c r="AK96" s="400">
        <f>(0.015*(AK3+AK7+AK9+AK11))+'CF Market'!M352+'CF Market'!M353+'CF Market'!M354+'CF Market'!M355</f>
        <v>320.94964142642255</v>
      </c>
      <c r="AL96" s="519"/>
      <c r="AM96" s="519"/>
      <c r="AN96" s="519"/>
      <c r="AO96" s="519"/>
      <c r="AP96" s="400">
        <f>(0.015*(AP3+AP7+AP9+AP11))+'CF Market'!N352+'CF Market'!N353+'CF Market'!N354+'CF Market'!N355</f>
        <v>354.0985363199411</v>
      </c>
      <c r="AQ96" s="519"/>
      <c r="AR96" s="519"/>
      <c r="AS96" s="519"/>
      <c r="AT96" s="519"/>
      <c r="AU96" s="400">
        <f>(0.015*(AU3+AU7+AU9+AU11))+'CF Market'!O352+'CF Market'!O353+'CF Market'!O354+'CF Market'!O355</f>
        <v>466.4480145259177</v>
      </c>
      <c r="AV96" s="519"/>
      <c r="AW96" s="519"/>
      <c r="AX96" s="519"/>
      <c r="AY96" s="519"/>
      <c r="AZ96" s="400">
        <f>(0.015*(AZ3+AZ7+AZ9+AZ11))+'CF Market'!P352+'CF Market'!P353+'CF Market'!P354+'CF Market'!P355</f>
        <v>585.35893577750608</v>
      </c>
      <c r="BA96" s="519"/>
      <c r="BB96" s="519"/>
      <c r="BC96" s="519"/>
      <c r="BD96" s="519"/>
      <c r="BE96" s="400">
        <f>(0.015*(BE3+BE7+BE9+BE11))+'CF Market'!Q352+'CF Market'!Q353+'CF Market'!Q354+'CF Market'!Q355</f>
        <v>652.17575678503817</v>
      </c>
      <c r="BF96" s="519"/>
      <c r="BG96" s="519"/>
      <c r="BH96" s="519"/>
      <c r="BI96" s="519"/>
      <c r="BJ96" s="400">
        <f>(0.015*(BJ3+BJ7+BJ9+BJ11))+'CF Market'!R352+'CF Market'!R353+'CF Market'!R354+'CF Market'!R355</f>
        <v>665.53142023511953</v>
      </c>
      <c r="BK96" s="519"/>
      <c r="BL96" s="519"/>
      <c r="BM96" s="519"/>
      <c r="BN96" s="519"/>
      <c r="BO96" s="400">
        <f>(0.015*(BO35+BO7+BO9+BO11))+'CF Market'!S352+'CF Market'!S353+'CF Market'!S354+'CF Market'!S355</f>
        <v>650.93667649661961</v>
      </c>
      <c r="BP96" s="519"/>
      <c r="BQ96" s="519"/>
      <c r="BR96" s="519"/>
      <c r="BS96" s="519"/>
      <c r="BT96" s="400">
        <f>(0.015*(BT3+BT7+BT9+BT11))+'CF Market'!T352+'CF Market'!T353+'CF Market'!T354+'CF Market'!T355</f>
        <v>628.91172145390919</v>
      </c>
      <c r="BU96" s="519"/>
      <c r="BV96" s="519"/>
      <c r="BW96" s="519"/>
      <c r="BX96" s="519"/>
      <c r="BY96" s="400">
        <f>(0.015*(BY3+BY7+BY9+BY11))+'CF Market'!U352+'CF Market'!U353+'CF Market'!U354+'CF Market'!U355</f>
        <v>726.81424454947637</v>
      </c>
      <c r="BZ96" s="519"/>
      <c r="CA96" s="519"/>
      <c r="CB96" s="519"/>
      <c r="CC96" s="519"/>
      <c r="CD96" s="400">
        <f>(0.015*(CD3+CD7+CD9+CD11))+'CF Market'!V352+'CF Market'!V353+'CF Market'!V354+'CF Market'!V355</f>
        <v>740.28339872792264</v>
      </c>
      <c r="CE96" s="519"/>
      <c r="CF96" s="519"/>
      <c r="CG96" s="519"/>
      <c r="CH96" s="519"/>
      <c r="CI96" s="400">
        <f>(0.015*(CI3+CI7+CI9+CI11))+'CF Market'!W352+'CF Market'!W353+'CF Market'!W354+'CF Market'!W355</f>
        <v>721.3507733188269</v>
      </c>
      <c r="CJ96" s="519"/>
      <c r="CK96" s="519"/>
      <c r="CL96" s="519"/>
      <c r="CM96" s="519"/>
      <c r="CN96" s="400">
        <f>(0.015*(CN3+CN7+CN9+CN11))+'CF Market'!X352+'CF Market'!X353+'CF Market'!X354+'CF Market'!X355</f>
        <v>723.58172905097672</v>
      </c>
      <c r="CO96" s="519"/>
      <c r="CP96" s="519"/>
      <c r="CQ96" s="519"/>
      <c r="CR96" s="519"/>
      <c r="CS96" s="400">
        <f>(0.015*(CS3+CS7+CS9+CS11))+'CF Market'!Y352+'CF Market'!Y353+'CF Market'!Y354+'CF Market'!Y355</f>
        <v>723.42132064424788</v>
      </c>
      <c r="CT96" s="133"/>
    </row>
    <row r="97" spans="2:108" outlineLevel="1">
      <c r="B97" s="15" t="s">
        <v>179</v>
      </c>
      <c r="C97" s="9"/>
      <c r="D97" s="9"/>
      <c r="E97" s="9"/>
      <c r="F97" s="10"/>
      <c r="G97" s="12"/>
      <c r="H97" s="522">
        <v>11.788</v>
      </c>
      <c r="I97" s="522">
        <v>13.236000000000001</v>
      </c>
      <c r="J97" s="522">
        <v>7.2910000000000004</v>
      </c>
      <c r="K97" s="576">
        <v>8.9830000000000005</v>
      </c>
      <c r="L97" s="246">
        <f>SUM(H97:K97)</f>
        <v>41.298000000000002</v>
      </c>
      <c r="M97" s="522">
        <v>6.9039999999999999</v>
      </c>
      <c r="N97" s="522">
        <v>7.6449999999999996</v>
      </c>
      <c r="O97" s="522">
        <v>3.976</v>
      </c>
      <c r="P97" s="576">
        <v>2.7370000000000001</v>
      </c>
      <c r="Q97" s="246">
        <f>SUM(M97:P97)</f>
        <v>21.262</v>
      </c>
      <c r="R97" s="522">
        <v>2.9260000000000002</v>
      </c>
      <c r="S97" s="522">
        <v>1.4510000000000001</v>
      </c>
      <c r="T97" s="570">
        <v>1.6910000000000001</v>
      </c>
      <c r="U97" s="623">
        <f>V97-SUM(R97:T97)</f>
        <v>1.2929999999999993</v>
      </c>
      <c r="V97" s="400">
        <v>7.3609999999999998</v>
      </c>
      <c r="W97" s="570">
        <v>0.86</v>
      </c>
      <c r="X97" s="570">
        <v>1.0980000000000001</v>
      </c>
      <c r="Y97" s="570">
        <v>0.85499999999999998</v>
      </c>
      <c r="Z97" s="570">
        <v>0.83599999999999997</v>
      </c>
      <c r="AA97" s="400">
        <f>SUM(W97:Z97)</f>
        <v>3.649</v>
      </c>
      <c r="AB97" s="570">
        <v>0.746</v>
      </c>
      <c r="AC97" s="570">
        <v>0.67</v>
      </c>
      <c r="AD97" s="570">
        <v>0.68799999999999994</v>
      </c>
      <c r="AE97" s="570">
        <v>0.34</v>
      </c>
      <c r="AF97" s="246">
        <f>AE97+AD97+AC97+AB97</f>
        <v>2.444</v>
      </c>
      <c r="AG97" s="519"/>
      <c r="AH97" s="519"/>
      <c r="AI97" s="519"/>
      <c r="AJ97" s="519"/>
      <c r="AK97" s="400"/>
      <c r="AL97" s="519"/>
      <c r="AM97" s="519"/>
      <c r="AN97" s="519"/>
      <c r="AO97" s="519"/>
      <c r="AP97" s="400"/>
      <c r="AQ97" s="519"/>
      <c r="AR97" s="519"/>
      <c r="AS97" s="519"/>
      <c r="AT97" s="519"/>
      <c r="AU97" s="400"/>
      <c r="AV97" s="519"/>
      <c r="AW97" s="519"/>
      <c r="AX97" s="519"/>
      <c r="AY97" s="519"/>
      <c r="AZ97" s="400"/>
      <c r="BA97" s="519"/>
      <c r="BB97" s="519"/>
      <c r="BC97" s="519"/>
      <c r="BD97" s="519"/>
      <c r="BE97" s="400"/>
      <c r="BF97" s="519"/>
      <c r="BG97" s="519"/>
      <c r="BH97" s="519"/>
      <c r="BI97" s="519"/>
      <c r="BJ97" s="400"/>
      <c r="BK97" s="519"/>
      <c r="BL97" s="519"/>
      <c r="BM97" s="519"/>
      <c r="BN97" s="519"/>
      <c r="BO97" s="400"/>
      <c r="BP97" s="519"/>
      <c r="BQ97" s="519"/>
      <c r="BR97" s="519"/>
      <c r="BS97" s="519"/>
      <c r="BT97" s="400"/>
      <c r="BU97" s="519"/>
      <c r="BV97" s="519"/>
      <c r="BW97" s="519"/>
      <c r="BX97" s="519"/>
      <c r="BY97" s="400"/>
      <c r="BZ97" s="519"/>
      <c r="CA97" s="519"/>
      <c r="CB97" s="519"/>
      <c r="CC97" s="519"/>
      <c r="CD97" s="400"/>
      <c r="CE97" s="519"/>
      <c r="CF97" s="519"/>
      <c r="CG97" s="519"/>
      <c r="CH97" s="519"/>
      <c r="CI97" s="400"/>
      <c r="CJ97" s="519"/>
      <c r="CK97" s="519"/>
      <c r="CL97" s="519"/>
      <c r="CM97" s="519"/>
      <c r="CN97" s="400"/>
      <c r="CO97" s="519"/>
      <c r="CP97" s="519"/>
      <c r="CQ97" s="519"/>
      <c r="CR97" s="519"/>
      <c r="CS97" s="400"/>
      <c r="CT97" s="133"/>
    </row>
    <row r="98" spans="2:108">
      <c r="B98" s="14" t="s">
        <v>190</v>
      </c>
      <c r="C98" s="114"/>
      <c r="D98" s="114"/>
      <c r="E98" s="114"/>
      <c r="F98" s="115"/>
      <c r="G98" s="12"/>
      <c r="H98" s="519">
        <f t="shared" ref="H98:AJ98" si="114">H96+H97</f>
        <v>42.742999999999995</v>
      </c>
      <c r="I98" s="519">
        <f t="shared" si="114"/>
        <v>37.930999999999997</v>
      </c>
      <c r="J98" s="519">
        <f t="shared" si="114"/>
        <v>27.338999999999999</v>
      </c>
      <c r="K98" s="575">
        <f t="shared" si="114"/>
        <v>22.264000000000003</v>
      </c>
      <c r="L98" s="246">
        <f t="shared" si="114"/>
        <v>130.27699999999999</v>
      </c>
      <c r="M98" s="519">
        <f t="shared" si="114"/>
        <v>15.475999999999999</v>
      </c>
      <c r="N98" s="519">
        <f t="shared" si="114"/>
        <v>17.299999999999997</v>
      </c>
      <c r="O98" s="519">
        <f t="shared" si="114"/>
        <v>14.184000000000001</v>
      </c>
      <c r="P98" s="575">
        <f t="shared" si="114"/>
        <v>14.026999999999999</v>
      </c>
      <c r="Q98" s="246">
        <f t="shared" si="114"/>
        <v>60.986999999999995</v>
      </c>
      <c r="R98" s="519">
        <f t="shared" si="114"/>
        <v>12.307</v>
      </c>
      <c r="S98" s="519">
        <f t="shared" si="114"/>
        <v>16.86</v>
      </c>
      <c r="T98" s="519">
        <f t="shared" si="114"/>
        <v>31.959999999999997</v>
      </c>
      <c r="U98" s="519">
        <f t="shared" si="114"/>
        <v>63.384999999999998</v>
      </c>
      <c r="V98" s="400">
        <f t="shared" si="114"/>
        <v>124.512</v>
      </c>
      <c r="W98" s="519">
        <f t="shared" si="114"/>
        <v>50.649000000000001</v>
      </c>
      <c r="X98" s="519">
        <f>X96+X97</f>
        <v>45.252000000000002</v>
      </c>
      <c r="Y98" s="519">
        <f>Y96+Y97</f>
        <v>54.076999999999998</v>
      </c>
      <c r="Z98" s="519">
        <f t="shared" si="114"/>
        <v>60.481999999999999</v>
      </c>
      <c r="AA98" s="400">
        <f>AA96+AA97</f>
        <v>210.46000000000004</v>
      </c>
      <c r="AB98" s="519">
        <f t="shared" si="114"/>
        <v>46.988</v>
      </c>
      <c r="AC98" s="519">
        <f t="shared" si="114"/>
        <v>71.204999999999998</v>
      </c>
      <c r="AD98" s="519">
        <f t="shared" si="114"/>
        <v>72.874000000000009</v>
      </c>
      <c r="AE98" s="519">
        <f t="shared" si="114"/>
        <v>84.052000000000007</v>
      </c>
      <c r="AF98" s="246">
        <f>AE98+AD98+AC98+AB98</f>
        <v>275.11900000000003</v>
      </c>
      <c r="AG98" s="519">
        <f t="shared" si="114"/>
        <v>72.321663479266746</v>
      </c>
      <c r="AH98" s="519">
        <f t="shared" si="114"/>
        <v>77.745788240211766</v>
      </c>
      <c r="AI98" s="519">
        <f t="shared" si="114"/>
        <v>83.772593530150658</v>
      </c>
      <c r="AJ98" s="519">
        <f t="shared" si="114"/>
        <v>87.109596176793346</v>
      </c>
      <c r="AK98" s="400">
        <f>AK96+AK97</f>
        <v>320.94964142642255</v>
      </c>
      <c r="AL98" s="519"/>
      <c r="AM98" s="519"/>
      <c r="AN98" s="519"/>
      <c r="AO98" s="519"/>
      <c r="AP98" s="400">
        <f>AP96+AP97</f>
        <v>354.0985363199411</v>
      </c>
      <c r="AQ98" s="519"/>
      <c r="AR98" s="519"/>
      <c r="AS98" s="519"/>
      <c r="AT98" s="519"/>
      <c r="AU98" s="400">
        <f>AU96+AU97</f>
        <v>466.4480145259177</v>
      </c>
      <c r="AV98" s="519"/>
      <c r="AW98" s="519"/>
      <c r="AX98" s="519"/>
      <c r="AY98" s="519"/>
      <c r="AZ98" s="400">
        <f>AZ96+AZ97</f>
        <v>585.35893577750608</v>
      </c>
      <c r="BA98" s="519"/>
      <c r="BB98" s="519"/>
      <c r="BC98" s="519"/>
      <c r="BD98" s="519"/>
      <c r="BE98" s="400">
        <f>BE96+BE97</f>
        <v>652.17575678503817</v>
      </c>
      <c r="BF98" s="519"/>
      <c r="BG98" s="519"/>
      <c r="BH98" s="519"/>
      <c r="BI98" s="519"/>
      <c r="BJ98" s="400">
        <f>BJ96+BJ97</f>
        <v>665.53142023511953</v>
      </c>
      <c r="BK98" s="519"/>
      <c r="BL98" s="519"/>
      <c r="BM98" s="519"/>
      <c r="BN98" s="519"/>
      <c r="BO98" s="400">
        <f>BO96+BO97</f>
        <v>650.93667649661961</v>
      </c>
      <c r="BP98" s="519"/>
      <c r="BQ98" s="519"/>
      <c r="BR98" s="519"/>
      <c r="BS98" s="519"/>
      <c r="BT98" s="400">
        <f>BT96+BT97</f>
        <v>628.91172145390919</v>
      </c>
      <c r="BU98" s="519"/>
      <c r="BV98" s="519"/>
      <c r="BW98" s="519"/>
      <c r="BX98" s="519"/>
      <c r="BY98" s="400">
        <f>BY96+BY97</f>
        <v>726.81424454947637</v>
      </c>
      <c r="BZ98" s="519"/>
      <c r="CA98" s="519"/>
      <c r="CB98" s="519"/>
      <c r="CC98" s="519"/>
      <c r="CD98" s="400">
        <f>CD96+CD97</f>
        <v>740.28339872792264</v>
      </c>
      <c r="CE98" s="519"/>
      <c r="CF98" s="519"/>
      <c r="CG98" s="519"/>
      <c r="CH98" s="519"/>
      <c r="CI98" s="400">
        <f>CI96+CI97</f>
        <v>721.3507733188269</v>
      </c>
      <c r="CJ98" s="519"/>
      <c r="CK98" s="519"/>
      <c r="CL98" s="519"/>
      <c r="CM98" s="519"/>
      <c r="CN98" s="400">
        <f>CN96+CN97</f>
        <v>723.58172905097672</v>
      </c>
      <c r="CO98" s="519"/>
      <c r="CP98" s="519"/>
      <c r="CQ98" s="519"/>
      <c r="CR98" s="519"/>
      <c r="CS98" s="400">
        <f>CS96+CS97</f>
        <v>723.42132064424788</v>
      </c>
      <c r="CT98" s="133"/>
    </row>
    <row r="99" spans="2:108" s="27" customFormat="1">
      <c r="B99" s="26" t="s">
        <v>521</v>
      </c>
      <c r="C99" s="641"/>
      <c r="H99" s="642"/>
      <c r="I99" s="642"/>
      <c r="J99" s="642"/>
      <c r="K99" s="642"/>
      <c r="L99" s="643"/>
      <c r="M99" s="642"/>
      <c r="N99" s="644"/>
      <c r="O99" s="642"/>
      <c r="P99" s="642"/>
      <c r="R99" s="644"/>
      <c r="S99" s="644"/>
      <c r="T99" s="644"/>
      <c r="U99" s="644"/>
      <c r="V99" s="645">
        <f>V98/V83</f>
        <v>0.12447167117853816</v>
      </c>
      <c r="W99" s="646">
        <f t="shared" ref="W99:AU99" si="115">W98/W83</f>
        <v>0.12841712938312921</v>
      </c>
      <c r="X99" s="646">
        <f t="shared" si="115"/>
        <v>0.10631244846129811</v>
      </c>
      <c r="Y99" s="646">
        <f t="shared" si="115"/>
        <v>0.13199524517377814</v>
      </c>
      <c r="Z99" s="646">
        <f t="shared" si="115"/>
        <v>0.13325489885036201</v>
      </c>
      <c r="AA99" s="645">
        <f t="shared" si="115"/>
        <v>0.12500356372413926</v>
      </c>
      <c r="AB99" s="646">
        <f t="shared" si="115"/>
        <v>9.7764979547336567E-2</v>
      </c>
      <c r="AC99" s="646">
        <f t="shared" si="115"/>
        <v>0.13853436266994559</v>
      </c>
      <c r="AD99" s="646">
        <f t="shared" si="115"/>
        <v>0.13258448226300029</v>
      </c>
      <c r="AE99" s="646">
        <f t="shared" si="115"/>
        <v>0.13529976111830119</v>
      </c>
      <c r="AF99" s="645">
        <f t="shared" si="115"/>
        <v>0.12704758298391117</v>
      </c>
      <c r="AG99" s="646">
        <f t="shared" si="115"/>
        <v>0.12053610579877791</v>
      </c>
      <c r="AH99" s="646">
        <f t="shared" si="115"/>
        <v>0.12053610579877794</v>
      </c>
      <c r="AI99" s="646">
        <f t="shared" si="115"/>
        <v>0.12053610579877792</v>
      </c>
      <c r="AJ99" s="646">
        <f t="shared" si="115"/>
        <v>0.1205361057987779</v>
      </c>
      <c r="AK99" s="645">
        <f t="shared" si="115"/>
        <v>0.12053610579877792</v>
      </c>
      <c r="AL99" s="645" t="e">
        <f t="shared" si="115"/>
        <v>#DIV/0!</v>
      </c>
      <c r="AM99" s="645" t="e">
        <f t="shared" si="115"/>
        <v>#DIV/0!</v>
      </c>
      <c r="AN99" s="645" t="e">
        <f t="shared" si="115"/>
        <v>#DIV/0!</v>
      </c>
      <c r="AO99" s="645" t="e">
        <f t="shared" si="115"/>
        <v>#DIV/0!</v>
      </c>
      <c r="AP99" s="645">
        <f t="shared" si="115"/>
        <v>0.12086143942365556</v>
      </c>
      <c r="AQ99" s="645" t="e">
        <f t="shared" si="115"/>
        <v>#DIV/0!</v>
      </c>
      <c r="AR99" s="645" t="e">
        <f t="shared" si="115"/>
        <v>#DIV/0!</v>
      </c>
      <c r="AS99" s="645" t="e">
        <f t="shared" si="115"/>
        <v>#DIV/0!</v>
      </c>
      <c r="AT99" s="645" t="e">
        <f t="shared" si="115"/>
        <v>#DIV/0!</v>
      </c>
      <c r="AU99" s="645">
        <f t="shared" si="115"/>
        <v>0.11566227254681324</v>
      </c>
      <c r="AV99" s="645" t="e">
        <f t="shared" ref="AV99:AZ99" si="116">AV98/AV83</f>
        <v>#DIV/0!</v>
      </c>
      <c r="AW99" s="645" t="e">
        <f t="shared" si="116"/>
        <v>#DIV/0!</v>
      </c>
      <c r="AX99" s="645" t="e">
        <f t="shared" si="116"/>
        <v>#DIV/0!</v>
      </c>
      <c r="AY99" s="645" t="e">
        <f t="shared" si="116"/>
        <v>#DIV/0!</v>
      </c>
      <c r="AZ99" s="645">
        <f t="shared" si="116"/>
        <v>0.10937088205594354</v>
      </c>
      <c r="BA99" s="645" t="e">
        <f t="shared" ref="BA99:BE99" si="117">BA98/BA83</f>
        <v>#DIV/0!</v>
      </c>
      <c r="BB99" s="645" t="e">
        <f t="shared" si="117"/>
        <v>#DIV/0!</v>
      </c>
      <c r="BC99" s="645" t="e">
        <f t="shared" si="117"/>
        <v>#DIV/0!</v>
      </c>
      <c r="BD99" s="645" t="e">
        <f t="shared" si="117"/>
        <v>#DIV/0!</v>
      </c>
      <c r="BE99" s="645">
        <f t="shared" si="117"/>
        <v>0.10552781526381799</v>
      </c>
      <c r="BF99" s="645" t="e">
        <f t="shared" ref="BF99:BJ99" si="118">BF98/BF83</f>
        <v>#DIV/0!</v>
      </c>
      <c r="BG99" s="645" t="e">
        <f t="shared" si="118"/>
        <v>#DIV/0!</v>
      </c>
      <c r="BH99" s="645" t="e">
        <f t="shared" si="118"/>
        <v>#DIV/0!</v>
      </c>
      <c r="BI99" s="645" t="e">
        <f t="shared" si="118"/>
        <v>#DIV/0!</v>
      </c>
      <c r="BJ99" s="645">
        <f t="shared" si="118"/>
        <v>0.10161544418475074</v>
      </c>
      <c r="BK99" s="645" t="e">
        <f t="shared" ref="BK99:BO99" si="119">BK98/BK83</f>
        <v>#DIV/0!</v>
      </c>
      <c r="BL99" s="645" t="e">
        <f t="shared" si="119"/>
        <v>#DIV/0!</v>
      </c>
      <c r="BM99" s="645" t="e">
        <f t="shared" si="119"/>
        <v>#DIV/0!</v>
      </c>
      <c r="BN99" s="645" t="e">
        <f t="shared" si="119"/>
        <v>#DIV/0!</v>
      </c>
      <c r="BO99" s="645">
        <f t="shared" si="119"/>
        <v>9.7051817530657947E-2</v>
      </c>
      <c r="BP99" s="645" t="e">
        <f t="shared" ref="BP99:BT99" si="120">BP98/BP83</f>
        <v>#DIV/0!</v>
      </c>
      <c r="BQ99" s="645" t="e">
        <f t="shared" si="120"/>
        <v>#DIV/0!</v>
      </c>
      <c r="BR99" s="645" t="e">
        <f t="shared" si="120"/>
        <v>#DIV/0!</v>
      </c>
      <c r="BS99" s="645" t="e">
        <f t="shared" si="120"/>
        <v>#DIV/0!</v>
      </c>
      <c r="BT99" s="645">
        <f t="shared" si="120"/>
        <v>9.3090562944866589E-2</v>
      </c>
      <c r="BU99" s="645" t="e">
        <f t="shared" ref="BU99:BY99" si="121">BU98/BU83</f>
        <v>#DIV/0!</v>
      </c>
      <c r="BV99" s="645" t="e">
        <f t="shared" si="121"/>
        <v>#DIV/0!</v>
      </c>
      <c r="BW99" s="645" t="e">
        <f t="shared" si="121"/>
        <v>#DIV/0!</v>
      </c>
      <c r="BX99" s="645" t="e">
        <f t="shared" si="121"/>
        <v>#DIV/0!</v>
      </c>
      <c r="BY99" s="645">
        <f t="shared" si="121"/>
        <v>8.9843662889508666E-2</v>
      </c>
      <c r="BZ99" s="645" t="e">
        <f t="shared" ref="BZ99:CD99" si="122">BZ98/BZ83</f>
        <v>#DIV/0!</v>
      </c>
      <c r="CA99" s="645" t="e">
        <f t="shared" si="122"/>
        <v>#DIV/0!</v>
      </c>
      <c r="CB99" s="645" t="e">
        <f t="shared" si="122"/>
        <v>#DIV/0!</v>
      </c>
      <c r="CC99" s="645" t="e">
        <f t="shared" si="122"/>
        <v>#DIV/0!</v>
      </c>
      <c r="CD99" s="645">
        <f t="shared" si="122"/>
        <v>9.0095793414705361E-2</v>
      </c>
      <c r="CE99" s="645" t="e">
        <f t="shared" ref="CE99:CI99" si="123">CE98/CE83</f>
        <v>#DIV/0!</v>
      </c>
      <c r="CF99" s="645" t="e">
        <f t="shared" si="123"/>
        <v>#DIV/0!</v>
      </c>
      <c r="CG99" s="645" t="e">
        <f t="shared" si="123"/>
        <v>#DIV/0!</v>
      </c>
      <c r="CH99" s="645" t="e">
        <f t="shared" si="123"/>
        <v>#DIV/0!</v>
      </c>
      <c r="CI99" s="645">
        <f t="shared" si="123"/>
        <v>8.9772470898654866E-2</v>
      </c>
      <c r="CJ99" s="645" t="e">
        <f t="shared" ref="CJ99:CN99" si="124">CJ98/CJ83</f>
        <v>#DIV/0!</v>
      </c>
      <c r="CK99" s="645" t="e">
        <f t="shared" si="124"/>
        <v>#DIV/0!</v>
      </c>
      <c r="CL99" s="645" t="e">
        <f t="shared" si="124"/>
        <v>#DIV/0!</v>
      </c>
      <c r="CM99" s="645" t="e">
        <f t="shared" si="124"/>
        <v>#DIV/0!</v>
      </c>
      <c r="CN99" s="645">
        <f t="shared" si="124"/>
        <v>8.993870575680285E-2</v>
      </c>
      <c r="CO99" s="645" t="e">
        <f t="shared" ref="CO99:CS99" si="125">CO98/CO83</f>
        <v>#DIV/0!</v>
      </c>
      <c r="CP99" s="645" t="e">
        <f t="shared" si="125"/>
        <v>#DIV/0!</v>
      </c>
      <c r="CQ99" s="645" t="e">
        <f t="shared" si="125"/>
        <v>#DIV/0!</v>
      </c>
      <c r="CR99" s="645" t="e">
        <f t="shared" si="125"/>
        <v>#DIV/0!</v>
      </c>
      <c r="CS99" s="645">
        <f t="shared" si="125"/>
        <v>8.9996267694567131E-2</v>
      </c>
      <c r="CT99" s="133"/>
      <c r="CY99"/>
      <c r="CZ99"/>
      <c r="DA99"/>
      <c r="DB99"/>
      <c r="DC99"/>
      <c r="DD99"/>
    </row>
    <row r="100" spans="2:108">
      <c r="C100" s="1"/>
      <c r="H100" s="533"/>
      <c r="I100" s="533"/>
      <c r="J100" s="533"/>
      <c r="K100" s="533"/>
      <c r="L100" s="245"/>
      <c r="M100" s="533"/>
      <c r="N100" s="520"/>
      <c r="O100" s="533"/>
      <c r="P100" s="533"/>
      <c r="R100" s="520"/>
      <c r="S100" s="520"/>
      <c r="T100" s="520"/>
      <c r="U100" s="520"/>
      <c r="V100" s="397"/>
      <c r="W100" s="632"/>
      <c r="X100" s="632"/>
      <c r="Y100" s="632"/>
      <c r="Z100" s="520"/>
      <c r="AA100" s="61"/>
      <c r="AB100" s="520"/>
      <c r="AC100" s="520"/>
      <c r="AD100" s="520"/>
      <c r="AE100" s="520"/>
      <c r="AF100" s="61"/>
      <c r="AG100" s="520"/>
      <c r="AH100" s="520"/>
      <c r="AI100" s="520"/>
      <c r="AJ100" s="520"/>
      <c r="AK100" s="61"/>
      <c r="AL100" s="520"/>
      <c r="AM100" s="520"/>
      <c r="AN100" s="520"/>
      <c r="AO100" s="520"/>
      <c r="AP100" s="61"/>
      <c r="AQ100" s="520"/>
      <c r="AR100" s="520"/>
      <c r="AS100" s="520"/>
      <c r="AT100" s="520"/>
      <c r="AU100" s="61"/>
      <c r="AV100" s="520"/>
      <c r="AW100" s="520"/>
      <c r="AX100" s="520"/>
      <c r="AY100" s="520"/>
      <c r="AZ100" s="61"/>
      <c r="BA100" s="520"/>
      <c r="BB100" s="520"/>
      <c r="BC100" s="520"/>
      <c r="BD100" s="520"/>
      <c r="BE100" s="61"/>
      <c r="BF100" s="520"/>
      <c r="BG100" s="520"/>
      <c r="BH100" s="520"/>
      <c r="BI100" s="520"/>
      <c r="BJ100" s="61"/>
      <c r="BK100" s="520"/>
      <c r="BL100" s="520"/>
      <c r="BM100" s="520"/>
      <c r="BN100" s="520"/>
      <c r="BO100" s="61"/>
      <c r="BP100" s="520"/>
      <c r="BQ100" s="520"/>
      <c r="BR100" s="520"/>
      <c r="BS100" s="520"/>
      <c r="BT100" s="61"/>
      <c r="BU100" s="520"/>
      <c r="BV100" s="520"/>
      <c r="BW100" s="520"/>
      <c r="BX100" s="520"/>
      <c r="BY100" s="61"/>
      <c r="BZ100" s="520"/>
      <c r="CA100" s="520"/>
      <c r="CB100" s="520"/>
      <c r="CC100" s="520"/>
      <c r="CD100" s="61"/>
      <c r="CE100" s="520"/>
      <c r="CF100" s="520"/>
      <c r="CG100" s="520"/>
      <c r="CH100" s="520"/>
      <c r="CI100" s="61"/>
      <c r="CJ100" s="520"/>
      <c r="CK100" s="520"/>
      <c r="CL100" s="520"/>
      <c r="CM100" s="520"/>
      <c r="CN100" s="61"/>
      <c r="CO100" s="520"/>
      <c r="CP100" s="520"/>
      <c r="CQ100" s="520"/>
      <c r="CR100" s="520"/>
      <c r="CS100" s="61"/>
      <c r="CT100" s="133"/>
    </row>
    <row r="101" spans="2:108">
      <c r="B101" s="14" t="s">
        <v>45</v>
      </c>
      <c r="C101" s="9"/>
      <c r="D101" s="9"/>
      <c r="E101" s="9"/>
      <c r="F101" s="10"/>
      <c r="G101" s="12"/>
      <c r="H101" s="522">
        <v>218.095</v>
      </c>
      <c r="I101" s="522">
        <v>222.45500000000001</v>
      </c>
      <c r="J101" s="522">
        <v>219.44200000000001</v>
      </c>
      <c r="K101" s="576">
        <v>238.46100000000001</v>
      </c>
      <c r="L101" s="246">
        <v>882.09699999999998</v>
      </c>
      <c r="M101" s="522">
        <v>238.96299999999999</v>
      </c>
      <c r="N101" s="522">
        <v>224.78</v>
      </c>
      <c r="O101" s="522">
        <v>190.93899999999999</v>
      </c>
      <c r="P101" s="576">
        <v>201.46299999999999</v>
      </c>
      <c r="Q101" s="246">
        <f t="shared" ref="Q101" si="126">SUM(M101:P101)</f>
        <v>856.14499999999998</v>
      </c>
      <c r="R101" s="522">
        <v>215.59899999999999</v>
      </c>
      <c r="S101" s="522">
        <v>223.858</v>
      </c>
      <c r="T101" s="570">
        <v>246.28399999999999</v>
      </c>
      <c r="U101" s="570">
        <f>V101-SUM(R101:T101)</f>
        <v>310.18100000000004</v>
      </c>
      <c r="V101" s="246">
        <v>995.92200000000003</v>
      </c>
      <c r="W101" s="570">
        <v>255.86</v>
      </c>
      <c r="X101" s="570">
        <v>271.00799999999998</v>
      </c>
      <c r="Y101" s="570">
        <v>272.37</v>
      </c>
      <c r="Z101" s="570">
        <v>248.452</v>
      </c>
      <c r="AA101" s="246">
        <f>AA27-AA64</f>
        <v>1047.69</v>
      </c>
      <c r="AB101" s="519">
        <v>273.56299999999999</v>
      </c>
      <c r="AC101" s="519">
        <v>289.45100000000002</v>
      </c>
      <c r="AD101" s="519">
        <v>454.947</v>
      </c>
      <c r="AE101" s="519">
        <v>306.66399999999999</v>
      </c>
      <c r="AF101" s="246">
        <f>AE101+AD101+AC101+AB101</f>
        <v>1324.625</v>
      </c>
      <c r="AG101" s="519">
        <f>AG27-AG64</f>
        <v>318.61630943328123</v>
      </c>
      <c r="AH101" s="519">
        <f t="shared" ref="AH101:AJ101" si="127">AH27-AH64</f>
        <v>318.61630943328123</v>
      </c>
      <c r="AI101" s="519">
        <f t="shared" si="127"/>
        <v>318.61630943328123</v>
      </c>
      <c r="AJ101" s="519">
        <f t="shared" si="127"/>
        <v>318.61630943328123</v>
      </c>
      <c r="AK101" s="246">
        <f>AK27-AK64</f>
        <v>1274.4652377331249</v>
      </c>
      <c r="AL101" s="519"/>
      <c r="AM101" s="519"/>
      <c r="AN101" s="519"/>
      <c r="AO101" s="519"/>
      <c r="AP101" s="246">
        <f>AP27-AP64</f>
        <v>1352.1278043744437</v>
      </c>
      <c r="AQ101" s="519"/>
      <c r="AR101" s="519"/>
      <c r="AS101" s="519"/>
      <c r="AT101" s="519"/>
      <c r="AU101" s="246">
        <f>AU27-AU64</f>
        <v>1411.484194593166</v>
      </c>
      <c r="AV101" s="519"/>
      <c r="AW101" s="519"/>
      <c r="AX101" s="519"/>
      <c r="AY101" s="519"/>
      <c r="AZ101" s="246">
        <f>AZ27-AZ64</f>
        <v>1448.878720430961</v>
      </c>
      <c r="BA101" s="519"/>
      <c r="BB101" s="519"/>
      <c r="BC101" s="519"/>
      <c r="BD101" s="519"/>
      <c r="BE101" s="246">
        <f>BE27-BE64</f>
        <v>1448.878720430961</v>
      </c>
      <c r="BF101" s="519"/>
      <c r="BG101" s="519"/>
      <c r="BH101" s="519"/>
      <c r="BI101" s="519"/>
      <c r="BJ101" s="246">
        <f>BJ27-BJ64</f>
        <v>1410.3623588180321</v>
      </c>
      <c r="BK101" s="519"/>
      <c r="BL101" s="519"/>
      <c r="BM101" s="519"/>
      <c r="BN101" s="519"/>
      <c r="BO101" s="246">
        <f>BO27-BO64</f>
        <v>1348.0942408771305</v>
      </c>
      <c r="BP101" s="519"/>
      <c r="BQ101" s="519"/>
      <c r="BR101" s="519"/>
      <c r="BS101" s="519"/>
      <c r="BT101" s="246">
        <f>BT27-BT64</f>
        <v>1265.2776440157313</v>
      </c>
      <c r="BU101" s="519"/>
      <c r="BV101" s="519"/>
      <c r="BW101" s="519"/>
      <c r="BX101" s="519"/>
      <c r="BY101" s="246">
        <f>BY27-BY64</f>
        <v>1188.2582089346301</v>
      </c>
      <c r="BZ101" s="519"/>
      <c r="CA101" s="519"/>
      <c r="CB101" s="519"/>
      <c r="CC101" s="519"/>
      <c r="CD101" s="246">
        <f>CD27-CD64</f>
        <v>1116.6301343092059</v>
      </c>
      <c r="CE101" s="519"/>
      <c r="CF101" s="519"/>
      <c r="CG101" s="519"/>
      <c r="CH101" s="519"/>
      <c r="CI101" s="246">
        <f>CI27-CI64</f>
        <v>1050.0160249075616</v>
      </c>
      <c r="CJ101" s="519"/>
      <c r="CK101" s="519"/>
      <c r="CL101" s="519"/>
      <c r="CM101" s="519"/>
      <c r="CN101" s="246">
        <f>CN27-CN64</f>
        <v>988.0649031640321</v>
      </c>
      <c r="CO101" s="519"/>
      <c r="CP101" s="519"/>
      <c r="CQ101" s="519"/>
      <c r="CR101" s="519"/>
      <c r="CS101" s="246">
        <f>CS27-CS64</f>
        <v>918.10438639508936</v>
      </c>
      <c r="CT101" s="133"/>
    </row>
    <row r="102" spans="2:108">
      <c r="B102" s="14" t="s">
        <v>46</v>
      </c>
      <c r="C102" s="9"/>
      <c r="D102" s="9"/>
      <c r="E102" s="9"/>
      <c r="F102" s="10"/>
      <c r="G102" s="12"/>
      <c r="H102" s="522">
        <v>92.879000000000005</v>
      </c>
      <c r="I102" s="522">
        <v>106.521</v>
      </c>
      <c r="J102" s="522">
        <v>86.427000000000007</v>
      </c>
      <c r="K102" s="576">
        <v>73.055000000000007</v>
      </c>
      <c r="L102" s="246">
        <v>356.18799999999999</v>
      </c>
      <c r="M102" s="522">
        <v>74.212000000000003</v>
      </c>
      <c r="N102" s="522">
        <v>77.445999999999998</v>
      </c>
      <c r="O102" s="522">
        <v>75.224000000000004</v>
      </c>
      <c r="P102" s="576">
        <v>78.527000000000001</v>
      </c>
      <c r="Q102" s="246">
        <f t="shared" ref="Q102" si="128">SUM(M102:P102)</f>
        <v>305.40899999999999</v>
      </c>
      <c r="R102" s="522">
        <v>85.86</v>
      </c>
      <c r="S102" s="522">
        <v>94.394000000000005</v>
      </c>
      <c r="T102" s="570">
        <v>99.772000000000006</v>
      </c>
      <c r="U102" s="570">
        <f>V102-SUM(R102:T102)</f>
        <v>96.548999999999978</v>
      </c>
      <c r="V102" s="246">
        <v>376.57499999999999</v>
      </c>
      <c r="W102" s="570">
        <f>216.866-X102</f>
        <v>105.21400000000001</v>
      </c>
      <c r="X102" s="570">
        <v>111.652</v>
      </c>
      <c r="Y102" s="570">
        <v>106.05500000000001</v>
      </c>
      <c r="Z102" s="570">
        <v>109.908</v>
      </c>
      <c r="AA102" s="246">
        <f>AA31-AA69</f>
        <v>432.82900000000006</v>
      </c>
      <c r="AB102" s="519">
        <v>113.32599999999999</v>
      </c>
      <c r="AC102" s="519">
        <v>127.249</v>
      </c>
      <c r="AD102" s="519">
        <v>120.71</v>
      </c>
      <c r="AE102" s="519">
        <v>134.79400000000001</v>
      </c>
      <c r="AF102" s="246">
        <f>AE102+AD102+AC102+AB102</f>
        <v>496.07900000000006</v>
      </c>
      <c r="AG102" s="519">
        <f>AG31-AG69</f>
        <v>121.22552115200003</v>
      </c>
      <c r="AH102" s="519">
        <f t="shared" ref="AH102:AJ102" si="129">AH31-AH69</f>
        <v>121.22552115200003</v>
      </c>
      <c r="AI102" s="519">
        <f t="shared" si="129"/>
        <v>121.22552115200003</v>
      </c>
      <c r="AJ102" s="519">
        <f t="shared" si="129"/>
        <v>121.22552115200006</v>
      </c>
      <c r="AK102" s="246">
        <f>AK31-AK69</f>
        <v>484.90208460800011</v>
      </c>
      <c r="AL102" s="519"/>
      <c r="AM102" s="519"/>
      <c r="AN102" s="519"/>
      <c r="AO102" s="519"/>
      <c r="AP102" s="246">
        <f>AP31-AP69</f>
        <v>505.14718883840015</v>
      </c>
      <c r="AQ102" s="519"/>
      <c r="AR102" s="519"/>
      <c r="AS102" s="519"/>
      <c r="AT102" s="519"/>
      <c r="AU102" s="246">
        <f>AU31-AU69</f>
        <v>526.40454828032011</v>
      </c>
      <c r="AV102" s="519"/>
      <c r="AW102" s="519"/>
      <c r="AX102" s="519"/>
      <c r="AY102" s="519"/>
      <c r="AZ102" s="246">
        <f>AZ31-AZ69</f>
        <v>548.72477569433613</v>
      </c>
      <c r="BA102" s="519"/>
      <c r="BB102" s="519"/>
      <c r="BC102" s="519"/>
      <c r="BD102" s="519"/>
      <c r="BE102" s="246">
        <f>BE31-BE69</f>
        <v>572.16101447905294</v>
      </c>
      <c r="BF102" s="519"/>
      <c r="BG102" s="519"/>
      <c r="BH102" s="519"/>
      <c r="BI102" s="519"/>
      <c r="BJ102" s="246">
        <f>BJ31-BJ69</f>
        <v>596.76906520300565</v>
      </c>
      <c r="BK102" s="519"/>
      <c r="BL102" s="519"/>
      <c r="BM102" s="519"/>
      <c r="BN102" s="519"/>
      <c r="BO102" s="246">
        <f>BO31-BO69</f>
        <v>607.10444650706575</v>
      </c>
      <c r="BP102" s="519"/>
      <c r="BQ102" s="519"/>
      <c r="BR102" s="519"/>
      <c r="BS102" s="519"/>
      <c r="BT102" s="246">
        <f>BT31-BT69</f>
        <v>617.64653543720704</v>
      </c>
      <c r="BU102" s="519"/>
      <c r="BV102" s="519"/>
      <c r="BW102" s="519"/>
      <c r="BX102" s="519"/>
      <c r="BY102" s="246">
        <f>BY31-BY69</f>
        <v>617.64653543720704</v>
      </c>
      <c r="BZ102" s="519"/>
      <c r="CA102" s="519"/>
      <c r="CB102" s="519"/>
      <c r="CC102" s="519"/>
      <c r="CD102" s="246">
        <f>CD31-CD69</f>
        <v>617.64653543720704</v>
      </c>
      <c r="CE102" s="519"/>
      <c r="CF102" s="519"/>
      <c r="CG102" s="519"/>
      <c r="CH102" s="519"/>
      <c r="CI102" s="246">
        <f>CI31-CI69</f>
        <v>617.64653543720704</v>
      </c>
      <c r="CJ102" s="519"/>
      <c r="CK102" s="519"/>
      <c r="CL102" s="519"/>
      <c r="CM102" s="519"/>
      <c r="CN102" s="246">
        <f>CN31-CN69</f>
        <v>617.64653543720704</v>
      </c>
      <c r="CO102" s="519"/>
      <c r="CP102" s="519"/>
      <c r="CQ102" s="519"/>
      <c r="CR102" s="519"/>
      <c r="CS102" s="246">
        <f>CS31-CS69</f>
        <v>617.64653543720704</v>
      </c>
      <c r="CT102" s="133"/>
    </row>
    <row r="103" spans="2:108">
      <c r="C103" s="9"/>
      <c r="D103" s="9"/>
      <c r="E103" s="9"/>
      <c r="F103" s="10"/>
      <c r="G103" s="12"/>
      <c r="H103" s="522"/>
      <c r="I103" s="522"/>
      <c r="J103" s="522"/>
      <c r="K103" s="576"/>
      <c r="L103" s="246"/>
      <c r="M103" s="522"/>
      <c r="N103" s="522"/>
      <c r="O103" s="522"/>
      <c r="P103" s="576"/>
      <c r="Q103" s="246"/>
      <c r="R103" s="522"/>
      <c r="S103" s="522"/>
      <c r="T103" s="519"/>
      <c r="U103" s="519"/>
      <c r="V103" s="246"/>
      <c r="W103" s="519"/>
      <c r="X103" s="519"/>
      <c r="Y103" s="570"/>
      <c r="Z103" s="519"/>
      <c r="AA103" s="246"/>
      <c r="AB103" s="519"/>
      <c r="AC103" s="519"/>
      <c r="AD103" s="519"/>
      <c r="AE103" s="519"/>
      <c r="AF103" s="246"/>
      <c r="AG103" s="519"/>
      <c r="AH103" s="519"/>
      <c r="AI103" s="519"/>
      <c r="AJ103" s="519"/>
      <c r="AK103" s="246"/>
      <c r="AL103" s="519"/>
      <c r="AM103" s="519"/>
      <c r="AN103" s="519"/>
      <c r="AO103" s="519"/>
      <c r="AP103" s="246"/>
      <c r="AQ103" s="519"/>
      <c r="AR103" s="519"/>
      <c r="AS103" s="519"/>
      <c r="AT103" s="519"/>
      <c r="AU103" s="246"/>
      <c r="AV103" s="519"/>
      <c r="AW103" s="519"/>
      <c r="AX103" s="519"/>
      <c r="AY103" s="519"/>
      <c r="AZ103" s="246"/>
      <c r="BA103" s="519"/>
      <c r="BB103" s="519"/>
      <c r="BC103" s="519"/>
      <c r="BD103" s="519"/>
      <c r="BE103" s="246"/>
      <c r="BF103" s="519"/>
      <c r="BG103" s="519"/>
      <c r="BH103" s="519"/>
      <c r="BI103" s="519"/>
      <c r="BJ103" s="246"/>
      <c r="BK103" s="519"/>
      <c r="BL103" s="519"/>
      <c r="BM103" s="519"/>
      <c r="BN103" s="519"/>
      <c r="BO103" s="246"/>
      <c r="BP103" s="519"/>
      <c r="BQ103" s="519"/>
      <c r="BR103" s="519"/>
      <c r="BS103" s="519"/>
      <c r="BT103" s="246"/>
      <c r="BU103" s="519"/>
      <c r="BV103" s="519"/>
      <c r="BW103" s="519"/>
      <c r="BX103" s="519"/>
      <c r="BY103" s="246"/>
      <c r="BZ103" s="519"/>
      <c r="CA103" s="519"/>
      <c r="CB103" s="519"/>
      <c r="CC103" s="519"/>
      <c r="CD103" s="246"/>
      <c r="CE103" s="519"/>
      <c r="CF103" s="519"/>
      <c r="CG103" s="519"/>
      <c r="CH103" s="519"/>
      <c r="CI103" s="246"/>
      <c r="CJ103" s="519"/>
      <c r="CK103" s="519"/>
      <c r="CL103" s="519"/>
      <c r="CM103" s="519"/>
      <c r="CN103" s="246"/>
      <c r="CO103" s="519"/>
      <c r="CP103" s="519"/>
      <c r="CQ103" s="519"/>
      <c r="CR103" s="519"/>
      <c r="CS103" s="246"/>
      <c r="CT103" s="133"/>
    </row>
    <row r="104" spans="2:108">
      <c r="B104" s="14" t="s">
        <v>49</v>
      </c>
      <c r="C104" s="9"/>
      <c r="D104" s="9"/>
      <c r="E104" s="9"/>
      <c r="F104" s="10"/>
      <c r="G104" s="12"/>
      <c r="H104" s="522">
        <f>412.9+0.039</f>
        <v>412.93899999999996</v>
      </c>
      <c r="I104" s="522">
        <v>0.77600000000000002</v>
      </c>
      <c r="J104" s="522">
        <v>12.048</v>
      </c>
      <c r="K104" s="576">
        <v>27.658000000000001</v>
      </c>
      <c r="L104" s="246">
        <f>412.9+40.521</f>
        <v>453.42099999999999</v>
      </c>
      <c r="M104" s="522">
        <v>6.1879999999999997</v>
      </c>
      <c r="N104" s="522">
        <v>-0.27</v>
      </c>
      <c r="O104" s="522">
        <v>40.843000000000004</v>
      </c>
      <c r="P104" s="576">
        <v>4.1639999999999997</v>
      </c>
      <c r="Q104" s="246">
        <f t="shared" ref="Q104" si="130">SUM(M104:P104)</f>
        <v>50.925000000000004</v>
      </c>
      <c r="R104" s="522">
        <v>-3.2719999999999998</v>
      </c>
      <c r="S104" s="522">
        <v>2.1280000000000001</v>
      </c>
      <c r="T104" s="522">
        <v>1.8260000000000001</v>
      </c>
      <c r="U104" s="522">
        <f>V104-SUM(R104:T104)</f>
        <v>1.5239999999999996</v>
      </c>
      <c r="V104" s="246">
        <v>2.206</v>
      </c>
      <c r="W104" s="570">
        <v>0.68700000000000006</v>
      </c>
      <c r="X104" s="570">
        <v>0.34300000000000003</v>
      </c>
      <c r="Y104" s="570">
        <v>8.0000000000000002E-3</v>
      </c>
      <c r="Z104" s="570">
        <v>0.224</v>
      </c>
      <c r="AA104" s="246">
        <f t="shared" ref="AA104" si="131">SUM(W104:Z104)</f>
        <v>1.262</v>
      </c>
      <c r="AB104" s="519">
        <v>9.9990000000000006</v>
      </c>
      <c r="AC104" s="519">
        <v>3.5230000000000001</v>
      </c>
      <c r="AD104" s="519">
        <f>255.34+0.337</f>
        <v>255.67699999999999</v>
      </c>
      <c r="AE104" s="519">
        <v>0.38700000000000001</v>
      </c>
      <c r="AF104" s="246">
        <f>AE104+AD104+AC104+AB104</f>
        <v>269.58600000000001</v>
      </c>
      <c r="AG104" s="519">
        <v>0</v>
      </c>
      <c r="AH104" s="519">
        <v>0</v>
      </c>
      <c r="AI104" s="519">
        <v>0</v>
      </c>
      <c r="AJ104" s="519">
        <v>0</v>
      </c>
      <c r="AK104" s="246">
        <f t="shared" ref="AK104" si="132">SUM(AG104:AJ104)</f>
        <v>0</v>
      </c>
      <c r="AL104" s="519"/>
      <c r="AM104" s="519"/>
      <c r="AN104" s="519"/>
      <c r="AO104" s="519"/>
      <c r="AP104" s="246">
        <f t="shared" ref="AP104" si="133">SUM(AL104:AO104)</f>
        <v>0</v>
      </c>
      <c r="AQ104" s="519"/>
      <c r="AR104" s="519"/>
      <c r="AS104" s="519"/>
      <c r="AT104" s="519"/>
      <c r="AU104" s="246">
        <f t="shared" ref="AU104" si="134">SUM(AQ104:AT104)</f>
        <v>0</v>
      </c>
      <c r="AV104" s="519"/>
      <c r="AW104" s="519"/>
      <c r="AX104" s="519"/>
      <c r="AY104" s="519"/>
      <c r="AZ104" s="246">
        <f t="shared" ref="AZ104" si="135">SUM(AV104:AY104)</f>
        <v>0</v>
      </c>
      <c r="BA104" s="519"/>
      <c r="BB104" s="519"/>
      <c r="BC104" s="519"/>
      <c r="BD104" s="519"/>
      <c r="BE104" s="246">
        <f t="shared" ref="BE104" si="136">SUM(BA104:BD104)</f>
        <v>0</v>
      </c>
      <c r="BF104" s="519"/>
      <c r="BG104" s="519"/>
      <c r="BH104" s="519"/>
      <c r="BI104" s="519"/>
      <c r="BJ104" s="246">
        <f t="shared" ref="BJ104" si="137">SUM(BF104:BI104)</f>
        <v>0</v>
      </c>
      <c r="BK104" s="519"/>
      <c r="BL104" s="519"/>
      <c r="BM104" s="519"/>
      <c r="BN104" s="519"/>
      <c r="BO104" s="246">
        <f t="shared" ref="BO104" si="138">SUM(BK104:BN104)</f>
        <v>0</v>
      </c>
      <c r="BP104" s="519"/>
      <c r="BQ104" s="519"/>
      <c r="BR104" s="519"/>
      <c r="BS104" s="519"/>
      <c r="BT104" s="246">
        <f t="shared" ref="BT104" si="139">SUM(BP104:BS104)</f>
        <v>0</v>
      </c>
      <c r="BU104" s="519"/>
      <c r="BV104" s="519"/>
      <c r="BW104" s="519"/>
      <c r="BX104" s="519"/>
      <c r="BY104" s="246">
        <f t="shared" ref="BY104" si="140">SUM(BU104:BX104)</f>
        <v>0</v>
      </c>
      <c r="BZ104" s="519"/>
      <c r="CA104" s="519"/>
      <c r="CB104" s="519"/>
      <c r="CC104" s="519"/>
      <c r="CD104" s="246">
        <f t="shared" ref="CD104" si="141">SUM(BZ104:CC104)</f>
        <v>0</v>
      </c>
      <c r="CE104" s="519"/>
      <c r="CF104" s="519"/>
      <c r="CG104" s="519"/>
      <c r="CH104" s="519"/>
      <c r="CI104" s="246">
        <f t="shared" ref="CI104" si="142">SUM(CE104:CH104)</f>
        <v>0</v>
      </c>
      <c r="CJ104" s="519"/>
      <c r="CK104" s="519"/>
      <c r="CL104" s="519"/>
      <c r="CM104" s="519"/>
      <c r="CN104" s="246">
        <f t="shared" ref="CN104" si="143">SUM(CJ104:CM104)</f>
        <v>0</v>
      </c>
      <c r="CO104" s="519"/>
      <c r="CP104" s="519"/>
      <c r="CQ104" s="519"/>
      <c r="CR104" s="519"/>
      <c r="CS104" s="246">
        <f t="shared" ref="CS104" si="144">SUM(CO104:CR104)</f>
        <v>0</v>
      </c>
      <c r="CT104" s="133"/>
    </row>
    <row r="105" spans="2:108">
      <c r="C105" s="9"/>
      <c r="D105" s="9"/>
      <c r="E105" s="9"/>
      <c r="F105" s="10"/>
      <c r="G105" s="12"/>
      <c r="H105" s="522"/>
      <c r="I105" s="522"/>
      <c r="J105" s="522"/>
      <c r="K105" s="576"/>
      <c r="L105" s="246"/>
      <c r="M105" s="522"/>
      <c r="N105" s="522"/>
      <c r="O105" s="522"/>
      <c r="P105" s="576"/>
      <c r="Q105" s="246"/>
      <c r="R105" s="522"/>
      <c r="S105" s="522"/>
      <c r="T105" s="522"/>
      <c r="U105" s="522"/>
      <c r="V105" s="246"/>
      <c r="W105" s="519"/>
      <c r="X105" s="519"/>
      <c r="Y105" s="519"/>
      <c r="Z105" s="519"/>
      <c r="AA105" s="246"/>
      <c r="AB105" s="519"/>
      <c r="AC105" s="519"/>
      <c r="AD105" s="519"/>
      <c r="AE105" s="519"/>
      <c r="AF105" s="246"/>
      <c r="AG105" s="519"/>
      <c r="AH105" s="519"/>
      <c r="AI105" s="519"/>
      <c r="AJ105" s="519"/>
      <c r="AK105" s="246"/>
      <c r="AL105" s="519"/>
      <c r="AM105" s="519"/>
      <c r="AN105" s="519"/>
      <c r="AO105" s="519"/>
      <c r="AP105" s="246"/>
      <c r="AQ105" s="519"/>
      <c r="AR105" s="519"/>
      <c r="AS105" s="519"/>
      <c r="AT105" s="519"/>
      <c r="AU105" s="246"/>
      <c r="AV105" s="519"/>
      <c r="AW105" s="519"/>
      <c r="AX105" s="519"/>
      <c r="AY105" s="519"/>
      <c r="AZ105" s="246"/>
      <c r="BA105" s="519"/>
      <c r="BB105" s="519"/>
      <c r="BC105" s="519"/>
      <c r="BD105" s="519"/>
      <c r="BE105" s="246"/>
      <c r="BF105" s="519"/>
      <c r="BG105" s="519"/>
      <c r="BH105" s="519"/>
      <c r="BI105" s="519"/>
      <c r="BJ105" s="246"/>
      <c r="BK105" s="519"/>
      <c r="BL105" s="519"/>
      <c r="BM105" s="519"/>
      <c r="BN105" s="519"/>
      <c r="BO105" s="246"/>
      <c r="BP105" s="519"/>
      <c r="BQ105" s="519"/>
      <c r="BR105" s="519"/>
      <c r="BS105" s="519"/>
      <c r="BT105" s="246"/>
      <c r="BU105" s="519"/>
      <c r="BV105" s="519"/>
      <c r="BW105" s="519"/>
      <c r="BX105" s="519"/>
      <c r="BY105" s="246"/>
      <c r="BZ105" s="519"/>
      <c r="CA105" s="519"/>
      <c r="CB105" s="519"/>
      <c r="CC105" s="519"/>
      <c r="CD105" s="246"/>
      <c r="CE105" s="519"/>
      <c r="CF105" s="519"/>
      <c r="CG105" s="519"/>
      <c r="CH105" s="519"/>
      <c r="CI105" s="246"/>
      <c r="CJ105" s="519"/>
      <c r="CK105" s="519"/>
      <c r="CL105" s="519"/>
      <c r="CM105" s="519"/>
      <c r="CN105" s="246"/>
      <c r="CO105" s="519"/>
      <c r="CP105" s="519"/>
      <c r="CQ105" s="519"/>
      <c r="CR105" s="519"/>
      <c r="CS105" s="246"/>
      <c r="CT105" s="133"/>
    </row>
    <row r="106" spans="2:108">
      <c r="B106" s="21" t="s">
        <v>47</v>
      </c>
      <c r="C106" s="22"/>
      <c r="D106" s="23"/>
      <c r="E106" s="23"/>
      <c r="F106" s="23"/>
      <c r="G106" s="24"/>
      <c r="H106" s="523">
        <f t="shared" ref="H106:AJ106" si="145">H81-H98-H101-H102-H104</f>
        <v>-438.28800000000001</v>
      </c>
      <c r="I106" s="523">
        <f t="shared" si="145"/>
        <v>-56.933</v>
      </c>
      <c r="J106" s="523">
        <f t="shared" si="145"/>
        <v>-123.556</v>
      </c>
      <c r="K106" s="523">
        <f t="shared" si="145"/>
        <v>-10.280999999999935</v>
      </c>
      <c r="L106" s="248">
        <f t="shared" si="145"/>
        <v>-610.00800000000004</v>
      </c>
      <c r="M106" s="523">
        <f t="shared" si="145"/>
        <v>-216.38799999999998</v>
      </c>
      <c r="N106" s="523">
        <f t="shared" si="145"/>
        <v>-180.83500000000001</v>
      </c>
      <c r="O106" s="523">
        <f t="shared" si="145"/>
        <v>-142.203</v>
      </c>
      <c r="P106" s="523">
        <f t="shared" si="145"/>
        <v>-153.62499999999994</v>
      </c>
      <c r="Q106" s="248">
        <f t="shared" si="145"/>
        <v>-693.05099999999993</v>
      </c>
      <c r="R106" s="523">
        <f t="shared" si="145"/>
        <v>-171.98499999999999</v>
      </c>
      <c r="S106" s="523">
        <f>S81-S98-S101-S102-S104</f>
        <v>-171.16399999999999</v>
      </c>
      <c r="T106" s="523">
        <f t="shared" si="145"/>
        <v>-70.025999999999939</v>
      </c>
      <c r="U106" s="523">
        <f t="shared" si="145"/>
        <v>-53.704000000000008</v>
      </c>
      <c r="V106" s="24">
        <f>SUM(R106:U106)</f>
        <v>-466.87899999999996</v>
      </c>
      <c r="W106" s="523">
        <f t="shared" si="145"/>
        <v>-14.329999999999986</v>
      </c>
      <c r="X106" s="523">
        <f t="shared" si="145"/>
        <v>3.3530000000000122</v>
      </c>
      <c r="Y106" s="523">
        <f>Y81-Y98-Y101-Y102-Y104</f>
        <v>-18.726999999999993</v>
      </c>
      <c r="Z106" s="523">
        <f t="shared" si="145"/>
        <v>39.639999999999937</v>
      </c>
      <c r="AA106" s="248">
        <f>SUM(W106:Z106)</f>
        <v>9.9359999999999715</v>
      </c>
      <c r="AB106" s="523">
        <f t="shared" si="145"/>
        <v>270.84199999999998</v>
      </c>
      <c r="AC106" s="523">
        <f t="shared" si="145"/>
        <v>52.7070000000001</v>
      </c>
      <c r="AD106" s="523">
        <f>AD81-AD98-AD101-AD102-AD104</f>
        <v>-326.04299999999995</v>
      </c>
      <c r="AE106" s="523">
        <f t="shared" si="145"/>
        <v>125.73699999999999</v>
      </c>
      <c r="AF106" s="248">
        <f>AF81-AF98-AF101-AF102-AF104</f>
        <v>123.24300000000028</v>
      </c>
      <c r="AG106" s="523">
        <f>AG81-AG98-AG101-AG102-AG104</f>
        <v>87.836505935452038</v>
      </c>
      <c r="AH106" s="523">
        <f t="shared" si="145"/>
        <v>127.41238117450692</v>
      </c>
      <c r="AI106" s="523">
        <f>AI81-AI98-AI101-AI102-AI104</f>
        <v>171.38557588456811</v>
      </c>
      <c r="AJ106" s="523">
        <f t="shared" si="145"/>
        <v>195.73324601318052</v>
      </c>
      <c r="AK106" s="248">
        <f>AK81-AK98-AK101-AK102-AK104</f>
        <v>582.36770900770773</v>
      </c>
      <c r="AL106" s="523"/>
      <c r="AM106" s="523"/>
      <c r="AN106" s="523"/>
      <c r="AO106" s="523"/>
      <c r="AP106" s="248">
        <f>AP81-AP98-AP101-AP102-AP104</f>
        <v>718.41564068154344</v>
      </c>
      <c r="AQ106" s="523"/>
      <c r="AR106" s="523"/>
      <c r="AS106" s="523"/>
      <c r="AT106" s="523"/>
      <c r="AU106" s="248">
        <f>AU81-AU98-AU101-AU102-AU104</f>
        <v>1628.5082166359036</v>
      </c>
      <c r="AV106" s="523"/>
      <c r="AW106" s="523"/>
      <c r="AX106" s="523"/>
      <c r="AY106" s="523"/>
      <c r="AZ106" s="248">
        <f>AZ81-AZ98-AZ101-AZ102-AZ104</f>
        <v>2769.0921988543405</v>
      </c>
      <c r="BA106" s="523"/>
      <c r="BB106" s="523"/>
      <c r="BC106" s="523"/>
      <c r="BD106" s="523"/>
      <c r="BE106" s="248">
        <f>BE81-BE98-BE101-BE102-BE104</f>
        <v>3506.9158334404901</v>
      </c>
      <c r="BF106" s="523"/>
      <c r="BG106" s="523"/>
      <c r="BH106" s="523"/>
      <c r="BI106" s="523"/>
      <c r="BJ106" s="248">
        <f>BJ81-BJ98-BJ101-BJ102-BJ104</f>
        <v>3876.8476713411833</v>
      </c>
      <c r="BK106" s="523"/>
      <c r="BL106" s="523"/>
      <c r="BM106" s="523"/>
      <c r="BN106" s="523"/>
      <c r="BO106" s="248">
        <f>BO81-BO98-BO101-BO102-BO104</f>
        <v>4100.9690784547802</v>
      </c>
      <c r="BP106" s="523"/>
      <c r="BQ106" s="523"/>
      <c r="BR106" s="523"/>
      <c r="BS106" s="523"/>
      <c r="BT106" s="248">
        <f>BT81-BT98-BT101-BT102-BT104</f>
        <v>4855.6247774205394</v>
      </c>
      <c r="BU106" s="523"/>
      <c r="BV106" s="523"/>
      <c r="BW106" s="523"/>
      <c r="BX106" s="523"/>
      <c r="BY106" s="248">
        <f>BY81-BY98-BY101-BY102-BY104</f>
        <v>6344.74697351949</v>
      </c>
      <c r="BZ106" s="523"/>
      <c r="CA106" s="523"/>
      <c r="CB106" s="523"/>
      <c r="CC106" s="523"/>
      <c r="CD106" s="248">
        <f>CD81-CD98-CD101-CD102-CD104</f>
        <v>6526.3102520467746</v>
      </c>
      <c r="CE106" s="523"/>
      <c r="CF106" s="523"/>
      <c r="CG106" s="523"/>
      <c r="CH106" s="523"/>
      <c r="CI106" s="248">
        <f>CI81-CI98-CI101-CI102-CI104</f>
        <v>6714.7400146068194</v>
      </c>
      <c r="CJ106" s="523"/>
      <c r="CK106" s="523"/>
      <c r="CL106" s="523"/>
      <c r="CM106" s="523"/>
      <c r="CN106" s="248">
        <f>CN81-CN98-CN101-CN102-CN104</f>
        <v>6785.6192025861101</v>
      </c>
      <c r="CO106" s="523"/>
      <c r="CP106" s="523"/>
      <c r="CQ106" s="523"/>
      <c r="CR106" s="523"/>
      <c r="CS106" s="248">
        <f>CS81-CS98-CS101-CS102-CS104</f>
        <v>6938.7310534917433</v>
      </c>
      <c r="CT106" s="133"/>
    </row>
    <row r="107" spans="2:108">
      <c r="C107" s="9"/>
      <c r="D107" s="9"/>
      <c r="E107" s="9"/>
      <c r="F107" s="10"/>
      <c r="G107" s="12"/>
      <c r="H107" s="522"/>
      <c r="I107" s="522"/>
      <c r="J107" s="522"/>
      <c r="K107" s="576"/>
      <c r="L107" s="246"/>
      <c r="M107" s="522"/>
      <c r="N107" s="522"/>
      <c r="O107" s="522"/>
      <c r="P107" s="576"/>
      <c r="Q107" s="246"/>
      <c r="R107" s="522"/>
      <c r="S107" s="522"/>
      <c r="T107" s="519"/>
      <c r="U107" s="519"/>
      <c r="V107" s="246"/>
      <c r="W107" s="519"/>
      <c r="X107" s="519"/>
      <c r="Y107" s="519"/>
      <c r="Z107" s="519"/>
      <c r="AA107" s="246"/>
      <c r="AB107" s="519"/>
      <c r="AC107" s="519"/>
      <c r="AD107" s="519"/>
      <c r="AE107" s="519"/>
      <c r="AF107" s="246"/>
      <c r="AG107" s="519"/>
      <c r="AH107" s="519"/>
      <c r="AI107" s="519"/>
      <c r="AJ107" s="519"/>
      <c r="AK107" s="246"/>
      <c r="AL107" s="519"/>
      <c r="AM107" s="519"/>
      <c r="AN107" s="519"/>
      <c r="AO107" s="519"/>
      <c r="AP107" s="246"/>
      <c r="AQ107" s="519"/>
      <c r="AR107" s="519"/>
      <c r="AS107" s="519"/>
      <c r="AT107" s="519"/>
      <c r="AU107" s="246"/>
      <c r="AV107" s="519"/>
      <c r="AW107" s="519"/>
      <c r="AX107" s="519"/>
      <c r="AY107" s="519"/>
      <c r="AZ107" s="246"/>
      <c r="BA107" s="519"/>
      <c r="BB107" s="519"/>
      <c r="BC107" s="519"/>
      <c r="BD107" s="519"/>
      <c r="BE107" s="246"/>
      <c r="BF107" s="519"/>
      <c r="BG107" s="519"/>
      <c r="BH107" s="519"/>
      <c r="BI107" s="519"/>
      <c r="BJ107" s="246"/>
      <c r="BK107" s="519"/>
      <c r="BL107" s="519"/>
      <c r="BM107" s="519"/>
      <c r="BN107" s="519"/>
      <c r="BO107" s="246"/>
      <c r="BP107" s="519"/>
      <c r="BQ107" s="519"/>
      <c r="BR107" s="519"/>
      <c r="BS107" s="519"/>
      <c r="BT107" s="246"/>
      <c r="BU107" s="519"/>
      <c r="BV107" s="519"/>
      <c r="BW107" s="519"/>
      <c r="BX107" s="519"/>
      <c r="BY107" s="246"/>
      <c r="BZ107" s="519"/>
      <c r="CA107" s="519"/>
      <c r="CB107" s="519"/>
      <c r="CC107" s="519"/>
      <c r="CD107" s="246"/>
      <c r="CE107" s="519"/>
      <c r="CF107" s="519"/>
      <c r="CG107" s="519"/>
      <c r="CH107" s="519"/>
      <c r="CI107" s="246"/>
      <c r="CJ107" s="519"/>
      <c r="CK107" s="519"/>
      <c r="CL107" s="519"/>
      <c r="CM107" s="519"/>
      <c r="CN107" s="246"/>
      <c r="CO107" s="519"/>
      <c r="CP107" s="519"/>
      <c r="CQ107" s="519"/>
      <c r="CR107" s="519"/>
      <c r="CS107" s="246"/>
      <c r="CT107" s="133"/>
    </row>
    <row r="108" spans="2:108" hidden="1" outlineLevel="1">
      <c r="B108" s="15" t="s">
        <v>328</v>
      </c>
      <c r="C108" s="9"/>
      <c r="D108" s="9"/>
      <c r="E108" s="9"/>
      <c r="F108" s="10"/>
      <c r="G108" s="12"/>
      <c r="H108" s="522">
        <v>-3.4649999999999999</v>
      </c>
      <c r="I108" s="522">
        <v>-6.5510000000000002</v>
      </c>
      <c r="J108" s="522">
        <v>-9.5000000000000001E-2</v>
      </c>
      <c r="K108" s="576">
        <v>-12.625999999999999</v>
      </c>
      <c r="L108" s="246">
        <v>-22.925999999999998</v>
      </c>
      <c r="M108" s="522">
        <v>-15.717000000000001</v>
      </c>
      <c r="N108" s="522">
        <v>-15.585000000000001</v>
      </c>
      <c r="O108" s="522">
        <v>-20.384</v>
      </c>
      <c r="P108" s="576">
        <v>-21.177</v>
      </c>
      <c r="Q108" s="246">
        <f t="shared" ref="Q108:Q109" si="146">SUM(M108:P108)</f>
        <v>-72.863</v>
      </c>
      <c r="R108" s="522">
        <v>-21.306999999999999</v>
      </c>
      <c r="S108" s="522">
        <v>-21.111000000000001</v>
      </c>
      <c r="T108" s="522">
        <v>-21.134</v>
      </c>
      <c r="U108" s="570">
        <v>-20.654</v>
      </c>
      <c r="V108" s="246">
        <f>SUM(R108:U108)</f>
        <v>-84.206000000000003</v>
      </c>
      <c r="W108" s="519">
        <v>-20.698</v>
      </c>
      <c r="X108" s="519">
        <v>-20.155000000000001</v>
      </c>
      <c r="Y108" s="519">
        <v>-20.14</v>
      </c>
      <c r="Z108" s="519">
        <v>-20.439</v>
      </c>
      <c r="AA108" s="246">
        <f>AA199</f>
        <v>-74.605277999999998</v>
      </c>
      <c r="AB108" s="519">
        <v>-16.765000000000001</v>
      </c>
      <c r="AC108" s="519">
        <v>-14.664</v>
      </c>
      <c r="AD108" s="519">
        <v>-13.574</v>
      </c>
      <c r="AE108" s="519">
        <v>-12.547000000000001</v>
      </c>
      <c r="AF108" s="246">
        <f>AE108+AD108+AC108+AB108</f>
        <v>-57.550000000000004</v>
      </c>
      <c r="AG108" s="519">
        <f>AK108/4</f>
        <v>-15</v>
      </c>
      <c r="AH108" s="519">
        <f>AK108/4</f>
        <v>-15</v>
      </c>
      <c r="AI108" s="519">
        <f>AK108/4</f>
        <v>-15</v>
      </c>
      <c r="AJ108" s="519">
        <f>AK108-SUM(AG108:AI108)</f>
        <v>-15</v>
      </c>
      <c r="AK108" s="246">
        <f>AK39</f>
        <v>-60</v>
      </c>
      <c r="AL108" s="519"/>
      <c r="AM108" s="519"/>
      <c r="AN108" s="519"/>
      <c r="AO108" s="519"/>
      <c r="AP108" s="246">
        <f>AP39</f>
        <v>-46.411520739939938</v>
      </c>
      <c r="AQ108" s="519"/>
      <c r="AR108" s="519"/>
      <c r="AS108" s="519"/>
      <c r="AT108" s="519"/>
      <c r="AU108" s="246">
        <f>AU39</f>
        <v>-32.752230858817356</v>
      </c>
      <c r="AV108" s="519"/>
      <c r="AW108" s="519"/>
      <c r="AX108" s="519"/>
      <c r="AY108" s="519"/>
      <c r="AZ108" s="246">
        <f>AZ39</f>
        <v>-7.8170203709781987</v>
      </c>
      <c r="BA108" s="519"/>
      <c r="BB108" s="519"/>
      <c r="BC108" s="519"/>
      <c r="BD108" s="519"/>
      <c r="BE108" s="246">
        <f>BE39</f>
        <v>38.212891552292206</v>
      </c>
      <c r="BF108" s="519"/>
      <c r="BG108" s="519"/>
      <c r="BH108" s="519"/>
      <c r="BI108" s="519"/>
      <c r="BJ108" s="246">
        <f>BJ39</f>
        <v>100.62556404219472</v>
      </c>
      <c r="BK108" s="519"/>
      <c r="BL108" s="519"/>
      <c r="BM108" s="519"/>
      <c r="BN108" s="519"/>
      <c r="BO108" s="246">
        <f>BO39</f>
        <v>182.48152680208429</v>
      </c>
      <c r="BP108" s="519"/>
      <c r="BQ108" s="519"/>
      <c r="BR108" s="519"/>
      <c r="BS108" s="519"/>
      <c r="BT108" s="246">
        <f>BT39</f>
        <v>285.18240139273519</v>
      </c>
      <c r="BU108" s="519"/>
      <c r="BV108" s="519"/>
      <c r="BW108" s="519"/>
      <c r="BX108" s="519"/>
      <c r="BY108" s="246">
        <f>BY39</f>
        <v>416.17397861277482</v>
      </c>
      <c r="BZ108" s="519"/>
      <c r="CA108" s="519"/>
      <c r="CB108" s="519"/>
      <c r="CC108" s="519"/>
      <c r="CD108" s="246">
        <f>CD39</f>
        <v>591.66805304525872</v>
      </c>
      <c r="CE108" s="519"/>
      <c r="CF108" s="519"/>
      <c r="CG108" s="519"/>
      <c r="CH108" s="519"/>
      <c r="CI108" s="246">
        <f>CI39</f>
        <v>809.51310104525419</v>
      </c>
      <c r="CJ108" s="519"/>
      <c r="CK108" s="519"/>
      <c r="CL108" s="519"/>
      <c r="CM108" s="519"/>
      <c r="CN108" s="246">
        <f>CN39</f>
        <v>1064.8559138239198</v>
      </c>
      <c r="CO108" s="519"/>
      <c r="CP108" s="519"/>
      <c r="CQ108" s="519"/>
      <c r="CR108" s="519"/>
      <c r="CS108" s="246">
        <f>CS39</f>
        <v>1358.7763011824993</v>
      </c>
      <c r="CT108" s="133"/>
    </row>
    <row r="109" spans="2:108" hidden="1" outlineLevel="1">
      <c r="B109" s="15" t="s">
        <v>180</v>
      </c>
      <c r="C109" s="9"/>
      <c r="D109" s="9"/>
      <c r="E109" s="9"/>
      <c r="F109" s="10"/>
      <c r="G109" s="12"/>
      <c r="H109" s="522">
        <v>-1.1870000000000001</v>
      </c>
      <c r="I109" s="522">
        <v>-2.7E-2</v>
      </c>
      <c r="J109" s="522">
        <v>4.7510000000000003</v>
      </c>
      <c r="K109" s="576">
        <v>3.339</v>
      </c>
      <c r="L109" s="246">
        <v>6.89</v>
      </c>
      <c r="M109" s="522">
        <v>0.45100000000000001</v>
      </c>
      <c r="N109" s="522">
        <v>37.731000000000002</v>
      </c>
      <c r="O109" s="522">
        <v>-3.99</v>
      </c>
      <c r="P109" s="576">
        <v>-3.7919999999999998</v>
      </c>
      <c r="Q109" s="246">
        <f t="shared" si="146"/>
        <v>30.4</v>
      </c>
      <c r="R109" s="522">
        <v>-5.1130000000000004</v>
      </c>
      <c r="S109" s="522">
        <v>1.4139999999999999</v>
      </c>
      <c r="T109" s="522">
        <v>-1.3260000000000001</v>
      </c>
      <c r="U109" s="522">
        <f>V109-SUM(R109:T109)</f>
        <v>-1.6899999999999995</v>
      </c>
      <c r="V109" s="12">
        <v>-6.7149999999999999</v>
      </c>
      <c r="W109" s="519">
        <v>4.4109999999999996</v>
      </c>
      <c r="X109" s="519">
        <v>-1.2190000000000001</v>
      </c>
      <c r="Y109" s="519">
        <v>-0.16700000000000001</v>
      </c>
      <c r="Z109" s="519">
        <v>1.105</v>
      </c>
      <c r="AA109" s="246">
        <f>SUM(W109:Z109)</f>
        <v>4.129999999999999</v>
      </c>
      <c r="AB109" s="522">
        <v>-0.54400000000000004</v>
      </c>
      <c r="AC109" s="522">
        <v>-2.5369999999999999</v>
      </c>
      <c r="AD109" s="522">
        <v>-77.552999999999997</v>
      </c>
      <c r="AE109" s="522">
        <v>-0.748</v>
      </c>
      <c r="AF109" s="246">
        <f>AE109+AD109+AC109+AB109</f>
        <v>-81.382000000000005</v>
      </c>
      <c r="AG109" s="522">
        <f>AK109</f>
        <v>0</v>
      </c>
      <c r="AH109" s="522">
        <f>AK109</f>
        <v>0</v>
      </c>
      <c r="AI109" s="522">
        <f>AK109</f>
        <v>0</v>
      </c>
      <c r="AJ109" s="522">
        <f>AK109-SUM(AG109:AI109)</f>
        <v>0</v>
      </c>
      <c r="AK109" s="247">
        <v>0</v>
      </c>
      <c r="AL109" s="522"/>
      <c r="AM109" s="522"/>
      <c r="AN109" s="522"/>
      <c r="AO109" s="522"/>
      <c r="AP109" s="247">
        <v>0</v>
      </c>
      <c r="AQ109" s="522"/>
      <c r="AR109" s="522"/>
      <c r="AS109" s="522"/>
      <c r="AT109" s="522"/>
      <c r="AU109" s="247">
        <v>0</v>
      </c>
      <c r="AV109" s="522"/>
      <c r="AW109" s="522"/>
      <c r="AX109" s="522"/>
      <c r="AY109" s="522"/>
      <c r="AZ109" s="247">
        <v>0</v>
      </c>
      <c r="BA109" s="522"/>
      <c r="BB109" s="522"/>
      <c r="BC109" s="522"/>
      <c r="BD109" s="522"/>
      <c r="BE109" s="247">
        <v>0</v>
      </c>
      <c r="BF109" s="522"/>
      <c r="BG109" s="522"/>
      <c r="BH109" s="522"/>
      <c r="BI109" s="522"/>
      <c r="BJ109" s="247">
        <v>0</v>
      </c>
      <c r="BK109" s="522"/>
      <c r="BL109" s="522"/>
      <c r="BM109" s="522"/>
      <c r="BN109" s="522"/>
      <c r="BO109" s="247">
        <v>0</v>
      </c>
      <c r="BP109" s="522"/>
      <c r="BQ109" s="522"/>
      <c r="BR109" s="522"/>
      <c r="BS109" s="522"/>
      <c r="BT109" s="247">
        <v>0</v>
      </c>
      <c r="BU109" s="522"/>
      <c r="BV109" s="522"/>
      <c r="BW109" s="522"/>
      <c r="BX109" s="522"/>
      <c r="BY109" s="247">
        <v>0</v>
      </c>
      <c r="BZ109" s="522"/>
      <c r="CA109" s="522"/>
      <c r="CB109" s="522"/>
      <c r="CC109" s="522"/>
      <c r="CD109" s="247">
        <v>0</v>
      </c>
      <c r="CE109" s="522"/>
      <c r="CF109" s="522"/>
      <c r="CG109" s="522"/>
      <c r="CH109" s="522"/>
      <c r="CI109" s="247">
        <v>0</v>
      </c>
      <c r="CJ109" s="522"/>
      <c r="CK109" s="522"/>
      <c r="CL109" s="522"/>
      <c r="CM109" s="522"/>
      <c r="CN109" s="247">
        <v>0</v>
      </c>
      <c r="CO109" s="522"/>
      <c r="CP109" s="522"/>
      <c r="CQ109" s="522"/>
      <c r="CR109" s="522"/>
      <c r="CS109" s="247">
        <v>0</v>
      </c>
      <c r="CT109" s="133"/>
    </row>
    <row r="110" spans="2:108" collapsed="1">
      <c r="B110" s="14" t="s">
        <v>329</v>
      </c>
      <c r="C110" s="9"/>
      <c r="D110" s="9"/>
      <c r="E110" s="9"/>
      <c r="F110" s="10"/>
      <c r="G110" s="12"/>
      <c r="H110" s="518">
        <f t="shared" ref="H110:P110" si="147">H109+H108</f>
        <v>-4.6520000000000001</v>
      </c>
      <c r="I110" s="518">
        <f t="shared" si="147"/>
        <v>-6.5780000000000003</v>
      </c>
      <c r="J110" s="518">
        <f t="shared" si="147"/>
        <v>4.6560000000000006</v>
      </c>
      <c r="K110" s="518">
        <f t="shared" si="147"/>
        <v>-9.286999999999999</v>
      </c>
      <c r="L110" s="246">
        <f t="shared" si="147"/>
        <v>-16.035999999999998</v>
      </c>
      <c r="M110" s="518">
        <f t="shared" si="147"/>
        <v>-15.266</v>
      </c>
      <c r="N110" s="518">
        <f t="shared" si="147"/>
        <v>22.146000000000001</v>
      </c>
      <c r="O110" s="518">
        <f t="shared" si="147"/>
        <v>-24.374000000000002</v>
      </c>
      <c r="P110" s="518">
        <f t="shared" si="147"/>
        <v>-24.969000000000001</v>
      </c>
      <c r="Q110" s="246">
        <f t="shared" ref="Q110" si="148">SUM(M110:P110)</f>
        <v>-42.463000000000001</v>
      </c>
      <c r="R110" s="518">
        <f>R109+R108</f>
        <v>-26.419999999999998</v>
      </c>
      <c r="S110" s="518">
        <f>S109+S108</f>
        <v>-19.696999999999999</v>
      </c>
      <c r="T110" s="518">
        <f>T109+T108</f>
        <v>-22.46</v>
      </c>
      <c r="U110" s="518">
        <f>U109+U108</f>
        <v>-22.344000000000001</v>
      </c>
      <c r="V110" s="246">
        <f t="shared" ref="V110" si="149">SUM(R110:U110)</f>
        <v>-90.920999999999992</v>
      </c>
      <c r="W110" s="518">
        <f>W109+W108</f>
        <v>-16.286999999999999</v>
      </c>
      <c r="X110" s="518">
        <f t="shared" ref="X110:AJ110" si="150">X109+X108</f>
        <v>-21.374000000000002</v>
      </c>
      <c r="Y110" s="518">
        <f t="shared" si="150"/>
        <v>-20.307000000000002</v>
      </c>
      <c r="Z110" s="518">
        <f t="shared" si="150"/>
        <v>-19.334</v>
      </c>
      <c r="AA110" s="246">
        <f>SUM(W110:Z110)</f>
        <v>-77.302000000000007</v>
      </c>
      <c r="AB110" s="518">
        <f t="shared" si="150"/>
        <v>-17.309000000000001</v>
      </c>
      <c r="AC110" s="518">
        <f t="shared" si="150"/>
        <v>-17.201000000000001</v>
      </c>
      <c r="AD110" s="518">
        <f t="shared" si="150"/>
        <v>-91.126999999999995</v>
      </c>
      <c r="AE110" s="518">
        <f t="shared" si="150"/>
        <v>-13.295</v>
      </c>
      <c r="AF110" s="246">
        <f>AF109+AF108</f>
        <v>-138.93200000000002</v>
      </c>
      <c r="AG110" s="518">
        <f t="shared" si="150"/>
        <v>-15</v>
      </c>
      <c r="AH110" s="518">
        <f t="shared" si="150"/>
        <v>-15</v>
      </c>
      <c r="AI110" s="518">
        <f t="shared" si="150"/>
        <v>-15</v>
      </c>
      <c r="AJ110" s="518">
        <f t="shared" si="150"/>
        <v>-15</v>
      </c>
      <c r="AK110" s="246">
        <f>AK109+AK108</f>
        <v>-60</v>
      </c>
      <c r="AL110" s="519"/>
      <c r="AM110" s="519"/>
      <c r="AN110" s="519"/>
      <c r="AO110" s="519"/>
      <c r="AP110" s="246">
        <f>AP109+AP108</f>
        <v>-46.411520739939938</v>
      </c>
      <c r="AQ110" s="519"/>
      <c r="AR110" s="519"/>
      <c r="AS110" s="519"/>
      <c r="AT110" s="519"/>
      <c r="AU110" s="246">
        <f>AU109+AU108</f>
        <v>-32.752230858817356</v>
      </c>
      <c r="AV110" s="519"/>
      <c r="AW110" s="519"/>
      <c r="AX110" s="519"/>
      <c r="AY110" s="519"/>
      <c r="AZ110" s="246">
        <f>AZ109+AZ108</f>
        <v>-7.8170203709781987</v>
      </c>
      <c r="BA110" s="519"/>
      <c r="BB110" s="519"/>
      <c r="BC110" s="519"/>
      <c r="BD110" s="519"/>
      <c r="BE110" s="246">
        <f>BE109+BE108</f>
        <v>38.212891552292206</v>
      </c>
      <c r="BF110" s="519"/>
      <c r="BG110" s="519"/>
      <c r="BH110" s="519"/>
      <c r="BI110" s="519"/>
      <c r="BJ110" s="246">
        <f>BJ109+BJ108</f>
        <v>100.62556404219472</v>
      </c>
      <c r="BK110" s="519"/>
      <c r="BL110" s="519"/>
      <c r="BM110" s="519"/>
      <c r="BN110" s="519"/>
      <c r="BO110" s="246">
        <f>BO109+BO108</f>
        <v>182.48152680208429</v>
      </c>
      <c r="BP110" s="519"/>
      <c r="BQ110" s="519"/>
      <c r="BR110" s="519"/>
      <c r="BS110" s="519"/>
      <c r="BT110" s="246">
        <f>BT109+BT108</f>
        <v>285.18240139273519</v>
      </c>
      <c r="BU110" s="519"/>
      <c r="BV110" s="519"/>
      <c r="BW110" s="519"/>
      <c r="BX110" s="519"/>
      <c r="BY110" s="246">
        <f>BY109+BY108</f>
        <v>416.17397861277482</v>
      </c>
      <c r="BZ110" s="519"/>
      <c r="CA110" s="519"/>
      <c r="CB110" s="519"/>
      <c r="CC110" s="519"/>
      <c r="CD110" s="246">
        <f>CD109+CD108</f>
        <v>591.66805304525872</v>
      </c>
      <c r="CE110" s="519"/>
      <c r="CF110" s="519"/>
      <c r="CG110" s="519"/>
      <c r="CH110" s="519"/>
      <c r="CI110" s="246">
        <f>CI109+CI108</f>
        <v>809.51310104525419</v>
      </c>
      <c r="CJ110" s="519"/>
      <c r="CK110" s="519"/>
      <c r="CL110" s="519"/>
      <c r="CM110" s="519"/>
      <c r="CN110" s="246">
        <f>CN109+CN108</f>
        <v>1064.8559138239198</v>
      </c>
      <c r="CO110" s="519"/>
      <c r="CP110" s="519"/>
      <c r="CQ110" s="519"/>
      <c r="CR110" s="519"/>
      <c r="CS110" s="246">
        <f>CS109+CS108</f>
        <v>1358.7763011824993</v>
      </c>
      <c r="CT110" s="133"/>
    </row>
    <row r="111" spans="2:108">
      <c r="C111" s="9"/>
      <c r="D111" s="9"/>
      <c r="E111" s="9"/>
      <c r="F111" s="10"/>
      <c r="G111" s="12"/>
      <c r="H111" s="522"/>
      <c r="I111" s="522"/>
      <c r="J111" s="522"/>
      <c r="K111" s="576"/>
      <c r="L111" s="246"/>
      <c r="M111" s="522"/>
      <c r="N111" s="522"/>
      <c r="O111" s="522"/>
      <c r="P111" s="576"/>
      <c r="Q111" s="246"/>
      <c r="R111" s="522"/>
      <c r="S111" s="522"/>
      <c r="T111" s="519"/>
      <c r="U111" s="519"/>
      <c r="V111" s="246"/>
      <c r="W111" s="519"/>
      <c r="X111" s="519"/>
      <c r="Y111" s="519"/>
      <c r="Z111" s="519"/>
      <c r="AA111" s="246"/>
      <c r="AB111" s="519"/>
      <c r="AC111" s="519"/>
      <c r="AD111" s="519"/>
      <c r="AE111" s="519"/>
      <c r="AF111" s="246"/>
      <c r="AG111" s="519"/>
      <c r="AH111" s="519"/>
      <c r="AI111" s="519"/>
      <c r="AJ111" s="519"/>
      <c r="AK111" s="246"/>
      <c r="AL111" s="519"/>
      <c r="AM111" s="519"/>
      <c r="AN111" s="519"/>
      <c r="AO111" s="519"/>
      <c r="AP111" s="246"/>
      <c r="AQ111" s="519"/>
      <c r="AR111" s="519"/>
      <c r="AS111" s="519"/>
      <c r="AT111" s="519"/>
      <c r="AU111" s="246"/>
      <c r="AV111" s="519"/>
      <c r="AW111" s="519"/>
      <c r="AX111" s="519"/>
      <c r="AY111" s="519"/>
      <c r="AZ111" s="246"/>
      <c r="BA111" s="519"/>
      <c r="BB111" s="519"/>
      <c r="BC111" s="519"/>
      <c r="BD111" s="519"/>
      <c r="BE111" s="246"/>
      <c r="BF111" s="519"/>
      <c r="BG111" s="519"/>
      <c r="BH111" s="519"/>
      <c r="BI111" s="519"/>
      <c r="BJ111" s="246"/>
      <c r="BK111" s="519"/>
      <c r="BL111" s="519"/>
      <c r="BM111" s="519"/>
      <c r="BN111" s="519"/>
      <c r="BO111" s="246"/>
      <c r="BP111" s="519"/>
      <c r="BQ111" s="519"/>
      <c r="BR111" s="519"/>
      <c r="BS111" s="519"/>
      <c r="BT111" s="246"/>
      <c r="BU111" s="519"/>
      <c r="BV111" s="519"/>
      <c r="BW111" s="519"/>
      <c r="BX111" s="519"/>
      <c r="BY111" s="246"/>
      <c r="BZ111" s="519"/>
      <c r="CA111" s="519"/>
      <c r="CB111" s="519"/>
      <c r="CC111" s="519"/>
      <c r="CD111" s="246"/>
      <c r="CE111" s="519"/>
      <c r="CF111" s="519"/>
      <c r="CG111" s="519"/>
      <c r="CH111" s="519"/>
      <c r="CI111" s="246"/>
      <c r="CJ111" s="519"/>
      <c r="CK111" s="519"/>
      <c r="CL111" s="519"/>
      <c r="CM111" s="519"/>
      <c r="CN111" s="246"/>
      <c r="CO111" s="519"/>
      <c r="CP111" s="519"/>
      <c r="CQ111" s="519"/>
      <c r="CR111" s="519"/>
      <c r="CS111" s="246"/>
      <c r="CT111" s="133"/>
    </row>
    <row r="112" spans="2:108" s="7" customFormat="1">
      <c r="B112" s="13" t="s">
        <v>50</v>
      </c>
      <c r="C112" s="18"/>
      <c r="D112" s="8"/>
      <c r="E112" s="8"/>
      <c r="F112" s="8"/>
      <c r="G112" s="11"/>
      <c r="H112" s="525">
        <f>H106+H110</f>
        <v>-442.94</v>
      </c>
      <c r="I112" s="525">
        <f t="shared" ref="I112:AJ112" si="151">I106+I110</f>
        <v>-63.511000000000003</v>
      </c>
      <c r="J112" s="525">
        <f t="shared" si="151"/>
        <v>-118.89999999999999</v>
      </c>
      <c r="K112" s="525">
        <f t="shared" si="151"/>
        <v>-19.567999999999934</v>
      </c>
      <c r="L112" s="249">
        <f t="shared" si="151"/>
        <v>-626.04399999999998</v>
      </c>
      <c r="M112" s="525">
        <f>M106+M110</f>
        <v>-231.65399999999997</v>
      </c>
      <c r="N112" s="525">
        <f t="shared" si="151"/>
        <v>-158.68900000000002</v>
      </c>
      <c r="O112" s="525">
        <f t="shared" si="151"/>
        <v>-166.577</v>
      </c>
      <c r="P112" s="525">
        <f t="shared" si="151"/>
        <v>-178.59399999999994</v>
      </c>
      <c r="Q112" s="249">
        <f t="shared" si="151"/>
        <v>-735.5139999999999</v>
      </c>
      <c r="R112" s="525">
        <f t="shared" si="151"/>
        <v>-198.40499999999997</v>
      </c>
      <c r="S112" s="525">
        <f t="shared" si="151"/>
        <v>-190.86099999999999</v>
      </c>
      <c r="T112" s="525">
        <f t="shared" si="151"/>
        <v>-92.485999999999933</v>
      </c>
      <c r="U112" s="525">
        <f t="shared" si="151"/>
        <v>-76.048000000000002</v>
      </c>
      <c r="V112" s="249">
        <f>SUM(R112:U112)</f>
        <v>-557.79999999999995</v>
      </c>
      <c r="W112" s="525">
        <f t="shared" si="151"/>
        <v>-30.616999999999983</v>
      </c>
      <c r="X112" s="525">
        <f t="shared" si="151"/>
        <v>-18.02099999999999</v>
      </c>
      <c r="Y112" s="525">
        <f t="shared" si="151"/>
        <v>-39.033999999999992</v>
      </c>
      <c r="Z112" s="525">
        <f t="shared" si="151"/>
        <v>20.305999999999937</v>
      </c>
      <c r="AA112" s="249">
        <f>SUM(W112:Z112)</f>
        <v>-67.366000000000028</v>
      </c>
      <c r="AB112" s="525">
        <f t="shared" si="151"/>
        <v>253.53299999999999</v>
      </c>
      <c r="AC112" s="525">
        <f t="shared" si="151"/>
        <v>35.5060000000001</v>
      </c>
      <c r="AD112" s="525">
        <f t="shared" si="151"/>
        <v>-417.16999999999996</v>
      </c>
      <c r="AE112" s="525">
        <f t="shared" si="151"/>
        <v>112.44199999999999</v>
      </c>
      <c r="AF112" s="249">
        <f>AF106+AF110</f>
        <v>-15.688999999999737</v>
      </c>
      <c r="AG112" s="525">
        <f t="shared" si="151"/>
        <v>72.836505935452038</v>
      </c>
      <c r="AH112" s="525">
        <f t="shared" si="151"/>
        <v>112.41238117450692</v>
      </c>
      <c r="AI112" s="525">
        <f t="shared" si="151"/>
        <v>156.38557588456811</v>
      </c>
      <c r="AJ112" s="525">
        <f t="shared" si="151"/>
        <v>180.73324601318052</v>
      </c>
      <c r="AK112" s="249">
        <f>AK106+AK110</f>
        <v>522.36770900770773</v>
      </c>
      <c r="AL112" s="525"/>
      <c r="AM112" s="525"/>
      <c r="AN112" s="525"/>
      <c r="AO112" s="525"/>
      <c r="AP112" s="249">
        <f>AP106+AP110</f>
        <v>672.00411994160345</v>
      </c>
      <c r="AQ112" s="525"/>
      <c r="AR112" s="525"/>
      <c r="AS112" s="525"/>
      <c r="AT112" s="525"/>
      <c r="AU112" s="249">
        <f>AU106+AU110</f>
        <v>1595.7559857770864</v>
      </c>
      <c r="AV112" s="525"/>
      <c r="AW112" s="525"/>
      <c r="AX112" s="525"/>
      <c r="AY112" s="525"/>
      <c r="AZ112" s="249">
        <f>AZ106+AZ110</f>
        <v>2761.2751784833622</v>
      </c>
      <c r="BA112" s="525"/>
      <c r="BB112" s="525"/>
      <c r="BC112" s="525"/>
      <c r="BD112" s="525"/>
      <c r="BE112" s="249">
        <f>BE106+BE110</f>
        <v>3545.1287249927823</v>
      </c>
      <c r="BF112" s="525"/>
      <c r="BG112" s="525"/>
      <c r="BH112" s="525"/>
      <c r="BI112" s="525"/>
      <c r="BJ112" s="249">
        <f>BJ106+BJ110</f>
        <v>3977.4732353833779</v>
      </c>
      <c r="BK112" s="525"/>
      <c r="BL112" s="525"/>
      <c r="BM112" s="525"/>
      <c r="BN112" s="525"/>
      <c r="BO112" s="249">
        <f>BO106+BO110</f>
        <v>4283.450605256864</v>
      </c>
      <c r="BP112" s="525"/>
      <c r="BQ112" s="525"/>
      <c r="BR112" s="525"/>
      <c r="BS112" s="525"/>
      <c r="BT112" s="249">
        <f>BT106+BT110</f>
        <v>5140.8071788132747</v>
      </c>
      <c r="BU112" s="525"/>
      <c r="BV112" s="525"/>
      <c r="BW112" s="525"/>
      <c r="BX112" s="525"/>
      <c r="BY112" s="249">
        <f>BY106+BY110</f>
        <v>6760.9209521322646</v>
      </c>
      <c r="BZ112" s="525"/>
      <c r="CA112" s="525"/>
      <c r="CB112" s="525"/>
      <c r="CC112" s="525"/>
      <c r="CD112" s="249">
        <f>CD106+CD110</f>
        <v>7117.9783050920332</v>
      </c>
      <c r="CE112" s="525"/>
      <c r="CF112" s="525"/>
      <c r="CG112" s="525"/>
      <c r="CH112" s="525"/>
      <c r="CI112" s="249">
        <f>CI106+CI110</f>
        <v>7524.2531156520736</v>
      </c>
      <c r="CJ112" s="525"/>
      <c r="CK112" s="525"/>
      <c r="CL112" s="525"/>
      <c r="CM112" s="525"/>
      <c r="CN112" s="249">
        <f>CN106+CN110</f>
        <v>7850.4751164100298</v>
      </c>
      <c r="CO112" s="525"/>
      <c r="CP112" s="525"/>
      <c r="CQ112" s="525"/>
      <c r="CR112" s="525"/>
      <c r="CS112" s="249">
        <f>CS106+CS110</f>
        <v>8297.5073546742424</v>
      </c>
      <c r="CT112" s="133"/>
      <c r="CY112"/>
      <c r="CZ112"/>
      <c r="DA112"/>
      <c r="DB112"/>
      <c r="DC112"/>
      <c r="DD112"/>
    </row>
    <row r="113" spans="2:108" s="7" customFormat="1">
      <c r="B113" s="25" t="s">
        <v>51</v>
      </c>
      <c r="C113" s="9"/>
      <c r="D113" s="9"/>
      <c r="E113" s="9"/>
      <c r="F113" s="10"/>
      <c r="G113" s="12"/>
      <c r="H113" s="522">
        <v>-130.31299999999999</v>
      </c>
      <c r="I113" s="522">
        <v>-1.7989999999999999</v>
      </c>
      <c r="J113" s="522">
        <v>2.5550000000000002</v>
      </c>
      <c r="K113" s="576">
        <v>1.3520000000000001</v>
      </c>
      <c r="L113" s="246">
        <v>-122.422</v>
      </c>
      <c r="M113" s="522">
        <v>0.80300000000000005</v>
      </c>
      <c r="N113" s="522">
        <v>0.69299999999999995</v>
      </c>
      <c r="O113" s="522">
        <v>3.419</v>
      </c>
      <c r="P113" s="576">
        <v>2.0430000000000001</v>
      </c>
      <c r="Q113" s="246">
        <f t="shared" ref="Q113" si="152">SUM(M113:P113)</f>
        <v>6.9580000000000002</v>
      </c>
      <c r="R113" s="522">
        <v>0.29899999999999999</v>
      </c>
      <c r="S113" s="522">
        <v>30.131</v>
      </c>
      <c r="T113" s="522">
        <v>1.33</v>
      </c>
      <c r="U113" s="522">
        <v>-1.379</v>
      </c>
      <c r="V113" s="246">
        <f t="shared" ref="V113" si="153">SUM(R113:U113)</f>
        <v>30.380999999999997</v>
      </c>
      <c r="W113" s="519">
        <v>5.4850000000000003</v>
      </c>
      <c r="X113" s="519">
        <v>18.13</v>
      </c>
      <c r="Y113" s="519">
        <v>0.503</v>
      </c>
      <c r="Z113" s="519">
        <v>-7.4530000000000003</v>
      </c>
      <c r="AA113" s="246">
        <f t="shared" ref="AA113" si="154">SUM(W113:Z113)</f>
        <v>16.664999999999999</v>
      </c>
      <c r="AB113" s="570">
        <v>3.9849999999999999</v>
      </c>
      <c r="AC113" s="570">
        <v>4.3369999999999997</v>
      </c>
      <c r="AD113" s="570">
        <v>-125.90300000000001</v>
      </c>
      <c r="AE113" s="570">
        <v>10.257</v>
      </c>
      <c r="AF113" s="246">
        <f>AE113+AD113+AC113+AB113</f>
        <v>-107.324</v>
      </c>
      <c r="AG113" s="519">
        <f>AG112*AG114</f>
        <v>0</v>
      </c>
      <c r="AH113" s="519">
        <f t="shared" ref="AH113:AJ113" si="155">AH112*AH114</f>
        <v>0</v>
      </c>
      <c r="AI113" s="519">
        <f t="shared" si="155"/>
        <v>0</v>
      </c>
      <c r="AJ113" s="519">
        <f t="shared" si="155"/>
        <v>0</v>
      </c>
      <c r="AK113" s="400">
        <f>AK42</f>
        <v>0</v>
      </c>
      <c r="AL113" s="519"/>
      <c r="AM113" s="519"/>
      <c r="AN113" s="519"/>
      <c r="AO113" s="519"/>
      <c r="AP113" s="400">
        <f>AP42</f>
        <v>0</v>
      </c>
      <c r="AQ113" s="519"/>
      <c r="AR113" s="519"/>
      <c r="AS113" s="519"/>
      <c r="AT113" s="519"/>
      <c r="AU113" s="400">
        <f>AU42</f>
        <v>0</v>
      </c>
      <c r="AV113" s="519"/>
      <c r="AW113" s="519"/>
      <c r="AX113" s="519"/>
      <c r="AY113" s="519"/>
      <c r="AZ113" s="400">
        <f>AZ42</f>
        <v>0</v>
      </c>
      <c r="BA113" s="519"/>
      <c r="BB113" s="519"/>
      <c r="BC113" s="519"/>
      <c r="BD113" s="519"/>
      <c r="BE113" s="400">
        <f>BE42</f>
        <v>643.73552441354684</v>
      </c>
      <c r="BF113" s="519"/>
      <c r="BG113" s="519"/>
      <c r="BH113" s="519"/>
      <c r="BI113" s="519"/>
      <c r="BJ113" s="400">
        <f>BJ42</f>
        <v>855.15674560742627</v>
      </c>
      <c r="BK113" s="519"/>
      <c r="BL113" s="519"/>
      <c r="BM113" s="519"/>
      <c r="BN113" s="519"/>
      <c r="BO113" s="400">
        <f>BO42</f>
        <v>920.94188013022574</v>
      </c>
      <c r="BP113" s="519"/>
      <c r="BQ113" s="519"/>
      <c r="BR113" s="519"/>
      <c r="BS113" s="519"/>
      <c r="BT113" s="400">
        <f>BT42</f>
        <v>1105.2735434448541</v>
      </c>
      <c r="BU113" s="519"/>
      <c r="BV113" s="519"/>
      <c r="BW113" s="519"/>
      <c r="BX113" s="519"/>
      <c r="BY113" s="400">
        <f>BY42</f>
        <v>1453.598004708437</v>
      </c>
      <c r="BZ113" s="519"/>
      <c r="CA113" s="519"/>
      <c r="CB113" s="519"/>
      <c r="CC113" s="519"/>
      <c r="CD113" s="400">
        <f>CD42</f>
        <v>1530.3653355947872</v>
      </c>
      <c r="CE113" s="519"/>
      <c r="CF113" s="519"/>
      <c r="CG113" s="519"/>
      <c r="CH113" s="519"/>
      <c r="CI113" s="400">
        <f>CI42</f>
        <v>1617.7144198651959</v>
      </c>
      <c r="CJ113" s="519"/>
      <c r="CK113" s="519"/>
      <c r="CL113" s="519"/>
      <c r="CM113" s="519"/>
      <c r="CN113" s="400">
        <f>CN42</f>
        <v>1687.8521500281563</v>
      </c>
      <c r="CO113" s="519"/>
      <c r="CP113" s="519"/>
      <c r="CQ113" s="519"/>
      <c r="CR113" s="519"/>
      <c r="CS113" s="400">
        <f>CS42</f>
        <v>1783.9640812549621</v>
      </c>
      <c r="CT113" s="133"/>
      <c r="CY113"/>
      <c r="CZ113"/>
      <c r="DA113"/>
      <c r="DB113"/>
      <c r="DC113"/>
      <c r="DD113"/>
    </row>
    <row r="114" spans="2:108" s="27" customFormat="1">
      <c r="B114" s="26" t="s">
        <v>52</v>
      </c>
      <c r="C114" s="29"/>
      <c r="D114" s="29"/>
      <c r="E114" s="29"/>
      <c r="F114" s="30"/>
      <c r="G114" s="28"/>
      <c r="H114" s="578">
        <f t="shared" ref="H114:AU114" si="156">IF(H112&lt;0,0,H113/H112)</f>
        <v>0</v>
      </c>
      <c r="I114" s="578">
        <f t="shared" si="156"/>
        <v>0</v>
      </c>
      <c r="J114" s="578">
        <f t="shared" si="156"/>
        <v>0</v>
      </c>
      <c r="K114" s="579">
        <f t="shared" si="156"/>
        <v>0</v>
      </c>
      <c r="L114" s="408">
        <f t="shared" si="156"/>
        <v>0</v>
      </c>
      <c r="M114" s="578">
        <f t="shared" si="156"/>
        <v>0</v>
      </c>
      <c r="N114" s="578">
        <f t="shared" si="156"/>
        <v>0</v>
      </c>
      <c r="O114" s="578">
        <f t="shared" si="156"/>
        <v>0</v>
      </c>
      <c r="P114" s="579">
        <f t="shared" si="156"/>
        <v>0</v>
      </c>
      <c r="Q114" s="408">
        <f t="shared" ref="Q114" si="157">IF(Q112&lt;0,0,Q113/Q112)</f>
        <v>0</v>
      </c>
      <c r="R114" s="526">
        <f t="shared" si="156"/>
        <v>0</v>
      </c>
      <c r="S114" s="526">
        <f t="shared" si="156"/>
        <v>0</v>
      </c>
      <c r="T114" s="526">
        <f t="shared" si="156"/>
        <v>0</v>
      </c>
      <c r="U114" s="526">
        <f t="shared" si="156"/>
        <v>0</v>
      </c>
      <c r="V114" s="28">
        <f t="shared" si="156"/>
        <v>0</v>
      </c>
      <c r="W114" s="526">
        <f t="shared" si="156"/>
        <v>0</v>
      </c>
      <c r="X114" s="526">
        <f t="shared" si="156"/>
        <v>0</v>
      </c>
      <c r="Y114" s="526">
        <f t="shared" si="156"/>
        <v>0</v>
      </c>
      <c r="Z114" s="526">
        <f t="shared" si="156"/>
        <v>-0.36703437407662876</v>
      </c>
      <c r="AA114" s="28">
        <f t="shared" ref="AA114" si="158">IF(AA112&lt;0,0,AA113/AA112)</f>
        <v>0</v>
      </c>
      <c r="AB114" s="526">
        <v>0</v>
      </c>
      <c r="AC114" s="526">
        <v>0</v>
      </c>
      <c r="AD114" s="526">
        <v>0</v>
      </c>
      <c r="AE114" s="526">
        <v>0</v>
      </c>
      <c r="AF114" s="28">
        <f t="shared" si="156"/>
        <v>0</v>
      </c>
      <c r="AG114" s="526">
        <f>AK114</f>
        <v>0</v>
      </c>
      <c r="AH114" s="526">
        <f>AK114</f>
        <v>0</v>
      </c>
      <c r="AI114" s="526">
        <f>AK114</f>
        <v>0</v>
      </c>
      <c r="AJ114" s="526">
        <f>AK114</f>
        <v>0</v>
      </c>
      <c r="AK114" s="28">
        <f t="shared" si="156"/>
        <v>0</v>
      </c>
      <c r="AL114" s="526"/>
      <c r="AM114" s="526"/>
      <c r="AN114" s="526"/>
      <c r="AO114" s="526"/>
      <c r="AP114" s="28">
        <f t="shared" si="156"/>
        <v>0</v>
      </c>
      <c r="AQ114" s="526"/>
      <c r="AR114" s="526"/>
      <c r="AS114" s="526"/>
      <c r="AT114" s="526"/>
      <c r="AU114" s="28">
        <f t="shared" si="156"/>
        <v>0</v>
      </c>
      <c r="AV114" s="526"/>
      <c r="AW114" s="526"/>
      <c r="AX114" s="526"/>
      <c r="AY114" s="526"/>
      <c r="AZ114" s="28">
        <f t="shared" ref="AZ114" si="159">IF(AZ112&lt;0,0,AZ113/AZ112)</f>
        <v>0</v>
      </c>
      <c r="BA114" s="526"/>
      <c r="BB114" s="526"/>
      <c r="BC114" s="526"/>
      <c r="BD114" s="526"/>
      <c r="BE114" s="28">
        <f t="shared" ref="BE114" si="160">IF(BE112&lt;0,0,BE113/BE112)</f>
        <v>0.18158311710242833</v>
      </c>
      <c r="BF114" s="526"/>
      <c r="BG114" s="526"/>
      <c r="BH114" s="526"/>
      <c r="BI114" s="526"/>
      <c r="BJ114" s="28">
        <f t="shared" ref="BJ114" si="161">IF(BJ112&lt;0,0,BJ113/BJ112)</f>
        <v>0.215</v>
      </c>
      <c r="BK114" s="526"/>
      <c r="BL114" s="526"/>
      <c r="BM114" s="526"/>
      <c r="BN114" s="526"/>
      <c r="BO114" s="28">
        <f t="shared" ref="BO114" si="162">IF(BO112&lt;0,0,BO113/BO112)</f>
        <v>0.215</v>
      </c>
      <c r="BP114" s="526"/>
      <c r="BQ114" s="526"/>
      <c r="BR114" s="526"/>
      <c r="BS114" s="526"/>
      <c r="BT114" s="28">
        <f t="shared" ref="BT114" si="163">IF(BT112&lt;0,0,BT113/BT112)</f>
        <v>0.215</v>
      </c>
      <c r="BU114" s="526"/>
      <c r="BV114" s="526"/>
      <c r="BW114" s="526"/>
      <c r="BX114" s="526"/>
      <c r="BY114" s="28">
        <f t="shared" ref="BY114" si="164">IF(BY112&lt;0,0,BY113/BY112)</f>
        <v>0.21500000000000002</v>
      </c>
      <c r="BZ114" s="526"/>
      <c r="CA114" s="526"/>
      <c r="CB114" s="526"/>
      <c r="CC114" s="526"/>
      <c r="CD114" s="28">
        <f t="shared" ref="CD114" si="165">IF(CD112&lt;0,0,CD113/CD112)</f>
        <v>0.215</v>
      </c>
      <c r="CE114" s="526"/>
      <c r="CF114" s="526"/>
      <c r="CG114" s="526"/>
      <c r="CH114" s="526"/>
      <c r="CI114" s="28">
        <f t="shared" ref="CI114" si="166">IF(CI112&lt;0,0,CI113/CI112)</f>
        <v>0.215</v>
      </c>
      <c r="CJ114" s="526"/>
      <c r="CK114" s="526"/>
      <c r="CL114" s="526"/>
      <c r="CM114" s="526"/>
      <c r="CN114" s="28">
        <f t="shared" ref="CN114" si="167">IF(CN112&lt;0,0,CN113/CN112)</f>
        <v>0.215</v>
      </c>
      <c r="CO114" s="526"/>
      <c r="CP114" s="526"/>
      <c r="CQ114" s="526"/>
      <c r="CR114" s="526"/>
      <c r="CS114" s="28">
        <f t="shared" ref="CS114" si="168">IF(CS112&lt;0,0,CS113/CS112)</f>
        <v>0.215</v>
      </c>
      <c r="CT114" s="133"/>
      <c r="CY114"/>
      <c r="CZ114"/>
      <c r="DA114"/>
      <c r="DB114"/>
      <c r="DC114"/>
      <c r="DD114"/>
    </row>
    <row r="115" spans="2:108">
      <c r="C115" s="9"/>
      <c r="D115" s="9"/>
      <c r="E115" s="9"/>
      <c r="F115" s="10"/>
      <c r="G115" s="12"/>
      <c r="H115" s="522"/>
      <c r="I115" s="522"/>
      <c r="J115" s="522"/>
      <c r="K115" s="576"/>
      <c r="L115" s="246"/>
      <c r="M115" s="522"/>
      <c r="N115" s="522"/>
      <c r="O115" s="522"/>
      <c r="P115" s="576"/>
      <c r="Q115" s="246"/>
      <c r="R115" s="530"/>
      <c r="S115" s="530"/>
      <c r="T115" s="531"/>
      <c r="U115" s="531"/>
      <c r="V115" s="12"/>
      <c r="W115" s="531"/>
      <c r="X115" s="531"/>
      <c r="Y115" s="531"/>
      <c r="Z115" s="531"/>
      <c r="AA115" s="12"/>
      <c r="AB115" s="531"/>
      <c r="AC115" s="531"/>
      <c r="AD115" s="531"/>
      <c r="AE115" s="531"/>
      <c r="AF115" s="12"/>
      <c r="AG115" s="531"/>
      <c r="AH115" s="531"/>
      <c r="AI115" s="531"/>
      <c r="AJ115" s="531"/>
      <c r="AK115" s="12"/>
      <c r="AL115" s="531"/>
      <c r="AM115" s="531"/>
      <c r="AN115" s="531"/>
      <c r="AO115" s="531"/>
      <c r="AP115" s="12"/>
      <c r="AQ115" s="531"/>
      <c r="AR115" s="531"/>
      <c r="AS115" s="531"/>
      <c r="AT115" s="531"/>
      <c r="AU115" s="12"/>
      <c r="AV115" s="531"/>
      <c r="AW115" s="531"/>
      <c r="AX115" s="531"/>
      <c r="AY115" s="531"/>
      <c r="AZ115" s="12"/>
      <c r="BA115" s="531"/>
      <c r="BB115" s="531"/>
      <c r="BC115" s="531"/>
      <c r="BD115" s="531"/>
      <c r="BE115" s="12"/>
      <c r="BF115" s="531"/>
      <c r="BG115" s="531"/>
      <c r="BH115" s="531"/>
      <c r="BI115" s="531"/>
      <c r="BJ115" s="12"/>
      <c r="BK115" s="531"/>
      <c r="BL115" s="531"/>
      <c r="BM115" s="531"/>
      <c r="BN115" s="531"/>
      <c r="BO115" s="12"/>
      <c r="BP115" s="531"/>
      <c r="BQ115" s="531"/>
      <c r="BR115" s="531"/>
      <c r="BS115" s="531"/>
      <c r="BT115" s="12"/>
      <c r="BU115" s="531"/>
      <c r="BV115" s="531"/>
      <c r="BW115" s="531"/>
      <c r="BX115" s="531"/>
      <c r="BY115" s="12"/>
      <c r="BZ115" s="531"/>
      <c r="CA115" s="531"/>
      <c r="CB115" s="531"/>
      <c r="CC115" s="531"/>
      <c r="CD115" s="12"/>
      <c r="CE115" s="531"/>
      <c r="CF115" s="531"/>
      <c r="CG115" s="531"/>
      <c r="CH115" s="531"/>
      <c r="CI115" s="12"/>
      <c r="CJ115" s="531"/>
      <c r="CK115" s="531"/>
      <c r="CL115" s="531"/>
      <c r="CM115" s="531"/>
      <c r="CN115" s="12"/>
      <c r="CO115" s="531"/>
      <c r="CP115" s="531"/>
      <c r="CQ115" s="531"/>
      <c r="CR115" s="531"/>
      <c r="CS115" s="12"/>
      <c r="CT115" s="133"/>
    </row>
    <row r="116" spans="2:108" s="7" customFormat="1">
      <c r="B116" s="31" t="s">
        <v>181</v>
      </c>
      <c r="C116" s="22"/>
      <c r="D116" s="23"/>
      <c r="E116" s="23"/>
      <c r="F116" s="23"/>
      <c r="G116" s="24"/>
      <c r="H116" s="523">
        <f t="shared" ref="H116:U116" si="169">H112-H113</f>
        <v>-312.62700000000001</v>
      </c>
      <c r="I116" s="523">
        <f t="shared" si="169"/>
        <v>-61.712000000000003</v>
      </c>
      <c r="J116" s="523">
        <f t="shared" si="169"/>
        <v>-121.455</v>
      </c>
      <c r="K116" s="523">
        <f t="shared" si="169"/>
        <v>-20.919999999999934</v>
      </c>
      <c r="L116" s="248">
        <f t="shared" si="169"/>
        <v>-503.62199999999996</v>
      </c>
      <c r="M116" s="523">
        <f t="shared" si="169"/>
        <v>-232.45699999999997</v>
      </c>
      <c r="N116" s="523">
        <f t="shared" si="169"/>
        <v>-159.38200000000003</v>
      </c>
      <c r="O116" s="523">
        <f t="shared" si="169"/>
        <v>-169.99600000000001</v>
      </c>
      <c r="P116" s="523">
        <f t="shared" si="169"/>
        <v>-180.63699999999994</v>
      </c>
      <c r="Q116" s="248">
        <f t="shared" si="169"/>
        <v>-742.47199999999987</v>
      </c>
      <c r="R116" s="523">
        <f t="shared" si="169"/>
        <v>-198.70399999999998</v>
      </c>
      <c r="S116" s="523">
        <f t="shared" si="169"/>
        <v>-220.99199999999999</v>
      </c>
      <c r="T116" s="523">
        <f t="shared" si="169"/>
        <v>-93.815999999999931</v>
      </c>
      <c r="U116" s="523">
        <f t="shared" si="169"/>
        <v>-74.668999999999997</v>
      </c>
      <c r="V116" s="248">
        <f>SUM(R116:U116)</f>
        <v>-588.18099999999993</v>
      </c>
      <c r="W116" s="523">
        <f t="shared" ref="W116:AJ116" si="170">W112-W113</f>
        <v>-36.101999999999983</v>
      </c>
      <c r="X116" s="523">
        <f t="shared" si="170"/>
        <v>-36.150999999999989</v>
      </c>
      <c r="Y116" s="523">
        <f t="shared" si="170"/>
        <v>-39.536999999999992</v>
      </c>
      <c r="Z116" s="523">
        <f t="shared" si="170"/>
        <v>27.758999999999936</v>
      </c>
      <c r="AA116" s="248">
        <f>SUM(W116:Z116)</f>
        <v>-84.031000000000034</v>
      </c>
      <c r="AB116" s="523">
        <f t="shared" si="170"/>
        <v>249.54799999999997</v>
      </c>
      <c r="AC116" s="523">
        <f t="shared" si="170"/>
        <v>31.1690000000001</v>
      </c>
      <c r="AD116" s="523">
        <f t="shared" si="170"/>
        <v>-291.26699999999994</v>
      </c>
      <c r="AE116" s="523">
        <f t="shared" si="170"/>
        <v>102.18499999999999</v>
      </c>
      <c r="AF116" s="248">
        <f>AF112-AF113</f>
        <v>91.635000000000261</v>
      </c>
      <c r="AG116" s="523">
        <f t="shared" si="170"/>
        <v>72.836505935452038</v>
      </c>
      <c r="AH116" s="523">
        <f t="shared" si="170"/>
        <v>112.41238117450692</v>
      </c>
      <c r="AI116" s="523">
        <f t="shared" si="170"/>
        <v>156.38557588456811</v>
      </c>
      <c r="AJ116" s="523">
        <f t="shared" si="170"/>
        <v>180.73324601318052</v>
      </c>
      <c r="AK116" s="248">
        <f>AK112-AK113</f>
        <v>522.36770900770773</v>
      </c>
      <c r="AL116" s="523"/>
      <c r="AM116" s="523"/>
      <c r="AN116" s="523"/>
      <c r="AO116" s="523"/>
      <c r="AP116" s="248">
        <f>AP112-AP113</f>
        <v>672.00411994160345</v>
      </c>
      <c r="AQ116" s="523"/>
      <c r="AR116" s="523"/>
      <c r="AS116" s="523"/>
      <c r="AT116" s="523"/>
      <c r="AU116" s="248">
        <f>AU112-AU113</f>
        <v>1595.7559857770864</v>
      </c>
      <c r="AV116" s="523"/>
      <c r="AW116" s="523"/>
      <c r="AX116" s="523"/>
      <c r="AY116" s="523"/>
      <c r="AZ116" s="248">
        <f>AZ112-AZ113</f>
        <v>2761.2751784833622</v>
      </c>
      <c r="BA116" s="523"/>
      <c r="BB116" s="523"/>
      <c r="BC116" s="523"/>
      <c r="BD116" s="523"/>
      <c r="BE116" s="248">
        <f>BE112-BE113</f>
        <v>2901.3932005792353</v>
      </c>
      <c r="BF116" s="523"/>
      <c r="BG116" s="523"/>
      <c r="BH116" s="523"/>
      <c r="BI116" s="523"/>
      <c r="BJ116" s="248">
        <f>BJ112-BJ113</f>
        <v>3122.3164897759516</v>
      </c>
      <c r="BK116" s="523"/>
      <c r="BL116" s="523"/>
      <c r="BM116" s="523"/>
      <c r="BN116" s="523"/>
      <c r="BO116" s="248">
        <f>BO112-BO113</f>
        <v>3362.5087251266382</v>
      </c>
      <c r="BP116" s="523"/>
      <c r="BQ116" s="523"/>
      <c r="BR116" s="523"/>
      <c r="BS116" s="523"/>
      <c r="BT116" s="248">
        <f>BT112-BT113</f>
        <v>4035.5336353684206</v>
      </c>
      <c r="BU116" s="523"/>
      <c r="BV116" s="523"/>
      <c r="BW116" s="523"/>
      <c r="BX116" s="523"/>
      <c r="BY116" s="248">
        <f>BY112-BY113</f>
        <v>5307.3229474238278</v>
      </c>
      <c r="BZ116" s="523"/>
      <c r="CA116" s="523"/>
      <c r="CB116" s="523"/>
      <c r="CC116" s="523"/>
      <c r="CD116" s="248">
        <f>CD112-CD113</f>
        <v>5587.612969497246</v>
      </c>
      <c r="CE116" s="523"/>
      <c r="CF116" s="523"/>
      <c r="CG116" s="523"/>
      <c r="CH116" s="523"/>
      <c r="CI116" s="248">
        <f>CI112-CI113</f>
        <v>5906.5386957868777</v>
      </c>
      <c r="CJ116" s="523"/>
      <c r="CK116" s="523"/>
      <c r="CL116" s="523"/>
      <c r="CM116" s="523"/>
      <c r="CN116" s="248">
        <f>CN112-CN113</f>
        <v>6162.622966381874</v>
      </c>
      <c r="CO116" s="523"/>
      <c r="CP116" s="523"/>
      <c r="CQ116" s="523"/>
      <c r="CR116" s="523"/>
      <c r="CS116" s="248">
        <f>CS112-CS113</f>
        <v>6513.54327341928</v>
      </c>
      <c r="CT116" s="133"/>
      <c r="CY116"/>
      <c r="CZ116"/>
      <c r="DA116"/>
      <c r="DB116"/>
      <c r="DC116"/>
      <c r="DD116"/>
    </row>
    <row r="117" spans="2:108">
      <c r="B117" s="15"/>
      <c r="C117" s="9"/>
      <c r="D117" s="9"/>
      <c r="E117" s="9"/>
      <c r="F117" s="10"/>
      <c r="G117" s="12"/>
      <c r="H117" s="522"/>
      <c r="I117" s="522"/>
      <c r="J117" s="522"/>
      <c r="K117" s="576"/>
      <c r="L117" s="246"/>
      <c r="M117" s="522"/>
      <c r="N117" s="522"/>
      <c r="O117" s="522"/>
      <c r="P117" s="576"/>
      <c r="Q117" s="246"/>
      <c r="R117" s="530"/>
      <c r="S117" s="530"/>
      <c r="T117" s="531"/>
      <c r="U117" s="531"/>
      <c r="V117" s="12"/>
      <c r="W117" s="531"/>
      <c r="X117" s="531"/>
      <c r="Y117" s="531"/>
      <c r="Z117" s="531"/>
      <c r="AA117" s="12"/>
      <c r="AB117" s="531"/>
      <c r="AC117" s="531"/>
      <c r="AD117" s="531"/>
      <c r="AE117" s="531"/>
      <c r="AF117" s="12"/>
      <c r="AG117" s="531"/>
      <c r="AH117" s="531"/>
      <c r="AI117" s="531"/>
      <c r="AJ117" s="531"/>
      <c r="AK117" s="12"/>
      <c r="AL117" s="531"/>
      <c r="AM117" s="531"/>
      <c r="AN117" s="531"/>
      <c r="AO117" s="531"/>
      <c r="AP117" s="12"/>
      <c r="AQ117" s="531"/>
      <c r="AR117" s="531"/>
      <c r="AS117" s="531"/>
      <c r="AT117" s="531"/>
      <c r="AU117" s="12"/>
      <c r="AV117" s="531"/>
      <c r="AW117" s="531"/>
      <c r="AX117" s="531"/>
      <c r="AY117" s="531"/>
      <c r="AZ117" s="12"/>
      <c r="BA117" s="531"/>
      <c r="BB117" s="531"/>
      <c r="BC117" s="531"/>
      <c r="BD117" s="531"/>
      <c r="BE117" s="12"/>
      <c r="BF117" s="531"/>
      <c r="BG117" s="531"/>
      <c r="BH117" s="531"/>
      <c r="BI117" s="531"/>
      <c r="BJ117" s="12"/>
      <c r="BK117" s="531"/>
      <c r="BL117" s="531"/>
      <c r="BM117" s="531"/>
      <c r="BN117" s="531"/>
      <c r="BO117" s="12"/>
      <c r="BP117" s="531"/>
      <c r="BQ117" s="531"/>
      <c r="BR117" s="531"/>
      <c r="BS117" s="531"/>
      <c r="BT117" s="12"/>
      <c r="BU117" s="531"/>
      <c r="BV117" s="531"/>
      <c r="BW117" s="531"/>
      <c r="BX117" s="531"/>
      <c r="BY117" s="12"/>
      <c r="BZ117" s="531"/>
      <c r="CA117" s="531"/>
      <c r="CB117" s="531"/>
      <c r="CC117" s="531"/>
      <c r="CD117" s="12"/>
      <c r="CE117" s="531"/>
      <c r="CF117" s="531"/>
      <c r="CG117" s="531"/>
      <c r="CH117" s="531"/>
      <c r="CI117" s="12"/>
      <c r="CJ117" s="531"/>
      <c r="CK117" s="531"/>
      <c r="CL117" s="531"/>
      <c r="CM117" s="531"/>
      <c r="CN117" s="12"/>
      <c r="CO117" s="531"/>
      <c r="CP117" s="531"/>
      <c r="CQ117" s="531"/>
      <c r="CR117" s="531"/>
      <c r="CS117" s="12"/>
      <c r="CT117" s="133"/>
    </row>
    <row r="118" spans="2:108">
      <c r="B118" s="15" t="s">
        <v>183</v>
      </c>
      <c r="C118" s="9"/>
      <c r="D118" s="9"/>
      <c r="E118" s="9"/>
      <c r="F118" s="10"/>
      <c r="G118" s="12"/>
      <c r="H118" s="522">
        <v>0</v>
      </c>
      <c r="I118" s="522">
        <v>0</v>
      </c>
      <c r="J118" s="522">
        <v>7.2069999999999999</v>
      </c>
      <c r="K118" s="576">
        <v>163.62899999999999</v>
      </c>
      <c r="L118" s="246">
        <v>183.928</v>
      </c>
      <c r="M118" s="522">
        <v>0</v>
      </c>
      <c r="N118" s="522">
        <v>0</v>
      </c>
      <c r="O118" s="522">
        <v>6.4000000000000001E-2</v>
      </c>
      <c r="P118" s="576">
        <v>0.20899999999999999</v>
      </c>
      <c r="Q118" s="246">
        <f t="shared" ref="Q118:Q119" si="171">SUM(M118:P118)</f>
        <v>0.27300000000000002</v>
      </c>
      <c r="R118" s="522">
        <v>0</v>
      </c>
      <c r="S118" s="522">
        <v>0</v>
      </c>
      <c r="T118" s="522">
        <v>0</v>
      </c>
      <c r="U118" s="522">
        <v>0</v>
      </c>
      <c r="V118" s="246">
        <f t="shared" ref="V118:V119" si="172">SUM(R118:U118)</f>
        <v>0</v>
      </c>
      <c r="W118" s="519">
        <v>0</v>
      </c>
      <c r="X118" s="519">
        <v>0</v>
      </c>
      <c r="Y118" s="519">
        <v>0</v>
      </c>
      <c r="Z118" s="519">
        <v>0</v>
      </c>
      <c r="AA118" s="246">
        <f t="shared" ref="AA118:AA119" si="173">SUM(W118:Z118)</f>
        <v>0</v>
      </c>
      <c r="AB118" s="522">
        <v>0</v>
      </c>
      <c r="AC118" s="522">
        <v>0</v>
      </c>
      <c r="AD118" s="522">
        <v>0</v>
      </c>
      <c r="AE118" s="522">
        <v>0</v>
      </c>
      <c r="AF118" s="246">
        <f>AE118+AD118+AC118+AB118</f>
        <v>0</v>
      </c>
      <c r="AG118" s="522">
        <v>0</v>
      </c>
      <c r="AH118" s="522">
        <v>0</v>
      </c>
      <c r="AI118" s="522">
        <v>0</v>
      </c>
      <c r="AJ118" s="522">
        <v>0</v>
      </c>
      <c r="AK118" s="247">
        <f t="shared" ref="AK118:AK119" si="174">SUM(AG118:AJ118)</f>
        <v>0</v>
      </c>
      <c r="AL118" s="522"/>
      <c r="AM118" s="522"/>
      <c r="AN118" s="522"/>
      <c r="AO118" s="522"/>
      <c r="AP118" s="247">
        <f t="shared" ref="AP118:AP119" si="175">SUM(AL118:AO118)</f>
        <v>0</v>
      </c>
      <c r="AQ118" s="522"/>
      <c r="AR118" s="522"/>
      <c r="AS118" s="522"/>
      <c r="AT118" s="522"/>
      <c r="AU118" s="247">
        <f t="shared" ref="AU118:AU119" si="176">SUM(AQ118:AT118)</f>
        <v>0</v>
      </c>
      <c r="AV118" s="522"/>
      <c r="AW118" s="522"/>
      <c r="AX118" s="522"/>
      <c r="AY118" s="522"/>
      <c r="AZ118" s="247">
        <f t="shared" ref="AZ118:AZ119" si="177">SUM(AV118:AY118)</f>
        <v>0</v>
      </c>
      <c r="BA118" s="522"/>
      <c r="BB118" s="522"/>
      <c r="BC118" s="522"/>
      <c r="BD118" s="522"/>
      <c r="BE118" s="247">
        <f t="shared" ref="BE118:BE119" si="178">SUM(BA118:BD118)</f>
        <v>0</v>
      </c>
      <c r="BF118" s="522"/>
      <c r="BG118" s="522"/>
      <c r="BH118" s="522"/>
      <c r="BI118" s="522"/>
      <c r="BJ118" s="247">
        <f t="shared" ref="BJ118:BJ119" si="179">SUM(BF118:BI118)</f>
        <v>0</v>
      </c>
      <c r="BK118" s="522"/>
      <c r="BL118" s="522"/>
      <c r="BM118" s="522"/>
      <c r="BN118" s="522"/>
      <c r="BO118" s="247">
        <f t="shared" ref="BO118:BO119" si="180">SUM(BK118:BN118)</f>
        <v>0</v>
      </c>
      <c r="BP118" s="522"/>
      <c r="BQ118" s="522"/>
      <c r="BR118" s="522"/>
      <c r="BS118" s="522"/>
      <c r="BT118" s="247">
        <f t="shared" ref="BT118:BT119" si="181">SUM(BP118:BS118)</f>
        <v>0</v>
      </c>
      <c r="BU118" s="522"/>
      <c r="BV118" s="522"/>
      <c r="BW118" s="522"/>
      <c r="BX118" s="522"/>
      <c r="BY118" s="247">
        <f t="shared" ref="BY118:BY119" si="182">SUM(BU118:BX118)</f>
        <v>0</v>
      </c>
      <c r="BZ118" s="522"/>
      <c r="CA118" s="522"/>
      <c r="CB118" s="522"/>
      <c r="CC118" s="522"/>
      <c r="CD118" s="247">
        <f t="shared" ref="CD118:CD119" si="183">SUM(BZ118:CC118)</f>
        <v>0</v>
      </c>
      <c r="CE118" s="522"/>
      <c r="CF118" s="522"/>
      <c r="CG118" s="522"/>
      <c r="CH118" s="522"/>
      <c r="CI118" s="247">
        <f t="shared" ref="CI118:CI119" si="184">SUM(CE118:CH118)</f>
        <v>0</v>
      </c>
      <c r="CJ118" s="522"/>
      <c r="CK118" s="522"/>
      <c r="CL118" s="522"/>
      <c r="CM118" s="522"/>
      <c r="CN118" s="247">
        <f t="shared" ref="CN118:CN119" si="185">SUM(CJ118:CM118)</f>
        <v>0</v>
      </c>
      <c r="CO118" s="522"/>
      <c r="CP118" s="522"/>
      <c r="CQ118" s="522"/>
      <c r="CR118" s="522"/>
      <c r="CS118" s="247">
        <f t="shared" ref="CS118:CS119" si="186">SUM(CO118:CR118)</f>
        <v>0</v>
      </c>
      <c r="CT118" s="133"/>
    </row>
    <row r="119" spans="2:108">
      <c r="B119" s="15" t="s">
        <v>184</v>
      </c>
      <c r="C119" s="9"/>
      <c r="D119" s="9"/>
      <c r="E119" s="9"/>
      <c r="F119" s="10"/>
      <c r="G119" s="12"/>
      <c r="H119" s="522">
        <v>-4.6109999999999998</v>
      </c>
      <c r="I119" s="522">
        <v>-4.5469999999999997</v>
      </c>
      <c r="J119" s="522">
        <v>-4.53</v>
      </c>
      <c r="K119" s="576">
        <v>-228.834</v>
      </c>
      <c r="L119" s="246">
        <f t="shared" ref="L119" si="187">SUM(H119:K119)</f>
        <v>-242.52199999999999</v>
      </c>
      <c r="M119" s="522">
        <v>0</v>
      </c>
      <c r="N119" s="522">
        <v>0</v>
      </c>
      <c r="O119" s="522">
        <v>0</v>
      </c>
      <c r="P119" s="576">
        <v>-4.1900000000000004</v>
      </c>
      <c r="Q119" s="246">
        <f t="shared" si="171"/>
        <v>-4.1900000000000004</v>
      </c>
      <c r="R119" s="522">
        <v>-9.8000000000000004E-2</v>
      </c>
      <c r="S119" s="522">
        <v>-32.143999999999998</v>
      </c>
      <c r="T119" s="522">
        <v>1.333</v>
      </c>
      <c r="U119" s="522">
        <v>-0.93799999999999994</v>
      </c>
      <c r="V119" s="246">
        <f t="shared" si="172"/>
        <v>-31.846999999999998</v>
      </c>
      <c r="W119" s="519">
        <v>5.5289999999999999</v>
      </c>
      <c r="X119" s="519">
        <v>28.373999999999999</v>
      </c>
      <c r="Y119" s="519">
        <v>-0.69599999999999995</v>
      </c>
      <c r="Z119" s="519">
        <v>-5.1859999999999999</v>
      </c>
      <c r="AA119" s="246">
        <f t="shared" si="173"/>
        <v>28.021000000000001</v>
      </c>
      <c r="AB119" s="522">
        <v>1.792</v>
      </c>
      <c r="AC119" s="522">
        <v>13.173</v>
      </c>
      <c r="AD119" s="522">
        <v>-188.315</v>
      </c>
      <c r="AE119" s="522">
        <v>1.5009999999999999</v>
      </c>
      <c r="AF119" s="246">
        <f>AE119+AD119+AC119+AB119</f>
        <v>-171.84899999999999</v>
      </c>
      <c r="AG119" s="522">
        <v>0</v>
      </c>
      <c r="AH119" s="522">
        <v>0</v>
      </c>
      <c r="AI119" s="522">
        <v>0</v>
      </c>
      <c r="AJ119" s="522">
        <v>0</v>
      </c>
      <c r="AK119" s="247">
        <f t="shared" si="174"/>
        <v>0</v>
      </c>
      <c r="AL119" s="522"/>
      <c r="AM119" s="522"/>
      <c r="AN119" s="522"/>
      <c r="AO119" s="522"/>
      <c r="AP119" s="247">
        <f t="shared" si="175"/>
        <v>0</v>
      </c>
      <c r="AQ119" s="522"/>
      <c r="AR119" s="522"/>
      <c r="AS119" s="522"/>
      <c r="AT119" s="522"/>
      <c r="AU119" s="247">
        <f t="shared" si="176"/>
        <v>0</v>
      </c>
      <c r="AV119" s="522"/>
      <c r="AW119" s="522"/>
      <c r="AX119" s="522"/>
      <c r="AY119" s="522"/>
      <c r="AZ119" s="247">
        <f t="shared" si="177"/>
        <v>0</v>
      </c>
      <c r="BA119" s="522"/>
      <c r="BB119" s="522"/>
      <c r="BC119" s="522"/>
      <c r="BD119" s="522"/>
      <c r="BE119" s="247">
        <f t="shared" si="178"/>
        <v>0</v>
      </c>
      <c r="BF119" s="522"/>
      <c r="BG119" s="522"/>
      <c r="BH119" s="522"/>
      <c r="BI119" s="522"/>
      <c r="BJ119" s="247">
        <f t="shared" si="179"/>
        <v>0</v>
      </c>
      <c r="BK119" s="522"/>
      <c r="BL119" s="522"/>
      <c r="BM119" s="522"/>
      <c r="BN119" s="522"/>
      <c r="BO119" s="247">
        <f t="shared" si="180"/>
        <v>0</v>
      </c>
      <c r="BP119" s="522"/>
      <c r="BQ119" s="522"/>
      <c r="BR119" s="522"/>
      <c r="BS119" s="522"/>
      <c r="BT119" s="247">
        <f t="shared" si="181"/>
        <v>0</v>
      </c>
      <c r="BU119" s="522"/>
      <c r="BV119" s="522"/>
      <c r="BW119" s="522"/>
      <c r="BX119" s="522"/>
      <c r="BY119" s="247">
        <f t="shared" si="182"/>
        <v>0</v>
      </c>
      <c r="BZ119" s="522"/>
      <c r="CA119" s="522"/>
      <c r="CB119" s="522"/>
      <c r="CC119" s="522"/>
      <c r="CD119" s="247">
        <f t="shared" si="183"/>
        <v>0</v>
      </c>
      <c r="CE119" s="522"/>
      <c r="CF119" s="522"/>
      <c r="CG119" s="522"/>
      <c r="CH119" s="522"/>
      <c r="CI119" s="247">
        <f t="shared" si="184"/>
        <v>0</v>
      </c>
      <c r="CJ119" s="522"/>
      <c r="CK119" s="522"/>
      <c r="CL119" s="522"/>
      <c r="CM119" s="522"/>
      <c r="CN119" s="247">
        <f t="shared" si="185"/>
        <v>0</v>
      </c>
      <c r="CO119" s="522"/>
      <c r="CP119" s="522"/>
      <c r="CQ119" s="522"/>
      <c r="CR119" s="522"/>
      <c r="CS119" s="247">
        <f t="shared" si="186"/>
        <v>0</v>
      </c>
      <c r="CT119" s="133"/>
    </row>
    <row r="120" spans="2:108">
      <c r="B120" s="119" t="s">
        <v>37</v>
      </c>
      <c r="C120" s="9"/>
      <c r="D120" s="9"/>
      <c r="E120" s="9"/>
      <c r="F120" s="10"/>
      <c r="G120" s="12"/>
      <c r="H120" s="522"/>
      <c r="I120" s="522"/>
      <c r="J120" s="522">
        <v>-1.22</v>
      </c>
      <c r="K120" s="576"/>
      <c r="L120" s="246"/>
      <c r="M120" s="522"/>
      <c r="N120" s="522"/>
      <c r="O120" s="522"/>
      <c r="P120" s="576"/>
      <c r="Q120" s="246"/>
      <c r="R120" s="522"/>
      <c r="S120" s="522"/>
      <c r="T120" s="522"/>
      <c r="U120" s="522"/>
      <c r="V120" s="246"/>
      <c r="W120" s="519"/>
      <c r="X120" s="519"/>
      <c r="Y120" s="519"/>
      <c r="Z120" s="519"/>
      <c r="AA120" s="246"/>
      <c r="AB120" s="522"/>
      <c r="AC120" s="522"/>
      <c r="AD120" s="522"/>
      <c r="AE120" s="522"/>
      <c r="AF120" s="247"/>
      <c r="AG120" s="522"/>
      <c r="AH120" s="522"/>
      <c r="AI120" s="522"/>
      <c r="AJ120" s="522"/>
      <c r="AK120" s="247"/>
      <c r="AL120" s="522"/>
      <c r="AM120" s="522"/>
      <c r="AN120" s="522"/>
      <c r="AO120" s="522"/>
      <c r="AP120" s="247"/>
      <c r="AQ120" s="522"/>
      <c r="AR120" s="522"/>
      <c r="AS120" s="522"/>
      <c r="AT120" s="522"/>
      <c r="AU120" s="247"/>
      <c r="AV120" s="522"/>
      <c r="AW120" s="522"/>
      <c r="AX120" s="522"/>
      <c r="AY120" s="522"/>
      <c r="AZ120" s="247"/>
      <c r="BA120" s="522"/>
      <c r="BB120" s="522"/>
      <c r="BC120" s="522"/>
      <c r="BD120" s="522"/>
      <c r="BE120" s="247"/>
      <c r="BF120" s="522"/>
      <c r="BG120" s="522"/>
      <c r="BH120" s="522"/>
      <c r="BI120" s="522"/>
      <c r="BJ120" s="247"/>
      <c r="BK120" s="522"/>
      <c r="BL120" s="522"/>
      <c r="BM120" s="522"/>
      <c r="BN120" s="522"/>
      <c r="BO120" s="247"/>
      <c r="BP120" s="522"/>
      <c r="BQ120" s="522"/>
      <c r="BR120" s="522"/>
      <c r="BS120" s="522"/>
      <c r="BT120" s="247"/>
      <c r="BU120" s="522"/>
      <c r="BV120" s="522"/>
      <c r="BW120" s="522"/>
      <c r="BX120" s="522"/>
      <c r="BY120" s="247"/>
      <c r="BZ120" s="522"/>
      <c r="CA120" s="522"/>
      <c r="CB120" s="522"/>
      <c r="CC120" s="522"/>
      <c r="CD120" s="247"/>
      <c r="CE120" s="522"/>
      <c r="CF120" s="522"/>
      <c r="CG120" s="522"/>
      <c r="CH120" s="522"/>
      <c r="CI120" s="247"/>
      <c r="CJ120" s="522"/>
      <c r="CK120" s="522"/>
      <c r="CL120" s="522"/>
      <c r="CM120" s="522"/>
      <c r="CN120" s="247"/>
      <c r="CO120" s="522"/>
      <c r="CP120" s="522"/>
      <c r="CQ120" s="522"/>
      <c r="CR120" s="522"/>
      <c r="CS120" s="247"/>
      <c r="CT120" s="133"/>
    </row>
    <row r="121" spans="2:108">
      <c r="B121" s="15"/>
      <c r="C121" s="9"/>
      <c r="D121" s="9"/>
      <c r="E121" s="9"/>
      <c r="F121" s="10"/>
      <c r="G121" s="12"/>
      <c r="H121" s="522"/>
      <c r="I121" s="522"/>
      <c r="J121" s="522"/>
      <c r="K121" s="576"/>
      <c r="L121" s="246"/>
      <c r="M121" s="522"/>
      <c r="N121" s="522"/>
      <c r="O121" s="522"/>
      <c r="P121" s="576"/>
      <c r="Q121" s="12"/>
      <c r="R121" s="530"/>
      <c r="S121" s="530"/>
      <c r="T121" s="531"/>
      <c r="U121" s="531"/>
      <c r="V121" s="12"/>
      <c r="W121" s="531"/>
      <c r="X121" s="531"/>
      <c r="Y121" s="531"/>
      <c r="Z121" s="531"/>
      <c r="AA121" s="12"/>
      <c r="AB121" s="531"/>
      <c r="AC121" s="531"/>
      <c r="AD121" s="531"/>
      <c r="AE121" s="531"/>
      <c r="AF121" s="12"/>
      <c r="AG121" s="531"/>
      <c r="AH121" s="531"/>
      <c r="AI121" s="531"/>
      <c r="AJ121" s="531"/>
      <c r="AK121" s="12"/>
      <c r="AL121" s="531"/>
      <c r="AM121" s="531"/>
      <c r="AN121" s="531"/>
      <c r="AO121" s="531"/>
      <c r="AP121" s="12"/>
      <c r="AQ121" s="531"/>
      <c r="AR121" s="531"/>
      <c r="AS121" s="531"/>
      <c r="AT121" s="531"/>
      <c r="AU121" s="12"/>
      <c r="AV121" s="531"/>
      <c r="AW121" s="531"/>
      <c r="AX121" s="531"/>
      <c r="AY121" s="531"/>
      <c r="AZ121" s="12"/>
      <c r="BA121" s="531"/>
      <c r="BB121" s="531"/>
      <c r="BC121" s="531"/>
      <c r="BD121" s="531"/>
      <c r="BE121" s="12"/>
      <c r="BF121" s="531"/>
      <c r="BG121" s="531"/>
      <c r="BH121" s="531"/>
      <c r="BI121" s="531"/>
      <c r="BJ121" s="12"/>
      <c r="BK121" s="531"/>
      <c r="BL121" s="531"/>
      <c r="BM121" s="531"/>
      <c r="BN121" s="531"/>
      <c r="BO121" s="12"/>
      <c r="BP121" s="531"/>
      <c r="BQ121" s="531"/>
      <c r="BR121" s="531"/>
      <c r="BS121" s="531"/>
      <c r="BT121" s="12"/>
      <c r="BU121" s="531"/>
      <c r="BV121" s="531"/>
      <c r="BW121" s="531"/>
      <c r="BX121" s="531"/>
      <c r="BY121" s="12"/>
      <c r="BZ121" s="531"/>
      <c r="CA121" s="531"/>
      <c r="CB121" s="531"/>
      <c r="CC121" s="531"/>
      <c r="CD121" s="12"/>
      <c r="CE121" s="531"/>
      <c r="CF121" s="531"/>
      <c r="CG121" s="531"/>
      <c r="CH121" s="531"/>
      <c r="CI121" s="12"/>
      <c r="CJ121" s="531"/>
      <c r="CK121" s="531"/>
      <c r="CL121" s="531"/>
      <c r="CM121" s="531"/>
      <c r="CN121" s="12"/>
      <c r="CO121" s="531"/>
      <c r="CP121" s="531"/>
      <c r="CQ121" s="531"/>
      <c r="CR121" s="531"/>
      <c r="CS121" s="12"/>
      <c r="CT121" s="133"/>
    </row>
    <row r="122" spans="2:108" s="7" customFormat="1">
      <c r="B122" s="31" t="s">
        <v>53</v>
      </c>
      <c r="C122" s="22"/>
      <c r="D122" s="23"/>
      <c r="E122" s="23"/>
      <c r="F122" s="23"/>
      <c r="G122" s="24"/>
      <c r="H122" s="523">
        <f t="shared" ref="H122:Z122" si="188">H116-H118-H119</f>
        <v>-308.01600000000002</v>
      </c>
      <c r="I122" s="523">
        <f t="shared" si="188"/>
        <v>-57.165000000000006</v>
      </c>
      <c r="J122" s="523">
        <f>J116-J118-J119</f>
        <v>-124.13200000000001</v>
      </c>
      <c r="K122" s="523">
        <f t="shared" si="188"/>
        <v>44.285000000000082</v>
      </c>
      <c r="L122" s="248">
        <f t="shared" si="188"/>
        <v>-445.02799999999996</v>
      </c>
      <c r="M122" s="523">
        <f t="shared" si="188"/>
        <v>-232.45699999999997</v>
      </c>
      <c r="N122" s="523">
        <f t="shared" si="188"/>
        <v>-159.38200000000003</v>
      </c>
      <c r="O122" s="523">
        <f t="shared" si="188"/>
        <v>-170.06</v>
      </c>
      <c r="P122" s="523">
        <f t="shared" si="188"/>
        <v>-176.65599999999995</v>
      </c>
      <c r="Q122" s="248">
        <f>SUM(M122:P122)</f>
        <v>-738.55499999999995</v>
      </c>
      <c r="R122" s="523">
        <f t="shared" si="188"/>
        <v>-198.60599999999997</v>
      </c>
      <c r="S122" s="523">
        <f t="shared" si="188"/>
        <v>-188.84799999999998</v>
      </c>
      <c r="T122" s="523">
        <f t="shared" si="188"/>
        <v>-95.14899999999993</v>
      </c>
      <c r="U122" s="523">
        <f t="shared" si="188"/>
        <v>-73.730999999999995</v>
      </c>
      <c r="V122" s="248">
        <f>SUM(R122:U122)</f>
        <v>-556.33399999999983</v>
      </c>
      <c r="W122" s="626">
        <f>W116-W118-W119</f>
        <v>-41.630999999999986</v>
      </c>
      <c r="X122" s="523">
        <f t="shared" si="188"/>
        <v>-64.524999999999991</v>
      </c>
      <c r="Y122" s="523">
        <f t="shared" si="188"/>
        <v>-38.840999999999994</v>
      </c>
      <c r="Z122" s="523">
        <f t="shared" si="188"/>
        <v>32.944999999999936</v>
      </c>
      <c r="AA122" s="248">
        <f>SUM(W122:Z122)</f>
        <v>-112.05200000000002</v>
      </c>
      <c r="AB122" s="626">
        <f>AB116-AB118-AB119</f>
        <v>247.75599999999997</v>
      </c>
      <c r="AC122" s="523">
        <f t="shared" ref="AC122:AE122" si="189">AC116-AC118-AC119</f>
        <v>17.996000000000102</v>
      </c>
      <c r="AD122" s="523">
        <f t="shared" si="189"/>
        <v>-102.95199999999994</v>
      </c>
      <c r="AE122" s="523">
        <f t="shared" si="189"/>
        <v>100.68399999999998</v>
      </c>
      <c r="AF122" s="248">
        <f>AF116-AF118-AF119</f>
        <v>263.48400000000026</v>
      </c>
      <c r="AG122" s="626">
        <f>AG116-AG118-AG119</f>
        <v>72.836505935452038</v>
      </c>
      <c r="AH122" s="523">
        <f t="shared" ref="AH122:AJ122" si="190">AH116-AH118-AH119</f>
        <v>112.41238117450692</v>
      </c>
      <c r="AI122" s="523">
        <f t="shared" si="190"/>
        <v>156.38557588456811</v>
      </c>
      <c r="AJ122" s="523">
        <f t="shared" si="190"/>
        <v>180.73324601318052</v>
      </c>
      <c r="AK122" s="248">
        <f>AK116-AK118-AK119</f>
        <v>522.36770900770773</v>
      </c>
      <c r="AL122" s="523"/>
      <c r="AM122" s="523"/>
      <c r="AN122" s="523"/>
      <c r="AO122" s="523"/>
      <c r="AP122" s="248">
        <f>AP116-AP118-AP119</f>
        <v>672.00411994160345</v>
      </c>
      <c r="AQ122" s="523"/>
      <c r="AR122" s="523"/>
      <c r="AS122" s="523"/>
      <c r="AT122" s="523"/>
      <c r="AU122" s="248">
        <f>AU116-AU118-AU119</f>
        <v>1595.7559857770864</v>
      </c>
      <c r="AV122" s="523"/>
      <c r="AW122" s="523"/>
      <c r="AX122" s="523"/>
      <c r="AY122" s="523"/>
      <c r="AZ122" s="248">
        <f>AZ116-AZ118-AZ119</f>
        <v>2761.2751784833622</v>
      </c>
      <c r="BA122" s="523"/>
      <c r="BB122" s="523"/>
      <c r="BC122" s="523"/>
      <c r="BD122" s="523"/>
      <c r="BE122" s="248">
        <f>BE116-BE118-BE119</f>
        <v>2901.3932005792353</v>
      </c>
      <c r="BF122" s="523"/>
      <c r="BG122" s="523"/>
      <c r="BH122" s="523"/>
      <c r="BI122" s="523"/>
      <c r="BJ122" s="248">
        <f>BJ116-BJ118-BJ119</f>
        <v>3122.3164897759516</v>
      </c>
      <c r="BK122" s="523"/>
      <c r="BL122" s="523"/>
      <c r="BM122" s="523"/>
      <c r="BN122" s="523"/>
      <c r="BO122" s="248">
        <f>BO116-BO118-BO119</f>
        <v>3362.5087251266382</v>
      </c>
      <c r="BP122" s="523"/>
      <c r="BQ122" s="523"/>
      <c r="BR122" s="523"/>
      <c r="BS122" s="523"/>
      <c r="BT122" s="248">
        <f>BT116-BT118-BT119</f>
        <v>4035.5336353684206</v>
      </c>
      <c r="BU122" s="523"/>
      <c r="BV122" s="523"/>
      <c r="BW122" s="523"/>
      <c r="BX122" s="523"/>
      <c r="BY122" s="248">
        <f>BY116-BY118-BY119</f>
        <v>5307.3229474238278</v>
      </c>
      <c r="BZ122" s="523"/>
      <c r="CA122" s="523"/>
      <c r="CB122" s="523"/>
      <c r="CC122" s="523"/>
      <c r="CD122" s="248">
        <f>CD116-CD118-CD119</f>
        <v>5587.612969497246</v>
      </c>
      <c r="CE122" s="523"/>
      <c r="CF122" s="523"/>
      <c r="CG122" s="523"/>
      <c r="CH122" s="523"/>
      <c r="CI122" s="248">
        <f>CI116-CI118-CI119</f>
        <v>5906.5386957868777</v>
      </c>
      <c r="CJ122" s="523"/>
      <c r="CK122" s="523"/>
      <c r="CL122" s="523"/>
      <c r="CM122" s="523"/>
      <c r="CN122" s="248">
        <f>CN116-CN118-CN119</f>
        <v>6162.622966381874</v>
      </c>
      <c r="CO122" s="523"/>
      <c r="CP122" s="523"/>
      <c r="CQ122" s="523"/>
      <c r="CR122" s="523"/>
      <c r="CS122" s="248">
        <f>CS116-CS118-CS119</f>
        <v>6513.54327341928</v>
      </c>
      <c r="CT122" s="133"/>
      <c r="CY122"/>
      <c r="CZ122"/>
      <c r="DA122"/>
      <c r="DB122"/>
      <c r="DC122"/>
      <c r="DD122"/>
    </row>
    <row r="123" spans="2:108" s="7" customFormat="1" hidden="1" outlineLevel="1">
      <c r="B123" s="31" t="s">
        <v>54</v>
      </c>
      <c r="C123" s="22"/>
      <c r="D123" s="23"/>
      <c r="E123" s="23"/>
      <c r="F123" s="23"/>
      <c r="G123" s="24"/>
      <c r="H123" s="523">
        <f>H45-H118-H119</f>
        <v>10.359999999999928</v>
      </c>
      <c r="I123" s="523">
        <f>I45-I118-I119</f>
        <v>-1.6680000000000303</v>
      </c>
      <c r="J123" s="582">
        <f>J45-J118-J119-J120</f>
        <v>-75.610499999999988</v>
      </c>
      <c r="K123" s="582">
        <f>K45-K118-K119-K120</f>
        <v>-65.944999999999993</v>
      </c>
      <c r="L123" s="407">
        <f>L45-L118-L119</f>
        <v>-144.70800000000014</v>
      </c>
      <c r="M123" s="523">
        <f>M45-M118-M119</f>
        <v>-151.39399999999998</v>
      </c>
      <c r="N123" s="523">
        <f>N45-N118-N119</f>
        <v>-141.71799999999999</v>
      </c>
      <c r="O123" s="523">
        <f>O45-O118-O119</f>
        <v>-86.296999999999983</v>
      </c>
      <c r="P123" s="582">
        <f>P45-P118-P119-P120</f>
        <v>-135.60299999999998</v>
      </c>
      <c r="Q123" s="407">
        <f t="shared" ref="Q123:AE123" si="191">Q45-Q118-Q119</f>
        <v>-507.3010000000001</v>
      </c>
      <c r="R123" s="581">
        <f t="shared" si="191"/>
        <v>-148.27799999999993</v>
      </c>
      <c r="S123" s="523">
        <f t="shared" si="191"/>
        <v>-98.538999999999987</v>
      </c>
      <c r="T123" s="523">
        <f t="shared" si="191"/>
        <v>-33.261000000000003</v>
      </c>
      <c r="U123" s="523">
        <f t="shared" si="191"/>
        <v>45.376000000000005</v>
      </c>
      <c r="V123" s="248">
        <f t="shared" si="191"/>
        <v>-234.70199999999997</v>
      </c>
      <c r="W123" s="523">
        <f t="shared" si="191"/>
        <v>16.893000000000001</v>
      </c>
      <c r="X123" s="523">
        <f t="shared" si="191"/>
        <v>29.598000000000038</v>
      </c>
      <c r="Y123" s="523">
        <f t="shared" si="191"/>
        <v>43.826999999999998</v>
      </c>
      <c r="Z123" s="523">
        <f t="shared" si="191"/>
        <v>92.632999999999953</v>
      </c>
      <c r="AA123" s="248">
        <f t="shared" si="191"/>
        <v>182.79300000000001</v>
      </c>
      <c r="AB123" s="523">
        <f t="shared" si="191"/>
        <v>99.614000000000047</v>
      </c>
      <c r="AC123" s="523">
        <f t="shared" si="191"/>
        <v>85.724000000000032</v>
      </c>
      <c r="AD123" s="523">
        <f t="shared" si="191"/>
        <v>324.72200000000004</v>
      </c>
      <c r="AE123" s="523">
        <f t="shared" si="191"/>
        <v>156.3489999999999</v>
      </c>
      <c r="AF123" s="248">
        <f>AF45</f>
        <v>494.56000000000017</v>
      </c>
      <c r="AG123" s="523">
        <f t="shared" ref="AG123:AJ123" si="192">AG45-AG118-AG119</f>
        <v>134.08650593545204</v>
      </c>
      <c r="AH123" s="523">
        <f t="shared" si="192"/>
        <v>173.66238117450692</v>
      </c>
      <c r="AI123" s="523">
        <f t="shared" si="192"/>
        <v>217.63557588456811</v>
      </c>
      <c r="AJ123" s="523">
        <f t="shared" si="192"/>
        <v>241.98324601318052</v>
      </c>
      <c r="AK123" s="248">
        <f>AK45-AK118-AK119</f>
        <v>767.36770900770773</v>
      </c>
      <c r="AL123" s="523"/>
      <c r="AM123" s="523"/>
      <c r="AN123" s="523"/>
      <c r="AO123" s="523"/>
      <c r="AP123" s="248">
        <f>AP45-AP118-AP119</f>
        <v>917.00411994160345</v>
      </c>
      <c r="AQ123" s="523"/>
      <c r="AR123" s="523"/>
      <c r="AS123" s="523"/>
      <c r="AT123" s="523"/>
      <c r="AU123" s="248">
        <f>AU45-AU118-AU119</f>
        <v>1840.7559857770864</v>
      </c>
      <c r="AV123" s="523"/>
      <c r="AW123" s="523"/>
      <c r="AX123" s="523"/>
      <c r="AY123" s="523"/>
      <c r="AZ123" s="248">
        <f>AZ45-AZ118-AZ119</f>
        <v>3006.2751784833622</v>
      </c>
      <c r="BA123" s="523"/>
      <c r="BB123" s="523"/>
      <c r="BC123" s="523"/>
      <c r="BD123" s="523"/>
      <c r="BE123" s="248">
        <f>BE45-BE118-BE119</f>
        <v>3146.3932005792353</v>
      </c>
      <c r="BF123" s="523"/>
      <c r="BG123" s="523"/>
      <c r="BH123" s="523"/>
      <c r="BI123" s="523"/>
      <c r="BJ123" s="248">
        <f>BJ45-BJ118-BJ119</f>
        <v>3367.3164897759516</v>
      </c>
      <c r="BK123" s="523"/>
      <c r="BL123" s="523"/>
      <c r="BM123" s="523"/>
      <c r="BN123" s="523"/>
      <c r="BO123" s="248">
        <f>BO45-BO118-BO119</f>
        <v>3607.5087251266382</v>
      </c>
      <c r="BP123" s="523"/>
      <c r="BQ123" s="523"/>
      <c r="BR123" s="523"/>
      <c r="BS123" s="523"/>
      <c r="BT123" s="248">
        <f>BT45-BT118-BT119</f>
        <v>4280.5336353684206</v>
      </c>
      <c r="BU123" s="523"/>
      <c r="BV123" s="523"/>
      <c r="BW123" s="523"/>
      <c r="BX123" s="523"/>
      <c r="BY123" s="248">
        <f>BY45-BY118-BY119</f>
        <v>5552.3229474238287</v>
      </c>
      <c r="BZ123" s="523"/>
      <c r="CA123" s="523"/>
      <c r="CB123" s="523"/>
      <c r="CC123" s="523"/>
      <c r="CD123" s="248">
        <f>CD45-CD118-CD119</f>
        <v>5832.612969497246</v>
      </c>
      <c r="CE123" s="523"/>
      <c r="CF123" s="523"/>
      <c r="CG123" s="523"/>
      <c r="CH123" s="523"/>
      <c r="CI123" s="248">
        <f>CI45-CI118-CI119</f>
        <v>6151.5386957868777</v>
      </c>
      <c r="CJ123" s="523"/>
      <c r="CK123" s="523"/>
      <c r="CL123" s="523"/>
      <c r="CM123" s="523"/>
      <c r="CN123" s="248">
        <f>CN45-CN118-CN119</f>
        <v>6407.622966381874</v>
      </c>
      <c r="CO123" s="523"/>
      <c r="CP123" s="523"/>
      <c r="CQ123" s="523"/>
      <c r="CR123" s="523"/>
      <c r="CS123" s="248">
        <f>CS45-CS118-CS119</f>
        <v>6758.54327341928</v>
      </c>
      <c r="CT123" s="133"/>
      <c r="CY123"/>
      <c r="CZ123"/>
      <c r="DA123"/>
      <c r="DB123"/>
      <c r="DC123"/>
      <c r="DD123"/>
    </row>
    <row r="124" spans="2:108" s="7" customFormat="1" collapsed="1">
      <c r="B124" s="32"/>
      <c r="C124" s="33"/>
      <c r="D124" s="34"/>
      <c r="E124" s="34"/>
      <c r="F124" s="34"/>
      <c r="G124" s="35"/>
      <c r="H124" s="532"/>
      <c r="I124" s="532"/>
      <c r="J124" s="532"/>
      <c r="K124" s="532"/>
      <c r="L124" s="35"/>
      <c r="M124" s="532"/>
      <c r="N124" s="532"/>
      <c r="O124" s="532"/>
      <c r="P124" s="532"/>
      <c r="Q124" s="35"/>
      <c r="R124" s="532"/>
      <c r="S124" s="532"/>
      <c r="T124" s="532"/>
      <c r="U124" s="532"/>
      <c r="V124" s="35"/>
      <c r="W124" s="532"/>
      <c r="X124" s="532"/>
      <c r="Y124" s="532"/>
      <c r="Z124" s="532"/>
      <c r="AA124" s="35"/>
      <c r="AB124" s="532"/>
      <c r="AC124" s="532"/>
      <c r="AD124" s="532"/>
      <c r="AE124" s="532"/>
      <c r="AF124" s="35"/>
      <c r="AG124" s="532"/>
      <c r="AH124" s="532"/>
      <c r="AI124" s="532"/>
      <c r="AJ124" s="532"/>
      <c r="AK124" s="35"/>
      <c r="AL124" s="532"/>
      <c r="AM124" s="532"/>
      <c r="AN124" s="532"/>
      <c r="AO124" s="532"/>
      <c r="AP124" s="35"/>
      <c r="AQ124" s="532"/>
      <c r="AR124" s="532"/>
      <c r="AS124" s="532"/>
      <c r="AT124" s="532"/>
      <c r="AU124" s="35"/>
      <c r="AV124" s="532"/>
      <c r="AW124" s="532"/>
      <c r="AX124" s="532"/>
      <c r="AY124" s="532"/>
      <c r="AZ124" s="35"/>
      <c r="BA124" s="532"/>
      <c r="BB124" s="532"/>
      <c r="BC124" s="532"/>
      <c r="BD124" s="532"/>
      <c r="BE124" s="35"/>
      <c r="BF124" s="532"/>
      <c r="BG124" s="532"/>
      <c r="BH124" s="532"/>
      <c r="BI124" s="532"/>
      <c r="BJ124" s="35"/>
      <c r="BK124" s="532"/>
      <c r="BL124" s="532"/>
      <c r="BM124" s="532"/>
      <c r="BN124" s="532"/>
      <c r="BO124" s="35"/>
      <c r="BP124" s="532"/>
      <c r="BQ124" s="532"/>
      <c r="BR124" s="532"/>
      <c r="BS124" s="532"/>
      <c r="BT124" s="35"/>
      <c r="BU124" s="532"/>
      <c r="BV124" s="532"/>
      <c r="BW124" s="532"/>
      <c r="BX124" s="532"/>
      <c r="BY124" s="35"/>
      <c r="BZ124" s="532"/>
      <c r="CA124" s="532"/>
      <c r="CB124" s="532"/>
      <c r="CC124" s="532"/>
      <c r="CD124" s="35"/>
      <c r="CE124" s="532"/>
      <c r="CF124" s="532"/>
      <c r="CG124" s="532"/>
      <c r="CH124" s="532"/>
      <c r="CI124" s="35"/>
      <c r="CJ124" s="532"/>
      <c r="CK124" s="532"/>
      <c r="CL124" s="532"/>
      <c r="CM124" s="532"/>
      <c r="CN124" s="35"/>
      <c r="CO124" s="532"/>
      <c r="CP124" s="532"/>
      <c r="CQ124" s="532"/>
      <c r="CR124" s="532"/>
      <c r="CS124" s="35"/>
      <c r="CT124" s="133"/>
      <c r="CY124"/>
      <c r="CZ124"/>
      <c r="DA124"/>
      <c r="DB124"/>
      <c r="DC124"/>
      <c r="DD124"/>
    </row>
    <row r="125" spans="2:108" s="7" customFormat="1">
      <c r="B125" s="31" t="s">
        <v>55</v>
      </c>
      <c r="C125" s="22"/>
      <c r="D125" s="23"/>
      <c r="E125" s="23"/>
      <c r="F125" s="23"/>
      <c r="G125" s="118"/>
      <c r="H125" s="527">
        <f t="shared" ref="H125:V125" si="193">H122/ H135</f>
        <v>-1.4298327461111036</v>
      </c>
      <c r="I125" s="527">
        <f t="shared" si="193"/>
        <v>-0.25743853944778955</v>
      </c>
      <c r="J125" s="527">
        <f t="shared" si="193"/>
        <v>-0.5385219409557277</v>
      </c>
      <c r="K125" s="527">
        <f t="shared" si="193"/>
        <v>0.19149110972741143</v>
      </c>
      <c r="L125" s="118">
        <f t="shared" si="193"/>
        <v>-1.9787288911812044</v>
      </c>
      <c r="M125" s="527">
        <f t="shared" si="193"/>
        <v>-0.9981536109787148</v>
      </c>
      <c r="N125" s="527">
        <f t="shared" si="193"/>
        <v>-0.68167898446588671</v>
      </c>
      <c r="O125" s="527">
        <f t="shared" si="193"/>
        <v>-0.72017515255974285</v>
      </c>
      <c r="P125" s="527">
        <f t="shared" si="193"/>
        <v>-0.74140478109051822</v>
      </c>
      <c r="Q125" s="118">
        <f t="shared" si="193"/>
        <v>-3.1386869068918477</v>
      </c>
      <c r="R125" s="527">
        <f t="shared" si="193"/>
        <v>-0.82927684734000562</v>
      </c>
      <c r="S125" s="527">
        <f t="shared" si="193"/>
        <v>-0.78439256179467254</v>
      </c>
      <c r="T125" s="527">
        <f t="shared" si="193"/>
        <v>-0.39322805813967876</v>
      </c>
      <c r="U125" s="527">
        <f>U122/ U135</f>
        <v>-0.3034359862873322</v>
      </c>
      <c r="V125" s="118">
        <f t="shared" si="193"/>
        <v>-2.3055554979973181</v>
      </c>
      <c r="W125" s="527">
        <f>W122/ W135</f>
        <v>-0.17073710889919652</v>
      </c>
      <c r="X125" s="527">
        <f t="shared" ref="X125:Z125" si="194">X122/ X135</f>
        <v>-0.26392536055824145</v>
      </c>
      <c r="Y125" s="527">
        <f t="shared" si="194"/>
        <v>-0.15858647721705044</v>
      </c>
      <c r="Z125" s="527">
        <f t="shared" si="194"/>
        <v>0.13451331046872422</v>
      </c>
      <c r="AA125" s="118">
        <f>AA122/ AA135</f>
        <v>-0.45414457792260432</v>
      </c>
      <c r="AB125" s="527">
        <f>AB122/ AB135</f>
        <v>1.0070399635807887</v>
      </c>
      <c r="AC125" s="527">
        <f t="shared" ref="AC125:AE125" si="195">AC122/ AC135</f>
        <v>7.2704942206924278E-2</v>
      </c>
      <c r="AD125" s="527">
        <f t="shared" si="195"/>
        <v>-0.41136701456039104</v>
      </c>
      <c r="AE125" s="527">
        <f t="shared" si="195"/>
        <v>0.39206554415040262</v>
      </c>
      <c r="AF125" s="118">
        <f>AF122/ AF135</f>
        <v>1.0405133774311395</v>
      </c>
      <c r="AG125" s="527">
        <f>AG122/ AG135</f>
        <v>0.28061143667509408</v>
      </c>
      <c r="AH125" s="527">
        <f t="shared" ref="AH125:AJ125" si="196">AH122/ AH135</f>
        <v>0.43308227620640211</v>
      </c>
      <c r="AI125" s="527">
        <f t="shared" si="196"/>
        <v>0.60249432013007853</v>
      </c>
      <c r="AJ125" s="527">
        <f t="shared" si="196"/>
        <v>0.69629666013436087</v>
      </c>
      <c r="AK125" s="118">
        <f>AK122/ AK135</f>
        <v>2.0124846931459359</v>
      </c>
      <c r="AL125" s="527"/>
      <c r="AM125" s="527"/>
      <c r="AN125" s="527"/>
      <c r="AO125" s="527"/>
      <c r="AP125" s="118">
        <f>AP122/ AP135</f>
        <v>2.5633436040648823</v>
      </c>
      <c r="AQ125" s="527"/>
      <c r="AR125" s="527"/>
      <c r="AS125" s="527"/>
      <c r="AT125" s="527"/>
      <c r="AU125" s="118">
        <f>AU122/ AU135</f>
        <v>6.0267058902299233</v>
      </c>
      <c r="AV125" s="527"/>
      <c r="AW125" s="527"/>
      <c r="AX125" s="527"/>
      <c r="AY125" s="527"/>
      <c r="AZ125" s="118">
        <f>AZ122/ AZ135</f>
        <v>10.325279841310934</v>
      </c>
      <c r="BA125" s="527"/>
      <c r="BB125" s="527"/>
      <c r="BC125" s="527"/>
      <c r="BD125" s="527"/>
      <c r="BE125" s="118">
        <f>BE122/ BE135</f>
        <v>10.741807299075111</v>
      </c>
      <c r="BF125" s="527"/>
      <c r="BG125" s="527"/>
      <c r="BH125" s="527"/>
      <c r="BI125" s="527"/>
      <c r="BJ125" s="118">
        <f>BJ122/ BJ135</f>
        <v>11.445277240473933</v>
      </c>
      <c r="BK125" s="527"/>
      <c r="BL125" s="527"/>
      <c r="BM125" s="527"/>
      <c r="BN125" s="527"/>
      <c r="BO125" s="118">
        <f>BO122/ BO135</f>
        <v>12.203697684774751</v>
      </c>
      <c r="BP125" s="527"/>
      <c r="BQ125" s="527"/>
      <c r="BR125" s="527"/>
      <c r="BS125" s="527"/>
      <c r="BT125" s="118">
        <f>BT122/ BT135</f>
        <v>14.501322740370311</v>
      </c>
      <c r="BU125" s="527"/>
      <c r="BV125" s="527"/>
      <c r="BW125" s="527"/>
      <c r="BX125" s="527"/>
      <c r="BY125" s="118">
        <f>BY122/ BY135</f>
        <v>18.882556291872834</v>
      </c>
      <c r="BZ125" s="527"/>
      <c r="CA125" s="527"/>
      <c r="CB125" s="527"/>
      <c r="CC125" s="527"/>
      <c r="CD125" s="118">
        <f>CD122/ CD135</f>
        <v>19.682951213278734</v>
      </c>
      <c r="CE125" s="527"/>
      <c r="CF125" s="527"/>
      <c r="CG125" s="527"/>
      <c r="CH125" s="527"/>
      <c r="CI125" s="118">
        <f>CI122/ CI135</f>
        <v>20.600396482586763</v>
      </c>
      <c r="CJ125" s="527"/>
      <c r="CK125" s="527"/>
      <c r="CL125" s="527"/>
      <c r="CM125" s="527"/>
      <c r="CN125" s="118">
        <f>CN122/ CN135</f>
        <v>21.280741182165634</v>
      </c>
      <c r="CO125" s="527"/>
      <c r="CP125" s="527"/>
      <c r="CQ125" s="527"/>
      <c r="CR125" s="527"/>
      <c r="CS125" s="118">
        <f>CS122/ CS135</f>
        <v>22.269839174905368</v>
      </c>
      <c r="CT125" s="133"/>
      <c r="CY125"/>
      <c r="CZ125"/>
      <c r="DA125"/>
      <c r="DB125"/>
      <c r="DC125"/>
      <c r="DD125"/>
    </row>
    <row r="126" spans="2:108" s="7" customFormat="1">
      <c r="B126" s="31" t="s">
        <v>185</v>
      </c>
      <c r="C126" s="22"/>
      <c r="D126" s="23"/>
      <c r="E126" s="23"/>
      <c r="F126" s="23"/>
      <c r="G126" s="118"/>
      <c r="H126" s="527">
        <f t="shared" ref="H126:Q126" si="197">H122/H135</f>
        <v>-1.4298327461111036</v>
      </c>
      <c r="I126" s="527">
        <f t="shared" si="197"/>
        <v>-0.25743853944778955</v>
      </c>
      <c r="J126" s="527">
        <f t="shared" si="197"/>
        <v>-0.5385219409557277</v>
      </c>
      <c r="K126" s="527">
        <f t="shared" si="197"/>
        <v>0.19149110972741143</v>
      </c>
      <c r="L126" s="118">
        <f t="shared" si="197"/>
        <v>-1.9787288911812044</v>
      </c>
      <c r="M126" s="527">
        <f t="shared" si="197"/>
        <v>-0.9981536109787148</v>
      </c>
      <c r="N126" s="527">
        <f t="shared" si="197"/>
        <v>-0.68167898446588671</v>
      </c>
      <c r="O126" s="527">
        <f>O122/O135</f>
        <v>-0.72017515255974285</v>
      </c>
      <c r="P126" s="527">
        <f t="shared" si="197"/>
        <v>-0.74140478109051822</v>
      </c>
      <c r="Q126" s="118">
        <f t="shared" si="197"/>
        <v>-3.1386869068918477</v>
      </c>
      <c r="R126" s="527">
        <f>R122/R136</f>
        <v>-0.82927684734000562</v>
      </c>
      <c r="S126" s="527">
        <f t="shared" ref="S126:U126" si="198">S122/S136</f>
        <v>-0.78439256179467254</v>
      </c>
      <c r="T126" s="527">
        <f t="shared" si="198"/>
        <v>-0.39322805813967876</v>
      </c>
      <c r="U126" s="527">
        <f t="shared" si="198"/>
        <v>-0.3034359862873322</v>
      </c>
      <c r="V126" s="118">
        <f>V122/V136</f>
        <v>-2.3055554979973181</v>
      </c>
      <c r="W126" s="527">
        <f>W116/W135</f>
        <v>-0.14806156723304251</v>
      </c>
      <c r="X126" s="527">
        <f>X122/X135</f>
        <v>-0.26392536055824145</v>
      </c>
      <c r="Y126" s="527">
        <f t="shared" ref="Y126:Z126" si="199">Y116/Y135</f>
        <v>-0.16142822146006858</v>
      </c>
      <c r="Z126" s="527">
        <f t="shared" si="199"/>
        <v>0.11333904948554605</v>
      </c>
      <c r="AA126" s="118">
        <f>AA122/AA136</f>
        <v>-0.44383238962044902</v>
      </c>
      <c r="AB126" s="527">
        <f>AB116/AB135</f>
        <v>1.0143238058075634</v>
      </c>
      <c r="AC126" s="527">
        <f>AC122/AC135</f>
        <v>7.2704942206924278E-2</v>
      </c>
      <c r="AD126" s="527">
        <f>AD122/AD135</f>
        <v>-0.41136701456039104</v>
      </c>
      <c r="AE126" s="527">
        <f t="shared" ref="AE126" si="200">AE116/AE135</f>
        <v>0.39791046868428842</v>
      </c>
      <c r="AF126" s="118">
        <f>AF122/AF136</f>
        <v>1.0405133774311395</v>
      </c>
      <c r="AG126" s="527">
        <f>AG116/AG135</f>
        <v>0.28061143667509408</v>
      </c>
      <c r="AH126" s="527">
        <f>AH122/AH135</f>
        <v>0.43308227620640211</v>
      </c>
      <c r="AI126" s="527">
        <f>AI122/AI135</f>
        <v>0.60249432013007853</v>
      </c>
      <c r="AJ126" s="527">
        <f t="shared" ref="AJ126" si="201">AJ116/AJ135</f>
        <v>0.69629666013436087</v>
      </c>
      <c r="AK126" s="118">
        <f>AK122/AK136</f>
        <v>2.0124846931459359</v>
      </c>
      <c r="AL126" s="527"/>
      <c r="AM126" s="527"/>
      <c r="AN126" s="527"/>
      <c r="AO126" s="527"/>
      <c r="AP126" s="118">
        <f>AP122/AP136</f>
        <v>2.5633436040648823</v>
      </c>
      <c r="AQ126" s="527"/>
      <c r="AR126" s="527"/>
      <c r="AS126" s="527"/>
      <c r="AT126" s="527"/>
      <c r="AU126" s="118">
        <f>AU122/AU136</f>
        <v>6.0267058902299233</v>
      </c>
      <c r="AV126" s="527"/>
      <c r="AW126" s="527"/>
      <c r="AX126" s="527"/>
      <c r="AY126" s="527"/>
      <c r="AZ126" s="118">
        <f>AZ122/AZ136</f>
        <v>10.325279841310934</v>
      </c>
      <c r="BA126" s="527"/>
      <c r="BB126" s="527"/>
      <c r="BC126" s="527"/>
      <c r="BD126" s="527"/>
      <c r="BE126" s="118">
        <f>BE122/BE136</f>
        <v>10.741807299075111</v>
      </c>
      <c r="BF126" s="527"/>
      <c r="BG126" s="527"/>
      <c r="BH126" s="527"/>
      <c r="BI126" s="527"/>
      <c r="BJ126" s="118">
        <f>BJ122/BJ136</f>
        <v>11.445277240473933</v>
      </c>
      <c r="BK126" s="527"/>
      <c r="BL126" s="527"/>
      <c r="BM126" s="527"/>
      <c r="BN126" s="527"/>
      <c r="BO126" s="118">
        <f>BO122/BO136</f>
        <v>12.203697684774751</v>
      </c>
      <c r="BP126" s="527"/>
      <c r="BQ126" s="527"/>
      <c r="BR126" s="527"/>
      <c r="BS126" s="527"/>
      <c r="BT126" s="118">
        <f>BT122/BT136</f>
        <v>14.501322740370311</v>
      </c>
      <c r="BU126" s="527"/>
      <c r="BV126" s="527"/>
      <c r="BW126" s="527"/>
      <c r="BX126" s="527"/>
      <c r="BY126" s="118">
        <f>BY122/BY136</f>
        <v>18.882556291872834</v>
      </c>
      <c r="BZ126" s="527"/>
      <c r="CA126" s="527"/>
      <c r="CB126" s="527"/>
      <c r="CC126" s="527"/>
      <c r="CD126" s="118">
        <f>CD122/CD136</f>
        <v>19.682951213278734</v>
      </c>
      <c r="CE126" s="527"/>
      <c r="CF126" s="527"/>
      <c r="CG126" s="527"/>
      <c r="CH126" s="527"/>
      <c r="CI126" s="118">
        <f>CI122/CI136</f>
        <v>20.600396482586763</v>
      </c>
      <c r="CJ126" s="527"/>
      <c r="CK126" s="527"/>
      <c r="CL126" s="527"/>
      <c r="CM126" s="527"/>
      <c r="CN126" s="118">
        <f>CN122/CN136</f>
        <v>21.280741182165634</v>
      </c>
      <c r="CO126" s="527"/>
      <c r="CP126" s="527"/>
      <c r="CQ126" s="527"/>
      <c r="CR126" s="527"/>
      <c r="CS126" s="118">
        <f>CS122/CS136</f>
        <v>22.269839174905368</v>
      </c>
      <c r="CT126" s="133"/>
      <c r="CY126"/>
      <c r="CZ126"/>
      <c r="DA126"/>
      <c r="DB126"/>
      <c r="DC126"/>
      <c r="DD126"/>
    </row>
    <row r="127" spans="2:108">
      <c r="H127" s="520"/>
      <c r="I127" s="520"/>
      <c r="J127" s="520"/>
      <c r="K127" s="520"/>
      <c r="M127" s="520"/>
      <c r="N127" s="520"/>
      <c r="O127" s="520"/>
      <c r="P127" s="520"/>
      <c r="R127" s="520"/>
      <c r="S127" s="520"/>
      <c r="T127" s="520"/>
      <c r="U127" s="520"/>
      <c r="W127" s="520"/>
      <c r="X127" s="561"/>
      <c r="Y127" s="520"/>
      <c r="Z127" s="520"/>
      <c r="AB127" s="520"/>
      <c r="AC127" s="520"/>
      <c r="AD127" s="520"/>
      <c r="AE127" s="520"/>
      <c r="AG127" s="520"/>
      <c r="AH127" s="520"/>
      <c r="AI127" s="520"/>
      <c r="AJ127" s="520"/>
      <c r="AL127" s="520"/>
      <c r="AM127" s="520"/>
      <c r="AN127" s="520"/>
      <c r="AO127" s="520"/>
      <c r="AQ127" s="520"/>
      <c r="AR127" s="520"/>
      <c r="AS127" s="520"/>
      <c r="AT127" s="520"/>
      <c r="AV127" s="520"/>
      <c r="AW127" s="520"/>
      <c r="AX127" s="520"/>
      <c r="AY127" s="520"/>
      <c r="BA127" s="520"/>
      <c r="BB127" s="520"/>
      <c r="BC127" s="520"/>
      <c r="BD127" s="520"/>
      <c r="BF127" s="520"/>
      <c r="BG127" s="520"/>
      <c r="BH127" s="520"/>
      <c r="BI127" s="520"/>
      <c r="BK127" s="520"/>
      <c r="BL127" s="520"/>
      <c r="BM127" s="520"/>
      <c r="BN127" s="520"/>
      <c r="BP127" s="520"/>
      <c r="BQ127" s="520"/>
      <c r="BR127" s="520"/>
      <c r="BS127" s="520"/>
      <c r="BU127" s="520"/>
      <c r="BV127" s="520"/>
      <c r="BW127" s="520"/>
      <c r="BX127" s="520"/>
      <c r="BZ127" s="520"/>
      <c r="CA127" s="520"/>
      <c r="CB127" s="520"/>
      <c r="CC127" s="520"/>
      <c r="CE127" s="520"/>
      <c r="CF127" s="520"/>
      <c r="CG127" s="520"/>
      <c r="CH127" s="520"/>
      <c r="CJ127" s="520"/>
      <c r="CK127" s="520"/>
      <c r="CL127" s="520"/>
      <c r="CM127" s="520"/>
      <c r="CO127" s="520"/>
      <c r="CP127" s="520"/>
      <c r="CQ127" s="520"/>
      <c r="CR127" s="520"/>
      <c r="CT127" s="133"/>
    </row>
    <row r="128" spans="2:108">
      <c r="B128" s="36"/>
      <c r="H128" s="520"/>
      <c r="I128" s="520"/>
      <c r="J128" s="520"/>
      <c r="K128" s="520"/>
      <c r="M128" s="520"/>
      <c r="N128" s="520"/>
      <c r="O128" s="520"/>
      <c r="P128" s="520"/>
      <c r="R128" s="520"/>
      <c r="S128" s="520"/>
      <c r="T128" s="520"/>
      <c r="U128" s="520"/>
      <c r="W128" s="520"/>
      <c r="X128" s="520"/>
      <c r="Y128" s="520"/>
      <c r="Z128" s="520"/>
      <c r="AB128" s="520"/>
      <c r="AC128" s="520"/>
      <c r="AD128" s="520"/>
      <c r="AE128" s="520"/>
      <c r="AG128" s="520"/>
      <c r="AH128" s="520"/>
      <c r="AI128" s="520"/>
      <c r="AJ128" s="520"/>
      <c r="AL128" s="520"/>
      <c r="AM128" s="520"/>
      <c r="AN128" s="520"/>
      <c r="AO128" s="520"/>
      <c r="AQ128" s="520"/>
      <c r="AR128" s="520"/>
      <c r="AS128" s="520"/>
      <c r="AT128" s="520"/>
      <c r="AV128" s="520"/>
      <c r="AW128" s="520"/>
      <c r="AX128" s="520"/>
      <c r="AY128" s="520"/>
      <c r="BA128" s="520"/>
      <c r="BB128" s="520"/>
      <c r="BC128" s="520"/>
      <c r="BD128" s="520"/>
      <c r="BF128" s="520"/>
      <c r="BG128" s="520"/>
      <c r="BH128" s="520"/>
      <c r="BI128" s="520"/>
      <c r="BK128" s="520"/>
      <c r="BL128" s="520"/>
      <c r="BM128" s="520"/>
      <c r="BN128" s="520"/>
      <c r="BP128" s="520"/>
      <c r="BQ128" s="520"/>
      <c r="BR128" s="520"/>
      <c r="BS128" s="520"/>
      <c r="BU128" s="520"/>
      <c r="BV128" s="520"/>
      <c r="BW128" s="520"/>
      <c r="BX128" s="520"/>
      <c r="BZ128" s="520"/>
      <c r="CA128" s="520"/>
      <c r="CB128" s="520"/>
      <c r="CC128" s="520"/>
      <c r="CE128" s="520"/>
      <c r="CF128" s="520"/>
      <c r="CG128" s="520"/>
      <c r="CH128" s="520"/>
      <c r="CJ128" s="520"/>
      <c r="CK128" s="520"/>
      <c r="CL128" s="520"/>
      <c r="CM128" s="520"/>
      <c r="CO128" s="520"/>
      <c r="CP128" s="520"/>
      <c r="CQ128" s="520"/>
      <c r="CR128" s="520"/>
      <c r="CT128" s="133"/>
    </row>
    <row r="129" spans="2:98">
      <c r="B129" s="37" t="s">
        <v>57</v>
      </c>
      <c r="H129" s="542">
        <f>H140</f>
        <v>31.152000000000001</v>
      </c>
      <c r="I129" s="542">
        <f t="shared" ref="I129:Q129" si="202">I140</f>
        <v>41.262999999999998</v>
      </c>
      <c r="J129" s="542">
        <f t="shared" si="202"/>
        <v>31.197499999999998</v>
      </c>
      <c r="K129" s="542">
        <f t="shared" si="202"/>
        <v>23.24</v>
      </c>
      <c r="L129" s="245">
        <f t="shared" si="202"/>
        <v>126.85250000000001</v>
      </c>
      <c r="M129" s="533">
        <f t="shared" si="202"/>
        <v>46.58</v>
      </c>
      <c r="N129" s="533">
        <f t="shared" si="202"/>
        <v>42.444000000000003</v>
      </c>
      <c r="O129" s="533">
        <f t="shared" si="202"/>
        <v>46.136000000000003</v>
      </c>
      <c r="P129" s="533">
        <f t="shared" si="202"/>
        <v>42.381</v>
      </c>
      <c r="Q129" s="245">
        <f t="shared" si="202"/>
        <v>177.541</v>
      </c>
      <c r="R129" s="533">
        <f t="shared" ref="R129:Z129" si="203">R140</f>
        <v>57.384</v>
      </c>
      <c r="S129" s="533">
        <f t="shared" si="203"/>
        <v>63.260999999999996</v>
      </c>
      <c r="T129" s="533">
        <f t="shared" si="203"/>
        <v>61</v>
      </c>
      <c r="U129" s="533">
        <f t="shared" si="203"/>
        <v>45.439</v>
      </c>
      <c r="V129" s="397">
        <f>SUM(R129:U129)</f>
        <v>227.08399999999997</v>
      </c>
      <c r="W129" s="533">
        <f t="shared" si="203"/>
        <v>55.472000000000001</v>
      </c>
      <c r="X129" s="533">
        <f t="shared" si="203"/>
        <v>61.942</v>
      </c>
      <c r="Y129" s="533">
        <f t="shared" si="203"/>
        <v>61.208999999999996</v>
      </c>
      <c r="Z129" s="533">
        <f t="shared" si="203"/>
        <v>66.37700000000001</v>
      </c>
      <c r="AA129" s="397">
        <f t="shared" ref="AA129" si="204">AA140</f>
        <v>245</v>
      </c>
      <c r="AB129" s="533">
        <f>AB140</f>
        <v>68.981999999999999</v>
      </c>
      <c r="AC129" s="533">
        <f t="shared" ref="AC129:AE129" si="205">AC140</f>
        <v>72.581999999999994</v>
      </c>
      <c r="AD129" s="533">
        <f t="shared" si="205"/>
        <v>73.77</v>
      </c>
      <c r="AE129" s="533">
        <f t="shared" si="205"/>
        <v>75.402000000000001</v>
      </c>
      <c r="AF129" s="397">
        <f t="shared" ref="AF129" si="206">AF140</f>
        <v>290.73599999999999</v>
      </c>
      <c r="AG129" s="533">
        <f>AG140</f>
        <v>61.25</v>
      </c>
      <c r="AH129" s="533">
        <f t="shared" ref="AH129:AJ129" si="207">AH140</f>
        <v>61.25</v>
      </c>
      <c r="AI129" s="533">
        <f t="shared" si="207"/>
        <v>61.25</v>
      </c>
      <c r="AJ129" s="533">
        <f t="shared" si="207"/>
        <v>61.25</v>
      </c>
      <c r="AK129" s="397">
        <f t="shared" ref="AK129" si="208">AK140</f>
        <v>245</v>
      </c>
      <c r="AL129" s="533"/>
      <c r="AM129" s="533"/>
      <c r="AN129" s="533"/>
      <c r="AO129" s="533"/>
      <c r="AP129" s="397">
        <f t="shared" ref="AP129" si="209">AP140</f>
        <v>245</v>
      </c>
      <c r="AQ129" s="533"/>
      <c r="AR129" s="533"/>
      <c r="AS129" s="533"/>
      <c r="AT129" s="533"/>
      <c r="AU129" s="397">
        <f t="shared" ref="AU129" si="210">AU140</f>
        <v>245</v>
      </c>
      <c r="AV129" s="533"/>
      <c r="AW129" s="533"/>
      <c r="AX129" s="533"/>
      <c r="AY129" s="533"/>
      <c r="AZ129" s="397">
        <f t="shared" ref="AZ129" si="211">AZ140</f>
        <v>245</v>
      </c>
      <c r="BA129" s="533"/>
      <c r="BB129" s="533"/>
      <c r="BC129" s="533"/>
      <c r="BD129" s="533"/>
      <c r="BE129" s="397">
        <f t="shared" ref="BE129" si="212">BE140</f>
        <v>245</v>
      </c>
      <c r="BF129" s="533"/>
      <c r="BG129" s="533"/>
      <c r="BH129" s="533"/>
      <c r="BI129" s="533"/>
      <c r="BJ129" s="397">
        <f t="shared" ref="BJ129" si="213">BJ140</f>
        <v>245</v>
      </c>
      <c r="BK129" s="533"/>
      <c r="BL129" s="533"/>
      <c r="BM129" s="533"/>
      <c r="BN129" s="533"/>
      <c r="BO129" s="397">
        <f t="shared" ref="BO129" si="214">BO140</f>
        <v>245</v>
      </c>
      <c r="BP129" s="533"/>
      <c r="BQ129" s="533"/>
      <c r="BR129" s="533"/>
      <c r="BS129" s="533"/>
      <c r="BT129" s="397">
        <f t="shared" ref="BT129" si="215">BT140</f>
        <v>245</v>
      </c>
      <c r="BU129" s="533"/>
      <c r="BV129" s="533"/>
      <c r="BW129" s="533"/>
      <c r="BX129" s="533"/>
      <c r="BY129" s="397">
        <f t="shared" ref="BY129" si="216">BY140</f>
        <v>245</v>
      </c>
      <c r="BZ129" s="533"/>
      <c r="CA129" s="533"/>
      <c r="CB129" s="533"/>
      <c r="CC129" s="533"/>
      <c r="CD129" s="397">
        <f t="shared" ref="CD129" si="217">CD140</f>
        <v>245</v>
      </c>
      <c r="CE129" s="533"/>
      <c r="CF129" s="533"/>
      <c r="CG129" s="533"/>
      <c r="CH129" s="533"/>
      <c r="CI129" s="397">
        <f t="shared" ref="CI129" si="218">CI140</f>
        <v>245</v>
      </c>
      <c r="CJ129" s="533"/>
      <c r="CK129" s="533"/>
      <c r="CL129" s="533"/>
      <c r="CM129" s="533"/>
      <c r="CN129" s="397">
        <f t="shared" ref="CN129" si="219">CN140</f>
        <v>245</v>
      </c>
      <c r="CO129" s="533"/>
      <c r="CP129" s="533"/>
      <c r="CQ129" s="533"/>
      <c r="CR129" s="533"/>
      <c r="CS129" s="397">
        <f t="shared" ref="CS129" si="220">CS140</f>
        <v>245</v>
      </c>
      <c r="CT129" s="133"/>
    </row>
    <row r="130" spans="2:98">
      <c r="B130" s="38" t="s">
        <v>58</v>
      </c>
      <c r="H130" s="534">
        <f t="shared" ref="H130:AE130" si="221">H129/(H98+H101+H102)</f>
        <v>8.8070406567962528E-2</v>
      </c>
      <c r="I130" s="534">
        <f t="shared" si="221"/>
        <v>0.11246174098613543</v>
      </c>
      <c r="J130" s="534">
        <f t="shared" si="221"/>
        <v>9.3627704016710264E-2</v>
      </c>
      <c r="K130" s="534">
        <f t="shared" si="221"/>
        <v>6.9626700221702906E-2</v>
      </c>
      <c r="L130" s="134">
        <f t="shared" si="221"/>
        <v>9.2690356739409702E-2</v>
      </c>
      <c r="M130" s="534">
        <f t="shared" si="221"/>
        <v>0.14173089386613763</v>
      </c>
      <c r="N130" s="534">
        <f t="shared" si="221"/>
        <v>0.13283426074873408</v>
      </c>
      <c r="O130" s="534">
        <f t="shared" si="221"/>
        <v>0.16456748244140298</v>
      </c>
      <c r="P130" s="534">
        <f t="shared" si="221"/>
        <v>0.14414472632534853</v>
      </c>
      <c r="Q130" s="134">
        <f t="shared" si="221"/>
        <v>0.1452229413982844</v>
      </c>
      <c r="R130" s="534">
        <f t="shared" si="221"/>
        <v>0.18288788460190081</v>
      </c>
      <c r="S130" s="534">
        <f t="shared" si="221"/>
        <v>0.18877569290267132</v>
      </c>
      <c r="T130" s="534">
        <f t="shared" si="221"/>
        <v>0.16136883094895454</v>
      </c>
      <c r="U130" s="534">
        <f t="shared" si="221"/>
        <v>9.665507375854844E-2</v>
      </c>
      <c r="V130" s="134">
        <f t="shared" si="221"/>
        <v>0.15169180679608471</v>
      </c>
      <c r="W130" s="534">
        <f t="shared" si="221"/>
        <v>0.13473136064781419</v>
      </c>
      <c r="X130" s="534">
        <f t="shared" si="221"/>
        <v>0.14475406158275533</v>
      </c>
      <c r="Y130" s="534">
        <f t="shared" si="221"/>
        <v>0.14152304498013882</v>
      </c>
      <c r="Z130" s="534">
        <f t="shared" si="221"/>
        <v>0.15847742108002544</v>
      </c>
      <c r="AA130" s="134">
        <f>AA129/(AA98+AA101+AA102)</f>
        <v>0.14488648291906639</v>
      </c>
      <c r="AB130" s="534">
        <f t="shared" si="221"/>
        <v>0.15898975977062627</v>
      </c>
      <c r="AC130" s="534">
        <f t="shared" si="221"/>
        <v>0.1487625664832293</v>
      </c>
      <c r="AD130" s="534">
        <f t="shared" si="221"/>
        <v>0.11374938129403218</v>
      </c>
      <c r="AE130" s="534">
        <f t="shared" si="221"/>
        <v>0.14348347319746532</v>
      </c>
      <c r="AF130" s="134">
        <f>AF129/(AF98+AF101+AF102)</f>
        <v>0.13872163822994593</v>
      </c>
      <c r="AG130" s="534">
        <f t="shared" ref="AG130:AJ130" si="222">AG129/(AG98+AG101+AG102)</f>
        <v>0.11959071802232094</v>
      </c>
      <c r="AH130" s="534">
        <f t="shared" si="222"/>
        <v>0.11833745200278972</v>
      </c>
      <c r="AI130" s="534">
        <f t="shared" si="222"/>
        <v>0.11697538719158224</v>
      </c>
      <c r="AJ130" s="534">
        <f t="shared" si="222"/>
        <v>0.11623462218587971</v>
      </c>
      <c r="AK130" s="134">
        <f>AK129/(AK98+AK101+AK102)</f>
        <v>0.11777051491052304</v>
      </c>
      <c r="AL130" s="520"/>
      <c r="AM130" s="520"/>
      <c r="AN130" s="520"/>
      <c r="AO130" s="520"/>
      <c r="AP130" s="134">
        <f>AP129/(AP98+AP101+AP102)</f>
        <v>0.11079087125175237</v>
      </c>
      <c r="AQ130" s="520"/>
      <c r="AR130" s="520"/>
      <c r="AS130" s="520"/>
      <c r="AT130" s="520"/>
      <c r="AU130" s="134">
        <f>AU129/(AU98+AU101+AU102)</f>
        <v>0.1018992032817394</v>
      </c>
      <c r="AV130" s="520"/>
      <c r="AW130" s="520"/>
      <c r="AX130" s="520"/>
      <c r="AY130" s="520"/>
      <c r="AZ130" s="134">
        <f>AZ129/(AZ98+AZ101+AZ102)</f>
        <v>9.4852328076453926E-2</v>
      </c>
      <c r="BA130" s="520"/>
      <c r="BB130" s="520"/>
      <c r="BC130" s="520"/>
      <c r="BD130" s="520"/>
      <c r="BE130" s="134">
        <f>BE129/(BE98+BE101+BE102)</f>
        <v>9.1649925253369152E-2</v>
      </c>
      <c r="BF130" s="520"/>
      <c r="BG130" s="520"/>
      <c r="BH130" s="520"/>
      <c r="BI130" s="520"/>
      <c r="BJ130" s="134">
        <f>BJ129/(BJ98+BJ101+BJ102)</f>
        <v>9.1668876426568957E-2</v>
      </c>
      <c r="BK130" s="520"/>
      <c r="BL130" s="520"/>
      <c r="BM130" s="520"/>
      <c r="BN130" s="520"/>
      <c r="BO130" s="134">
        <f>BO129/(BO98+BO101+BO102)</f>
        <v>9.4008931153586994E-2</v>
      </c>
      <c r="BP130" s="520"/>
      <c r="BQ130" s="520"/>
      <c r="BR130" s="520"/>
      <c r="BS130" s="520"/>
      <c r="BT130" s="134">
        <f>BT129/(BT98+BT101+BT102)</f>
        <v>9.753821892248124E-2</v>
      </c>
      <c r="BU130" s="520"/>
      <c r="BV130" s="520"/>
      <c r="BW130" s="520"/>
      <c r="BX130" s="520"/>
      <c r="BY130" s="134">
        <f>BY129/(BY98+BY101+BY102)</f>
        <v>9.6733984730120265E-2</v>
      </c>
      <c r="BZ130" s="520"/>
      <c r="CA130" s="520"/>
      <c r="CB130" s="520"/>
      <c r="CC130" s="520"/>
      <c r="CD130" s="134">
        <f>CD129/(CD98+CD101+CD102)</f>
        <v>9.9007497583621887E-2</v>
      </c>
      <c r="CE130" s="520"/>
      <c r="CF130" s="520"/>
      <c r="CG130" s="520"/>
      <c r="CH130" s="520"/>
      <c r="CI130" s="134">
        <f>CI129/(CI98+CI101+CI102)</f>
        <v>0.10255279723545455</v>
      </c>
      <c r="CJ130" s="520"/>
      <c r="CK130" s="520"/>
      <c r="CL130" s="520"/>
      <c r="CM130" s="520"/>
      <c r="CN130" s="134">
        <f>CN129/(CN98+CN101+CN102)</f>
        <v>0.10518212280120365</v>
      </c>
      <c r="CO130" s="520"/>
      <c r="CP130" s="520"/>
      <c r="CQ130" s="520"/>
      <c r="CR130" s="520"/>
      <c r="CS130" s="134">
        <f>CS129/(CS98+CS101+CS102)</f>
        <v>0.1084467998471098</v>
      </c>
      <c r="CT130" s="133"/>
    </row>
    <row r="131" spans="2:98">
      <c r="B131" s="39" t="s">
        <v>59</v>
      </c>
      <c r="C131" s="409"/>
      <c r="D131" s="61"/>
      <c r="E131" s="61"/>
      <c r="F131" s="61"/>
      <c r="G131" s="61"/>
      <c r="H131" s="535">
        <v>0</v>
      </c>
      <c r="I131" s="535">
        <v>0</v>
      </c>
      <c r="J131" s="535">
        <v>0</v>
      </c>
      <c r="K131" s="535">
        <v>0</v>
      </c>
      <c r="L131" s="388">
        <v>0</v>
      </c>
      <c r="M131" s="535">
        <v>0</v>
      </c>
      <c r="N131" s="535">
        <v>0</v>
      </c>
      <c r="O131" s="535">
        <v>0</v>
      </c>
      <c r="P131" s="535">
        <v>0</v>
      </c>
      <c r="Q131" s="388">
        <v>0</v>
      </c>
      <c r="R131" s="535">
        <v>0</v>
      </c>
      <c r="S131" s="535">
        <v>0</v>
      </c>
      <c r="T131" s="536">
        <v>0</v>
      </c>
      <c r="U131" s="536">
        <v>0</v>
      </c>
      <c r="V131" s="398">
        <f>SUM(R131:U131)</f>
        <v>0</v>
      </c>
      <c r="W131" s="535">
        <v>0</v>
      </c>
      <c r="X131" s="535">
        <v>0</v>
      </c>
      <c r="Y131" s="535">
        <v>0</v>
      </c>
      <c r="Z131" s="535">
        <v>0</v>
      </c>
      <c r="AA131" s="502">
        <v>0</v>
      </c>
      <c r="AB131" s="535">
        <v>0</v>
      </c>
      <c r="AC131" s="535">
        <v>0</v>
      </c>
      <c r="AD131" s="535">
        <v>0</v>
      </c>
      <c r="AE131" s="535">
        <v>0</v>
      </c>
      <c r="AF131" s="502">
        <v>0</v>
      </c>
      <c r="AG131" s="535">
        <v>0</v>
      </c>
      <c r="AH131" s="535">
        <v>0</v>
      </c>
      <c r="AI131" s="535">
        <v>0</v>
      </c>
      <c r="AJ131" s="535">
        <v>0</v>
      </c>
      <c r="AK131" s="502">
        <v>0</v>
      </c>
      <c r="AL131" s="571"/>
      <c r="AM131" s="571"/>
      <c r="AN131" s="571"/>
      <c r="AO131" s="571"/>
      <c r="AP131" s="502">
        <v>0</v>
      </c>
      <c r="AQ131" s="571"/>
      <c r="AR131" s="571"/>
      <c r="AS131" s="571"/>
      <c r="AT131" s="571"/>
      <c r="AU131" s="502">
        <v>0</v>
      </c>
      <c r="AV131" s="571"/>
      <c r="AW131" s="571"/>
      <c r="AX131" s="571"/>
      <c r="AY131" s="571"/>
      <c r="AZ131" s="502">
        <v>0</v>
      </c>
      <c r="BA131" s="571"/>
      <c r="BB131" s="571"/>
      <c r="BC131" s="571"/>
      <c r="BD131" s="571"/>
      <c r="BE131" s="502">
        <v>0</v>
      </c>
      <c r="BF131" s="571"/>
      <c r="BG131" s="571"/>
      <c r="BH131" s="571"/>
      <c r="BI131" s="571"/>
      <c r="BJ131" s="502">
        <v>0</v>
      </c>
      <c r="BK131" s="571"/>
      <c r="BL131" s="571"/>
      <c r="BM131" s="571"/>
      <c r="BN131" s="571"/>
      <c r="BO131" s="502">
        <v>0</v>
      </c>
      <c r="BP131" s="571"/>
      <c r="BQ131" s="571"/>
      <c r="BR131" s="571"/>
      <c r="BS131" s="571"/>
      <c r="BT131" s="502">
        <v>0</v>
      </c>
      <c r="BU131" s="571"/>
      <c r="BV131" s="571"/>
      <c r="BW131" s="571"/>
      <c r="BX131" s="571"/>
      <c r="BY131" s="502">
        <v>0</v>
      </c>
      <c r="BZ131" s="571"/>
      <c r="CA131" s="571"/>
      <c r="CB131" s="571"/>
      <c r="CC131" s="571"/>
      <c r="CD131" s="502">
        <v>0</v>
      </c>
      <c r="CE131" s="571"/>
      <c r="CF131" s="571"/>
      <c r="CG131" s="571"/>
      <c r="CH131" s="571"/>
      <c r="CI131" s="502">
        <v>0</v>
      </c>
      <c r="CJ131" s="571"/>
      <c r="CK131" s="571"/>
      <c r="CL131" s="571"/>
      <c r="CM131" s="571"/>
      <c r="CN131" s="502">
        <v>0</v>
      </c>
      <c r="CO131" s="571"/>
      <c r="CP131" s="571"/>
      <c r="CQ131" s="571"/>
      <c r="CR131" s="571"/>
      <c r="CS131" s="502">
        <v>0</v>
      </c>
      <c r="CT131" s="133"/>
    </row>
    <row r="132" spans="2:98">
      <c r="B132" s="39" t="s">
        <v>60</v>
      </c>
      <c r="C132" s="409"/>
      <c r="D132" s="61"/>
      <c r="E132" s="61"/>
      <c r="F132" s="61"/>
      <c r="G132" s="61"/>
      <c r="H132" s="535">
        <f t="shared" ref="H132:Z132" si="223">H123-H129-H131</f>
        <v>-20.792000000000073</v>
      </c>
      <c r="I132" s="535">
        <f t="shared" si="223"/>
        <v>-42.931000000000026</v>
      </c>
      <c r="J132" s="535">
        <f t="shared" si="223"/>
        <v>-106.80799999999999</v>
      </c>
      <c r="K132" s="535">
        <f t="shared" si="223"/>
        <v>-89.184999999999988</v>
      </c>
      <c r="L132" s="388">
        <f t="shared" si="223"/>
        <v>-271.56050000000016</v>
      </c>
      <c r="M132" s="535">
        <f t="shared" si="223"/>
        <v>-197.97399999999999</v>
      </c>
      <c r="N132" s="535">
        <f t="shared" si="223"/>
        <v>-184.16199999999998</v>
      </c>
      <c r="O132" s="535">
        <f t="shared" si="223"/>
        <v>-132.43299999999999</v>
      </c>
      <c r="P132" s="535">
        <f t="shared" si="223"/>
        <v>-177.98399999999998</v>
      </c>
      <c r="Q132" s="388">
        <f t="shared" si="223"/>
        <v>-684.8420000000001</v>
      </c>
      <c r="R132" s="535">
        <f t="shared" si="223"/>
        <v>-205.66199999999992</v>
      </c>
      <c r="S132" s="535">
        <f t="shared" si="223"/>
        <v>-161.79999999999998</v>
      </c>
      <c r="T132" s="535">
        <f t="shared" si="223"/>
        <v>-94.260999999999996</v>
      </c>
      <c r="U132" s="535">
        <f t="shared" si="223"/>
        <v>-6.2999999999995282E-2</v>
      </c>
      <c r="V132" s="388">
        <f t="shared" si="223"/>
        <v>-461.78599999999994</v>
      </c>
      <c r="W132" s="535">
        <f t="shared" si="223"/>
        <v>-38.579000000000001</v>
      </c>
      <c r="X132" s="535">
        <f t="shared" si="223"/>
        <v>-32.343999999999966</v>
      </c>
      <c r="Y132" s="535">
        <f t="shared" si="223"/>
        <v>-17.381999999999998</v>
      </c>
      <c r="Z132" s="535">
        <f t="shared" si="223"/>
        <v>26.255999999999943</v>
      </c>
      <c r="AA132" s="388">
        <f>AA123-AA129-AA131</f>
        <v>-62.206999999999994</v>
      </c>
      <c r="AB132" s="535">
        <f t="shared" ref="AB132:AE132" si="224">AB123-AB129-AB131</f>
        <v>30.632000000000048</v>
      </c>
      <c r="AC132" s="535">
        <f t="shared" si="224"/>
        <v>13.142000000000039</v>
      </c>
      <c r="AD132" s="535">
        <f t="shared" si="224"/>
        <v>250.95200000000006</v>
      </c>
      <c r="AE132" s="535">
        <f t="shared" si="224"/>
        <v>80.946999999999903</v>
      </c>
      <c r="AF132" s="388">
        <f>AF123-AF129-AF131</f>
        <v>203.82400000000018</v>
      </c>
      <c r="AG132" s="535">
        <f t="shared" ref="AG132:AJ132" si="225">AG123-AG129-AG131</f>
        <v>72.836505935452038</v>
      </c>
      <c r="AH132" s="535">
        <f t="shared" si="225"/>
        <v>112.41238117450692</v>
      </c>
      <c r="AI132" s="535">
        <f t="shared" si="225"/>
        <v>156.38557588456811</v>
      </c>
      <c r="AJ132" s="535">
        <f t="shared" si="225"/>
        <v>180.73324601318052</v>
      </c>
      <c r="AK132" s="388">
        <f>AK123-AK129-AK131</f>
        <v>522.36770900770773</v>
      </c>
      <c r="AL132" s="520"/>
      <c r="AM132" s="520"/>
      <c r="AN132" s="520"/>
      <c r="AO132" s="520"/>
      <c r="AP132" s="388">
        <f>AP123-AP129-AP131</f>
        <v>672.00411994160345</v>
      </c>
      <c r="AQ132" s="520"/>
      <c r="AR132" s="520"/>
      <c r="AS132" s="520"/>
      <c r="AT132" s="520"/>
      <c r="AU132" s="388">
        <f>AU123-AU129-AU131</f>
        <v>1595.7559857770864</v>
      </c>
      <c r="AV132" s="520"/>
      <c r="AW132" s="520"/>
      <c r="AX132" s="520"/>
      <c r="AY132" s="520"/>
      <c r="AZ132" s="388">
        <f>AZ123-AZ129-AZ131</f>
        <v>2761.2751784833622</v>
      </c>
      <c r="BA132" s="520"/>
      <c r="BB132" s="520"/>
      <c r="BC132" s="520"/>
      <c r="BD132" s="520"/>
      <c r="BE132" s="388">
        <f>BE123-BE129-BE131</f>
        <v>2901.3932005792353</v>
      </c>
      <c r="BF132" s="520"/>
      <c r="BG132" s="520"/>
      <c r="BH132" s="520"/>
      <c r="BI132" s="520"/>
      <c r="BJ132" s="388">
        <f>BJ123-BJ129-BJ131</f>
        <v>3122.3164897759516</v>
      </c>
      <c r="BK132" s="520"/>
      <c r="BL132" s="520"/>
      <c r="BM132" s="520"/>
      <c r="BN132" s="520"/>
      <c r="BO132" s="388">
        <f>BO123-BO129-BO131</f>
        <v>3362.5087251266382</v>
      </c>
      <c r="BP132" s="520"/>
      <c r="BQ132" s="520"/>
      <c r="BR132" s="520"/>
      <c r="BS132" s="520"/>
      <c r="BT132" s="388">
        <f>BT123-BT129-BT131</f>
        <v>4035.5336353684206</v>
      </c>
      <c r="BU132" s="520"/>
      <c r="BV132" s="520"/>
      <c r="BW132" s="520"/>
      <c r="BX132" s="520"/>
      <c r="BY132" s="388">
        <f>BY123-BY129-BY131</f>
        <v>5307.3229474238287</v>
      </c>
      <c r="BZ132" s="520"/>
      <c r="CA132" s="520"/>
      <c r="CB132" s="520"/>
      <c r="CC132" s="520"/>
      <c r="CD132" s="388">
        <f>CD123-CD129-CD131</f>
        <v>5587.612969497246</v>
      </c>
      <c r="CE132" s="520"/>
      <c r="CF132" s="520"/>
      <c r="CG132" s="520"/>
      <c r="CH132" s="520"/>
      <c r="CI132" s="388">
        <f>CI123-CI129-CI131</f>
        <v>5906.5386957868777</v>
      </c>
      <c r="CJ132" s="520"/>
      <c r="CK132" s="520"/>
      <c r="CL132" s="520"/>
      <c r="CM132" s="520"/>
      <c r="CN132" s="388">
        <f>CN123-CN129-CN131</f>
        <v>6162.622966381874</v>
      </c>
      <c r="CO132" s="520"/>
      <c r="CP132" s="520"/>
      <c r="CQ132" s="520"/>
      <c r="CR132" s="520"/>
      <c r="CS132" s="388">
        <f>CS123-CS129-CS131</f>
        <v>6513.54327341928</v>
      </c>
      <c r="CT132" s="133"/>
    </row>
    <row r="133" spans="2:98">
      <c r="B133" s="39" t="s">
        <v>61</v>
      </c>
      <c r="C133" s="409"/>
      <c r="D133" s="61"/>
      <c r="E133" s="61"/>
      <c r="F133" s="61"/>
      <c r="G133" s="61"/>
      <c r="H133" s="537">
        <f>+H132/H136</f>
        <v>-9.6517981069626793E-2</v>
      </c>
      <c r="I133" s="537">
        <f t="shared" ref="I133:Q133" si="226">+I132/I136</f>
        <v>-0.19333672591678575</v>
      </c>
      <c r="J133" s="537">
        <f t="shared" si="226"/>
        <v>-0.4633652198433873</v>
      </c>
      <c r="K133" s="537">
        <f t="shared" si="226"/>
        <v>-0.3856415179189151</v>
      </c>
      <c r="L133" s="389">
        <f t="shared" si="226"/>
        <v>-1.2074399971543675</v>
      </c>
      <c r="M133" s="537">
        <f t="shared" si="226"/>
        <v>-0.85008609325552731</v>
      </c>
      <c r="N133" s="537">
        <f t="shared" si="226"/>
        <v>-0.78766338192020802</v>
      </c>
      <c r="O133" s="537">
        <f t="shared" si="226"/>
        <v>-0.56083121238941802</v>
      </c>
      <c r="P133" s="537">
        <f t="shared" si="226"/>
        <v>-0.74697824335213536</v>
      </c>
      <c r="Q133" s="389">
        <f t="shared" si="226"/>
        <v>-2.9104191545512887</v>
      </c>
      <c r="R133" s="537">
        <f t="shared" ref="R133:T133" si="227">+R132/R136</f>
        <v>-0.85873908631985041</v>
      </c>
      <c r="S133" s="537">
        <f t="shared" ref="S133:Z133" si="228">+S132/S136</f>
        <v>-0.67204691867733846</v>
      </c>
      <c r="T133" s="537">
        <f t="shared" si="227"/>
        <v>-0.38955816654199504</v>
      </c>
      <c r="U133" s="537">
        <f t="shared" si="228"/>
        <v>-2.5927312983820239E-4</v>
      </c>
      <c r="V133" s="389">
        <f t="shared" ref="V133" si="229">+V132/V136</f>
        <v>-1.9137303332138422</v>
      </c>
      <c r="W133" s="537">
        <f t="shared" si="228"/>
        <v>-0.15822024270908949</v>
      </c>
      <c r="X133" s="537">
        <f t="shared" si="228"/>
        <v>-0.13229603815413798</v>
      </c>
      <c r="Y133" s="537">
        <f t="shared" si="228"/>
        <v>-7.0970112689857909E-2</v>
      </c>
      <c r="Z133" s="537">
        <f t="shared" si="228"/>
        <v>0.1061409423646919</v>
      </c>
      <c r="AA133" s="389">
        <f t="shared" ref="AA133:AE133" si="230">+AA132/AA136</f>
        <v>-0.24639882787562259</v>
      </c>
      <c r="AB133" s="537">
        <f t="shared" si="230"/>
        <v>0.12316847607559328</v>
      </c>
      <c r="AC133" s="537">
        <f t="shared" si="230"/>
        <v>5.2226439088362268E-2</v>
      </c>
      <c r="AD133" s="537">
        <f t="shared" si="230"/>
        <v>1.0027330701488006</v>
      </c>
      <c r="AE133" s="537">
        <f t="shared" si="230"/>
        <v>0.31520926465319821</v>
      </c>
      <c r="AF133" s="389">
        <f t="shared" ref="AF133:AJ133" si="231">+AF132/AF136</f>
        <v>0.80491262711027811</v>
      </c>
      <c r="AG133" s="537">
        <f t="shared" si="231"/>
        <v>0.28061143667509408</v>
      </c>
      <c r="AH133" s="537">
        <f t="shared" si="231"/>
        <v>0.43308227620640211</v>
      </c>
      <c r="AI133" s="537">
        <f t="shared" si="231"/>
        <v>0.60249432013007853</v>
      </c>
      <c r="AJ133" s="537">
        <f t="shared" si="231"/>
        <v>0.69629666013436087</v>
      </c>
      <c r="AK133" s="389">
        <f t="shared" ref="AK133" si="232">+AK132/AK136</f>
        <v>2.0124846931459359</v>
      </c>
      <c r="AL133" s="520"/>
      <c r="AM133" s="520"/>
      <c r="AN133" s="520"/>
      <c r="AO133" s="520"/>
      <c r="AP133" s="389">
        <f t="shared" ref="AP133" si="233">+AP132/AP136</f>
        <v>2.5633436040648823</v>
      </c>
      <c r="AQ133" s="520"/>
      <c r="AR133" s="520"/>
      <c r="AS133" s="520"/>
      <c r="AT133" s="520"/>
      <c r="AU133" s="389">
        <f t="shared" ref="AU133" si="234">+AU132/AU136</f>
        <v>6.0267058902299233</v>
      </c>
      <c r="AV133" s="520"/>
      <c r="AW133" s="520"/>
      <c r="AX133" s="520"/>
      <c r="AY133" s="520"/>
      <c r="AZ133" s="389">
        <f t="shared" ref="AZ133" si="235">+AZ132/AZ136</f>
        <v>10.325279841310934</v>
      </c>
      <c r="BA133" s="520"/>
      <c r="BB133" s="520"/>
      <c r="BC133" s="520"/>
      <c r="BD133" s="520"/>
      <c r="BE133" s="389">
        <f t="shared" ref="BE133" si="236">+BE132/BE136</f>
        <v>10.741807299075111</v>
      </c>
      <c r="BF133" s="520"/>
      <c r="BG133" s="520"/>
      <c r="BH133" s="520"/>
      <c r="BI133" s="520"/>
      <c r="BJ133" s="389">
        <f t="shared" ref="BJ133" si="237">+BJ132/BJ136</f>
        <v>11.445277240473933</v>
      </c>
      <c r="BK133" s="520"/>
      <c r="BL133" s="520"/>
      <c r="BM133" s="520"/>
      <c r="BN133" s="520"/>
      <c r="BO133" s="389">
        <f t="shared" ref="BO133" si="238">+BO132/BO136</f>
        <v>12.203697684774751</v>
      </c>
      <c r="BP133" s="520"/>
      <c r="BQ133" s="520"/>
      <c r="BR133" s="520"/>
      <c r="BS133" s="520"/>
      <c r="BT133" s="389">
        <f t="shared" ref="BT133" si="239">+BT132/BT136</f>
        <v>14.501322740370311</v>
      </c>
      <c r="BU133" s="520"/>
      <c r="BV133" s="520"/>
      <c r="BW133" s="520"/>
      <c r="BX133" s="520"/>
      <c r="BY133" s="389">
        <f t="shared" ref="BY133" si="240">+BY132/BY136</f>
        <v>18.882556291872838</v>
      </c>
      <c r="BZ133" s="520"/>
      <c r="CA133" s="520"/>
      <c r="CB133" s="520"/>
      <c r="CC133" s="520"/>
      <c r="CD133" s="389">
        <f t="shared" ref="CD133" si="241">+CD132/CD136</f>
        <v>19.682951213278734</v>
      </c>
      <c r="CE133" s="520"/>
      <c r="CF133" s="520"/>
      <c r="CG133" s="520"/>
      <c r="CH133" s="520"/>
      <c r="CI133" s="389">
        <f t="shared" ref="CI133" si="242">+CI132/CI136</f>
        <v>20.600396482586763</v>
      </c>
      <c r="CJ133" s="520"/>
      <c r="CK133" s="520"/>
      <c r="CL133" s="520"/>
      <c r="CM133" s="520"/>
      <c r="CN133" s="389">
        <f t="shared" ref="CN133" si="243">+CN132/CN136</f>
        <v>21.280741182165634</v>
      </c>
      <c r="CO133" s="520"/>
      <c r="CP133" s="520"/>
      <c r="CQ133" s="520"/>
      <c r="CR133" s="520"/>
      <c r="CS133" s="389">
        <f t="shared" ref="CS133" si="244">+CS132/CS136</f>
        <v>22.269839174905368</v>
      </c>
      <c r="CT133" s="133"/>
    </row>
    <row r="134" spans="2:98">
      <c r="B134" s="36"/>
      <c r="H134" s="520"/>
      <c r="I134" s="520"/>
      <c r="J134" s="520"/>
      <c r="K134" s="520"/>
      <c r="M134" s="520"/>
      <c r="N134" s="520"/>
      <c r="O134" s="520"/>
      <c r="P134" s="520"/>
      <c r="R134" s="520"/>
      <c r="S134" s="520"/>
      <c r="T134" s="520"/>
      <c r="U134" s="520"/>
      <c r="W134" s="520"/>
      <c r="X134" s="520"/>
      <c r="Y134" s="520"/>
      <c r="Z134" s="520"/>
      <c r="AB134" s="520"/>
      <c r="AC134" s="520"/>
      <c r="AD134" s="520"/>
      <c r="AE134" s="520"/>
      <c r="AG134" s="520"/>
      <c r="AH134" s="520"/>
      <c r="AI134" s="520"/>
      <c r="AJ134" s="520"/>
      <c r="AL134" s="520"/>
      <c r="AM134" s="520"/>
      <c r="AN134" s="520"/>
      <c r="AO134" s="520"/>
      <c r="AQ134" s="520"/>
      <c r="AR134" s="520"/>
      <c r="AS134" s="520"/>
      <c r="AT134" s="520"/>
      <c r="AV134" s="520"/>
      <c r="AW134" s="520"/>
      <c r="AX134" s="520"/>
      <c r="AY134" s="520"/>
      <c r="BA134" s="520"/>
      <c r="BB134" s="520"/>
      <c r="BC134" s="520"/>
      <c r="BD134" s="520"/>
      <c r="BF134" s="520"/>
      <c r="BG134" s="520"/>
      <c r="BH134" s="520"/>
      <c r="BI134" s="520"/>
      <c r="BK134" s="520"/>
      <c r="BL134" s="520"/>
      <c r="BM134" s="520"/>
      <c r="BN134" s="520"/>
      <c r="BP134" s="520"/>
      <c r="BQ134" s="520"/>
      <c r="BR134" s="520"/>
      <c r="BS134" s="520"/>
      <c r="BU134" s="520"/>
      <c r="BV134" s="520"/>
      <c r="BW134" s="520"/>
      <c r="BX134" s="520"/>
      <c r="BZ134" s="520"/>
      <c r="CA134" s="520"/>
      <c r="CB134" s="520"/>
      <c r="CC134" s="520"/>
      <c r="CE134" s="520"/>
      <c r="CF134" s="520"/>
      <c r="CG134" s="520"/>
      <c r="CH134" s="520"/>
      <c r="CJ134" s="520"/>
      <c r="CK134" s="520"/>
      <c r="CL134" s="520"/>
      <c r="CM134" s="520"/>
      <c r="CO134" s="520"/>
      <c r="CP134" s="520"/>
      <c r="CQ134" s="520"/>
      <c r="CR134" s="520"/>
      <c r="CT134" s="133"/>
    </row>
    <row r="135" spans="2:98">
      <c r="B135" s="37" t="s">
        <v>62</v>
      </c>
      <c r="G135" s="117"/>
      <c r="H135" s="529">
        <v>215.42099999999999</v>
      </c>
      <c r="I135" s="529">
        <v>222.053</v>
      </c>
      <c r="J135" s="529">
        <v>230.505</v>
      </c>
      <c r="K135" s="529">
        <v>231.26400000000001</v>
      </c>
      <c r="L135" s="117">
        <v>224.90600000000001</v>
      </c>
      <c r="M135" s="529">
        <v>232.887</v>
      </c>
      <c r="N135" s="529">
        <v>233.80799999999999</v>
      </c>
      <c r="O135" s="529">
        <v>236.137</v>
      </c>
      <c r="P135" s="529">
        <v>238.27199999999999</v>
      </c>
      <c r="Q135" s="117">
        <v>235.30699999999999</v>
      </c>
      <c r="R135" s="529">
        <v>239.49299999999999</v>
      </c>
      <c r="S135" s="529">
        <v>240.75700000000001</v>
      </c>
      <c r="T135" s="529">
        <v>241.96899999999999</v>
      </c>
      <c r="U135" s="529">
        <v>242.98699999999999</v>
      </c>
      <c r="V135" s="117">
        <f>AVERAGE(R135:U135)</f>
        <v>241.3015</v>
      </c>
      <c r="W135" s="529">
        <v>243.83099999999999</v>
      </c>
      <c r="X135" s="529">
        <v>244.482</v>
      </c>
      <c r="Y135" s="529">
        <v>244.92</v>
      </c>
      <c r="Z135" s="529">
        <f t="shared" ref="Z135" si="245">Y135</f>
        <v>244.92</v>
      </c>
      <c r="AA135" s="117">
        <f>AA51</f>
        <v>246.73200000000003</v>
      </c>
      <c r="AB135" s="529">
        <v>246.024</v>
      </c>
      <c r="AC135" s="529">
        <v>247.52099999999999</v>
      </c>
      <c r="AD135" s="529">
        <v>250.268</v>
      </c>
      <c r="AE135" s="529">
        <v>256.80399999999997</v>
      </c>
      <c r="AF135" s="117">
        <v>253.22499999999999</v>
      </c>
      <c r="AG135" s="529">
        <f>AK135</f>
        <v>259.56356874999994</v>
      </c>
      <c r="AH135" s="529">
        <f>AG135</f>
        <v>259.56356874999994</v>
      </c>
      <c r="AI135" s="529">
        <f t="shared" ref="AI135:AJ135" si="246">AH135</f>
        <v>259.56356874999994</v>
      </c>
      <c r="AJ135" s="529">
        <f t="shared" si="246"/>
        <v>259.56356874999994</v>
      </c>
      <c r="AK135" s="117">
        <f>AK51</f>
        <v>259.56356874999994</v>
      </c>
      <c r="AL135" s="529"/>
      <c r="AM135" s="529"/>
      <c r="AN135" s="529"/>
      <c r="AO135" s="529"/>
      <c r="AP135" s="117">
        <f>AP51</f>
        <v>262.15920443749997</v>
      </c>
      <c r="AQ135" s="529"/>
      <c r="AR135" s="529"/>
      <c r="AS135" s="529"/>
      <c r="AT135" s="529"/>
      <c r="AU135" s="117">
        <f>AU51</f>
        <v>264.78079648187497</v>
      </c>
      <c r="AV135" s="529"/>
      <c r="AW135" s="529"/>
      <c r="AX135" s="529"/>
      <c r="AY135" s="529"/>
      <c r="AZ135" s="117">
        <f>AZ51</f>
        <v>267.42860444669373</v>
      </c>
      <c r="BA135" s="529"/>
      <c r="BB135" s="529"/>
      <c r="BC135" s="529"/>
      <c r="BD135" s="529"/>
      <c r="BE135" s="117">
        <f>BE51</f>
        <v>270.10289049116068</v>
      </c>
      <c r="BF135" s="529"/>
      <c r="BG135" s="529"/>
      <c r="BH135" s="529"/>
      <c r="BI135" s="529"/>
      <c r="BJ135" s="117">
        <f>BJ51</f>
        <v>272.80391939607227</v>
      </c>
      <c r="BK135" s="529"/>
      <c r="BL135" s="529"/>
      <c r="BM135" s="529"/>
      <c r="BN135" s="529"/>
      <c r="BO135" s="117">
        <f>BO51</f>
        <v>275.53195859003301</v>
      </c>
      <c r="BP135" s="529"/>
      <c r="BQ135" s="529"/>
      <c r="BR135" s="529"/>
      <c r="BS135" s="529"/>
      <c r="BT135" s="117">
        <f>BT51</f>
        <v>278.28727817593335</v>
      </c>
      <c r="BU135" s="529"/>
      <c r="BV135" s="529"/>
      <c r="BW135" s="529"/>
      <c r="BX135" s="529"/>
      <c r="BY135" s="117">
        <f>BY51</f>
        <v>281.0701509576927</v>
      </c>
      <c r="BZ135" s="529"/>
      <c r="CA135" s="529"/>
      <c r="CB135" s="529"/>
      <c r="CC135" s="529"/>
      <c r="CD135" s="117">
        <f>CD51</f>
        <v>283.88085246726962</v>
      </c>
      <c r="CE135" s="529"/>
      <c r="CF135" s="529"/>
      <c r="CG135" s="529"/>
      <c r="CH135" s="529"/>
      <c r="CI135" s="117">
        <f>CI51</f>
        <v>286.71966099194231</v>
      </c>
      <c r="CJ135" s="529"/>
      <c r="CK135" s="529"/>
      <c r="CL135" s="529"/>
      <c r="CM135" s="529"/>
      <c r="CN135" s="117">
        <f>CN51</f>
        <v>289.58685760186171</v>
      </c>
      <c r="CO135" s="529"/>
      <c r="CP135" s="529"/>
      <c r="CQ135" s="529"/>
      <c r="CR135" s="529"/>
      <c r="CS135" s="117">
        <f>CS51</f>
        <v>292.48272617788035</v>
      </c>
      <c r="CT135" s="133"/>
    </row>
    <row r="136" spans="2:98">
      <c r="B136" s="37" t="s">
        <v>63</v>
      </c>
      <c r="G136" s="117"/>
      <c r="H136" s="529">
        <v>215.42099999999999</v>
      </c>
      <c r="I136" s="529">
        <v>222.053</v>
      </c>
      <c r="J136" s="529">
        <v>230.505</v>
      </c>
      <c r="K136" s="529">
        <v>231.26400000000001</v>
      </c>
      <c r="L136" s="117">
        <v>224.90600000000001</v>
      </c>
      <c r="M136" s="529">
        <f>M135</f>
        <v>232.887</v>
      </c>
      <c r="N136" s="529">
        <v>233.80799999999999</v>
      </c>
      <c r="O136" s="529">
        <v>236.137</v>
      </c>
      <c r="P136" s="529">
        <v>238.27199999999999</v>
      </c>
      <c r="Q136" s="117">
        <v>235.30699999999999</v>
      </c>
      <c r="R136" s="529">
        <f>R135</f>
        <v>239.49299999999999</v>
      </c>
      <c r="S136" s="529">
        <v>240.75700000000001</v>
      </c>
      <c r="T136" s="529">
        <v>241.96899999999999</v>
      </c>
      <c r="U136" s="529">
        <v>242.98699999999999</v>
      </c>
      <c r="V136" s="117">
        <f>AVERAGE(R136:U136)</f>
        <v>241.3015</v>
      </c>
      <c r="W136" s="529">
        <f>W135</f>
        <v>243.83099999999999</v>
      </c>
      <c r="X136" s="529">
        <f>X135</f>
        <v>244.482</v>
      </c>
      <c r="Y136" s="529">
        <f>Y135</f>
        <v>244.92</v>
      </c>
      <c r="Z136" s="529">
        <f t="shared" ref="Z136" si="247">Y136*1.01</f>
        <v>247.36919999999998</v>
      </c>
      <c r="AA136" s="117">
        <f>AA52</f>
        <v>252.46467499999997</v>
      </c>
      <c r="AB136" s="529">
        <v>248.7</v>
      </c>
      <c r="AC136" s="529">
        <v>251.63499999999999</v>
      </c>
      <c r="AD136" s="529">
        <f>AD135</f>
        <v>250.268</v>
      </c>
      <c r="AE136" s="529">
        <f>AE135</f>
        <v>256.80399999999997</v>
      </c>
      <c r="AF136" s="117">
        <v>253.22499999999999</v>
      </c>
      <c r="AG136" s="529">
        <f>AK136</f>
        <v>259.56356874999994</v>
      </c>
      <c r="AH136" s="529">
        <f>AG136</f>
        <v>259.56356874999994</v>
      </c>
      <c r="AI136" s="529">
        <f t="shared" ref="AI136:AJ136" si="248">AH136</f>
        <v>259.56356874999994</v>
      </c>
      <c r="AJ136" s="529">
        <f t="shared" si="248"/>
        <v>259.56356874999994</v>
      </c>
      <c r="AK136" s="117">
        <f>AK52</f>
        <v>259.56356874999994</v>
      </c>
      <c r="AL136" s="529"/>
      <c r="AM136" s="529"/>
      <c r="AN136" s="529"/>
      <c r="AO136" s="529"/>
      <c r="AP136" s="117">
        <f>AP52</f>
        <v>262.15920443749997</v>
      </c>
      <c r="AQ136" s="529"/>
      <c r="AR136" s="529"/>
      <c r="AS136" s="529"/>
      <c r="AT136" s="529"/>
      <c r="AU136" s="117">
        <f>AU52</f>
        <v>264.78079648187497</v>
      </c>
      <c r="AV136" s="529"/>
      <c r="AW136" s="529"/>
      <c r="AX136" s="529"/>
      <c r="AY136" s="529"/>
      <c r="AZ136" s="117">
        <f>AZ52</f>
        <v>267.42860444669373</v>
      </c>
      <c r="BA136" s="529"/>
      <c r="BB136" s="529"/>
      <c r="BC136" s="529"/>
      <c r="BD136" s="529"/>
      <c r="BE136" s="117">
        <f>BE52</f>
        <v>270.10289049116068</v>
      </c>
      <c r="BF136" s="529"/>
      <c r="BG136" s="529"/>
      <c r="BH136" s="529"/>
      <c r="BI136" s="529"/>
      <c r="BJ136" s="117">
        <f>BJ52</f>
        <v>272.80391939607227</v>
      </c>
      <c r="BK136" s="529"/>
      <c r="BL136" s="529"/>
      <c r="BM136" s="529"/>
      <c r="BN136" s="529"/>
      <c r="BO136" s="117">
        <f>BO52</f>
        <v>275.53195859003301</v>
      </c>
      <c r="BP136" s="529"/>
      <c r="BQ136" s="529"/>
      <c r="BR136" s="529"/>
      <c r="BS136" s="529"/>
      <c r="BT136" s="117">
        <f>BT52</f>
        <v>278.28727817593335</v>
      </c>
      <c r="BU136" s="529"/>
      <c r="BV136" s="529"/>
      <c r="BW136" s="529"/>
      <c r="BX136" s="529"/>
      <c r="BY136" s="117">
        <f>BY52</f>
        <v>281.0701509576927</v>
      </c>
      <c r="BZ136" s="529"/>
      <c r="CA136" s="529"/>
      <c r="CB136" s="529"/>
      <c r="CC136" s="529"/>
      <c r="CD136" s="117">
        <f>CD52</f>
        <v>283.88085246726962</v>
      </c>
      <c r="CE136" s="529"/>
      <c r="CF136" s="529"/>
      <c r="CG136" s="529"/>
      <c r="CH136" s="529"/>
      <c r="CI136" s="117">
        <f>CI52</f>
        <v>286.71966099194231</v>
      </c>
      <c r="CJ136" s="529"/>
      <c r="CK136" s="529"/>
      <c r="CL136" s="529"/>
      <c r="CM136" s="529"/>
      <c r="CN136" s="117">
        <f>CN52</f>
        <v>289.58685760186171</v>
      </c>
      <c r="CO136" s="529"/>
      <c r="CP136" s="529"/>
      <c r="CQ136" s="529"/>
      <c r="CR136" s="529"/>
      <c r="CS136" s="117">
        <f>CS52</f>
        <v>292.48272617788035</v>
      </c>
      <c r="CT136" s="133"/>
    </row>
    <row r="137" spans="2:98">
      <c r="B137" s="40" t="s">
        <v>64</v>
      </c>
      <c r="H137" s="520"/>
      <c r="I137" s="520"/>
      <c r="J137" s="520"/>
      <c r="K137" s="520"/>
      <c r="M137" s="520"/>
      <c r="N137" s="520"/>
      <c r="O137" s="520"/>
      <c r="P137" s="520"/>
      <c r="R137" s="520"/>
      <c r="S137" s="520"/>
      <c r="T137" s="520"/>
      <c r="U137" s="520"/>
      <c r="W137" s="520"/>
      <c r="X137" s="520"/>
      <c r="Y137" s="520"/>
      <c r="Z137" s="520"/>
      <c r="AB137" s="520"/>
      <c r="AC137" s="520"/>
      <c r="AD137" s="520"/>
      <c r="AE137" s="520"/>
      <c r="AG137" s="520"/>
      <c r="AH137" s="520"/>
      <c r="AI137" s="520"/>
      <c r="AJ137" s="520"/>
      <c r="AL137" s="520"/>
      <c r="AM137" s="520"/>
      <c r="AN137" s="520"/>
      <c r="AO137" s="520"/>
      <c r="AQ137" s="520"/>
      <c r="AR137" s="520"/>
      <c r="AS137" s="520"/>
      <c r="AT137" s="520"/>
      <c r="AV137" s="520"/>
      <c r="AW137" s="520"/>
      <c r="AX137" s="520"/>
      <c r="AY137" s="520"/>
      <c r="BA137" s="520"/>
      <c r="BB137" s="520"/>
      <c r="BC137" s="520"/>
      <c r="BD137" s="520"/>
      <c r="BF137" s="520"/>
      <c r="BG137" s="520"/>
      <c r="BH137" s="520"/>
      <c r="BI137" s="520"/>
      <c r="BK137" s="520"/>
      <c r="BL137" s="520"/>
      <c r="BM137" s="520"/>
      <c r="BN137" s="520"/>
      <c r="BP137" s="520"/>
      <c r="BQ137" s="520"/>
      <c r="BR137" s="520"/>
      <c r="BS137" s="520"/>
      <c r="BU137" s="520"/>
      <c r="BV137" s="520"/>
      <c r="BW137" s="520"/>
      <c r="BX137" s="520"/>
      <c r="BZ137" s="520"/>
      <c r="CA137" s="520"/>
      <c r="CB137" s="520"/>
      <c r="CC137" s="520"/>
      <c r="CE137" s="520"/>
      <c r="CF137" s="520"/>
      <c r="CG137" s="520"/>
      <c r="CH137" s="520"/>
      <c r="CJ137" s="520"/>
      <c r="CK137" s="520"/>
      <c r="CL137" s="520"/>
      <c r="CM137" s="520"/>
      <c r="CO137" s="520"/>
      <c r="CP137" s="520"/>
      <c r="CQ137" s="520"/>
      <c r="CR137" s="520"/>
      <c r="CT137" s="133"/>
    </row>
    <row r="138" spans="2:98">
      <c r="B138" s="41" t="s">
        <v>65</v>
      </c>
      <c r="H138" s="520"/>
      <c r="I138" s="520"/>
      <c r="J138" s="520"/>
      <c r="K138" s="520"/>
      <c r="M138" s="520"/>
      <c r="N138" s="520"/>
      <c r="O138" s="520"/>
      <c r="P138" s="520"/>
      <c r="R138" s="520"/>
      <c r="S138" s="520"/>
      <c r="T138" s="520"/>
      <c r="U138" s="520"/>
      <c r="W138" s="520"/>
      <c r="X138" s="520"/>
      <c r="Y138" s="520"/>
      <c r="Z138" s="520"/>
      <c r="AB138" s="520"/>
      <c r="AC138" s="520"/>
      <c r="AD138" s="520"/>
      <c r="AE138" s="520"/>
      <c r="AG138" s="520"/>
      <c r="AH138" s="520"/>
      <c r="AI138" s="520"/>
      <c r="AJ138" s="520"/>
      <c r="AL138" s="520"/>
      <c r="AM138" s="520"/>
      <c r="AN138" s="520"/>
      <c r="AO138" s="520"/>
      <c r="AQ138" s="520"/>
      <c r="AR138" s="520"/>
      <c r="AS138" s="520"/>
      <c r="AT138" s="520"/>
      <c r="AV138" s="520"/>
      <c r="AW138" s="520"/>
      <c r="AX138" s="520"/>
      <c r="AY138" s="520"/>
      <c r="BA138" s="520"/>
      <c r="BB138" s="520"/>
      <c r="BC138" s="520"/>
      <c r="BD138" s="520"/>
      <c r="BF138" s="520"/>
      <c r="BG138" s="520"/>
      <c r="BH138" s="520"/>
      <c r="BI138" s="520"/>
      <c r="BK138" s="520"/>
      <c r="BL138" s="520"/>
      <c r="BM138" s="520"/>
      <c r="BN138" s="520"/>
      <c r="BP138" s="520"/>
      <c r="BQ138" s="520"/>
      <c r="BR138" s="520"/>
      <c r="BS138" s="520"/>
      <c r="BU138" s="520"/>
      <c r="BV138" s="520"/>
      <c r="BW138" s="520"/>
      <c r="BX138" s="520"/>
      <c r="BZ138" s="520"/>
      <c r="CA138" s="520"/>
      <c r="CB138" s="520"/>
      <c r="CC138" s="520"/>
      <c r="CE138" s="520"/>
      <c r="CF138" s="520"/>
      <c r="CG138" s="520"/>
      <c r="CH138" s="520"/>
      <c r="CJ138" s="520"/>
      <c r="CK138" s="520"/>
      <c r="CL138" s="520"/>
      <c r="CM138" s="520"/>
      <c r="CO138" s="520"/>
      <c r="CP138" s="520"/>
      <c r="CQ138" s="520"/>
      <c r="CR138" s="520"/>
      <c r="CT138" s="133"/>
    </row>
    <row r="139" spans="2:98">
      <c r="B139" s="36"/>
      <c r="H139" s="520"/>
      <c r="I139" s="520"/>
      <c r="J139" s="520"/>
      <c r="K139" s="520"/>
      <c r="M139" s="520"/>
      <c r="N139" s="520"/>
      <c r="O139" s="520"/>
      <c r="P139" s="520"/>
      <c r="R139" s="520"/>
      <c r="S139" s="520"/>
      <c r="T139" s="520"/>
      <c r="U139" s="520"/>
      <c r="W139" s="520"/>
      <c r="X139" s="520"/>
      <c r="Y139" s="520"/>
      <c r="Z139" s="520"/>
      <c r="AB139" s="520"/>
      <c r="AC139" s="520"/>
      <c r="AD139" s="520"/>
      <c r="AE139" s="520"/>
      <c r="AG139" s="520"/>
      <c r="AH139" s="520"/>
      <c r="AI139" s="520"/>
      <c r="AJ139" s="520"/>
      <c r="AL139" s="520"/>
      <c r="AM139" s="520"/>
      <c r="AN139" s="520"/>
      <c r="AO139" s="520"/>
      <c r="AQ139" s="520"/>
      <c r="AR139" s="520"/>
      <c r="AS139" s="520"/>
      <c r="AT139" s="520"/>
      <c r="AV139" s="520"/>
      <c r="AW139" s="520"/>
      <c r="AX139" s="520"/>
      <c r="AY139" s="520"/>
      <c r="BA139" s="520"/>
      <c r="BB139" s="520"/>
      <c r="BC139" s="520"/>
      <c r="BD139" s="520"/>
      <c r="BF139" s="520"/>
      <c r="BG139" s="520"/>
      <c r="BH139" s="520"/>
      <c r="BI139" s="520"/>
      <c r="BK139" s="520"/>
      <c r="BL139" s="520"/>
      <c r="BM139" s="520"/>
      <c r="BN139" s="520"/>
      <c r="BP139" s="520"/>
      <c r="BQ139" s="520"/>
      <c r="BR139" s="520"/>
      <c r="BS139" s="520"/>
      <c r="BU139" s="520"/>
      <c r="BV139" s="520"/>
      <c r="BW139" s="520"/>
      <c r="BX139" s="520"/>
      <c r="BZ139" s="520"/>
      <c r="CA139" s="520"/>
      <c r="CB139" s="520"/>
      <c r="CC139" s="520"/>
      <c r="CE139" s="520"/>
      <c r="CF139" s="520"/>
      <c r="CG139" s="520"/>
      <c r="CH139" s="520"/>
      <c r="CJ139" s="520"/>
      <c r="CK139" s="520"/>
      <c r="CL139" s="520"/>
      <c r="CM139" s="520"/>
      <c r="CO139" s="520"/>
      <c r="CP139" s="520"/>
      <c r="CQ139" s="520"/>
      <c r="CR139" s="520"/>
      <c r="CT139" s="133"/>
    </row>
    <row r="140" spans="2:98">
      <c r="B140" s="42" t="s">
        <v>66</v>
      </c>
      <c r="H140" s="531">
        <f>SUM(H141:H142)</f>
        <v>31.152000000000001</v>
      </c>
      <c r="I140" s="531">
        <f t="shared" ref="I140:S140" si="249">SUM(I141:I142)</f>
        <v>41.262999999999998</v>
      </c>
      <c r="J140" s="531">
        <f t="shared" si="249"/>
        <v>31.197499999999998</v>
      </c>
      <c r="K140" s="531">
        <f t="shared" si="249"/>
        <v>23.24</v>
      </c>
      <c r="L140" s="193">
        <f t="shared" si="249"/>
        <v>126.85250000000001</v>
      </c>
      <c r="M140" s="538">
        <f t="shared" si="249"/>
        <v>46.58</v>
      </c>
      <c r="N140" s="538">
        <f t="shared" si="249"/>
        <v>42.444000000000003</v>
      </c>
      <c r="O140" s="538">
        <f t="shared" si="249"/>
        <v>46.136000000000003</v>
      </c>
      <c r="P140" s="538">
        <f t="shared" si="249"/>
        <v>42.381</v>
      </c>
      <c r="Q140" s="193">
        <f t="shared" si="249"/>
        <v>177.541</v>
      </c>
      <c r="R140" s="538">
        <f t="shared" si="249"/>
        <v>57.384</v>
      </c>
      <c r="S140" s="538">
        <f t="shared" si="249"/>
        <v>63.260999999999996</v>
      </c>
      <c r="T140" s="539">
        <f>T141+T142</f>
        <v>61</v>
      </c>
      <c r="U140" s="539">
        <f>U141+U142</f>
        <v>45.439</v>
      </c>
      <c r="V140" s="193">
        <f>SUM(R140:U140)</f>
        <v>227.08399999999997</v>
      </c>
      <c r="W140" s="539">
        <f>W141+W142</f>
        <v>55.472000000000001</v>
      </c>
      <c r="X140" s="539">
        <f t="shared" ref="X140" si="250">X141+X142</f>
        <v>61.942</v>
      </c>
      <c r="Y140" s="539">
        <f t="shared" ref="Y140" si="251">Y141+Y142</f>
        <v>61.208999999999996</v>
      </c>
      <c r="Z140" s="539">
        <f>Z141+Z142</f>
        <v>66.37700000000001</v>
      </c>
      <c r="AA140" s="193">
        <f>AA141+AA142</f>
        <v>245</v>
      </c>
      <c r="AB140" s="539">
        <f>AB141+AB142</f>
        <v>68.981999999999999</v>
      </c>
      <c r="AC140" s="539">
        <f t="shared" ref="AC140:AD140" si="252">AC141+AC142</f>
        <v>72.581999999999994</v>
      </c>
      <c r="AD140" s="539">
        <f t="shared" si="252"/>
        <v>73.77</v>
      </c>
      <c r="AE140" s="539">
        <f>AE141+AE142</f>
        <v>75.402000000000001</v>
      </c>
      <c r="AF140" s="193">
        <f>AE140+AD140+AC140+AB140</f>
        <v>290.73599999999999</v>
      </c>
      <c r="AG140" s="539">
        <f>AK140/4</f>
        <v>61.25</v>
      </c>
      <c r="AH140" s="539">
        <f>AK140/4</f>
        <v>61.25</v>
      </c>
      <c r="AI140" s="539">
        <f>AK140/4</f>
        <v>61.25</v>
      </c>
      <c r="AJ140" s="763">
        <f>AK140-SUM(AG140:AI140)</f>
        <v>61.25</v>
      </c>
      <c r="AK140" s="193">
        <f>AK141+AK142</f>
        <v>245</v>
      </c>
      <c r="AL140" s="539"/>
      <c r="AM140" s="539"/>
      <c r="AN140" s="539"/>
      <c r="AO140" s="539"/>
      <c r="AP140" s="193">
        <f>AP141+AP142</f>
        <v>245</v>
      </c>
      <c r="AQ140" s="539"/>
      <c r="AR140" s="539"/>
      <c r="AS140" s="539"/>
      <c r="AT140" s="539"/>
      <c r="AU140" s="193">
        <f>AU141+AU142</f>
        <v>245</v>
      </c>
      <c r="AV140" s="539"/>
      <c r="AW140" s="539"/>
      <c r="AX140" s="539"/>
      <c r="AY140" s="539"/>
      <c r="AZ140" s="193">
        <f>AZ141+AZ142</f>
        <v>245</v>
      </c>
      <c r="BA140" s="539"/>
      <c r="BB140" s="539"/>
      <c r="BC140" s="539"/>
      <c r="BD140" s="539"/>
      <c r="BE140" s="193">
        <f>BE141+BE142</f>
        <v>245</v>
      </c>
      <c r="BF140" s="539"/>
      <c r="BG140" s="539"/>
      <c r="BH140" s="539"/>
      <c r="BI140" s="539"/>
      <c r="BJ140" s="193">
        <f>BJ141+BJ142</f>
        <v>245</v>
      </c>
      <c r="BK140" s="539"/>
      <c r="BL140" s="539"/>
      <c r="BM140" s="539"/>
      <c r="BN140" s="539"/>
      <c r="BO140" s="193">
        <f>BO141+BO142</f>
        <v>245</v>
      </c>
      <c r="BP140" s="539"/>
      <c r="BQ140" s="539"/>
      <c r="BR140" s="539"/>
      <c r="BS140" s="539"/>
      <c r="BT140" s="193">
        <f>BT141+BT142</f>
        <v>245</v>
      </c>
      <c r="BU140" s="539"/>
      <c r="BV140" s="539"/>
      <c r="BW140" s="539"/>
      <c r="BX140" s="539"/>
      <c r="BY140" s="193">
        <f>BY141+BY142</f>
        <v>245</v>
      </c>
      <c r="BZ140" s="539"/>
      <c r="CA140" s="539"/>
      <c r="CB140" s="539"/>
      <c r="CC140" s="539"/>
      <c r="CD140" s="193">
        <f>CD141+CD142</f>
        <v>245</v>
      </c>
      <c r="CE140" s="539"/>
      <c r="CF140" s="539"/>
      <c r="CG140" s="539"/>
      <c r="CH140" s="539"/>
      <c r="CI140" s="193">
        <f>CI141+CI142</f>
        <v>245</v>
      </c>
      <c r="CJ140" s="539"/>
      <c r="CK140" s="539"/>
      <c r="CL140" s="539"/>
      <c r="CM140" s="539"/>
      <c r="CN140" s="193">
        <f>CN141+CN142</f>
        <v>245</v>
      </c>
      <c r="CO140" s="539"/>
      <c r="CP140" s="539"/>
      <c r="CQ140" s="539"/>
      <c r="CR140" s="539"/>
      <c r="CS140" s="193">
        <f>CS141+CS142</f>
        <v>245</v>
      </c>
      <c r="CT140" s="133"/>
    </row>
    <row r="141" spans="2:98">
      <c r="B141" s="412" t="s">
        <v>68</v>
      </c>
      <c r="H141" s="531">
        <f>-H65</f>
        <v>19.273</v>
      </c>
      <c r="I141" s="531">
        <f>-I65</f>
        <v>25.7</v>
      </c>
      <c r="J141" s="531">
        <f>-J65</f>
        <v>19.1555</v>
      </c>
      <c r="K141" s="531">
        <f>-K65</f>
        <v>17.074999999999999</v>
      </c>
      <c r="L141" s="193">
        <f>SUM(H141:K141)</f>
        <v>81.203500000000005</v>
      </c>
      <c r="M141" s="538">
        <f>-M65</f>
        <v>32.9</v>
      </c>
      <c r="N141" s="538">
        <f>-N65</f>
        <v>27.253</v>
      </c>
      <c r="O141" s="538">
        <f>-O65</f>
        <v>31.131</v>
      </c>
      <c r="P141" s="538">
        <f>-P65</f>
        <v>25.713999999999999</v>
      </c>
      <c r="Q141" s="193">
        <f>SUM(M141:P141)</f>
        <v>116.99799999999999</v>
      </c>
      <c r="R141" s="538">
        <f>-R65</f>
        <v>38.216999999999999</v>
      </c>
      <c r="S141" s="538">
        <f>-S65</f>
        <v>41.631999999999998</v>
      </c>
      <c r="T141" s="540">
        <v>41</v>
      </c>
      <c r="U141" s="538">
        <f>-U65</f>
        <v>28.696000000000002</v>
      </c>
      <c r="V141" s="193">
        <f>SUM(R141:U141)</f>
        <v>149.54499999999999</v>
      </c>
      <c r="W141" s="538">
        <f>-W65</f>
        <v>34.448</v>
      </c>
      <c r="X141" s="538">
        <f>-X65</f>
        <v>40.64</v>
      </c>
      <c r="Y141" s="538">
        <f>-Y65</f>
        <v>39.979999999999997</v>
      </c>
      <c r="Z141" s="538">
        <f>AA141-SUM(W141:Y141)</f>
        <v>49.932000000000016</v>
      </c>
      <c r="AA141" s="194">
        <v>165</v>
      </c>
      <c r="AB141" s="538">
        <f>-AB65</f>
        <v>44.837000000000003</v>
      </c>
      <c r="AC141" s="538">
        <f>-AC65</f>
        <v>43.832000000000001</v>
      </c>
      <c r="AD141" s="538">
        <f>-AD65</f>
        <v>46.186</v>
      </c>
      <c r="AE141" s="538">
        <f>-AE65</f>
        <v>47.045000000000002</v>
      </c>
      <c r="AF141" s="193">
        <f>-AF65</f>
        <v>181.89999999999998</v>
      </c>
      <c r="AG141" s="540"/>
      <c r="AH141" s="540"/>
      <c r="AI141" s="540"/>
      <c r="AJ141" s="540"/>
      <c r="AK141" s="194">
        <v>165</v>
      </c>
      <c r="AL141" s="540"/>
      <c r="AM141" s="540"/>
      <c r="AN141" s="540"/>
      <c r="AO141" s="540"/>
      <c r="AP141" s="194">
        <v>165</v>
      </c>
      <c r="AQ141" s="540"/>
      <c r="AR141" s="540"/>
      <c r="AS141" s="540"/>
      <c r="AT141" s="540"/>
      <c r="AU141" s="194">
        <v>165</v>
      </c>
      <c r="AV141" s="540"/>
      <c r="AW141" s="540"/>
      <c r="AX141" s="540"/>
      <c r="AY141" s="540"/>
      <c r="AZ141" s="194">
        <v>165</v>
      </c>
      <c r="BA141" s="540"/>
      <c r="BB141" s="540"/>
      <c r="BC141" s="540"/>
      <c r="BD141" s="540"/>
      <c r="BE141" s="194">
        <v>165</v>
      </c>
      <c r="BF141" s="540"/>
      <c r="BG141" s="540"/>
      <c r="BH141" s="540"/>
      <c r="BI141" s="540"/>
      <c r="BJ141" s="194">
        <v>165</v>
      </c>
      <c r="BK141" s="540"/>
      <c r="BL141" s="540"/>
      <c r="BM141" s="540"/>
      <c r="BN141" s="540"/>
      <c r="BO141" s="194">
        <v>165</v>
      </c>
      <c r="BP141" s="540"/>
      <c r="BQ141" s="540"/>
      <c r="BR141" s="540"/>
      <c r="BS141" s="540"/>
      <c r="BT141" s="194">
        <v>165</v>
      </c>
      <c r="BU141" s="540"/>
      <c r="BV141" s="540"/>
      <c r="BW141" s="540"/>
      <c r="BX141" s="540"/>
      <c r="BY141" s="194">
        <v>165</v>
      </c>
      <c r="BZ141" s="540"/>
      <c r="CA141" s="540"/>
      <c r="CB141" s="540"/>
      <c r="CC141" s="540"/>
      <c r="CD141" s="194">
        <v>165</v>
      </c>
      <c r="CE141" s="540"/>
      <c r="CF141" s="540"/>
      <c r="CG141" s="540"/>
      <c r="CH141" s="540"/>
      <c r="CI141" s="194">
        <v>165</v>
      </c>
      <c r="CJ141" s="540"/>
      <c r="CK141" s="540"/>
      <c r="CL141" s="540"/>
      <c r="CM141" s="540"/>
      <c r="CN141" s="194">
        <v>165</v>
      </c>
      <c r="CO141" s="540"/>
      <c r="CP141" s="540"/>
      <c r="CQ141" s="540"/>
      <c r="CR141" s="540"/>
      <c r="CS141" s="194">
        <v>165</v>
      </c>
      <c r="CT141" s="133"/>
    </row>
    <row r="142" spans="2:98">
      <c r="B142" s="412" t="s">
        <v>67</v>
      </c>
      <c r="H142" s="531">
        <f>-H70</f>
        <v>11.879</v>
      </c>
      <c r="I142" s="531">
        <f>-I70</f>
        <v>15.563000000000001</v>
      </c>
      <c r="J142" s="531">
        <f>-J70</f>
        <v>12.042</v>
      </c>
      <c r="K142" s="531">
        <f>-K70</f>
        <v>6.165</v>
      </c>
      <c r="L142" s="193">
        <f>SUM(H142:K142)</f>
        <v>45.649000000000001</v>
      </c>
      <c r="M142" s="538">
        <f>-M70</f>
        <v>13.68</v>
      </c>
      <c r="N142" s="538">
        <f>-N70</f>
        <v>15.191000000000001</v>
      </c>
      <c r="O142" s="538">
        <f>-O70</f>
        <v>15.005000000000001</v>
      </c>
      <c r="P142" s="538">
        <f>-P70</f>
        <v>16.667000000000002</v>
      </c>
      <c r="Q142" s="193">
        <f>SUM(M142:P142)</f>
        <v>60.543000000000006</v>
      </c>
      <c r="R142" s="538">
        <f>-R70</f>
        <v>19.167000000000002</v>
      </c>
      <c r="S142" s="538">
        <f>-S70</f>
        <v>21.629000000000001</v>
      </c>
      <c r="T142" s="540">
        <v>20</v>
      </c>
      <c r="U142" s="538">
        <f>-U70</f>
        <v>16.742999999999999</v>
      </c>
      <c r="V142" s="193">
        <f>SUM(R142:U142)</f>
        <v>77.539000000000001</v>
      </c>
      <c r="W142" s="538">
        <f>-W70</f>
        <v>21.024000000000001</v>
      </c>
      <c r="X142" s="538">
        <f>-X70</f>
        <v>21.302</v>
      </c>
      <c r="Y142" s="538">
        <f>-Y70</f>
        <v>21.228999999999999</v>
      </c>
      <c r="Z142" s="538">
        <f>AA142-SUM(W142:Y142)</f>
        <v>16.445</v>
      </c>
      <c r="AA142" s="194">
        <v>80</v>
      </c>
      <c r="AB142" s="538">
        <f>-AB70</f>
        <v>24.145</v>
      </c>
      <c r="AC142" s="538">
        <f>-AC70</f>
        <v>28.75</v>
      </c>
      <c r="AD142" s="538">
        <f>-AD70</f>
        <v>27.584</v>
      </c>
      <c r="AE142" s="538">
        <f>-AE70</f>
        <v>28.356999999999999</v>
      </c>
      <c r="AF142" s="193">
        <f>-AF70</f>
        <v>108.836</v>
      </c>
      <c r="AG142" s="540"/>
      <c r="AH142" s="540"/>
      <c r="AI142" s="540"/>
      <c r="AJ142" s="540"/>
      <c r="AK142" s="194">
        <v>80</v>
      </c>
      <c r="AL142" s="540"/>
      <c r="AM142" s="540"/>
      <c r="AN142" s="540"/>
      <c r="AO142" s="540"/>
      <c r="AP142" s="194">
        <v>80</v>
      </c>
      <c r="AQ142" s="540"/>
      <c r="AR142" s="540"/>
      <c r="AS142" s="540"/>
      <c r="AT142" s="540"/>
      <c r="AU142" s="194">
        <v>80</v>
      </c>
      <c r="AV142" s="540"/>
      <c r="AW142" s="540"/>
      <c r="AX142" s="540"/>
      <c r="AY142" s="540"/>
      <c r="AZ142" s="194">
        <v>80</v>
      </c>
      <c r="BA142" s="540"/>
      <c r="BB142" s="540"/>
      <c r="BC142" s="540"/>
      <c r="BD142" s="540"/>
      <c r="BE142" s="194">
        <v>80</v>
      </c>
      <c r="BF142" s="540"/>
      <c r="BG142" s="540"/>
      <c r="BH142" s="540"/>
      <c r="BI142" s="540"/>
      <c r="BJ142" s="194">
        <v>80</v>
      </c>
      <c r="BK142" s="540"/>
      <c r="BL142" s="540"/>
      <c r="BM142" s="540"/>
      <c r="BN142" s="540"/>
      <c r="BO142" s="194">
        <v>80</v>
      </c>
      <c r="BP142" s="540"/>
      <c r="BQ142" s="540"/>
      <c r="BR142" s="540"/>
      <c r="BS142" s="540"/>
      <c r="BT142" s="194">
        <v>80</v>
      </c>
      <c r="BU142" s="540"/>
      <c r="BV142" s="540"/>
      <c r="BW142" s="540"/>
      <c r="BX142" s="540"/>
      <c r="BY142" s="194">
        <v>80</v>
      </c>
      <c r="BZ142" s="540"/>
      <c r="CA142" s="540"/>
      <c r="CB142" s="540"/>
      <c r="CC142" s="540"/>
      <c r="CD142" s="194">
        <v>80</v>
      </c>
      <c r="CE142" s="540"/>
      <c r="CF142" s="540"/>
      <c r="CG142" s="540"/>
      <c r="CH142" s="540"/>
      <c r="CI142" s="194">
        <v>80</v>
      </c>
      <c r="CJ142" s="540"/>
      <c r="CK142" s="540"/>
      <c r="CL142" s="540"/>
      <c r="CM142" s="540"/>
      <c r="CN142" s="194">
        <v>80</v>
      </c>
      <c r="CO142" s="540"/>
      <c r="CP142" s="540"/>
      <c r="CQ142" s="540"/>
      <c r="CR142" s="540"/>
      <c r="CS142" s="194">
        <v>80</v>
      </c>
      <c r="CT142" s="133"/>
    </row>
    <row r="143" spans="2:98">
      <c r="B143" s="36"/>
      <c r="H143" s="520"/>
      <c r="I143" s="520"/>
      <c r="J143" s="520"/>
      <c r="K143" s="520"/>
      <c r="M143" s="520"/>
      <c r="N143" s="520"/>
      <c r="O143" s="520"/>
      <c r="P143" s="520"/>
      <c r="R143" s="520"/>
      <c r="S143" s="520"/>
      <c r="T143" s="520"/>
      <c r="U143" s="520"/>
      <c r="W143" s="520"/>
      <c r="X143" s="520"/>
      <c r="Y143" s="520"/>
      <c r="Z143" s="520"/>
      <c r="AB143" s="520"/>
      <c r="AC143" s="520"/>
      <c r="AD143" s="520"/>
      <c r="AE143" s="520"/>
      <c r="AG143" s="520"/>
      <c r="AH143" s="520"/>
      <c r="AI143" s="520"/>
      <c r="AJ143" s="520"/>
      <c r="AL143" s="520"/>
      <c r="AM143" s="520"/>
      <c r="AN143" s="520"/>
      <c r="AO143" s="520"/>
      <c r="AQ143" s="520"/>
      <c r="AR143" s="520"/>
      <c r="AS143" s="520"/>
      <c r="AT143" s="520"/>
      <c r="AV143" s="520"/>
      <c r="AW143" s="520"/>
      <c r="AX143" s="520"/>
      <c r="AY143" s="520"/>
      <c r="BA143" s="520"/>
      <c r="BB143" s="520"/>
      <c r="BC143" s="520"/>
      <c r="BD143" s="520"/>
      <c r="BF143" s="520"/>
      <c r="BG143" s="520"/>
      <c r="BH143" s="520"/>
      <c r="BI143" s="520"/>
      <c r="BK143" s="520"/>
      <c r="BL143" s="520"/>
      <c r="BM143" s="520"/>
      <c r="BN143" s="520"/>
      <c r="BP143" s="520"/>
      <c r="BQ143" s="520"/>
      <c r="BR143" s="520"/>
      <c r="BS143" s="520"/>
      <c r="BU143" s="520"/>
      <c r="BV143" s="520"/>
      <c r="BW143" s="520"/>
      <c r="BX143" s="520"/>
      <c r="BZ143" s="520"/>
      <c r="CA143" s="520"/>
      <c r="CB143" s="520"/>
      <c r="CC143" s="520"/>
      <c r="CE143" s="520"/>
      <c r="CF143" s="520"/>
      <c r="CG143" s="520"/>
      <c r="CH143" s="520"/>
      <c r="CJ143" s="520"/>
      <c r="CK143" s="520"/>
      <c r="CL143" s="520"/>
      <c r="CM143" s="520"/>
      <c r="CO143" s="520"/>
      <c r="CP143" s="520"/>
      <c r="CQ143" s="520"/>
      <c r="CR143" s="520"/>
      <c r="CT143" s="133"/>
    </row>
    <row r="144" spans="2:98">
      <c r="B144" s="37" t="s">
        <v>69</v>
      </c>
      <c r="H144" s="530">
        <v>10.691000000000001</v>
      </c>
      <c r="I144" s="530">
        <f>21.245-H144</f>
        <v>10.554</v>
      </c>
      <c r="J144" s="530">
        <f>30.734-SUM(H144:I144)</f>
        <v>9.4890000000000008</v>
      </c>
      <c r="K144" s="531">
        <f>L144-SUM(H144:J144)</f>
        <v>17.631</v>
      </c>
      <c r="L144" s="133">
        <f>CF!G7</f>
        <v>48.365000000000002</v>
      </c>
      <c r="M144" s="530">
        <v>15.788</v>
      </c>
      <c r="N144" s="530">
        <f>29.96-M144</f>
        <v>14.172000000000001</v>
      </c>
      <c r="O144" s="530">
        <f>46.921-SUM(M144:N144)</f>
        <v>16.960999999999999</v>
      </c>
      <c r="P144" s="531">
        <f>Q144-SUM(M144:O144)</f>
        <v>16.335999999999999</v>
      </c>
      <c r="Q144" s="133">
        <f>CF!H7</f>
        <v>63.256999999999998</v>
      </c>
      <c r="R144" s="530">
        <v>16.363</v>
      </c>
      <c r="S144" s="530">
        <f>30.428-R144</f>
        <v>14.065000000000001</v>
      </c>
      <c r="T144" s="541">
        <v>15.5</v>
      </c>
      <c r="U144" s="542">
        <f>V144-T144-S144-R144</f>
        <v>16.415000000000006</v>
      </c>
      <c r="V144" s="133">
        <f>CF!I7</f>
        <v>62.343000000000004</v>
      </c>
      <c r="W144" s="542">
        <v>16.414999999999999</v>
      </c>
      <c r="X144" s="542">
        <f>31.378-W144</f>
        <v>14.963000000000001</v>
      </c>
      <c r="Y144" s="542">
        <f>AA144/4</f>
        <v>15.349500000000001</v>
      </c>
      <c r="Z144" s="542">
        <f>AA144-SUM(W144:Y144)</f>
        <v>14.670500000000004</v>
      </c>
      <c r="AA144" s="133">
        <f>CF!J7</f>
        <v>61.398000000000003</v>
      </c>
      <c r="AB144" s="542">
        <f>AF144/4</f>
        <v>15.70558059921875</v>
      </c>
      <c r="AC144" s="542">
        <f>AF144/4</f>
        <v>15.70558059921875</v>
      </c>
      <c r="AD144" s="542">
        <f>AF144/4</f>
        <v>15.70558059921875</v>
      </c>
      <c r="AE144" s="542">
        <f>AF144-SUM(AB144:AD144)</f>
        <v>15.705580599218749</v>
      </c>
      <c r="AF144" s="133">
        <f>CF!K7</f>
        <v>62.822322396875002</v>
      </c>
      <c r="AG144" s="542">
        <f>AK144/4</f>
        <v>16.28216461076088</v>
      </c>
      <c r="AH144" s="542">
        <f>AK144/4</f>
        <v>16.28216461076088</v>
      </c>
      <c r="AI144" s="542">
        <f>AK144/4</f>
        <v>16.28216461076088</v>
      </c>
      <c r="AJ144" s="542">
        <f>AK144-SUM(AG144:AI144)</f>
        <v>16.28216461076088</v>
      </c>
      <c r="AK144" s="133">
        <f>CF!L7</f>
        <v>65.12865844304352</v>
      </c>
      <c r="AL144" s="542"/>
      <c r="AM144" s="542"/>
      <c r="AN144" s="542"/>
      <c r="AO144" s="542"/>
      <c r="AP144" s="133">
        <f>CF!M7</f>
        <v>67.341659424212821</v>
      </c>
      <c r="AQ144" s="542"/>
      <c r="AR144" s="542"/>
      <c r="AS144" s="542"/>
      <c r="AT144" s="542"/>
      <c r="AU144" s="133">
        <f>CF!N7</f>
        <v>70.064280450502622</v>
      </c>
      <c r="AV144" s="542"/>
      <c r="AW144" s="542"/>
      <c r="AX144" s="542"/>
      <c r="AY144" s="542"/>
      <c r="AZ144" s="133">
        <f>CF!O7</f>
        <v>70.633065528473011</v>
      </c>
      <c r="BA144" s="542"/>
      <c r="BB144" s="542"/>
      <c r="BC144" s="542"/>
      <c r="BD144" s="542"/>
      <c r="BE144" s="133">
        <f>CF!P7</f>
        <v>68.592163432657969</v>
      </c>
      <c r="BF144" s="542"/>
      <c r="BG144" s="542"/>
      <c r="BH144" s="542"/>
      <c r="BI144" s="542"/>
      <c r="BJ144" s="133">
        <f>CF!Q7</f>
        <v>66.653306441633674</v>
      </c>
      <c r="BK144" s="542"/>
      <c r="BL144" s="542"/>
      <c r="BM144" s="542"/>
      <c r="BN144" s="542"/>
      <c r="BO144" s="133">
        <f>CF!R7</f>
        <v>64.811392300160591</v>
      </c>
      <c r="BP144" s="542"/>
      <c r="BQ144" s="542"/>
      <c r="BR144" s="542"/>
      <c r="BS144" s="542"/>
      <c r="BT144" s="133">
        <f>CF!S7</f>
        <v>63.061573865761176</v>
      </c>
      <c r="BU144" s="542"/>
      <c r="BV144" s="542"/>
      <c r="BW144" s="542"/>
      <c r="BX144" s="542"/>
      <c r="BY144" s="133">
        <f>CF!T7</f>
        <v>61.399246353081722</v>
      </c>
      <c r="BZ144" s="542"/>
      <c r="CA144" s="542"/>
      <c r="CB144" s="542"/>
      <c r="CC144" s="542"/>
      <c r="CD144" s="133">
        <f>CF!U7</f>
        <v>59.820035216036231</v>
      </c>
      <c r="CE144" s="542"/>
      <c r="CF144" s="542"/>
      <c r="CG144" s="542"/>
      <c r="CH144" s="542"/>
      <c r="CI144" s="133">
        <f>CF!V7</f>
        <v>58.319784635843035</v>
      </c>
      <c r="CJ144" s="542"/>
      <c r="CK144" s="542"/>
      <c r="CL144" s="542"/>
      <c r="CM144" s="542"/>
      <c r="CN144" s="133">
        <f>CF!W7</f>
        <v>56.89454658465948</v>
      </c>
      <c r="CO144" s="542"/>
      <c r="CP144" s="542"/>
      <c r="CQ144" s="542"/>
      <c r="CR144" s="542"/>
      <c r="CS144" s="133">
        <f>CF!X7</f>
        <v>55.540570436035111</v>
      </c>
      <c r="CT144" s="133"/>
    </row>
    <row r="145" spans="1:132">
      <c r="B145" s="44" t="s">
        <v>224</v>
      </c>
      <c r="H145" s="543">
        <f t="shared" ref="H145:V145" si="253">+H144+H106</f>
        <v>-427.59700000000004</v>
      </c>
      <c r="I145" s="543">
        <f t="shared" si="253"/>
        <v>-46.378999999999998</v>
      </c>
      <c r="J145" s="543">
        <f t="shared" si="253"/>
        <v>-114.06699999999999</v>
      </c>
      <c r="K145" s="543">
        <f t="shared" si="253"/>
        <v>7.3500000000000654</v>
      </c>
      <c r="L145" s="135">
        <f t="shared" si="253"/>
        <v>-561.64300000000003</v>
      </c>
      <c r="M145" s="543">
        <f t="shared" si="253"/>
        <v>-200.59999999999997</v>
      </c>
      <c r="N145" s="543">
        <f t="shared" si="253"/>
        <v>-166.66300000000001</v>
      </c>
      <c r="O145" s="543">
        <f t="shared" si="253"/>
        <v>-125.242</v>
      </c>
      <c r="P145" s="543">
        <f t="shared" si="253"/>
        <v>-137.28899999999993</v>
      </c>
      <c r="Q145" s="135">
        <f t="shared" si="253"/>
        <v>-629.79399999999998</v>
      </c>
      <c r="R145" s="543">
        <f t="shared" si="253"/>
        <v>-155.62199999999999</v>
      </c>
      <c r="S145" s="543">
        <f t="shared" si="253"/>
        <v>-157.09899999999999</v>
      </c>
      <c r="T145" s="543">
        <f t="shared" si="253"/>
        <v>-54.525999999999939</v>
      </c>
      <c r="U145" s="543">
        <f t="shared" si="253"/>
        <v>-37.289000000000001</v>
      </c>
      <c r="V145" s="401">
        <f t="shared" si="253"/>
        <v>-404.53599999999994</v>
      </c>
      <c r="W145" s="543">
        <f t="shared" ref="W145:Z145" si="254">+W144+W106</f>
        <v>2.0850000000000133</v>
      </c>
      <c r="X145" s="543">
        <f t="shared" si="254"/>
        <v>18.316000000000013</v>
      </c>
      <c r="Y145" s="543">
        <f t="shared" si="254"/>
        <v>-3.3774999999999924</v>
      </c>
      <c r="Z145" s="543">
        <f t="shared" si="254"/>
        <v>54.310499999999941</v>
      </c>
      <c r="AA145" s="401">
        <f>+AA144+AA106</f>
        <v>71.333999999999975</v>
      </c>
      <c r="AB145" s="543">
        <f t="shared" ref="AB145:AE145" si="255">+AB144+AB106</f>
        <v>286.54758059921875</v>
      </c>
      <c r="AC145" s="543">
        <f t="shared" si="255"/>
        <v>68.412580599218856</v>
      </c>
      <c r="AD145" s="543">
        <f t="shared" si="255"/>
        <v>-310.33741940078119</v>
      </c>
      <c r="AE145" s="543">
        <f t="shared" si="255"/>
        <v>141.44258059921873</v>
      </c>
      <c r="AF145" s="401">
        <f>+AF144+AF106</f>
        <v>186.06532239687527</v>
      </c>
      <c r="AG145" s="543">
        <f t="shared" ref="AG145:AJ145" si="256">+AG144+AG106</f>
        <v>104.11867054621291</v>
      </c>
      <c r="AH145" s="543">
        <f t="shared" si="256"/>
        <v>143.69454578526779</v>
      </c>
      <c r="AI145" s="543">
        <f t="shared" si="256"/>
        <v>187.66774049532899</v>
      </c>
      <c r="AJ145" s="543">
        <f t="shared" si="256"/>
        <v>212.01541062394139</v>
      </c>
      <c r="AK145" s="401">
        <f>+AK144+AK106</f>
        <v>647.49636745075122</v>
      </c>
      <c r="AL145" s="542"/>
      <c r="AM145" s="542"/>
      <c r="AN145" s="542"/>
      <c r="AO145" s="542"/>
      <c r="AP145" s="401">
        <f>+AP144+AP106</f>
        <v>785.75730010575626</v>
      </c>
      <c r="AQ145" s="542"/>
      <c r="AR145" s="542"/>
      <c r="AS145" s="542"/>
      <c r="AT145" s="542"/>
      <c r="AU145" s="401">
        <f>+AU144+AU106</f>
        <v>1698.5724970864062</v>
      </c>
      <c r="AV145" s="542"/>
      <c r="AW145" s="542"/>
      <c r="AX145" s="542"/>
      <c r="AY145" s="542"/>
      <c r="AZ145" s="401">
        <f>+AZ144+AZ106</f>
        <v>2839.7252643828133</v>
      </c>
      <c r="BA145" s="542"/>
      <c r="BB145" s="542"/>
      <c r="BC145" s="542"/>
      <c r="BD145" s="542"/>
      <c r="BE145" s="401">
        <f>+BE144+BE106</f>
        <v>3575.5079968731479</v>
      </c>
      <c r="BF145" s="542"/>
      <c r="BG145" s="542"/>
      <c r="BH145" s="542"/>
      <c r="BI145" s="542"/>
      <c r="BJ145" s="401">
        <f>+BJ144+BJ106</f>
        <v>3943.5009777828168</v>
      </c>
      <c r="BK145" s="542"/>
      <c r="BL145" s="542"/>
      <c r="BM145" s="542"/>
      <c r="BN145" s="542"/>
      <c r="BO145" s="401">
        <f>+BO144+BO106</f>
        <v>4165.7804707549403</v>
      </c>
      <c r="BP145" s="542"/>
      <c r="BQ145" s="542"/>
      <c r="BR145" s="542"/>
      <c r="BS145" s="542"/>
      <c r="BT145" s="401">
        <f>+BT144+BT106</f>
        <v>4918.686351286301</v>
      </c>
      <c r="BU145" s="542"/>
      <c r="BV145" s="542"/>
      <c r="BW145" s="542"/>
      <c r="BX145" s="542"/>
      <c r="BY145" s="401">
        <f>+BY144+BY106</f>
        <v>6406.1462198725721</v>
      </c>
      <c r="BZ145" s="542"/>
      <c r="CA145" s="542"/>
      <c r="CB145" s="542"/>
      <c r="CC145" s="542"/>
      <c r="CD145" s="401">
        <f>+CD144+CD106</f>
        <v>6586.1302872628112</v>
      </c>
      <c r="CE145" s="542"/>
      <c r="CF145" s="542"/>
      <c r="CG145" s="542"/>
      <c r="CH145" s="542"/>
      <c r="CI145" s="401">
        <f>+CI144+CI106</f>
        <v>6773.0597992426628</v>
      </c>
      <c r="CJ145" s="542"/>
      <c r="CK145" s="542"/>
      <c r="CL145" s="542"/>
      <c r="CM145" s="542"/>
      <c r="CN145" s="401">
        <f>+CN144+CN106</f>
        <v>6842.5137491707692</v>
      </c>
      <c r="CO145" s="542"/>
      <c r="CP145" s="542"/>
      <c r="CQ145" s="542"/>
      <c r="CR145" s="542"/>
      <c r="CS145" s="401">
        <f>+CS144+CS106</f>
        <v>6994.2716239277788</v>
      </c>
      <c r="CT145" s="133"/>
    </row>
    <row r="146" spans="1:132">
      <c r="B146" s="44" t="s">
        <v>225</v>
      </c>
      <c r="H146" s="543">
        <f t="shared" ref="H146:AF146" si="257">+H144+H37</f>
        <v>21.782999999999944</v>
      </c>
      <c r="I146" s="543">
        <f t="shared" si="257"/>
        <v>7.7499999999999698</v>
      </c>
      <c r="J146" s="543">
        <f t="shared" si="257"/>
        <v>-65.54549999999999</v>
      </c>
      <c r="K146" s="543">
        <f t="shared" si="257"/>
        <v>-109.45199999999994</v>
      </c>
      <c r="L146" s="135">
        <f t="shared" si="257"/>
        <v>-138.71100000000001</v>
      </c>
      <c r="M146" s="543">
        <f t="shared" si="257"/>
        <v>-119.53699999999999</v>
      </c>
      <c r="N146" s="543">
        <f t="shared" si="257"/>
        <v>-112.31399999999998</v>
      </c>
      <c r="O146" s="543">
        <f t="shared" si="257"/>
        <v>-41.478999999999999</v>
      </c>
      <c r="P146" s="543">
        <f t="shared" si="257"/>
        <v>-92.346999999999966</v>
      </c>
      <c r="Q146" s="135">
        <f t="shared" si="257"/>
        <v>-365.73100000000005</v>
      </c>
      <c r="R146" s="543">
        <f t="shared" si="257"/>
        <v>-105.23099999999995</v>
      </c>
      <c r="S146" s="543">
        <f t="shared" si="257"/>
        <v>-96.443000000000026</v>
      </c>
      <c r="T146" s="543">
        <f t="shared" si="257"/>
        <v>6.585000000000079</v>
      </c>
      <c r="U146" s="543">
        <f t="shared" si="257"/>
        <v>82.454000000000008</v>
      </c>
      <c r="V146" s="401">
        <f t="shared" si="257"/>
        <v>-112.63500000000006</v>
      </c>
      <c r="W146" s="543">
        <f t="shared" si="257"/>
        <v>57.335000000000001</v>
      </c>
      <c r="X146" s="543">
        <f t="shared" si="257"/>
        <v>94.965000000000032</v>
      </c>
      <c r="Y146" s="543">
        <f t="shared" si="257"/>
        <v>79.83550000000001</v>
      </c>
      <c r="Z146" s="543">
        <f t="shared" si="257"/>
        <v>117.35049999999997</v>
      </c>
      <c r="AA146" s="401">
        <f t="shared" si="257"/>
        <v>349.48600000000005</v>
      </c>
      <c r="AB146" s="543">
        <f t="shared" si="257"/>
        <v>138.04858059921881</v>
      </c>
      <c r="AC146" s="543">
        <f t="shared" si="257"/>
        <v>128.04858059921878</v>
      </c>
      <c r="AD146" s="543">
        <f t="shared" si="257"/>
        <v>160.93658059921879</v>
      </c>
      <c r="AE146" s="543">
        <f t="shared" si="257"/>
        <v>199.54358059921867</v>
      </c>
      <c r="AF146" s="401">
        <f t="shared" si="257"/>
        <v>626.57732239687516</v>
      </c>
      <c r="AG146" s="543">
        <f t="shared" ref="AG146:AJ146" si="258">+AG144+AG37</f>
        <v>165.36867054621291</v>
      </c>
      <c r="AH146" s="543">
        <f t="shared" si="258"/>
        <v>204.94454578526779</v>
      </c>
      <c r="AI146" s="543">
        <f t="shared" si="258"/>
        <v>248.91774049532899</v>
      </c>
      <c r="AJ146" s="543">
        <f t="shared" si="258"/>
        <v>273.26541062394142</v>
      </c>
      <c r="AK146" s="401">
        <f>+AK144+AK37</f>
        <v>892.49636745075122</v>
      </c>
      <c r="AL146" s="542"/>
      <c r="AM146" s="542"/>
      <c r="AN146" s="542"/>
      <c r="AO146" s="542"/>
      <c r="AP146" s="401">
        <f>+AP144+AP37</f>
        <v>1030.7573001057563</v>
      </c>
      <c r="AQ146" s="542"/>
      <c r="AR146" s="542"/>
      <c r="AS146" s="542"/>
      <c r="AT146" s="542"/>
      <c r="AU146" s="401">
        <f>+AU144+AU37</f>
        <v>1943.5724970864062</v>
      </c>
      <c r="AV146" s="542"/>
      <c r="AW146" s="542"/>
      <c r="AX146" s="542"/>
      <c r="AY146" s="542"/>
      <c r="AZ146" s="401">
        <f>+AZ144+AZ37</f>
        <v>3084.7252643828133</v>
      </c>
      <c r="BA146" s="542"/>
      <c r="BB146" s="542"/>
      <c r="BC146" s="542"/>
      <c r="BD146" s="542"/>
      <c r="BE146" s="401">
        <f>+BE144+BE37</f>
        <v>3820.5079968731479</v>
      </c>
      <c r="BF146" s="542"/>
      <c r="BG146" s="542"/>
      <c r="BH146" s="542"/>
      <c r="BI146" s="542"/>
      <c r="BJ146" s="401">
        <f>+BJ144+BJ37</f>
        <v>4188.5009777828163</v>
      </c>
      <c r="BK146" s="542"/>
      <c r="BL146" s="542"/>
      <c r="BM146" s="542"/>
      <c r="BN146" s="542"/>
      <c r="BO146" s="401">
        <f>+BO144+BO37</f>
        <v>4410.7804707549403</v>
      </c>
      <c r="BP146" s="542"/>
      <c r="BQ146" s="542"/>
      <c r="BR146" s="542"/>
      <c r="BS146" s="542"/>
      <c r="BT146" s="401">
        <f>+BT144+BT37</f>
        <v>5163.686351286301</v>
      </c>
      <c r="BU146" s="542"/>
      <c r="BV146" s="542"/>
      <c r="BW146" s="542"/>
      <c r="BX146" s="542"/>
      <c r="BY146" s="401">
        <f>+BY144+BY37</f>
        <v>6651.1462198725731</v>
      </c>
      <c r="BZ146" s="542"/>
      <c r="CA146" s="542"/>
      <c r="CB146" s="542"/>
      <c r="CC146" s="542"/>
      <c r="CD146" s="401">
        <f>+CD144+CD37</f>
        <v>6831.1302872628112</v>
      </c>
      <c r="CE146" s="542"/>
      <c r="CF146" s="542"/>
      <c r="CG146" s="542"/>
      <c r="CH146" s="542"/>
      <c r="CI146" s="401">
        <f>+CI144+CI37</f>
        <v>7018.0597992426628</v>
      </c>
      <c r="CJ146" s="542"/>
      <c r="CK146" s="542"/>
      <c r="CL146" s="542"/>
      <c r="CM146" s="542"/>
      <c r="CN146" s="401">
        <f>+CN144+CN37</f>
        <v>7087.5137491707692</v>
      </c>
      <c r="CO146" s="542"/>
      <c r="CP146" s="542"/>
      <c r="CQ146" s="542"/>
      <c r="CR146" s="542"/>
      <c r="CS146" s="401">
        <f>+CS144+CS37</f>
        <v>7239.2716239277788</v>
      </c>
      <c r="CT146" s="133"/>
    </row>
    <row r="147" spans="1:132">
      <c r="B147" s="36"/>
      <c r="AB147" s="520"/>
      <c r="AC147" s="520"/>
      <c r="AD147" s="520"/>
      <c r="AE147" s="520"/>
      <c r="AG147" s="520"/>
      <c r="AH147" s="520"/>
      <c r="AI147" s="520"/>
      <c r="AJ147" s="520"/>
      <c r="AL147" s="520"/>
      <c r="AM147" s="520"/>
      <c r="AN147" s="520"/>
      <c r="AO147" s="520"/>
      <c r="AQ147" s="520"/>
      <c r="AR147" s="520"/>
      <c r="AS147" s="520"/>
      <c r="AT147" s="520"/>
      <c r="AV147" s="520"/>
      <c r="AW147" s="520"/>
      <c r="AX147" s="520"/>
      <c r="AY147" s="520"/>
      <c r="BA147" s="520"/>
      <c r="BB147" s="520"/>
      <c r="BC147" s="520"/>
      <c r="BD147" s="520"/>
      <c r="BF147" s="520"/>
      <c r="BG147" s="520"/>
      <c r="BH147" s="520"/>
      <c r="BI147" s="520"/>
      <c r="BK147" s="520"/>
      <c r="BL147" s="520"/>
      <c r="BM147" s="520"/>
      <c r="BN147" s="520"/>
      <c r="BP147" s="520"/>
      <c r="BQ147" s="520"/>
      <c r="BR147" s="520"/>
      <c r="BS147" s="520"/>
      <c r="BU147" s="520"/>
      <c r="BV147" s="520"/>
      <c r="BW147" s="520"/>
      <c r="BX147" s="520"/>
      <c r="BZ147" s="520"/>
      <c r="CA147" s="520"/>
      <c r="CB147" s="520"/>
      <c r="CC147" s="520"/>
      <c r="CE147" s="520"/>
      <c r="CF147" s="520"/>
      <c r="CG147" s="520"/>
      <c r="CH147" s="520"/>
      <c r="CJ147" s="520"/>
      <c r="CK147" s="520"/>
      <c r="CL147" s="520"/>
      <c r="CM147" s="520"/>
      <c r="CO147" s="520"/>
      <c r="CP147" s="520"/>
      <c r="CQ147" s="520"/>
      <c r="CR147" s="520"/>
    </row>
    <row r="148" spans="1:132" ht="13.5" thickBot="1">
      <c r="B148" s="83" t="s">
        <v>294</v>
      </c>
    </row>
    <row r="149" spans="1:132" ht="13.5" thickBot="1">
      <c r="B149" s="173">
        <f>DCF!C30</f>
        <v>2</v>
      </c>
      <c r="C149" s="1"/>
      <c r="V149" s="622"/>
      <c r="AA149" s="622"/>
    </row>
    <row r="150" spans="1:132">
      <c r="B150" s="36"/>
    </row>
    <row r="151" spans="1:132">
      <c r="B151" s="36"/>
      <c r="C151" s="1"/>
    </row>
    <row r="152" spans="1:132">
      <c r="A152"/>
      <c r="B152" s="211" t="s">
        <v>295</v>
      </c>
      <c r="C152"/>
      <c r="D152"/>
      <c r="E152"/>
      <c r="F152"/>
      <c r="G152" s="174"/>
      <c r="H152" s="174"/>
      <c r="I152" s="174"/>
      <c r="J152" s="174"/>
      <c r="K152" s="174"/>
      <c r="L152" s="174"/>
      <c r="M152" s="174"/>
      <c r="N152" s="174"/>
      <c r="O152" s="174"/>
      <c r="P152" s="174"/>
      <c r="Q152" s="174"/>
      <c r="R152" s="174"/>
      <c r="S152" s="174"/>
      <c r="T152" s="174"/>
      <c r="U152" s="174"/>
      <c r="V152" s="174"/>
      <c r="W152" s="174"/>
      <c r="X152" s="174"/>
      <c r="Y152" s="174"/>
      <c r="Z152" s="174"/>
      <c r="AA152" s="174"/>
      <c r="AB152" s="635"/>
      <c r="AC152" s="635"/>
      <c r="AD152" s="635"/>
      <c r="AE152" s="635"/>
      <c r="AF152" s="174"/>
      <c r="AG152" s="174"/>
      <c r="AH152" s="174"/>
      <c r="AI152" s="174"/>
      <c r="AJ152" s="174"/>
      <c r="AK152" s="174"/>
      <c r="AL152" s="174"/>
      <c r="AM152" s="174"/>
      <c r="AN152" s="174"/>
      <c r="AO152" s="174"/>
      <c r="AP152" s="174"/>
      <c r="AQ152" s="174"/>
      <c r="AR152" s="174"/>
      <c r="AS152" s="174"/>
      <c r="AT152" s="174"/>
      <c r="AU152" s="174"/>
      <c r="AV152" s="174"/>
      <c r="AW152" s="174"/>
      <c r="AX152" s="174"/>
      <c r="AY152" s="174"/>
      <c r="AZ152" s="204"/>
      <c r="BA152" s="174"/>
      <c r="BB152" s="174"/>
      <c r="BC152" s="174"/>
      <c r="BD152" s="174"/>
      <c r="BE152" s="174"/>
      <c r="BF152" s="174"/>
      <c r="BG152" s="174"/>
      <c r="BH152" s="174"/>
      <c r="BI152" s="174"/>
      <c r="BJ152" s="174"/>
      <c r="BK152" s="174"/>
      <c r="BL152" s="174"/>
      <c r="BM152" s="174"/>
      <c r="BN152" s="174"/>
      <c r="BO152" s="174"/>
      <c r="BP152" s="174"/>
      <c r="BQ152" s="174"/>
      <c r="BR152" s="174"/>
      <c r="BS152" s="174"/>
      <c r="BT152" s="174"/>
      <c r="BU152" s="174"/>
      <c r="BV152" s="174"/>
      <c r="BW152" s="174"/>
      <c r="BX152" s="174"/>
      <c r="BY152" s="174"/>
      <c r="BZ152" s="174"/>
      <c r="CA152" s="174"/>
      <c r="CB152" s="174"/>
      <c r="CC152" s="174"/>
      <c r="CD152" s="174"/>
      <c r="CE152" s="174"/>
      <c r="CF152" s="174"/>
      <c r="CG152" s="174"/>
      <c r="CH152" s="174"/>
      <c r="CI152" s="174"/>
      <c r="CJ152" s="174"/>
      <c r="CK152" s="174"/>
      <c r="CL152" s="174"/>
      <c r="CM152" s="174"/>
      <c r="CN152" s="174"/>
      <c r="CO152" s="174"/>
      <c r="CP152" s="174"/>
      <c r="CQ152" s="174"/>
      <c r="CR152" s="174"/>
      <c r="CS152" s="174"/>
      <c r="CT152" s="203"/>
      <c r="CU152" s="203"/>
      <c r="CV152" s="203"/>
      <c r="CW152" s="203"/>
      <c r="CX152" s="203"/>
      <c r="DE152" s="203"/>
      <c r="DF152" s="203"/>
      <c r="DG152" s="203"/>
      <c r="DH152" s="203"/>
      <c r="DI152" s="203"/>
      <c r="DJ152" s="203"/>
      <c r="DK152" s="203"/>
      <c r="DL152" s="203"/>
      <c r="DM152" s="203"/>
      <c r="DN152" s="203"/>
      <c r="DO152" s="203"/>
      <c r="DP152" s="203"/>
      <c r="DQ152" s="203"/>
      <c r="DR152" s="203"/>
      <c r="DS152" s="203"/>
      <c r="DT152" s="203"/>
      <c r="DU152" s="203"/>
      <c r="DV152" s="203"/>
      <c r="DW152" s="203"/>
      <c r="DX152" s="203"/>
      <c r="DY152" s="203"/>
      <c r="DZ152" s="203"/>
      <c r="EA152" s="203"/>
      <c r="EB152" s="203"/>
    </row>
    <row r="153" spans="1:132">
      <c r="A153"/>
      <c r="B153" s="212" t="s">
        <v>304</v>
      </c>
      <c r="C153" s="175"/>
      <c r="D153" s="175"/>
      <c r="E153" s="176"/>
      <c r="F153" s="176"/>
      <c r="G153" s="177"/>
      <c r="H153" s="583"/>
      <c r="I153" s="583"/>
      <c r="J153" s="583"/>
      <c r="K153" s="583"/>
      <c r="L153" s="192">
        <f>L154</f>
        <v>787.63900000000001</v>
      </c>
      <c r="M153" s="544"/>
      <c r="N153" s="544"/>
      <c r="O153" s="544"/>
      <c r="P153" s="544"/>
      <c r="Q153" s="192">
        <f>Q154</f>
        <v>694.19200000000001</v>
      </c>
      <c r="R153" s="544">
        <f>R154</f>
        <v>177.17399999999998</v>
      </c>
      <c r="S153" s="544">
        <f>S154</f>
        <v>181.911</v>
      </c>
      <c r="T153" s="545">
        <f>T154</f>
        <v>201.58799999999999</v>
      </c>
      <c r="U153" s="545">
        <f>U154</f>
        <v>203.51000000000005</v>
      </c>
      <c r="V153" s="192">
        <f>SUM(R153:U153)</f>
        <v>764.18299999999999</v>
      </c>
      <c r="W153" s="545">
        <f>W154</f>
        <v>222.04600000000002</v>
      </c>
      <c r="X153" s="545">
        <f>X154</f>
        <v>215</v>
      </c>
      <c r="Y153" s="544">
        <f t="shared" ref="Y153" si="259">T153*(AA153/V153)</f>
        <v>217.51345199999997</v>
      </c>
      <c r="Z153" s="544">
        <f t="shared" ref="Z153" si="260">U153*(AA153/V153)</f>
        <v>219.58729000000005</v>
      </c>
      <c r="AA153" s="178">
        <f>V153*(1+AA156)</f>
        <v>824.55345699999998</v>
      </c>
      <c r="AB153" s="521">
        <f>W153/AA153*AF153</f>
        <v>245.36082999999999</v>
      </c>
      <c r="AC153" s="521">
        <f>X153/AA153*AF153</f>
        <v>237.57499999999999</v>
      </c>
      <c r="AD153" s="521">
        <f>Y153/AA153*AF153</f>
        <v>240.35236445999996</v>
      </c>
      <c r="AE153" s="752">
        <f>AF153-SUM(AB153:AD153)</f>
        <v>187.84337552499994</v>
      </c>
      <c r="AF153" s="178">
        <f>AA153*(1+AF156)</f>
        <v>911.13156998499994</v>
      </c>
      <c r="AG153" s="544"/>
      <c r="AH153" s="544"/>
      <c r="AI153" s="544"/>
      <c r="AJ153" s="544"/>
      <c r="AK153" s="178">
        <f>AF153*(1+AK156)</f>
        <v>1066.0239368824498</v>
      </c>
      <c r="AL153" s="544"/>
      <c r="AM153" s="544"/>
      <c r="AN153" s="544"/>
      <c r="AO153" s="544"/>
      <c r="AP153" s="178">
        <f>AK153*(1+AP156)</f>
        <v>1140.6456124642214</v>
      </c>
      <c r="AQ153" s="544"/>
      <c r="AR153" s="544"/>
      <c r="AS153" s="544"/>
      <c r="AT153" s="544"/>
      <c r="AU153" s="178">
        <f>AP153*(1+AU156)</f>
        <v>1197.6778930874325</v>
      </c>
      <c r="AV153" s="544"/>
      <c r="AW153" s="544"/>
      <c r="AX153" s="544"/>
      <c r="AY153" s="544"/>
      <c r="AZ153" s="178">
        <f>AU153*(1+AZ156)</f>
        <v>1233.6082298800554</v>
      </c>
      <c r="BA153" s="544"/>
      <c r="BB153" s="544"/>
      <c r="BC153" s="544"/>
      <c r="BD153" s="544"/>
      <c r="BE153" s="178">
        <f>AZ153*(1+BE156)</f>
        <v>1233.6082298800554</v>
      </c>
      <c r="BF153" s="544"/>
      <c r="BG153" s="544"/>
      <c r="BH153" s="544"/>
      <c r="BI153" s="544"/>
      <c r="BJ153" s="178">
        <f>BE153*(1+BJ156)</f>
        <v>1196.5999829836537</v>
      </c>
      <c r="BK153" s="544"/>
      <c r="BL153" s="544"/>
      <c r="BM153" s="544"/>
      <c r="BN153" s="544"/>
      <c r="BO153" s="178">
        <f>BJ153*(1+BO156)</f>
        <v>1136.7699838344711</v>
      </c>
      <c r="BP153" s="544"/>
      <c r="BQ153" s="544"/>
      <c r="BR153" s="544"/>
      <c r="BS153" s="544"/>
      <c r="BT153" s="178">
        <f>BO153*(1+BT156)</f>
        <v>1057.1960849660579</v>
      </c>
      <c r="BU153" s="544"/>
      <c r="BV153" s="544"/>
      <c r="BW153" s="544"/>
      <c r="BX153" s="544"/>
      <c r="BY153" s="178">
        <f>BT153*(1+BY156)</f>
        <v>983.19235901843376</v>
      </c>
      <c r="BZ153" s="544"/>
      <c r="CA153" s="544"/>
      <c r="CB153" s="544"/>
      <c r="CC153" s="544"/>
      <c r="CD153" s="178">
        <f>BY153*(1+CD156)</f>
        <v>924.20081747732763</v>
      </c>
      <c r="CE153" s="544"/>
      <c r="CF153" s="544"/>
      <c r="CG153" s="544"/>
      <c r="CH153" s="544"/>
      <c r="CI153" s="178">
        <f>CD153*(1+CI156)</f>
        <v>859.50676025391465</v>
      </c>
      <c r="CJ153" s="544"/>
      <c r="CK153" s="544"/>
      <c r="CL153" s="544"/>
      <c r="CM153" s="544"/>
      <c r="CN153" s="178">
        <f>CI153*(1+CN156)</f>
        <v>799.34128703614056</v>
      </c>
      <c r="CO153" s="544"/>
      <c r="CP153" s="544"/>
      <c r="CQ153" s="544"/>
      <c r="CR153" s="544"/>
      <c r="CS153" s="209">
        <f>CN153*(1+CS156)</f>
        <v>731.39727763806866</v>
      </c>
      <c r="CT153" s="182"/>
      <c r="CU153" s="182"/>
      <c r="CV153" s="182"/>
      <c r="CW153" s="182"/>
      <c r="CX153" s="182"/>
      <c r="DE153" s="180"/>
      <c r="DF153" s="180"/>
      <c r="DG153" s="180"/>
      <c r="DH153" s="180"/>
      <c r="DI153" s="180"/>
      <c r="DJ153" s="180"/>
      <c r="DK153" s="180"/>
      <c r="DL153" s="180"/>
      <c r="DM153" s="180"/>
      <c r="DN153" s="180"/>
      <c r="DO153" s="180"/>
      <c r="DP153" s="180"/>
      <c r="DQ153" s="180"/>
      <c r="DR153" s="180"/>
      <c r="DS153" s="180"/>
      <c r="DT153" s="180"/>
      <c r="DU153" s="180"/>
      <c r="DV153" s="180"/>
      <c r="DW153" s="180"/>
      <c r="DX153" s="180"/>
      <c r="DY153" s="180"/>
      <c r="DZ153" s="180"/>
      <c r="EA153" s="180"/>
      <c r="EB153" s="183"/>
    </row>
    <row r="154" spans="1:132">
      <c r="A154"/>
      <c r="B154" s="213" t="s">
        <v>305</v>
      </c>
      <c r="C154" s="179"/>
      <c r="D154" s="179"/>
      <c r="E154" s="180"/>
      <c r="F154" s="180"/>
      <c r="G154" s="181" t="e">
        <f>#REF!-#REF!</f>
        <v>#REF!</v>
      </c>
      <c r="H154" s="584"/>
      <c r="I154" s="584"/>
      <c r="J154" s="584"/>
      <c r="K154" s="584"/>
      <c r="L154" s="191">
        <f t="shared" ref="L154:U154" si="261">L27</f>
        <v>787.63900000000001</v>
      </c>
      <c r="M154" s="547">
        <f t="shared" si="261"/>
        <v>181.535</v>
      </c>
      <c r="N154" s="547">
        <f t="shared" si="261"/>
        <v>179.512</v>
      </c>
      <c r="O154" s="547">
        <f t="shared" si="261"/>
        <v>157.38299999999998</v>
      </c>
      <c r="P154" s="547">
        <f t="shared" si="261"/>
        <v>175.67699999999999</v>
      </c>
      <c r="Q154" s="191">
        <f t="shared" si="261"/>
        <v>694.19200000000001</v>
      </c>
      <c r="R154" s="547">
        <f t="shared" si="261"/>
        <v>177.17399999999998</v>
      </c>
      <c r="S154" s="547">
        <f t="shared" si="261"/>
        <v>181.911</v>
      </c>
      <c r="T154" s="548">
        <f t="shared" si="261"/>
        <v>201.58799999999999</v>
      </c>
      <c r="U154" s="548">
        <f t="shared" si="261"/>
        <v>203.51000000000005</v>
      </c>
      <c r="V154" s="191">
        <f t="shared" ref="V154:V155" si="262">SUM(R154:U154)</f>
        <v>764.18299999999999</v>
      </c>
      <c r="W154" s="548">
        <f>W27</f>
        <v>222.04600000000002</v>
      </c>
      <c r="X154" s="547">
        <v>215</v>
      </c>
      <c r="Y154" s="547">
        <v>210</v>
      </c>
      <c r="Z154" s="547">
        <f>AA154-W154-X154-Y154</f>
        <v>226.03307749999999</v>
      </c>
      <c r="AA154" s="191">
        <f>V154*(1+AA157)</f>
        <v>873.07907750000004</v>
      </c>
      <c r="AB154" s="519">
        <v>230</v>
      </c>
      <c r="AC154" s="519">
        <v>237</v>
      </c>
      <c r="AD154" s="519">
        <v>247</v>
      </c>
      <c r="AE154" s="634">
        <f>AF154-SUM(AB154:AD154)</f>
        <v>250.75238063749998</v>
      </c>
      <c r="AF154" s="191">
        <f>AA154*(1+AF157)</f>
        <v>964.75238063749998</v>
      </c>
      <c r="AG154" s="547"/>
      <c r="AH154" s="547"/>
      <c r="AI154" s="547"/>
      <c r="AJ154" s="547"/>
      <c r="AK154" s="191">
        <f>AF154*(1+AK157)</f>
        <v>1109.4652377331249</v>
      </c>
      <c r="AL154" s="547"/>
      <c r="AM154" s="547"/>
      <c r="AN154" s="547"/>
      <c r="AO154" s="547"/>
      <c r="AP154" s="191">
        <f>AK154*(1+AP157)</f>
        <v>1187.1278043744437</v>
      </c>
      <c r="AQ154" s="547"/>
      <c r="AR154" s="547"/>
      <c r="AS154" s="547"/>
      <c r="AT154" s="547"/>
      <c r="AU154" s="191">
        <f>AP154*(1+AU157)</f>
        <v>1246.484194593166</v>
      </c>
      <c r="AV154" s="547"/>
      <c r="AW154" s="547"/>
      <c r="AX154" s="547"/>
      <c r="AY154" s="547"/>
      <c r="AZ154" s="191">
        <f>AU154*(1+AZ157)</f>
        <v>1283.878720430961</v>
      </c>
      <c r="BA154" s="547"/>
      <c r="BB154" s="547"/>
      <c r="BC154" s="547"/>
      <c r="BD154" s="547"/>
      <c r="BE154" s="191">
        <f>AZ154*(1+BE157)</f>
        <v>1283.878720430961</v>
      </c>
      <c r="BF154" s="547"/>
      <c r="BG154" s="547"/>
      <c r="BH154" s="547"/>
      <c r="BI154" s="547"/>
      <c r="BJ154" s="191">
        <f>BE154*(1+BJ157)</f>
        <v>1245.3623588180321</v>
      </c>
      <c r="BK154" s="547"/>
      <c r="BL154" s="547"/>
      <c r="BM154" s="547"/>
      <c r="BN154" s="547"/>
      <c r="BO154" s="191">
        <f>BJ154*(1+BO157)</f>
        <v>1183.0942408771305</v>
      </c>
      <c r="BP154" s="547"/>
      <c r="BQ154" s="547"/>
      <c r="BR154" s="547"/>
      <c r="BS154" s="547"/>
      <c r="BT154" s="191">
        <f>BO154*(1+BT157)</f>
        <v>1100.2776440157313</v>
      </c>
      <c r="BU154" s="547"/>
      <c r="BV154" s="547"/>
      <c r="BW154" s="547"/>
      <c r="BX154" s="547"/>
      <c r="BY154" s="191">
        <f>BT154*(1+BY157)</f>
        <v>1023.25820893463</v>
      </c>
      <c r="BZ154" s="547"/>
      <c r="CA154" s="547"/>
      <c r="CB154" s="547"/>
      <c r="CC154" s="547"/>
      <c r="CD154" s="191">
        <f>BY154*(1+CD157)</f>
        <v>951.63013430920591</v>
      </c>
      <c r="CE154" s="547"/>
      <c r="CF154" s="547"/>
      <c r="CG154" s="547"/>
      <c r="CH154" s="547"/>
      <c r="CI154" s="191">
        <f>CD154*(1+CI157)</f>
        <v>885.01602490756147</v>
      </c>
      <c r="CJ154" s="547"/>
      <c r="CK154" s="547"/>
      <c r="CL154" s="547"/>
      <c r="CM154" s="547"/>
      <c r="CN154" s="191">
        <f>CI154*(1+CN157)</f>
        <v>823.0649031640321</v>
      </c>
      <c r="CO154" s="547"/>
      <c r="CP154" s="547"/>
      <c r="CQ154" s="547"/>
      <c r="CR154" s="547"/>
      <c r="CS154" s="210">
        <f>CN154*(1+CS157)</f>
        <v>753.10438639508936</v>
      </c>
      <c r="CT154" s="182"/>
      <c r="CU154" s="182"/>
      <c r="CV154" s="182"/>
      <c r="CW154" s="182"/>
      <c r="CX154" s="182"/>
      <c r="DE154" s="180"/>
      <c r="DF154" s="180"/>
      <c r="DG154" s="180"/>
      <c r="DH154" s="180"/>
      <c r="DI154" s="180"/>
      <c r="DJ154" s="180"/>
      <c r="DK154" s="180"/>
      <c r="DL154" s="180"/>
      <c r="DM154" s="180"/>
      <c r="DN154" s="180"/>
      <c r="DO154" s="180"/>
      <c r="DP154" s="180"/>
      <c r="DQ154" s="180"/>
      <c r="DR154" s="180"/>
      <c r="DS154" s="180"/>
      <c r="DT154" s="180"/>
      <c r="DU154" s="180"/>
      <c r="DV154" s="180"/>
      <c r="DW154" s="180"/>
      <c r="DX154" s="180"/>
      <c r="DY154" s="180"/>
      <c r="DZ154" s="180"/>
      <c r="EA154" s="180"/>
      <c r="EB154" s="183"/>
    </row>
    <row r="155" spans="1:132">
      <c r="A155"/>
      <c r="B155" s="213" t="s">
        <v>306</v>
      </c>
      <c r="C155" s="179"/>
      <c r="D155" s="179"/>
      <c r="E155" s="180"/>
      <c r="F155" s="180"/>
      <c r="G155" s="184"/>
      <c r="H155" s="584"/>
      <c r="I155" s="584"/>
      <c r="J155" s="584"/>
      <c r="K155" s="584"/>
      <c r="L155" s="191">
        <f>L154</f>
        <v>787.63900000000001</v>
      </c>
      <c r="M155" s="547"/>
      <c r="N155" s="547"/>
      <c r="O155" s="547"/>
      <c r="P155" s="547"/>
      <c r="Q155" s="191">
        <f>Q154</f>
        <v>694.19200000000001</v>
      </c>
      <c r="R155" s="547">
        <f>R154</f>
        <v>177.17399999999998</v>
      </c>
      <c r="S155" s="547">
        <f>S154</f>
        <v>181.911</v>
      </c>
      <c r="T155" s="548">
        <f>T154</f>
        <v>201.58799999999999</v>
      </c>
      <c r="U155" s="548">
        <f>U154</f>
        <v>203.51000000000005</v>
      </c>
      <c r="V155" s="191">
        <f t="shared" si="262"/>
        <v>764.18299999999999</v>
      </c>
      <c r="W155" s="548">
        <f>W154</f>
        <v>222.04600000000002</v>
      </c>
      <c r="X155" s="548">
        <f>X154</f>
        <v>215</v>
      </c>
      <c r="Y155" s="547">
        <f t="shared" ref="Y155" si="263">T155*(AA155/V155)</f>
        <v>207.63564</v>
      </c>
      <c r="Z155" s="547">
        <f t="shared" ref="Z155" si="264">U155*(AA155/V155)</f>
        <v>209.61530000000005</v>
      </c>
      <c r="AA155" s="191">
        <f>V155*(1+AA158)</f>
        <v>787.10848999999996</v>
      </c>
      <c r="AB155" s="519">
        <f>W155/AA155*AF155</f>
        <v>199.84140000000005</v>
      </c>
      <c r="AC155" s="519">
        <f>X155/AA155*AF155</f>
        <v>193.5</v>
      </c>
      <c r="AD155" s="519">
        <f>Y155/AA155*AF155</f>
        <v>186.87207600000002</v>
      </c>
      <c r="AE155" s="634">
        <f>AF155-SUM(AB155:AD155)</f>
        <v>128.18416500000001</v>
      </c>
      <c r="AF155" s="191">
        <f>AA155*(1+AF158)</f>
        <v>708.39764100000002</v>
      </c>
      <c r="AG155" s="547"/>
      <c r="AH155" s="547"/>
      <c r="AI155" s="547"/>
      <c r="AJ155" s="547"/>
      <c r="AK155" s="191">
        <f>AF155*(1+AK158)</f>
        <v>602.13799485000004</v>
      </c>
      <c r="AL155" s="547"/>
      <c r="AM155" s="547"/>
      <c r="AN155" s="547"/>
      <c r="AO155" s="547"/>
      <c r="AP155" s="191">
        <f>AK155*(1+AP158)</f>
        <v>451.60349613750003</v>
      </c>
      <c r="AQ155" s="547"/>
      <c r="AR155" s="547"/>
      <c r="AS155" s="547"/>
      <c r="AT155" s="547"/>
      <c r="AU155" s="191">
        <f>AP155*(1+AU158)</f>
        <v>338.70262210312501</v>
      </c>
      <c r="AV155" s="547"/>
      <c r="AW155" s="547"/>
      <c r="AX155" s="547"/>
      <c r="AY155" s="547"/>
      <c r="AZ155" s="191">
        <f>AU155*(1+AZ158)</f>
        <v>254.02696657734376</v>
      </c>
      <c r="BA155" s="547"/>
      <c r="BB155" s="547"/>
      <c r="BC155" s="547"/>
      <c r="BD155" s="547"/>
      <c r="BE155" s="191">
        <f>AZ155*(1+BE158)</f>
        <v>190.52022493300782</v>
      </c>
      <c r="BF155" s="547"/>
      <c r="BG155" s="547"/>
      <c r="BH155" s="547"/>
      <c r="BI155" s="547"/>
      <c r="BJ155" s="191">
        <f>BE155*(1+BJ158)</f>
        <v>142.89016869975586</v>
      </c>
      <c r="BK155" s="547"/>
      <c r="BL155" s="547"/>
      <c r="BM155" s="547"/>
      <c r="BN155" s="547"/>
      <c r="BO155" s="191">
        <f>BJ155*(1+BO158)</f>
        <v>107.1676265248169</v>
      </c>
      <c r="BP155" s="547"/>
      <c r="BQ155" s="547"/>
      <c r="BR155" s="547"/>
      <c r="BS155" s="547"/>
      <c r="BT155" s="191">
        <f>BO155*(1+BT158)</f>
        <v>80.375719893612668</v>
      </c>
      <c r="BU155" s="547"/>
      <c r="BV155" s="547"/>
      <c r="BW155" s="547"/>
      <c r="BX155" s="547"/>
      <c r="BY155" s="191">
        <f>BT155*(1+BY158)</f>
        <v>60.281789920209505</v>
      </c>
      <c r="BZ155" s="547"/>
      <c r="CA155" s="547"/>
      <c r="CB155" s="547"/>
      <c r="CC155" s="547"/>
      <c r="CD155" s="191">
        <f>BY155*(1+CD158)</f>
        <v>45.211342440157125</v>
      </c>
      <c r="CE155" s="547"/>
      <c r="CF155" s="547"/>
      <c r="CG155" s="547"/>
      <c r="CH155" s="547"/>
      <c r="CI155" s="191">
        <f>CD155*(1+CI158)</f>
        <v>33.908506830117844</v>
      </c>
      <c r="CJ155" s="547"/>
      <c r="CK155" s="547"/>
      <c r="CL155" s="547"/>
      <c r="CM155" s="547"/>
      <c r="CN155" s="191">
        <f>CI155*(1+CN158)</f>
        <v>25.431380122588383</v>
      </c>
      <c r="CO155" s="547"/>
      <c r="CP155" s="547"/>
      <c r="CQ155" s="547"/>
      <c r="CR155" s="547"/>
      <c r="CS155" s="210">
        <f>CN155*(1+CS158)</f>
        <v>19.073535091941288</v>
      </c>
      <c r="CT155" s="182"/>
      <c r="CU155" s="182"/>
      <c r="CV155" s="182"/>
      <c r="CW155" s="182"/>
      <c r="CX155" s="182"/>
      <c r="DE155" s="180"/>
      <c r="DF155" s="180"/>
      <c r="DG155" s="180"/>
      <c r="DH155" s="180"/>
      <c r="DI155" s="180"/>
      <c r="DJ155" s="180"/>
      <c r="DK155" s="180"/>
      <c r="DL155" s="180"/>
      <c r="DM155" s="180"/>
      <c r="DN155" s="180"/>
      <c r="DO155" s="180"/>
      <c r="DP155" s="180"/>
      <c r="DQ155" s="180"/>
      <c r="DR155" s="180"/>
      <c r="DS155" s="180"/>
      <c r="DT155" s="180"/>
      <c r="DU155" s="180"/>
      <c r="DV155" s="180"/>
      <c r="DW155" s="180"/>
      <c r="DX155" s="180"/>
      <c r="DY155" s="180"/>
      <c r="DZ155" s="180"/>
      <c r="EA155" s="180"/>
      <c r="EB155" s="183"/>
    </row>
    <row r="156" spans="1:132">
      <c r="A156"/>
      <c r="B156" s="213" t="s">
        <v>296</v>
      </c>
      <c r="C156" s="179"/>
      <c r="D156" s="179"/>
      <c r="E156" s="185"/>
      <c r="F156" s="185"/>
      <c r="G156" s="184"/>
      <c r="H156" s="550"/>
      <c r="I156" s="550"/>
      <c r="J156" s="550"/>
      <c r="K156" s="550"/>
      <c r="L156" s="184"/>
      <c r="M156" s="550"/>
      <c r="N156" s="550"/>
      <c r="O156" s="550"/>
      <c r="P156" s="550"/>
      <c r="Q156" s="184"/>
      <c r="R156" s="550"/>
      <c r="S156" s="550"/>
      <c r="T156" s="550"/>
      <c r="U156" s="550"/>
      <c r="V156" s="189">
        <v>0.1</v>
      </c>
      <c r="W156" s="550"/>
      <c r="X156" s="550"/>
      <c r="Y156" s="550"/>
      <c r="Z156" s="550"/>
      <c r="AA156" s="189">
        <v>7.9000000000000001E-2</v>
      </c>
      <c r="AB156" s="572"/>
      <c r="AC156" s="572"/>
      <c r="AD156" s="572"/>
      <c r="AE156" s="572"/>
      <c r="AF156" s="189">
        <f>AF157</f>
        <v>0.105</v>
      </c>
      <c r="AG156" s="572"/>
      <c r="AH156" s="572"/>
      <c r="AI156" s="572"/>
      <c r="AJ156" s="572"/>
      <c r="AK156" s="189">
        <v>0.17</v>
      </c>
      <c r="AL156" s="572"/>
      <c r="AM156" s="572"/>
      <c r="AN156" s="572"/>
      <c r="AO156" s="572"/>
      <c r="AP156" s="189">
        <f>AP157</f>
        <v>7.0000000000000007E-2</v>
      </c>
      <c r="AQ156" s="572"/>
      <c r="AR156" s="572"/>
      <c r="AS156" s="572"/>
      <c r="AT156" s="572"/>
      <c r="AU156" s="189">
        <f>AU157</f>
        <v>0.05</v>
      </c>
      <c r="AV156" s="572"/>
      <c r="AW156" s="572"/>
      <c r="AX156" s="572"/>
      <c r="AY156" s="572"/>
      <c r="AZ156" s="189">
        <f>AZ157</f>
        <v>0.03</v>
      </c>
      <c r="BA156" s="572"/>
      <c r="BB156" s="572"/>
      <c r="BC156" s="572"/>
      <c r="BD156" s="572"/>
      <c r="BE156" s="189">
        <f>BE157</f>
        <v>0</v>
      </c>
      <c r="BF156" s="572"/>
      <c r="BG156" s="572"/>
      <c r="BH156" s="572"/>
      <c r="BI156" s="572"/>
      <c r="BJ156" s="189">
        <f>BJ157</f>
        <v>-0.03</v>
      </c>
      <c r="BK156" s="572"/>
      <c r="BL156" s="572"/>
      <c r="BM156" s="572"/>
      <c r="BN156" s="572"/>
      <c r="BO156" s="189">
        <f>BO157</f>
        <v>-0.05</v>
      </c>
      <c r="BP156" s="572"/>
      <c r="BQ156" s="572"/>
      <c r="BR156" s="572"/>
      <c r="BS156" s="572"/>
      <c r="BT156" s="189">
        <f>BT157</f>
        <v>-7.0000000000000007E-2</v>
      </c>
      <c r="BU156" s="572"/>
      <c r="BV156" s="572"/>
      <c r="BW156" s="572"/>
      <c r="BX156" s="572"/>
      <c r="BY156" s="189">
        <f>BY157</f>
        <v>-7.0000000000000007E-2</v>
      </c>
      <c r="BZ156" s="572"/>
      <c r="CA156" s="572"/>
      <c r="CB156" s="572"/>
      <c r="CC156" s="572"/>
      <c r="CD156" s="189">
        <v>-0.06</v>
      </c>
      <c r="CE156" s="572"/>
      <c r="CF156" s="572"/>
      <c r="CG156" s="572"/>
      <c r="CH156" s="572"/>
      <c r="CI156" s="189">
        <f>CI157</f>
        <v>-7.0000000000000007E-2</v>
      </c>
      <c r="CJ156" s="572"/>
      <c r="CK156" s="572"/>
      <c r="CL156" s="572"/>
      <c r="CM156" s="572"/>
      <c r="CN156" s="189">
        <f>CN157</f>
        <v>-7.0000000000000007E-2</v>
      </c>
      <c r="CO156" s="572"/>
      <c r="CP156" s="572"/>
      <c r="CQ156" s="572"/>
      <c r="CR156" s="572"/>
      <c r="CS156" s="190">
        <f>CS157</f>
        <v>-8.5000000000000006E-2</v>
      </c>
      <c r="CT156" s="186"/>
      <c r="CU156" s="186"/>
      <c r="CV156" s="186"/>
      <c r="CW156" s="186"/>
      <c r="CX156" s="186"/>
      <c r="DE156" s="186"/>
      <c r="DF156" s="186"/>
      <c r="DG156" s="186"/>
      <c r="DH156" s="186"/>
      <c r="DI156" s="186"/>
      <c r="DJ156" s="186"/>
      <c r="DK156" s="186"/>
      <c r="DL156" s="186"/>
      <c r="DM156" s="186"/>
      <c r="DN156" s="186"/>
      <c r="DO156" s="186"/>
      <c r="DP156" s="186"/>
      <c r="DQ156" s="186"/>
      <c r="DR156" s="186"/>
      <c r="DS156" s="186"/>
      <c r="DT156" s="186"/>
      <c r="DU156" s="186"/>
      <c r="DV156" s="186"/>
      <c r="DW156" s="186"/>
      <c r="DX156" s="186"/>
      <c r="DY156" s="186"/>
      <c r="DZ156" s="186"/>
      <c r="EA156" s="186"/>
      <c r="EB156" s="187"/>
    </row>
    <row r="157" spans="1:132">
      <c r="A157"/>
      <c r="B157" s="213" t="s">
        <v>297</v>
      </c>
      <c r="C157" s="179"/>
      <c r="D157" s="179"/>
      <c r="E157" s="185"/>
      <c r="F157" s="185"/>
      <c r="G157" s="184"/>
      <c r="H157" s="550"/>
      <c r="I157" s="550"/>
      <c r="J157" s="550"/>
      <c r="K157" s="550"/>
      <c r="L157" s="188"/>
      <c r="M157" s="550"/>
      <c r="N157" s="550"/>
      <c r="O157" s="550"/>
      <c r="P157" s="550"/>
      <c r="Q157" s="188"/>
      <c r="R157" s="550"/>
      <c r="S157" s="550"/>
      <c r="T157" s="550"/>
      <c r="U157" s="550"/>
      <c r="V157" s="189">
        <v>7.4999999999999997E-2</v>
      </c>
      <c r="W157" s="550"/>
      <c r="X157" s="550"/>
      <c r="Y157" s="550"/>
      <c r="Z157" s="550"/>
      <c r="AA157" s="189">
        <v>0.14249999999999999</v>
      </c>
      <c r="AB157" s="572"/>
      <c r="AC157" s="572"/>
      <c r="AD157" s="572"/>
      <c r="AE157" s="572"/>
      <c r="AF157" s="189">
        <v>0.105</v>
      </c>
      <c r="AG157" s="572"/>
      <c r="AH157" s="572"/>
      <c r="AI157" s="572"/>
      <c r="AJ157" s="572"/>
      <c r="AK157" s="189">
        <v>0.15</v>
      </c>
      <c r="AL157" s="572"/>
      <c r="AM157" s="572"/>
      <c r="AN157" s="572"/>
      <c r="AO157" s="572"/>
      <c r="AP157" s="189">
        <v>7.0000000000000007E-2</v>
      </c>
      <c r="AQ157" s="572"/>
      <c r="AR157" s="572"/>
      <c r="AS157" s="572"/>
      <c r="AT157" s="572"/>
      <c r="AU157" s="189">
        <v>0.05</v>
      </c>
      <c r="AV157" s="572"/>
      <c r="AW157" s="572"/>
      <c r="AX157" s="572"/>
      <c r="AY157" s="572"/>
      <c r="AZ157" s="189">
        <v>0.03</v>
      </c>
      <c r="BA157" s="189">
        <v>0.02</v>
      </c>
      <c r="BB157" s="189">
        <v>0.02</v>
      </c>
      <c r="BC157" s="189">
        <v>0.02</v>
      </c>
      <c r="BD157" s="189">
        <v>0.02</v>
      </c>
      <c r="BE157" s="189">
        <v>0</v>
      </c>
      <c r="BF157" s="189">
        <v>0.02</v>
      </c>
      <c r="BG157" s="189">
        <v>0.02</v>
      </c>
      <c r="BH157" s="189">
        <v>0.02</v>
      </c>
      <c r="BI157" s="189">
        <v>0.02</v>
      </c>
      <c r="BJ157" s="189">
        <v>-0.03</v>
      </c>
      <c r="BK157" s="189">
        <v>0.02</v>
      </c>
      <c r="BL157" s="189">
        <v>0.02</v>
      </c>
      <c r="BM157" s="189">
        <v>0.02</v>
      </c>
      <c r="BN157" s="189">
        <v>0.02</v>
      </c>
      <c r="BO157" s="189">
        <v>-0.05</v>
      </c>
      <c r="BP157" s="189">
        <v>-0.05</v>
      </c>
      <c r="BQ157" s="189">
        <v>-0.05</v>
      </c>
      <c r="BR157" s="189">
        <v>-0.05</v>
      </c>
      <c r="BS157" s="189">
        <v>-0.05</v>
      </c>
      <c r="BT157" s="189">
        <v>-7.0000000000000007E-2</v>
      </c>
      <c r="BU157" s="189">
        <v>-7.0000000000000007E-2</v>
      </c>
      <c r="BV157" s="189">
        <v>-7.0000000000000007E-2</v>
      </c>
      <c r="BW157" s="189">
        <v>-7.0000000000000007E-2</v>
      </c>
      <c r="BX157" s="189">
        <v>-7.0000000000000007E-2</v>
      </c>
      <c r="BY157" s="189">
        <v>-7.0000000000000007E-2</v>
      </c>
      <c r="BZ157" s="189">
        <v>-7.0000000000000007E-2</v>
      </c>
      <c r="CA157" s="189">
        <v>-7.0000000000000007E-2</v>
      </c>
      <c r="CB157" s="189">
        <v>-7.0000000000000007E-2</v>
      </c>
      <c r="CC157" s="189">
        <v>-7.0000000000000007E-2</v>
      </c>
      <c r="CD157" s="189">
        <v>-7.0000000000000007E-2</v>
      </c>
      <c r="CE157" s="189">
        <v>-0.05</v>
      </c>
      <c r="CF157" s="189">
        <v>-0.05</v>
      </c>
      <c r="CG157" s="189">
        <v>-0.05</v>
      </c>
      <c r="CH157" s="189">
        <v>-0.05</v>
      </c>
      <c r="CI157" s="189">
        <v>-7.0000000000000007E-2</v>
      </c>
      <c r="CJ157" s="189">
        <v>-0.05</v>
      </c>
      <c r="CK157" s="189">
        <v>-0.05</v>
      </c>
      <c r="CL157" s="189">
        <v>-0.05</v>
      </c>
      <c r="CM157" s="189">
        <v>-0.05</v>
      </c>
      <c r="CN157" s="189">
        <v>-7.0000000000000007E-2</v>
      </c>
      <c r="CO157" s="189">
        <v>-0.05</v>
      </c>
      <c r="CP157" s="189">
        <v>-0.05</v>
      </c>
      <c r="CQ157" s="189">
        <v>-0.05</v>
      </c>
      <c r="CR157" s="189">
        <v>-0.05</v>
      </c>
      <c r="CS157" s="190">
        <v>-8.5000000000000006E-2</v>
      </c>
      <c r="CT157" s="186"/>
      <c r="CU157" s="186"/>
      <c r="CV157" s="186"/>
      <c r="CW157" s="186"/>
      <c r="CX157" s="186"/>
      <c r="DE157" s="186"/>
      <c r="DF157" s="186"/>
      <c r="DG157" s="186"/>
      <c r="DH157" s="186"/>
      <c r="DI157" s="186"/>
      <c r="DJ157" s="186"/>
      <c r="DK157" s="186"/>
      <c r="DL157" s="186"/>
      <c r="DM157" s="186"/>
      <c r="DN157" s="186"/>
      <c r="DO157" s="186"/>
      <c r="DP157" s="186"/>
      <c r="DQ157" s="186"/>
      <c r="DR157" s="186"/>
      <c r="DS157" s="186"/>
      <c r="DT157" s="186"/>
      <c r="DU157" s="186"/>
      <c r="DV157" s="186"/>
      <c r="DW157" s="186"/>
      <c r="DX157" s="186"/>
      <c r="DY157" s="186"/>
      <c r="DZ157" s="186"/>
      <c r="EA157" s="186"/>
      <c r="EB157" s="187"/>
    </row>
    <row r="158" spans="1:132">
      <c r="A158"/>
      <c r="B158" s="214" t="s">
        <v>298</v>
      </c>
      <c r="C158" s="753"/>
      <c r="D158" s="753"/>
      <c r="E158" s="754"/>
      <c r="F158" s="754"/>
      <c r="G158" s="755"/>
      <c r="H158" s="756"/>
      <c r="I158" s="756"/>
      <c r="J158" s="756"/>
      <c r="K158" s="756"/>
      <c r="L158" s="757"/>
      <c r="M158" s="756"/>
      <c r="N158" s="756"/>
      <c r="O158" s="756"/>
      <c r="P158" s="756"/>
      <c r="Q158" s="757"/>
      <c r="R158" s="756"/>
      <c r="S158" s="756"/>
      <c r="T158" s="756"/>
      <c r="U158" s="756"/>
      <c r="V158" s="711">
        <v>0.04</v>
      </c>
      <c r="W158" s="756"/>
      <c r="X158" s="756"/>
      <c r="Y158" s="756"/>
      <c r="Z158" s="756"/>
      <c r="AA158" s="711">
        <v>0.03</v>
      </c>
      <c r="AB158" s="712"/>
      <c r="AC158" s="712"/>
      <c r="AD158" s="712"/>
      <c r="AE158" s="712"/>
      <c r="AF158" s="711">
        <v>-0.1</v>
      </c>
      <c r="AG158" s="712"/>
      <c r="AH158" s="712"/>
      <c r="AI158" s="712"/>
      <c r="AJ158" s="712"/>
      <c r="AK158" s="711">
        <v>-0.15</v>
      </c>
      <c r="AL158" s="712"/>
      <c r="AM158" s="712"/>
      <c r="AN158" s="712"/>
      <c r="AO158" s="712"/>
      <c r="AP158" s="711">
        <v>-0.25</v>
      </c>
      <c r="AQ158" s="712"/>
      <c r="AR158" s="712"/>
      <c r="AS158" s="712"/>
      <c r="AT158" s="712"/>
      <c r="AU158" s="711">
        <v>-0.25</v>
      </c>
      <c r="AV158" s="712"/>
      <c r="AW158" s="712"/>
      <c r="AX158" s="712"/>
      <c r="AY158" s="712"/>
      <c r="AZ158" s="711">
        <v>-0.25</v>
      </c>
      <c r="BA158" s="712"/>
      <c r="BB158" s="712"/>
      <c r="BC158" s="712"/>
      <c r="BD158" s="712"/>
      <c r="BE158" s="711">
        <v>-0.25</v>
      </c>
      <c r="BF158" s="712"/>
      <c r="BG158" s="712"/>
      <c r="BH158" s="712"/>
      <c r="BI158" s="712"/>
      <c r="BJ158" s="711">
        <v>-0.25</v>
      </c>
      <c r="BK158" s="712">
        <v>-0.23</v>
      </c>
      <c r="BL158" s="712">
        <v>-0.23</v>
      </c>
      <c r="BM158" s="712">
        <v>-0.23</v>
      </c>
      <c r="BN158" s="712">
        <v>-0.23</v>
      </c>
      <c r="BO158" s="711">
        <v>-0.25</v>
      </c>
      <c r="BP158" s="712">
        <v>-0.23</v>
      </c>
      <c r="BQ158" s="712">
        <v>-0.23</v>
      </c>
      <c r="BR158" s="712">
        <v>-0.23</v>
      </c>
      <c r="BS158" s="712">
        <v>-0.23</v>
      </c>
      <c r="BT158" s="711">
        <v>-0.25</v>
      </c>
      <c r="BU158" s="712">
        <v>-0.23</v>
      </c>
      <c r="BV158" s="712">
        <v>-0.23</v>
      </c>
      <c r="BW158" s="712">
        <v>-0.23</v>
      </c>
      <c r="BX158" s="712">
        <v>-0.23</v>
      </c>
      <c r="BY158" s="711">
        <v>-0.25</v>
      </c>
      <c r="BZ158" s="712"/>
      <c r="CA158" s="712"/>
      <c r="CB158" s="712"/>
      <c r="CC158" s="712"/>
      <c r="CD158" s="711">
        <v>-0.25</v>
      </c>
      <c r="CE158" s="712">
        <v>-0.25</v>
      </c>
      <c r="CF158" s="712">
        <v>-0.25</v>
      </c>
      <c r="CG158" s="712">
        <v>-0.25</v>
      </c>
      <c r="CH158" s="712">
        <v>-0.25</v>
      </c>
      <c r="CI158" s="711">
        <v>-0.25</v>
      </c>
      <c r="CJ158" s="712">
        <v>-0.25</v>
      </c>
      <c r="CK158" s="712">
        <v>-0.25</v>
      </c>
      <c r="CL158" s="712">
        <v>-0.25</v>
      </c>
      <c r="CM158" s="712">
        <v>-0.25</v>
      </c>
      <c r="CN158" s="711">
        <v>-0.25</v>
      </c>
      <c r="CO158" s="712">
        <v>-0.25</v>
      </c>
      <c r="CP158" s="712">
        <v>-0.25</v>
      </c>
      <c r="CQ158" s="712">
        <v>-0.25</v>
      </c>
      <c r="CR158" s="712">
        <v>-0.25</v>
      </c>
      <c r="CS158" s="758">
        <v>-0.25</v>
      </c>
      <c r="CT158" s="186"/>
      <c r="CU158" s="186"/>
      <c r="CV158" s="186"/>
      <c r="CW158" s="186"/>
      <c r="CX158" s="186"/>
      <c r="DE158" s="186"/>
      <c r="DF158" s="186"/>
      <c r="DG158" s="186"/>
      <c r="DH158" s="186"/>
      <c r="DI158" s="186"/>
      <c r="DJ158" s="186"/>
      <c r="DK158" s="186"/>
      <c r="DL158" s="186"/>
      <c r="DM158" s="186"/>
      <c r="DN158" s="186"/>
      <c r="DO158" s="186"/>
      <c r="DP158" s="186"/>
      <c r="DQ158" s="186"/>
      <c r="DR158" s="186"/>
      <c r="DS158" s="186"/>
      <c r="DT158" s="186"/>
      <c r="DU158" s="186"/>
      <c r="DV158" s="186"/>
      <c r="DW158" s="186"/>
      <c r="DX158" s="186"/>
      <c r="DY158" s="186"/>
      <c r="DZ158" s="186"/>
      <c r="EA158" s="186"/>
      <c r="EB158" s="187"/>
    </row>
    <row r="159" spans="1:132">
      <c r="B159" s="36"/>
      <c r="C159" s="1"/>
    </row>
    <row r="160" spans="1:132">
      <c r="A160"/>
      <c r="B160" s="211" t="s">
        <v>300</v>
      </c>
      <c r="C160"/>
      <c r="D160"/>
      <c r="E160"/>
      <c r="F160"/>
      <c r="G160" s="174"/>
      <c r="H160" s="174"/>
      <c r="I160" s="174"/>
      <c r="J160" s="174"/>
      <c r="K160" s="174"/>
      <c r="L160" s="174"/>
      <c r="M160" s="174"/>
      <c r="N160" s="174"/>
      <c r="O160" s="174"/>
      <c r="P160" s="174"/>
      <c r="Q160" s="174"/>
      <c r="R160" s="174"/>
      <c r="S160" s="174"/>
      <c r="T160" s="174"/>
      <c r="U160" s="174"/>
      <c r="V160" s="174"/>
      <c r="W160" s="174"/>
      <c r="X160" s="174"/>
      <c r="Y160" s="174"/>
      <c r="Z160" s="174"/>
      <c r="AA160" s="174"/>
      <c r="AB160" s="635"/>
      <c r="AC160" s="635"/>
      <c r="AD160" s="635"/>
      <c r="AE160" s="635"/>
      <c r="AF160" s="174"/>
      <c r="AG160" s="174"/>
      <c r="AH160" s="174"/>
      <c r="AI160" s="174"/>
      <c r="AJ160" s="174"/>
      <c r="AK160" s="174"/>
      <c r="AL160" s="174"/>
      <c r="AM160" s="174"/>
      <c r="AN160" s="174"/>
      <c r="AO160" s="174"/>
      <c r="AP160" s="174"/>
      <c r="AQ160" s="174"/>
      <c r="AR160" s="174"/>
      <c r="AS160" s="174"/>
      <c r="AT160" s="174"/>
      <c r="AU160" s="174"/>
      <c r="AV160" s="174"/>
      <c r="AW160" s="174"/>
      <c r="AX160" s="174"/>
      <c r="AY160" s="174"/>
      <c r="AZ160" s="204"/>
      <c r="BA160" s="174"/>
      <c r="BB160" s="174"/>
      <c r="BC160" s="174"/>
      <c r="BD160" s="174"/>
      <c r="BE160" s="174"/>
      <c r="BF160" s="174"/>
      <c r="BG160" s="174"/>
      <c r="BH160" s="174"/>
      <c r="BI160" s="174"/>
      <c r="BJ160" s="174"/>
      <c r="BK160" s="174"/>
      <c r="BL160" s="174"/>
      <c r="BM160" s="174"/>
      <c r="BN160" s="174"/>
      <c r="BO160" s="174"/>
      <c r="BP160" s="174"/>
      <c r="BQ160" s="174"/>
      <c r="BR160" s="174"/>
      <c r="BS160" s="174"/>
      <c r="BT160" s="174"/>
      <c r="BU160" s="174"/>
      <c r="BV160" s="174"/>
      <c r="BW160" s="174"/>
      <c r="BX160" s="174"/>
      <c r="BY160" s="174"/>
      <c r="BZ160" s="174"/>
      <c r="CA160" s="174"/>
      <c r="CB160" s="174"/>
      <c r="CC160" s="174"/>
      <c r="CD160" s="174"/>
      <c r="CE160" s="174"/>
      <c r="CF160" s="174"/>
      <c r="CG160" s="174"/>
      <c r="CH160" s="174"/>
      <c r="CI160" s="174"/>
      <c r="CJ160" s="174"/>
      <c r="CK160" s="174"/>
      <c r="CL160" s="174"/>
      <c r="CM160" s="174"/>
      <c r="CN160" s="174"/>
      <c r="CO160" s="174"/>
      <c r="CP160" s="174"/>
      <c r="CQ160" s="174"/>
      <c r="CR160" s="174"/>
      <c r="CS160" s="174"/>
      <c r="CT160" s="203"/>
      <c r="CU160" s="203"/>
      <c r="CV160" s="203"/>
      <c r="CW160" s="203"/>
      <c r="CX160" s="203"/>
      <c r="DE160" s="203"/>
      <c r="DF160" s="203"/>
      <c r="DG160" s="203"/>
      <c r="DH160" s="203"/>
      <c r="DI160" s="203"/>
      <c r="DJ160" s="203"/>
      <c r="DK160" s="203"/>
      <c r="DL160" s="203"/>
      <c r="DM160" s="203"/>
      <c r="DN160" s="203"/>
      <c r="DO160" s="203"/>
      <c r="DP160" s="203"/>
      <c r="DQ160" s="203"/>
      <c r="DR160" s="203"/>
      <c r="DS160" s="203"/>
      <c r="DT160" s="203"/>
      <c r="DU160" s="203"/>
      <c r="DV160" s="203"/>
      <c r="DW160" s="203"/>
      <c r="DX160" s="203"/>
      <c r="DY160" s="203"/>
      <c r="DZ160" s="203"/>
      <c r="EA160" s="203"/>
      <c r="EB160" s="203"/>
    </row>
    <row r="161" spans="1:132">
      <c r="A161"/>
      <c r="B161" s="212" t="s">
        <v>307</v>
      </c>
      <c r="C161" s="175"/>
      <c r="D161" s="175"/>
      <c r="E161" s="176"/>
      <c r="F161" s="176"/>
      <c r="G161" s="177"/>
      <c r="H161" s="583"/>
      <c r="I161" s="583"/>
      <c r="J161" s="583"/>
      <c r="K161" s="583"/>
      <c r="L161" s="192">
        <f>L162</f>
        <v>309.09699999999998</v>
      </c>
      <c r="M161" s="544"/>
      <c r="N161" s="544"/>
      <c r="O161" s="544"/>
      <c r="P161" s="544"/>
      <c r="Q161" s="192">
        <f>Q162</f>
        <v>225.63399999999999</v>
      </c>
      <c r="R161" s="544">
        <f>R162</f>
        <v>69.149000000000001</v>
      </c>
      <c r="S161" s="544">
        <f>S162</f>
        <v>72.016000000000005</v>
      </c>
      <c r="T161" s="545">
        <f>T162</f>
        <v>76.117000000000004</v>
      </c>
      <c r="U161" s="545">
        <f>U162</f>
        <v>77.629999999999981</v>
      </c>
      <c r="V161" s="192">
        <f>SUM(R161:U161)</f>
        <v>294.91200000000003</v>
      </c>
      <c r="W161" s="545">
        <f>W162</f>
        <v>83.679000000000016</v>
      </c>
      <c r="X161" s="545">
        <f>X162</f>
        <v>84</v>
      </c>
      <c r="Y161" s="544">
        <f>T161*(AA161/V161)</f>
        <v>89.627767500000004</v>
      </c>
      <c r="Z161" s="544">
        <f>U161*(AA161/V161)</f>
        <v>91.409324999999981</v>
      </c>
      <c r="AA161" s="178">
        <f>V161*(1+AA164)</f>
        <v>347.25888000000003</v>
      </c>
      <c r="AB161" s="521">
        <f>W161/AA161*AF161</f>
        <v>90.791715000000011</v>
      </c>
      <c r="AC161" s="521">
        <f>X161/AA161*AF161</f>
        <v>91.14</v>
      </c>
      <c r="AD161" s="521">
        <f>Y161/AA161*AF161</f>
        <v>97.24612773749999</v>
      </c>
      <c r="AE161" s="752">
        <f>AF161-SUM(AB161:AD161)</f>
        <v>97.598042062500042</v>
      </c>
      <c r="AF161" s="178">
        <f>AA161*(1+AF164)</f>
        <v>376.77588480000003</v>
      </c>
      <c r="AG161" s="544"/>
      <c r="AH161" s="544"/>
      <c r="AI161" s="544"/>
      <c r="AJ161" s="544"/>
      <c r="AK161" s="178">
        <f>AF161*(1+AK164)</f>
        <v>418.22123212800005</v>
      </c>
      <c r="AL161" s="544"/>
      <c r="AM161" s="544"/>
      <c r="AN161" s="544"/>
      <c r="AO161" s="544"/>
      <c r="AP161" s="178">
        <f>AK161*(1+AP164)</f>
        <v>439.13229373440009</v>
      </c>
      <c r="AQ161" s="544"/>
      <c r="AR161" s="544"/>
      <c r="AS161" s="544"/>
      <c r="AT161" s="544"/>
      <c r="AU161" s="178">
        <f>AP161*(1+AU164)</f>
        <v>461.0889084211201</v>
      </c>
      <c r="AV161" s="544"/>
      <c r="AW161" s="544"/>
      <c r="AX161" s="544"/>
      <c r="AY161" s="544"/>
      <c r="AZ161" s="178">
        <f>AU161*(1+AZ164)</f>
        <v>484.14335384217611</v>
      </c>
      <c r="BA161" s="544"/>
      <c r="BB161" s="544"/>
      <c r="BC161" s="544"/>
      <c r="BD161" s="544"/>
      <c r="BE161" s="178">
        <f>AZ161*(1+BE164)</f>
        <v>508.35052153428495</v>
      </c>
      <c r="BF161" s="544"/>
      <c r="BG161" s="544"/>
      <c r="BH161" s="544"/>
      <c r="BI161" s="544"/>
      <c r="BJ161" s="178">
        <f>BE161*(1+BJ164)</f>
        <v>533.76804761099925</v>
      </c>
      <c r="BK161" s="544"/>
      <c r="BL161" s="544"/>
      <c r="BM161" s="544"/>
      <c r="BN161" s="544"/>
      <c r="BO161" s="178">
        <f>BJ161*(1+BO164)</f>
        <v>544.44340856321924</v>
      </c>
      <c r="BP161" s="544"/>
      <c r="BQ161" s="544"/>
      <c r="BR161" s="544"/>
      <c r="BS161" s="544"/>
      <c r="BT161" s="178">
        <f>BO161*(1+BT164)</f>
        <v>555.33227673448368</v>
      </c>
      <c r="BU161" s="544"/>
      <c r="BV161" s="544"/>
      <c r="BW161" s="544"/>
      <c r="BX161" s="544"/>
      <c r="BY161" s="178">
        <f>BT161*(1+BY164)</f>
        <v>555.33227673448368</v>
      </c>
      <c r="BZ161" s="544"/>
      <c r="CA161" s="544"/>
      <c r="CB161" s="544"/>
      <c r="CC161" s="544"/>
      <c r="CD161" s="178">
        <f>BY161*(1+CD164)</f>
        <v>555.33227673448368</v>
      </c>
      <c r="CE161" s="544"/>
      <c r="CF161" s="544"/>
      <c r="CG161" s="544"/>
      <c r="CH161" s="544"/>
      <c r="CI161" s="178">
        <f>CD161*(1+CI164)</f>
        <v>555.33227673448368</v>
      </c>
      <c r="CJ161" s="544"/>
      <c r="CK161" s="544"/>
      <c r="CL161" s="544"/>
      <c r="CM161" s="544"/>
      <c r="CN161" s="178">
        <f>CI161*(1+CN164)</f>
        <v>555.33227673448368</v>
      </c>
      <c r="CO161" s="544"/>
      <c r="CP161" s="544"/>
      <c r="CQ161" s="544"/>
      <c r="CR161" s="544"/>
      <c r="CS161" s="209">
        <f>CN161*(1+CS164)</f>
        <v>555.33227673448368</v>
      </c>
      <c r="CT161" s="182"/>
      <c r="CU161" s="182"/>
      <c r="CV161" s="182"/>
      <c r="CW161" s="182"/>
      <c r="CX161" s="182"/>
      <c r="DE161" s="180"/>
      <c r="DF161" s="180"/>
      <c r="DG161" s="180"/>
      <c r="DH161" s="180"/>
      <c r="DI161" s="180"/>
      <c r="DJ161" s="180"/>
      <c r="DK161" s="180"/>
      <c r="DL161" s="180"/>
      <c r="DM161" s="180"/>
      <c r="DN161" s="180"/>
      <c r="DO161" s="180"/>
      <c r="DP161" s="180"/>
      <c r="DQ161" s="180"/>
      <c r="DR161" s="180"/>
      <c r="DS161" s="180"/>
      <c r="DT161" s="180"/>
      <c r="DU161" s="180"/>
      <c r="DV161" s="180"/>
      <c r="DW161" s="180"/>
      <c r="DX161" s="180"/>
      <c r="DY161" s="180"/>
      <c r="DZ161" s="180"/>
      <c r="EA161" s="180"/>
      <c r="EB161" s="183"/>
    </row>
    <row r="162" spans="1:132">
      <c r="A162"/>
      <c r="B162" s="213" t="s">
        <v>308</v>
      </c>
      <c r="C162" s="179"/>
      <c r="D162" s="179"/>
      <c r="E162" s="180"/>
      <c r="F162" s="180"/>
      <c r="G162" s="181" t="e">
        <f>#REF!-#REF!</f>
        <v>#REF!</v>
      </c>
      <c r="H162" s="584"/>
      <c r="I162" s="584"/>
      <c r="J162" s="584"/>
      <c r="K162" s="584"/>
      <c r="L162" s="191">
        <f t="shared" ref="L162:U162" si="265">L31</f>
        <v>309.09699999999998</v>
      </c>
      <c r="M162" s="547">
        <f t="shared" si="265"/>
        <v>52.411000000000001</v>
      </c>
      <c r="N162" s="547">
        <f t="shared" si="265"/>
        <v>57.882999999999996</v>
      </c>
      <c r="O162" s="547">
        <f t="shared" si="265"/>
        <v>55.054000000000002</v>
      </c>
      <c r="P162" s="547">
        <f t="shared" si="265"/>
        <v>60.367999999999995</v>
      </c>
      <c r="Q162" s="191">
        <f t="shared" si="265"/>
        <v>225.63399999999999</v>
      </c>
      <c r="R162" s="547">
        <f t="shared" si="265"/>
        <v>69.149000000000001</v>
      </c>
      <c r="S162" s="547">
        <f t="shared" si="265"/>
        <v>72.016000000000005</v>
      </c>
      <c r="T162" s="548">
        <f t="shared" si="265"/>
        <v>76.117000000000004</v>
      </c>
      <c r="U162" s="548">
        <f t="shared" si="265"/>
        <v>77.629999999999981</v>
      </c>
      <c r="V162" s="191">
        <f t="shared" ref="V162:V163" si="266">SUM(R162:U162)</f>
        <v>294.91200000000003</v>
      </c>
      <c r="W162" s="548">
        <f>W31</f>
        <v>83.679000000000016</v>
      </c>
      <c r="X162" s="547">
        <v>84</v>
      </c>
      <c r="Y162" s="547">
        <v>84</v>
      </c>
      <c r="Z162" s="547">
        <f>AA162-W162-X162-Y162</f>
        <v>84.520680000000027</v>
      </c>
      <c r="AA162" s="191">
        <f>V162*(1+AA165)</f>
        <v>336.19968000000006</v>
      </c>
      <c r="AB162" s="519">
        <f>W162/AA162*AF162</f>
        <v>90.791715000000025</v>
      </c>
      <c r="AC162" s="519">
        <f>X162/AA162*AF162</f>
        <v>91.140000000000015</v>
      </c>
      <c r="AD162" s="519">
        <f>Y162/AA162*AF162</f>
        <v>91.140000000000015</v>
      </c>
      <c r="AE162" s="634">
        <f>AF162-SUM(AB162:AD162)</f>
        <v>91.704937800000039</v>
      </c>
      <c r="AF162" s="191">
        <f>AA162*(1+AF165)</f>
        <v>364.77665280000008</v>
      </c>
      <c r="AG162" s="547"/>
      <c r="AH162" s="547"/>
      <c r="AI162" s="547"/>
      <c r="AJ162" s="547"/>
      <c r="AK162" s="191">
        <f>AF162*(1+AK165)</f>
        <v>404.90208460800011</v>
      </c>
      <c r="AL162" s="547"/>
      <c r="AM162" s="547"/>
      <c r="AN162" s="547"/>
      <c r="AO162" s="547"/>
      <c r="AP162" s="191">
        <f>AK162*(1+AP165)</f>
        <v>425.14718883840015</v>
      </c>
      <c r="AQ162" s="547"/>
      <c r="AR162" s="547"/>
      <c r="AS162" s="547"/>
      <c r="AT162" s="547"/>
      <c r="AU162" s="191">
        <f>AP162*(1+AU165)</f>
        <v>446.40454828032017</v>
      </c>
      <c r="AV162" s="547"/>
      <c r="AW162" s="547"/>
      <c r="AX162" s="547"/>
      <c r="AY162" s="547"/>
      <c r="AZ162" s="191">
        <f>AU162*(1+AZ165)</f>
        <v>468.72477569433619</v>
      </c>
      <c r="BA162" s="547"/>
      <c r="BB162" s="547"/>
      <c r="BC162" s="547"/>
      <c r="BD162" s="547"/>
      <c r="BE162" s="191">
        <f>AZ162*(1+BE165)</f>
        <v>492.16101447905299</v>
      </c>
      <c r="BF162" s="547"/>
      <c r="BG162" s="547"/>
      <c r="BH162" s="547"/>
      <c r="BI162" s="547"/>
      <c r="BJ162" s="191">
        <f>BE162*(1+BJ165)</f>
        <v>516.76906520300565</v>
      </c>
      <c r="BK162" s="547"/>
      <c r="BL162" s="547"/>
      <c r="BM162" s="547"/>
      <c r="BN162" s="547"/>
      <c r="BO162" s="191">
        <f>BJ162*(1+BO165)</f>
        <v>527.10444650706575</v>
      </c>
      <c r="BP162" s="547"/>
      <c r="BQ162" s="547"/>
      <c r="BR162" s="547"/>
      <c r="BS162" s="547"/>
      <c r="BT162" s="191">
        <f>BO162*(1+BT165)</f>
        <v>537.64653543720704</v>
      </c>
      <c r="BU162" s="547"/>
      <c r="BV162" s="547"/>
      <c r="BW162" s="547"/>
      <c r="BX162" s="547"/>
      <c r="BY162" s="191">
        <f>BT162*(1+BY165)</f>
        <v>537.64653543720704</v>
      </c>
      <c r="BZ162" s="547"/>
      <c r="CA162" s="547"/>
      <c r="CB162" s="547"/>
      <c r="CC162" s="547"/>
      <c r="CD162" s="191">
        <f>BY162*(1+CD165)</f>
        <v>537.64653543720704</v>
      </c>
      <c r="CE162" s="547"/>
      <c r="CF162" s="547"/>
      <c r="CG162" s="547"/>
      <c r="CH162" s="547"/>
      <c r="CI162" s="191">
        <f>CD162*(1+CI165)</f>
        <v>537.64653543720704</v>
      </c>
      <c r="CJ162" s="547"/>
      <c r="CK162" s="547"/>
      <c r="CL162" s="547"/>
      <c r="CM162" s="547"/>
      <c r="CN162" s="191">
        <f>CI162*(1+CN165)</f>
        <v>537.64653543720704</v>
      </c>
      <c r="CO162" s="547"/>
      <c r="CP162" s="547"/>
      <c r="CQ162" s="547"/>
      <c r="CR162" s="547"/>
      <c r="CS162" s="210">
        <f>CN162*(1+CS165)</f>
        <v>537.64653543720704</v>
      </c>
      <c r="CT162" s="182"/>
      <c r="CU162" s="182"/>
      <c r="CV162" s="182"/>
      <c r="CW162" s="182"/>
      <c r="CX162" s="182"/>
      <c r="DE162" s="180"/>
      <c r="DF162" s="180"/>
      <c r="DG162" s="180"/>
      <c r="DH162" s="180"/>
      <c r="DI162" s="180"/>
      <c r="DJ162" s="180"/>
      <c r="DK162" s="180"/>
      <c r="DL162" s="180"/>
      <c r="DM162" s="180"/>
      <c r="DN162" s="180"/>
      <c r="DO162" s="180"/>
      <c r="DP162" s="180"/>
      <c r="DQ162" s="180"/>
      <c r="DR162" s="180"/>
      <c r="DS162" s="180"/>
      <c r="DT162" s="180"/>
      <c r="DU162" s="180"/>
      <c r="DV162" s="180"/>
      <c r="DW162" s="180"/>
      <c r="DX162" s="180"/>
      <c r="DY162" s="180"/>
      <c r="DZ162" s="180"/>
      <c r="EA162" s="180"/>
      <c r="EB162" s="183"/>
    </row>
    <row r="163" spans="1:132">
      <c r="A163"/>
      <c r="B163" s="213" t="s">
        <v>309</v>
      </c>
      <c r="C163" s="179"/>
      <c r="D163" s="179"/>
      <c r="E163" s="180"/>
      <c r="F163" s="180"/>
      <c r="G163" s="184"/>
      <c r="H163" s="584"/>
      <c r="I163" s="584"/>
      <c r="J163" s="584"/>
      <c r="K163" s="584"/>
      <c r="L163" s="191">
        <f>L162</f>
        <v>309.09699999999998</v>
      </c>
      <c r="M163" s="547"/>
      <c r="N163" s="547"/>
      <c r="O163" s="547"/>
      <c r="P163" s="547"/>
      <c r="Q163" s="191">
        <f>Q162</f>
        <v>225.63399999999999</v>
      </c>
      <c r="R163" s="547">
        <f>R162</f>
        <v>69.149000000000001</v>
      </c>
      <c r="S163" s="547">
        <f>S162</f>
        <v>72.016000000000005</v>
      </c>
      <c r="T163" s="548">
        <f>T162</f>
        <v>76.117000000000004</v>
      </c>
      <c r="U163" s="548">
        <f>U162</f>
        <v>77.629999999999981</v>
      </c>
      <c r="V163" s="191">
        <f t="shared" si="266"/>
        <v>294.91200000000003</v>
      </c>
      <c r="W163" s="548">
        <f>W162</f>
        <v>83.679000000000016</v>
      </c>
      <c r="X163" s="548">
        <f>X162</f>
        <v>84</v>
      </c>
      <c r="Y163" s="547">
        <f t="shared" ref="Y163" si="267">T163*(AA163/V163)</f>
        <v>63.253227000000003</v>
      </c>
      <c r="Z163" s="547">
        <f t="shared" ref="Z163" si="268">U163*(AA163/V163)</f>
        <v>64.510529999999974</v>
      </c>
      <c r="AA163" s="191">
        <f>V163*(1+AA166)</f>
        <v>245.07187200000001</v>
      </c>
      <c r="AB163" s="519">
        <f>W163/AA163*AF163</f>
        <v>75.31110000000001</v>
      </c>
      <c r="AC163" s="519">
        <f>X163/AA163*AF163</f>
        <v>75.600000000000009</v>
      </c>
      <c r="AD163" s="519">
        <f>Y163/AA163*AF163</f>
        <v>56.927904299999994</v>
      </c>
      <c r="AE163" s="634">
        <f>AF163-SUM(AB163:AD163)</f>
        <v>12.725680499999982</v>
      </c>
      <c r="AF163" s="191">
        <f>AA163*(1+AF166)</f>
        <v>220.56468480000001</v>
      </c>
      <c r="AG163" s="547"/>
      <c r="AH163" s="547"/>
      <c r="AI163" s="547"/>
      <c r="AJ163" s="547"/>
      <c r="AK163" s="191">
        <f>AF163*(1+AK166)</f>
        <v>198.50821632</v>
      </c>
      <c r="AL163" s="547"/>
      <c r="AM163" s="547"/>
      <c r="AN163" s="547"/>
      <c r="AO163" s="547"/>
      <c r="AP163" s="191">
        <f>AK163*(1+AP166)</f>
        <v>168.731983872</v>
      </c>
      <c r="AQ163" s="547"/>
      <c r="AR163" s="547"/>
      <c r="AS163" s="547"/>
      <c r="AT163" s="547"/>
      <c r="AU163" s="191">
        <f>AP163*(1+AU166)</f>
        <v>143.42218629120001</v>
      </c>
      <c r="AV163" s="547"/>
      <c r="AW163" s="547"/>
      <c r="AX163" s="547"/>
      <c r="AY163" s="547"/>
      <c r="AZ163" s="191">
        <f>AU163*(1+AZ166)</f>
        <v>121.90885834752</v>
      </c>
      <c r="BA163" s="547"/>
      <c r="BB163" s="547"/>
      <c r="BC163" s="547"/>
      <c r="BD163" s="547"/>
      <c r="BE163" s="191">
        <f>AZ163*(1+BE166)</f>
        <v>103.622529595392</v>
      </c>
      <c r="BF163" s="547"/>
      <c r="BG163" s="547"/>
      <c r="BH163" s="547"/>
      <c r="BI163" s="547"/>
      <c r="BJ163" s="191">
        <f>BE163*(1+BJ166)</f>
        <v>88.079150156083188</v>
      </c>
      <c r="BK163" s="547"/>
      <c r="BL163" s="547"/>
      <c r="BM163" s="547"/>
      <c r="BN163" s="547"/>
      <c r="BO163" s="191">
        <f>BJ163*(1+BO166)</f>
        <v>74.867277632670707</v>
      </c>
      <c r="BP163" s="547"/>
      <c r="BQ163" s="547"/>
      <c r="BR163" s="547"/>
      <c r="BS163" s="547"/>
      <c r="BT163" s="191">
        <f>BO163*(1+BT166)</f>
        <v>63.637185987770096</v>
      </c>
      <c r="BU163" s="547"/>
      <c r="BV163" s="547"/>
      <c r="BW163" s="547"/>
      <c r="BX163" s="547"/>
      <c r="BY163" s="191">
        <f>BT163*(1+BY166)</f>
        <v>54.091608089604577</v>
      </c>
      <c r="BZ163" s="547"/>
      <c r="CA163" s="547"/>
      <c r="CB163" s="547"/>
      <c r="CC163" s="547"/>
      <c r="CD163" s="191">
        <f>BY163*(1+CD166)</f>
        <v>45.977866876163887</v>
      </c>
      <c r="CE163" s="547"/>
      <c r="CF163" s="547"/>
      <c r="CG163" s="547"/>
      <c r="CH163" s="547"/>
      <c r="CI163" s="191">
        <f>CD163*(1+CI166)</f>
        <v>39.0811868447393</v>
      </c>
      <c r="CJ163" s="547"/>
      <c r="CK163" s="547"/>
      <c r="CL163" s="547"/>
      <c r="CM163" s="547"/>
      <c r="CN163" s="191">
        <f>CI163*(1+CN166)</f>
        <v>33.219008818028406</v>
      </c>
      <c r="CO163" s="547"/>
      <c r="CP163" s="547"/>
      <c r="CQ163" s="547"/>
      <c r="CR163" s="547"/>
      <c r="CS163" s="210">
        <f>CN163*(1+CS166)</f>
        <v>28.236157495324143</v>
      </c>
      <c r="CT163" s="182"/>
      <c r="CU163" s="182"/>
      <c r="CV163" s="182"/>
      <c r="CW163" s="182"/>
      <c r="CX163" s="182"/>
      <c r="DE163" s="180"/>
      <c r="DF163" s="180"/>
      <c r="DG163" s="180"/>
      <c r="DH163" s="180"/>
      <c r="DI163" s="180"/>
      <c r="DJ163" s="180"/>
      <c r="DK163" s="180"/>
      <c r="DL163" s="180"/>
      <c r="DM163" s="180"/>
      <c r="DN163" s="180"/>
      <c r="DO163" s="180"/>
      <c r="DP163" s="180"/>
      <c r="DQ163" s="180"/>
      <c r="DR163" s="180"/>
      <c r="DS163" s="180"/>
      <c r="DT163" s="180"/>
      <c r="DU163" s="180"/>
      <c r="DV163" s="180"/>
      <c r="DW163" s="180"/>
      <c r="DX163" s="180"/>
      <c r="DY163" s="180"/>
      <c r="DZ163" s="180"/>
      <c r="EA163" s="180"/>
      <c r="EB163" s="183"/>
    </row>
    <row r="164" spans="1:132">
      <c r="A164"/>
      <c r="B164" s="213" t="s">
        <v>296</v>
      </c>
      <c r="C164" s="179"/>
      <c r="D164" s="179"/>
      <c r="E164" s="185"/>
      <c r="F164" s="185"/>
      <c r="G164" s="184"/>
      <c r="H164" s="550"/>
      <c r="I164" s="550"/>
      <c r="J164" s="550"/>
      <c r="K164" s="550"/>
      <c r="L164" s="184"/>
      <c r="M164" s="550"/>
      <c r="N164" s="550"/>
      <c r="O164" s="550"/>
      <c r="P164" s="550"/>
      <c r="Q164" s="184"/>
      <c r="R164" s="550"/>
      <c r="S164" s="550"/>
      <c r="T164" s="550"/>
      <c r="U164" s="550"/>
      <c r="V164" s="189">
        <v>0.4</v>
      </c>
      <c r="W164" s="550"/>
      <c r="X164" s="550"/>
      <c r="Y164" s="550"/>
      <c r="Z164" s="550"/>
      <c r="AA164" s="189">
        <v>0.17749999999999999</v>
      </c>
      <c r="AB164" s="572"/>
      <c r="AC164" s="572"/>
      <c r="AD164" s="572"/>
      <c r="AE164" s="572"/>
      <c r="AF164" s="189">
        <f>AF165</f>
        <v>8.5000000000000006E-2</v>
      </c>
      <c r="AG164" s="572"/>
      <c r="AH164" s="572"/>
      <c r="AI164" s="572"/>
      <c r="AJ164" s="572"/>
      <c r="AK164" s="189">
        <v>0.11</v>
      </c>
      <c r="AL164" s="572"/>
      <c r="AM164" s="572"/>
      <c r="AN164" s="572"/>
      <c r="AO164" s="572"/>
      <c r="AP164" s="189">
        <f>AP165</f>
        <v>0.05</v>
      </c>
      <c r="AQ164" s="572"/>
      <c r="AR164" s="572"/>
      <c r="AS164" s="572"/>
      <c r="AT164" s="572"/>
      <c r="AU164" s="189">
        <f>AU165</f>
        <v>0.05</v>
      </c>
      <c r="AV164" s="572"/>
      <c r="AW164" s="572"/>
      <c r="AX164" s="572"/>
      <c r="AY164" s="572"/>
      <c r="AZ164" s="189">
        <f>AZ165</f>
        <v>0.05</v>
      </c>
      <c r="BA164" s="572"/>
      <c r="BB164" s="572"/>
      <c r="BC164" s="572"/>
      <c r="BD164" s="572"/>
      <c r="BE164" s="189">
        <f>BE165</f>
        <v>0.05</v>
      </c>
      <c r="BF164" s="572"/>
      <c r="BG164" s="572"/>
      <c r="BH164" s="572"/>
      <c r="BI164" s="572"/>
      <c r="BJ164" s="189">
        <f>BJ165</f>
        <v>0.05</v>
      </c>
      <c r="BK164" s="572"/>
      <c r="BL164" s="572"/>
      <c r="BM164" s="572"/>
      <c r="BN164" s="572"/>
      <c r="BO164" s="189">
        <f>BO165</f>
        <v>0.02</v>
      </c>
      <c r="BP164" s="572"/>
      <c r="BQ164" s="572"/>
      <c r="BR164" s="572"/>
      <c r="BS164" s="572"/>
      <c r="BT164" s="189">
        <f>BT165</f>
        <v>0.02</v>
      </c>
      <c r="BU164" s="572"/>
      <c r="BV164" s="572"/>
      <c r="BW164" s="572"/>
      <c r="BX164" s="572"/>
      <c r="BY164" s="189">
        <f>BY165</f>
        <v>0</v>
      </c>
      <c r="BZ164" s="572"/>
      <c r="CA164" s="572"/>
      <c r="CB164" s="572"/>
      <c r="CC164" s="572"/>
      <c r="CD164" s="189">
        <v>0</v>
      </c>
      <c r="CE164" s="572"/>
      <c r="CF164" s="572"/>
      <c r="CG164" s="572"/>
      <c r="CH164" s="572"/>
      <c r="CI164" s="189">
        <v>0</v>
      </c>
      <c r="CJ164" s="572"/>
      <c r="CK164" s="572"/>
      <c r="CL164" s="572"/>
      <c r="CM164" s="572"/>
      <c r="CN164" s="189">
        <f>CN165</f>
        <v>0</v>
      </c>
      <c r="CO164" s="572"/>
      <c r="CP164" s="572"/>
      <c r="CQ164" s="572"/>
      <c r="CR164" s="572"/>
      <c r="CS164" s="190">
        <f>CS165</f>
        <v>0</v>
      </c>
      <c r="CT164" s="186"/>
      <c r="CU164" s="186"/>
      <c r="CV164" s="186"/>
      <c r="CW164" s="186"/>
      <c r="CX164" s="186"/>
      <c r="DE164" s="186"/>
      <c r="DF164" s="186"/>
      <c r="DG164" s="186"/>
      <c r="DH164" s="186"/>
      <c r="DI164" s="186"/>
      <c r="DJ164" s="186"/>
      <c r="DK164" s="186"/>
      <c r="DL164" s="186"/>
      <c r="DM164" s="186"/>
      <c r="DN164" s="186"/>
      <c r="DO164" s="186"/>
      <c r="DP164" s="186"/>
      <c r="DQ164" s="186"/>
      <c r="DR164" s="186"/>
      <c r="DS164" s="186"/>
      <c r="DT164" s="186"/>
      <c r="DU164" s="186"/>
      <c r="DV164" s="186"/>
      <c r="DW164" s="186"/>
      <c r="DX164" s="186"/>
      <c r="DY164" s="186"/>
      <c r="DZ164" s="186"/>
      <c r="EA164" s="186"/>
      <c r="EB164" s="187"/>
    </row>
    <row r="165" spans="1:132">
      <c r="A165"/>
      <c r="B165" s="213" t="s">
        <v>297</v>
      </c>
      <c r="C165" s="179"/>
      <c r="D165" s="179"/>
      <c r="E165" s="185"/>
      <c r="F165" s="185"/>
      <c r="G165" s="184"/>
      <c r="H165" s="550"/>
      <c r="I165" s="550"/>
      <c r="J165" s="550"/>
      <c r="K165" s="550"/>
      <c r="L165" s="188"/>
      <c r="M165" s="550"/>
      <c r="N165" s="550"/>
      <c r="O165" s="550"/>
      <c r="P165" s="550"/>
      <c r="Q165" s="188"/>
      <c r="R165" s="550"/>
      <c r="S165" s="550"/>
      <c r="T165" s="550"/>
      <c r="U165" s="550"/>
      <c r="V165" s="189">
        <v>0.35</v>
      </c>
      <c r="W165" s="550"/>
      <c r="X165" s="550"/>
      <c r="Y165" s="550"/>
      <c r="Z165" s="550"/>
      <c r="AA165" s="189">
        <v>0.14000000000000001</v>
      </c>
      <c r="AB165" s="572"/>
      <c r="AC165" s="572"/>
      <c r="AD165" s="572"/>
      <c r="AE165" s="572"/>
      <c r="AF165" s="189">
        <v>8.5000000000000006E-2</v>
      </c>
      <c r="AG165" s="572"/>
      <c r="AH165" s="572"/>
      <c r="AI165" s="572"/>
      <c r="AJ165" s="572"/>
      <c r="AK165" s="189">
        <v>0.11</v>
      </c>
      <c r="AL165" s="572"/>
      <c r="AM165" s="572"/>
      <c r="AN165" s="572"/>
      <c r="AO165" s="572"/>
      <c r="AP165" s="189">
        <v>0.05</v>
      </c>
      <c r="AQ165" s="572"/>
      <c r="AR165" s="572"/>
      <c r="AS165" s="572"/>
      <c r="AT165" s="572"/>
      <c r="AU165" s="189">
        <v>0.05</v>
      </c>
      <c r="AV165" s="572"/>
      <c r="AW165" s="572"/>
      <c r="AX165" s="572"/>
      <c r="AY165" s="572"/>
      <c r="AZ165" s="189">
        <f>AU165</f>
        <v>0.05</v>
      </c>
      <c r="BA165" s="189">
        <f t="shared" ref="BA165:BX165" si="269">AV165</f>
        <v>0</v>
      </c>
      <c r="BB165" s="189">
        <f t="shared" si="269"/>
        <v>0</v>
      </c>
      <c r="BC165" s="189">
        <f t="shared" si="269"/>
        <v>0</v>
      </c>
      <c r="BD165" s="189">
        <f t="shared" si="269"/>
        <v>0</v>
      </c>
      <c r="BE165" s="189">
        <f t="shared" si="269"/>
        <v>0.05</v>
      </c>
      <c r="BF165" s="189">
        <f t="shared" si="269"/>
        <v>0</v>
      </c>
      <c r="BG165" s="189">
        <f t="shared" si="269"/>
        <v>0</v>
      </c>
      <c r="BH165" s="189">
        <f t="shared" si="269"/>
        <v>0</v>
      </c>
      <c r="BI165" s="189">
        <f t="shared" si="269"/>
        <v>0</v>
      </c>
      <c r="BJ165" s="189">
        <f t="shared" si="269"/>
        <v>0.05</v>
      </c>
      <c r="BK165" s="189">
        <f t="shared" si="269"/>
        <v>0</v>
      </c>
      <c r="BL165" s="189">
        <f t="shared" si="269"/>
        <v>0</v>
      </c>
      <c r="BM165" s="189">
        <f t="shared" si="269"/>
        <v>0</v>
      </c>
      <c r="BN165" s="189">
        <f t="shared" si="269"/>
        <v>0</v>
      </c>
      <c r="BO165" s="189">
        <v>0.02</v>
      </c>
      <c r="BP165" s="189">
        <f t="shared" si="269"/>
        <v>0</v>
      </c>
      <c r="BQ165" s="189">
        <f t="shared" si="269"/>
        <v>0</v>
      </c>
      <c r="BR165" s="189">
        <f t="shared" si="269"/>
        <v>0</v>
      </c>
      <c r="BS165" s="189">
        <f t="shared" si="269"/>
        <v>0</v>
      </c>
      <c r="BT165" s="189">
        <f t="shared" si="269"/>
        <v>0.02</v>
      </c>
      <c r="BU165" s="189">
        <f t="shared" si="269"/>
        <v>0</v>
      </c>
      <c r="BV165" s="189">
        <f t="shared" si="269"/>
        <v>0</v>
      </c>
      <c r="BW165" s="189">
        <f t="shared" si="269"/>
        <v>0</v>
      </c>
      <c r="BX165" s="189">
        <f t="shared" si="269"/>
        <v>0</v>
      </c>
      <c r="BY165" s="189">
        <v>0</v>
      </c>
      <c r="BZ165" s="189">
        <v>0</v>
      </c>
      <c r="CA165" s="189">
        <v>0</v>
      </c>
      <c r="CB165" s="189">
        <v>0</v>
      </c>
      <c r="CC165" s="189">
        <v>0</v>
      </c>
      <c r="CD165" s="189">
        <v>0</v>
      </c>
      <c r="CE165" s="189">
        <v>0</v>
      </c>
      <c r="CF165" s="189">
        <v>0</v>
      </c>
      <c r="CG165" s="189">
        <v>0</v>
      </c>
      <c r="CH165" s="189">
        <v>0</v>
      </c>
      <c r="CI165" s="189">
        <v>0</v>
      </c>
      <c r="CJ165" s="189">
        <f t="shared" ref="CJ165" si="270">CE165</f>
        <v>0</v>
      </c>
      <c r="CK165" s="189">
        <f t="shared" ref="CK165" si="271">CF165</f>
        <v>0</v>
      </c>
      <c r="CL165" s="189">
        <f t="shared" ref="CL165" si="272">CG165</f>
        <v>0</v>
      </c>
      <c r="CM165" s="189">
        <f t="shared" ref="CM165" si="273">CH165</f>
        <v>0</v>
      </c>
      <c r="CN165" s="189">
        <v>0</v>
      </c>
      <c r="CO165" s="189">
        <f t="shared" ref="CO165" si="274">CJ165</f>
        <v>0</v>
      </c>
      <c r="CP165" s="189">
        <f t="shared" ref="CP165" si="275">CK165</f>
        <v>0</v>
      </c>
      <c r="CQ165" s="189">
        <f t="shared" ref="CQ165" si="276">CL165</f>
        <v>0</v>
      </c>
      <c r="CR165" s="189">
        <f t="shared" ref="CR165" si="277">CM165</f>
        <v>0</v>
      </c>
      <c r="CS165" s="190">
        <f t="shared" ref="CS165" si="278">CN165</f>
        <v>0</v>
      </c>
      <c r="CT165" s="186"/>
      <c r="CU165" s="186"/>
      <c r="CV165" s="186"/>
      <c r="CW165" s="186"/>
      <c r="CX165" s="186"/>
      <c r="DE165" s="186"/>
      <c r="DF165" s="186"/>
      <c r="DG165" s="186"/>
      <c r="DH165" s="186"/>
      <c r="DI165" s="186"/>
      <c r="DJ165" s="186"/>
      <c r="DK165" s="186"/>
      <c r="DL165" s="186"/>
      <c r="DM165" s="186"/>
      <c r="DN165" s="186"/>
      <c r="DO165" s="186"/>
      <c r="DP165" s="186"/>
      <c r="DQ165" s="186"/>
      <c r="DR165" s="186"/>
      <c r="DS165" s="186"/>
      <c r="DT165" s="186"/>
      <c r="DU165" s="186"/>
      <c r="DV165" s="186"/>
      <c r="DW165" s="186"/>
      <c r="DX165" s="186"/>
      <c r="DY165" s="186"/>
      <c r="DZ165" s="186"/>
      <c r="EA165" s="186"/>
      <c r="EB165" s="187"/>
    </row>
    <row r="166" spans="1:132">
      <c r="A166"/>
      <c r="B166" s="214" t="s">
        <v>298</v>
      </c>
      <c r="C166" s="753"/>
      <c r="D166" s="753"/>
      <c r="E166" s="754"/>
      <c r="F166" s="754"/>
      <c r="G166" s="755"/>
      <c r="H166" s="756"/>
      <c r="I166" s="756"/>
      <c r="J166" s="756"/>
      <c r="K166" s="756"/>
      <c r="L166" s="757"/>
      <c r="M166" s="756"/>
      <c r="N166" s="756"/>
      <c r="O166" s="756"/>
      <c r="P166" s="756"/>
      <c r="Q166" s="757"/>
      <c r="R166" s="756"/>
      <c r="S166" s="756"/>
      <c r="T166" s="756"/>
      <c r="U166" s="756"/>
      <c r="V166" s="711">
        <v>0.27500000000000002</v>
      </c>
      <c r="W166" s="756"/>
      <c r="X166" s="756"/>
      <c r="Y166" s="756"/>
      <c r="Z166" s="756"/>
      <c r="AA166" s="711">
        <v>-0.16900000000000001</v>
      </c>
      <c r="AB166" s="712"/>
      <c r="AC166" s="712"/>
      <c r="AD166" s="712"/>
      <c r="AE166" s="712"/>
      <c r="AF166" s="711">
        <v>-0.1</v>
      </c>
      <c r="AG166" s="712"/>
      <c r="AH166" s="712"/>
      <c r="AI166" s="712"/>
      <c r="AJ166" s="712"/>
      <c r="AK166" s="711">
        <v>-0.1</v>
      </c>
      <c r="AL166" s="712"/>
      <c r="AM166" s="712"/>
      <c r="AN166" s="712"/>
      <c r="AO166" s="712"/>
      <c r="AP166" s="711">
        <v>-0.15</v>
      </c>
      <c r="AQ166" s="711">
        <v>-0.15</v>
      </c>
      <c r="AR166" s="711">
        <v>-0.15</v>
      </c>
      <c r="AS166" s="711">
        <v>-0.15</v>
      </c>
      <c r="AT166" s="711">
        <v>-0.15</v>
      </c>
      <c r="AU166" s="711">
        <v>-0.15</v>
      </c>
      <c r="AV166" s="711">
        <v>-0.15</v>
      </c>
      <c r="AW166" s="711">
        <v>-0.15</v>
      </c>
      <c r="AX166" s="711">
        <v>-0.15</v>
      </c>
      <c r="AY166" s="711">
        <v>-0.15</v>
      </c>
      <c r="AZ166" s="711">
        <v>-0.15</v>
      </c>
      <c r="BA166" s="711">
        <v>-0.15</v>
      </c>
      <c r="BB166" s="711">
        <v>-0.15</v>
      </c>
      <c r="BC166" s="711">
        <v>-0.15</v>
      </c>
      <c r="BD166" s="711">
        <v>-0.15</v>
      </c>
      <c r="BE166" s="711">
        <v>-0.15</v>
      </c>
      <c r="BF166" s="711">
        <v>-0.15</v>
      </c>
      <c r="BG166" s="711">
        <v>-0.15</v>
      </c>
      <c r="BH166" s="711">
        <v>-0.15</v>
      </c>
      <c r="BI166" s="711">
        <v>-0.15</v>
      </c>
      <c r="BJ166" s="711">
        <v>-0.15</v>
      </c>
      <c r="BK166" s="711">
        <v>-0.15</v>
      </c>
      <c r="BL166" s="711">
        <v>-0.15</v>
      </c>
      <c r="BM166" s="711">
        <v>-0.15</v>
      </c>
      <c r="BN166" s="711">
        <v>-0.15</v>
      </c>
      <c r="BO166" s="711">
        <v>-0.15</v>
      </c>
      <c r="BP166" s="712">
        <v>-0.125</v>
      </c>
      <c r="BQ166" s="712">
        <v>-0.125</v>
      </c>
      <c r="BR166" s="712">
        <v>-0.125</v>
      </c>
      <c r="BS166" s="712">
        <v>-0.125</v>
      </c>
      <c r="BT166" s="711">
        <v>-0.15</v>
      </c>
      <c r="BU166" s="712">
        <v>-0.125</v>
      </c>
      <c r="BV166" s="712">
        <v>-0.125</v>
      </c>
      <c r="BW166" s="712">
        <v>-0.125</v>
      </c>
      <c r="BX166" s="712">
        <v>-0.125</v>
      </c>
      <c r="BY166" s="711">
        <v>-0.15</v>
      </c>
      <c r="BZ166" s="712"/>
      <c r="CA166" s="712"/>
      <c r="CB166" s="712"/>
      <c r="CC166" s="712"/>
      <c r="CD166" s="711">
        <v>-0.15</v>
      </c>
      <c r="CE166" s="712">
        <v>-0.15</v>
      </c>
      <c r="CF166" s="712">
        <v>-0.15</v>
      </c>
      <c r="CG166" s="712">
        <v>-0.15</v>
      </c>
      <c r="CH166" s="712">
        <v>-0.15</v>
      </c>
      <c r="CI166" s="711">
        <v>-0.15</v>
      </c>
      <c r="CJ166" s="712">
        <v>-0.15</v>
      </c>
      <c r="CK166" s="712">
        <v>-0.15</v>
      </c>
      <c r="CL166" s="712">
        <v>-0.15</v>
      </c>
      <c r="CM166" s="712">
        <v>-0.15</v>
      </c>
      <c r="CN166" s="711">
        <v>-0.15</v>
      </c>
      <c r="CO166" s="712">
        <v>-0.15</v>
      </c>
      <c r="CP166" s="712">
        <v>-0.15</v>
      </c>
      <c r="CQ166" s="712">
        <v>-0.15</v>
      </c>
      <c r="CR166" s="712">
        <v>-0.15</v>
      </c>
      <c r="CS166" s="758">
        <v>-0.15</v>
      </c>
      <c r="CT166" s="186"/>
      <c r="CU166" s="186"/>
      <c r="CV166" s="186"/>
      <c r="CW166" s="186"/>
      <c r="CX166" s="186"/>
      <c r="DE166" s="186"/>
      <c r="DF166" s="186"/>
      <c r="DG166" s="186"/>
      <c r="DH166" s="186"/>
      <c r="DI166" s="186"/>
      <c r="DJ166" s="186"/>
      <c r="DK166" s="186"/>
      <c r="DL166" s="186"/>
      <c r="DM166" s="186"/>
      <c r="DN166" s="186"/>
      <c r="DO166" s="186"/>
      <c r="DP166" s="186"/>
      <c r="DQ166" s="186"/>
      <c r="DR166" s="186"/>
      <c r="DS166" s="186"/>
      <c r="DT166" s="186"/>
      <c r="DU166" s="186"/>
      <c r="DV166" s="186"/>
      <c r="DW166" s="186"/>
      <c r="DX166" s="186"/>
      <c r="DY166" s="186"/>
      <c r="DZ166" s="186"/>
      <c r="EA166" s="186"/>
      <c r="EB166" s="187"/>
    </row>
    <row r="167" spans="1:132">
      <c r="B167" s="36"/>
      <c r="C167" s="1"/>
    </row>
    <row r="168" spans="1:132">
      <c r="B168" s="36"/>
      <c r="C168" s="1"/>
    </row>
    <row r="169" spans="1:132">
      <c r="B169" s="215" t="s">
        <v>301</v>
      </c>
      <c r="C169"/>
      <c r="D169"/>
      <c r="E169" s="174"/>
      <c r="F169" s="174"/>
      <c r="G169"/>
      <c r="H169" s="174"/>
      <c r="I169" s="174"/>
      <c r="J169" s="174"/>
      <c r="K169" s="174"/>
      <c r="L169" s="174"/>
      <c r="M169" s="174"/>
      <c r="N169" s="174"/>
      <c r="O169" s="174"/>
      <c r="P169" s="174"/>
      <c r="Q169" s="174"/>
      <c r="R169" s="174"/>
      <c r="S169" s="174"/>
      <c r="T169" s="174"/>
      <c r="U169" s="174"/>
      <c r="V169" s="174"/>
      <c r="W169" s="174"/>
      <c r="X169" s="174"/>
      <c r="Y169" s="174"/>
      <c r="Z169" s="174"/>
      <c r="AA169" s="174"/>
      <c r="AB169" s="174"/>
      <c r="AC169" s="174"/>
      <c r="AD169" s="174"/>
      <c r="AE169" s="174"/>
      <c r="AF169" s="174"/>
      <c r="AG169" s="174"/>
      <c r="AH169" s="174"/>
      <c r="AI169" s="174"/>
      <c r="AJ169" s="174"/>
      <c r="AK169" s="174"/>
      <c r="AL169" s="174"/>
      <c r="AM169" s="174"/>
      <c r="AN169" s="174"/>
      <c r="AO169" s="174"/>
      <c r="AP169" s="174"/>
      <c r="AQ169" s="174"/>
      <c r="AR169" s="174"/>
      <c r="AS169" s="174"/>
      <c r="AT169" s="174"/>
      <c r="AU169" s="174"/>
      <c r="AV169" s="174"/>
      <c r="AW169" s="174"/>
      <c r="AX169" s="174"/>
      <c r="AY169" s="174"/>
      <c r="AZ169" s="204"/>
      <c r="BA169" s="174"/>
      <c r="BB169" s="174"/>
      <c r="BC169" s="174"/>
      <c r="BD169" s="174"/>
      <c r="BE169" s="174"/>
      <c r="BF169" s="174"/>
      <c r="BG169" s="174"/>
      <c r="BH169" s="174"/>
      <c r="BI169" s="174"/>
      <c r="BJ169" s="174"/>
      <c r="BK169" s="174"/>
      <c r="BL169" s="174"/>
      <c r="BM169" s="174"/>
      <c r="BN169" s="174"/>
      <c r="BO169" s="174"/>
      <c r="BP169" s="174"/>
      <c r="BQ169" s="174"/>
      <c r="BR169" s="174"/>
      <c r="BS169" s="174"/>
      <c r="BT169" s="174"/>
      <c r="BU169" s="174"/>
      <c r="BV169" s="174"/>
      <c r="BW169" s="174"/>
      <c r="BX169" s="174"/>
      <c r="BY169" s="174"/>
      <c r="BZ169" s="174"/>
      <c r="CA169" s="174"/>
      <c r="CB169" s="174"/>
      <c r="CC169" s="174"/>
      <c r="CD169" s="174"/>
      <c r="CE169" s="174"/>
      <c r="CF169" s="174"/>
      <c r="CG169" s="174"/>
      <c r="CH169" s="174"/>
      <c r="CI169" s="174"/>
      <c r="CJ169" s="174"/>
      <c r="CK169" s="174"/>
      <c r="CL169" s="174"/>
      <c r="CM169" s="174"/>
      <c r="CN169" s="174"/>
      <c r="CO169" s="174"/>
      <c r="CP169" s="174"/>
      <c r="CQ169" s="174"/>
      <c r="CR169" s="174"/>
      <c r="CS169" s="174"/>
      <c r="CT169" s="204"/>
      <c r="CU169" s="204"/>
      <c r="CV169" s="204"/>
      <c r="CW169" s="204"/>
      <c r="CX169" s="204"/>
      <c r="DE169" s="204"/>
      <c r="DF169" s="204"/>
      <c r="DG169" s="204"/>
      <c r="DH169" s="204"/>
      <c r="DI169" s="204"/>
      <c r="DJ169" s="204"/>
      <c r="DK169" s="204"/>
      <c r="DL169" s="204"/>
      <c r="DM169" s="204"/>
      <c r="DN169" s="204"/>
      <c r="DO169" s="204"/>
      <c r="DP169" s="204"/>
      <c r="DQ169" s="204"/>
      <c r="DR169" s="204"/>
      <c r="DS169" s="204"/>
      <c r="DT169" s="204"/>
      <c r="DU169" s="204"/>
      <c r="DV169" s="204"/>
      <c r="DW169" s="204"/>
      <c r="DX169" s="204"/>
      <c r="DY169" s="204"/>
      <c r="DZ169" s="204"/>
      <c r="EA169" s="204"/>
      <c r="EB169" s="204"/>
    </row>
    <row r="170" spans="1:132">
      <c r="B170" s="218" t="s">
        <v>302</v>
      </c>
      <c r="C170" s="390"/>
      <c r="D170" s="390"/>
      <c r="E170" s="391"/>
      <c r="F170" s="391"/>
      <c r="G170" s="392"/>
      <c r="H170" s="551"/>
      <c r="I170" s="551"/>
      <c r="J170" s="551"/>
      <c r="K170" s="551"/>
      <c r="L170" s="393">
        <f>BS!C5+BS!C6</f>
        <v>1465.076</v>
      </c>
      <c r="M170" s="551"/>
      <c r="N170" s="551"/>
      <c r="O170" s="551"/>
      <c r="P170" s="551"/>
      <c r="Q170" s="393">
        <f>BS!D5+BS!D6</f>
        <v>1387.106</v>
      </c>
      <c r="R170" s="551"/>
      <c r="S170" s="551"/>
      <c r="T170" s="551"/>
      <c r="U170" s="551"/>
      <c r="V170" s="391">
        <f>BS!E5+BS!E6</f>
        <v>1042.462</v>
      </c>
      <c r="W170" s="551"/>
      <c r="X170" s="551"/>
      <c r="Y170" s="551"/>
      <c r="Z170" s="551"/>
      <c r="AA170" s="391">
        <f>BS!F5+BS!F6</f>
        <v>1434.557</v>
      </c>
      <c r="AB170" s="551"/>
      <c r="AC170" s="551"/>
      <c r="AD170" s="551"/>
      <c r="AE170" s="551"/>
      <c r="AF170" s="391">
        <f>BS!G5+BS!G6</f>
        <v>2088.6660000000002</v>
      </c>
      <c r="AG170" s="551"/>
      <c r="AH170" s="551"/>
      <c r="AI170" s="551"/>
      <c r="AJ170" s="551"/>
      <c r="AK170" s="391">
        <f>BS!H5+BS!H6</f>
        <v>2717.6958520120124</v>
      </c>
      <c r="AL170" s="551"/>
      <c r="AM170" s="551"/>
      <c r="AN170" s="551"/>
      <c r="AO170" s="551"/>
      <c r="AP170" s="391">
        <f>BS!I5+BS!I6</f>
        <v>3633.0358854910196</v>
      </c>
      <c r="AQ170" s="551"/>
      <c r="AR170" s="551"/>
      <c r="AS170" s="551"/>
      <c r="AT170" s="551"/>
      <c r="AU170" s="391">
        <f>BS!J5+BS!J6</f>
        <v>5218.2979629021802</v>
      </c>
      <c r="AV170" s="551"/>
      <c r="AW170" s="551"/>
      <c r="AX170" s="551"/>
      <c r="AY170" s="551"/>
      <c r="AZ170" s="391">
        <f>BS!K5+BS!K6</f>
        <v>7857.0313241833765</v>
      </c>
      <c r="BA170" s="551"/>
      <c r="BB170" s="551"/>
      <c r="BC170" s="551"/>
      <c r="BD170" s="551"/>
      <c r="BE170" s="391">
        <f>BS!L5+BS!L6</f>
        <v>10708.370936146313</v>
      </c>
      <c r="BF170" s="551"/>
      <c r="BG170" s="551"/>
      <c r="BH170" s="551"/>
      <c r="BI170" s="551"/>
      <c r="BJ170" s="738">
        <f>BS!M5+BS!M6</f>
        <v>13856.087245833387</v>
      </c>
      <c r="BK170" s="739"/>
      <c r="BL170" s="739"/>
      <c r="BM170" s="739"/>
      <c r="BN170" s="739"/>
      <c r="BO170" s="738">
        <f>BS!N5+BS!N6</f>
        <v>17259.12006963676</v>
      </c>
      <c r="BP170" s="739"/>
      <c r="BQ170" s="739"/>
      <c r="BR170" s="739"/>
      <c r="BS170" s="739"/>
      <c r="BT170" s="738">
        <f>BS!O5+BS!O6</f>
        <v>21163.287938345547</v>
      </c>
      <c r="BU170" s="739"/>
      <c r="BV170" s="739"/>
      <c r="BW170" s="739"/>
      <c r="BX170" s="739"/>
      <c r="BY170" s="738">
        <f>BS!P5+BS!P6</f>
        <v>26066.722121810351</v>
      </c>
      <c r="BZ170" s="739"/>
      <c r="CA170" s="739"/>
      <c r="CB170" s="739"/>
      <c r="CC170" s="739"/>
      <c r="CD170" s="738">
        <f>BS!Q5+BS!Q6</f>
        <v>31618.65821982743</v>
      </c>
      <c r="CE170" s="739"/>
      <c r="CF170" s="739"/>
      <c r="CG170" s="739"/>
      <c r="CH170" s="739"/>
      <c r="CI170" s="738">
        <f>BS!R5+BS!R6</f>
        <v>37495.197127463995</v>
      </c>
      <c r="CJ170" s="739"/>
      <c r="CK170" s="739"/>
      <c r="CL170" s="739"/>
      <c r="CM170" s="739"/>
      <c r="CN170" s="738">
        <f>BS!S5+BS!S6</f>
        <v>43654.655420999989</v>
      </c>
      <c r="CO170" s="739"/>
      <c r="CP170" s="739"/>
      <c r="CQ170" s="739"/>
      <c r="CR170" s="739"/>
      <c r="CS170" s="740">
        <f>BS!T5+BS!T6</f>
        <v>50171.773533081541</v>
      </c>
      <c r="CT170" s="205"/>
      <c r="CU170" s="205"/>
      <c r="CV170" s="205"/>
      <c r="CW170" s="205"/>
      <c r="CX170" s="205"/>
      <c r="DE170" s="205"/>
      <c r="DF170" s="205"/>
      <c r="DG170" s="205"/>
      <c r="DH170" s="205"/>
      <c r="DI170" s="205"/>
      <c r="DJ170" s="205"/>
      <c r="DK170" s="205"/>
      <c r="DL170" s="205"/>
      <c r="DM170" s="205"/>
      <c r="DN170" s="205"/>
      <c r="DO170" s="205"/>
      <c r="DP170" s="205"/>
      <c r="DQ170" s="205"/>
      <c r="DR170" s="205"/>
      <c r="DS170" s="205"/>
      <c r="DT170" s="205"/>
      <c r="DU170" s="205"/>
      <c r="DV170" s="205"/>
      <c r="DW170" s="205"/>
      <c r="DX170" s="205"/>
      <c r="DY170" s="205"/>
      <c r="DZ170" s="205"/>
      <c r="EA170" s="205"/>
      <c r="EB170" s="206"/>
    </row>
    <row r="171" spans="1:132">
      <c r="B171" s="219" t="s">
        <v>303</v>
      </c>
      <c r="C171" s="394"/>
      <c r="D171" s="394"/>
      <c r="E171" s="195"/>
      <c r="F171" s="195"/>
      <c r="G171" s="394"/>
      <c r="H171" s="552"/>
      <c r="I171" s="552"/>
      <c r="J171" s="552"/>
      <c r="K171" s="552"/>
      <c r="L171" s="395">
        <f>L173/L170</f>
        <v>0</v>
      </c>
      <c r="M171" s="552"/>
      <c r="N171" s="552"/>
      <c r="O171" s="552"/>
      <c r="P171" s="552"/>
      <c r="Q171" s="395">
        <f>Q173/Q170</f>
        <v>0</v>
      </c>
      <c r="R171" s="552"/>
      <c r="S171" s="552"/>
      <c r="T171" s="552"/>
      <c r="U171" s="552"/>
      <c r="V171" s="395">
        <f>V173/V170</f>
        <v>0</v>
      </c>
      <c r="W171" s="552"/>
      <c r="X171" s="552"/>
      <c r="Y171" s="552"/>
      <c r="Z171" s="552"/>
      <c r="AA171" s="396">
        <f>AA173/AA170</f>
        <v>0</v>
      </c>
      <c r="AB171" s="552"/>
      <c r="AC171" s="552"/>
      <c r="AD171" s="552"/>
      <c r="AE171" s="552"/>
      <c r="AF171" s="196">
        <f>AF173/AF170</f>
        <v>0</v>
      </c>
      <c r="AG171" s="552"/>
      <c r="AH171" s="552"/>
      <c r="AI171" s="552"/>
      <c r="AJ171" s="552"/>
      <c r="AK171" s="196">
        <v>5.0000000000000001E-3</v>
      </c>
      <c r="AL171" s="552"/>
      <c r="AM171" s="552"/>
      <c r="AN171" s="552"/>
      <c r="AO171" s="552"/>
      <c r="AP171" s="196">
        <f>AK171+0.0025</f>
        <v>7.4999999999999997E-3</v>
      </c>
      <c r="AQ171" s="552"/>
      <c r="AR171" s="552"/>
      <c r="AS171" s="552"/>
      <c r="AT171" s="552"/>
      <c r="AU171" s="196">
        <f>AP171+0.0025</f>
        <v>0.01</v>
      </c>
      <c r="AV171" s="196">
        <f t="shared" ref="AV171:BK171" si="279">AQ171+0.0025</f>
        <v>2.5000000000000001E-3</v>
      </c>
      <c r="AW171" s="196">
        <f t="shared" si="279"/>
        <v>2.5000000000000001E-3</v>
      </c>
      <c r="AX171" s="196">
        <f t="shared" si="279"/>
        <v>2.5000000000000001E-3</v>
      </c>
      <c r="AY171" s="196">
        <f t="shared" si="279"/>
        <v>2.5000000000000001E-3</v>
      </c>
      <c r="AZ171" s="196">
        <f t="shared" si="279"/>
        <v>1.2500000000000001E-2</v>
      </c>
      <c r="BA171" s="196">
        <f t="shared" si="279"/>
        <v>5.0000000000000001E-3</v>
      </c>
      <c r="BB171" s="196">
        <f t="shared" si="279"/>
        <v>5.0000000000000001E-3</v>
      </c>
      <c r="BC171" s="196">
        <f t="shared" si="279"/>
        <v>5.0000000000000001E-3</v>
      </c>
      <c r="BD171" s="196">
        <f t="shared" si="279"/>
        <v>5.0000000000000001E-3</v>
      </c>
      <c r="BE171" s="196">
        <f t="shared" si="279"/>
        <v>1.5000000000000001E-2</v>
      </c>
      <c r="BF171" s="196">
        <f t="shared" si="279"/>
        <v>7.4999999999999997E-3</v>
      </c>
      <c r="BG171" s="196">
        <f t="shared" si="279"/>
        <v>7.4999999999999997E-3</v>
      </c>
      <c r="BH171" s="196">
        <f t="shared" si="279"/>
        <v>7.4999999999999997E-3</v>
      </c>
      <c r="BI171" s="196">
        <f t="shared" si="279"/>
        <v>7.4999999999999997E-3</v>
      </c>
      <c r="BJ171" s="196">
        <f t="shared" si="279"/>
        <v>1.7500000000000002E-2</v>
      </c>
      <c r="BK171" s="196">
        <f t="shared" si="279"/>
        <v>0.01</v>
      </c>
      <c r="BL171" s="196">
        <f t="shared" ref="BL171" si="280">BG171+0.0025</f>
        <v>0.01</v>
      </c>
      <c r="BM171" s="196">
        <f t="shared" ref="BM171" si="281">BH171+0.0025</f>
        <v>0.01</v>
      </c>
      <c r="BN171" s="196">
        <f t="shared" ref="BN171" si="282">BI171+0.0025</f>
        <v>0.01</v>
      </c>
      <c r="BO171" s="196">
        <f t="shared" ref="BO171" si="283">BJ171+0.0025</f>
        <v>0.02</v>
      </c>
      <c r="BP171" s="196">
        <f t="shared" ref="BP171" si="284">BK171+0.0025</f>
        <v>1.2500000000000001E-2</v>
      </c>
      <c r="BQ171" s="196">
        <f t="shared" ref="BQ171" si="285">BL171+0.0025</f>
        <v>1.2500000000000001E-2</v>
      </c>
      <c r="BR171" s="196">
        <f t="shared" ref="BR171" si="286">BM171+0.0025</f>
        <v>1.2500000000000001E-2</v>
      </c>
      <c r="BS171" s="196">
        <f t="shared" ref="BS171" si="287">BN171+0.0025</f>
        <v>1.2500000000000001E-2</v>
      </c>
      <c r="BT171" s="196">
        <f t="shared" ref="BT171" si="288">BO171+0.0025</f>
        <v>2.2499999999999999E-2</v>
      </c>
      <c r="BU171" s="196">
        <f t="shared" ref="BU171" si="289">BP171+0.0025</f>
        <v>1.5000000000000001E-2</v>
      </c>
      <c r="BV171" s="196">
        <f t="shared" ref="BV171" si="290">BQ171+0.0025</f>
        <v>1.5000000000000001E-2</v>
      </c>
      <c r="BW171" s="196">
        <f t="shared" ref="BW171" si="291">BR171+0.0025</f>
        <v>1.5000000000000001E-2</v>
      </c>
      <c r="BX171" s="196">
        <f t="shared" ref="BX171" si="292">BS171+0.0025</f>
        <v>1.5000000000000001E-2</v>
      </c>
      <c r="BY171" s="196">
        <f t="shared" ref="BY171" si="293">BT171+0.0025</f>
        <v>2.4999999999999998E-2</v>
      </c>
      <c r="BZ171" s="196">
        <f t="shared" ref="BZ171:CA171" si="294">BU171+0.0025</f>
        <v>1.7500000000000002E-2</v>
      </c>
      <c r="CA171" s="196">
        <f t="shared" si="294"/>
        <v>1.7500000000000002E-2</v>
      </c>
      <c r="CB171" s="196">
        <f t="shared" ref="CB171" si="295">BW171+0.0025</f>
        <v>1.7500000000000002E-2</v>
      </c>
      <c r="CC171" s="196">
        <f t="shared" ref="CC171" si="296">BX171+0.0025</f>
        <v>1.7500000000000002E-2</v>
      </c>
      <c r="CD171" s="196">
        <f t="shared" ref="CD171" si="297">BY171+0.0025</f>
        <v>2.7499999999999997E-2</v>
      </c>
      <c r="CE171" s="196">
        <f t="shared" ref="CE171" si="298">BZ171+0.0025</f>
        <v>0.02</v>
      </c>
      <c r="CF171" s="196">
        <f t="shared" ref="CF171" si="299">CA171+0.0025</f>
        <v>0.02</v>
      </c>
      <c r="CG171" s="196">
        <f t="shared" ref="CG171" si="300">CB171+0.0025</f>
        <v>0.02</v>
      </c>
      <c r="CH171" s="196">
        <f t="shared" ref="CH171" si="301">CC171+0.0025</f>
        <v>0.02</v>
      </c>
      <c r="CI171" s="196">
        <f t="shared" ref="CI171" si="302">CD171+0.0025</f>
        <v>2.9999999999999995E-2</v>
      </c>
      <c r="CJ171" s="196">
        <f t="shared" ref="CJ171" si="303">CE171+0.0025</f>
        <v>2.2499999999999999E-2</v>
      </c>
      <c r="CK171" s="196">
        <f t="shared" ref="CK171" si="304">CF171+0.0025</f>
        <v>2.2499999999999999E-2</v>
      </c>
      <c r="CL171" s="196">
        <f t="shared" ref="CL171" si="305">CG171+0.0025</f>
        <v>2.2499999999999999E-2</v>
      </c>
      <c r="CM171" s="196">
        <f t="shared" ref="CM171" si="306">CH171+0.0025</f>
        <v>2.2499999999999999E-2</v>
      </c>
      <c r="CN171" s="196">
        <f t="shared" ref="CN171" si="307">CI171+0.0025</f>
        <v>3.2499999999999994E-2</v>
      </c>
      <c r="CO171" s="196">
        <f t="shared" ref="CO171" si="308">CJ171+0.0025</f>
        <v>2.4999999999999998E-2</v>
      </c>
      <c r="CP171" s="196">
        <f t="shared" ref="CP171:CQ171" si="309">CK171+0.0025</f>
        <v>2.4999999999999998E-2</v>
      </c>
      <c r="CQ171" s="196">
        <f t="shared" si="309"/>
        <v>2.4999999999999998E-2</v>
      </c>
      <c r="CR171" s="196">
        <f t="shared" ref="CR171" si="310">CM171+0.0025</f>
        <v>2.4999999999999998E-2</v>
      </c>
      <c r="CS171" s="198">
        <f>CN171</f>
        <v>3.2499999999999994E-2</v>
      </c>
      <c r="CT171" s="195"/>
      <c r="CU171" s="195"/>
      <c r="CV171" s="195"/>
      <c r="CW171" s="195"/>
      <c r="CX171" s="197"/>
      <c r="DE171" s="196"/>
      <c r="DF171" s="196"/>
      <c r="DG171" s="196"/>
      <c r="DH171" s="196"/>
      <c r="DI171" s="196"/>
      <c r="DJ171" s="196"/>
      <c r="DK171" s="196"/>
      <c r="DL171" s="196"/>
      <c r="DM171" s="196"/>
      <c r="DN171" s="196"/>
      <c r="DO171" s="196"/>
      <c r="DP171" s="196"/>
      <c r="DQ171" s="196"/>
      <c r="DR171" s="196"/>
      <c r="DS171" s="196"/>
      <c r="DT171" s="196"/>
      <c r="DU171" s="196"/>
      <c r="DV171" s="196"/>
      <c r="DW171" s="196"/>
      <c r="DX171" s="196"/>
      <c r="DY171" s="196"/>
      <c r="DZ171" s="196"/>
      <c r="EA171" s="196"/>
      <c r="EB171" s="198"/>
    </row>
    <row r="172" spans="1:132">
      <c r="B172" s="214" t="s">
        <v>301</v>
      </c>
      <c r="C172" s="199"/>
      <c r="D172" s="199"/>
      <c r="E172" s="200"/>
      <c r="F172" s="200"/>
      <c r="G172" s="199"/>
      <c r="H172" s="553"/>
      <c r="I172" s="553"/>
      <c r="J172" s="553"/>
      <c r="K172" s="553"/>
      <c r="L172" s="201">
        <f>L170*L171</f>
        <v>0</v>
      </c>
      <c r="M172" s="553"/>
      <c r="N172" s="553"/>
      <c r="O172" s="553"/>
      <c r="P172" s="553"/>
      <c r="Q172" s="201">
        <f>Q170*Q171</f>
        <v>0</v>
      </c>
      <c r="R172" s="553"/>
      <c r="S172" s="553"/>
      <c r="T172" s="553"/>
      <c r="U172" s="553"/>
      <c r="V172" s="201">
        <f>V170*V171</f>
        <v>0</v>
      </c>
      <c r="W172" s="553"/>
      <c r="X172" s="553"/>
      <c r="Y172" s="553"/>
      <c r="Z172" s="553"/>
      <c r="AA172" s="200">
        <f>AA170*AA171</f>
        <v>0</v>
      </c>
      <c r="AB172" s="553"/>
      <c r="AC172" s="553"/>
      <c r="AD172" s="553"/>
      <c r="AE172" s="553"/>
      <c r="AF172" s="200">
        <f>AF170*AF171</f>
        <v>0</v>
      </c>
      <c r="AG172" s="553"/>
      <c r="AH172" s="553"/>
      <c r="AI172" s="553"/>
      <c r="AJ172" s="553"/>
      <c r="AK172" s="200">
        <f>AK170*AK171</f>
        <v>13.588479260060062</v>
      </c>
      <c r="AL172" s="553"/>
      <c r="AM172" s="553"/>
      <c r="AN172" s="553"/>
      <c r="AO172" s="553"/>
      <c r="AP172" s="200">
        <f>AP170*AP171</f>
        <v>27.247769141182648</v>
      </c>
      <c r="AQ172" s="553"/>
      <c r="AR172" s="553"/>
      <c r="AS172" s="553"/>
      <c r="AT172" s="553"/>
      <c r="AU172" s="707">
        <f>AU170*AU171</f>
        <v>52.182979629021801</v>
      </c>
      <c r="AV172" s="708"/>
      <c r="AW172" s="708"/>
      <c r="AX172" s="708"/>
      <c r="AY172" s="708"/>
      <c r="AZ172" s="707">
        <f>AZ170*AZ171</f>
        <v>98.212891552292206</v>
      </c>
      <c r="BA172" s="708"/>
      <c r="BB172" s="708"/>
      <c r="BC172" s="708"/>
      <c r="BD172" s="708"/>
      <c r="BE172" s="707">
        <f>BE170*BE171</f>
        <v>160.62556404219472</v>
      </c>
      <c r="BF172" s="708"/>
      <c r="BG172" s="708"/>
      <c r="BH172" s="708"/>
      <c r="BI172" s="708"/>
      <c r="BJ172" s="707">
        <f>BJ170*BJ171</f>
        <v>242.48152680208429</v>
      </c>
      <c r="BK172" s="708"/>
      <c r="BL172" s="708"/>
      <c r="BM172" s="708"/>
      <c r="BN172" s="708"/>
      <c r="BO172" s="707">
        <f>BO170*BO171</f>
        <v>345.18240139273519</v>
      </c>
      <c r="BP172" s="708"/>
      <c r="BQ172" s="708"/>
      <c r="BR172" s="708"/>
      <c r="BS172" s="708"/>
      <c r="BT172" s="707">
        <f>BT170*BT171</f>
        <v>476.17397861277482</v>
      </c>
      <c r="BU172" s="708"/>
      <c r="BV172" s="708"/>
      <c r="BW172" s="708"/>
      <c r="BX172" s="708"/>
      <c r="BY172" s="707">
        <f>BY170*BY171</f>
        <v>651.66805304525872</v>
      </c>
      <c r="BZ172" s="708"/>
      <c r="CA172" s="708"/>
      <c r="CB172" s="708"/>
      <c r="CC172" s="708"/>
      <c r="CD172" s="707">
        <f>CD170*CD171</f>
        <v>869.51310104525419</v>
      </c>
      <c r="CE172" s="708"/>
      <c r="CF172" s="708"/>
      <c r="CG172" s="708"/>
      <c r="CH172" s="708"/>
      <c r="CI172" s="707">
        <f>CI170*CI171</f>
        <v>1124.8559138239198</v>
      </c>
      <c r="CJ172" s="708"/>
      <c r="CK172" s="708"/>
      <c r="CL172" s="708"/>
      <c r="CM172" s="708"/>
      <c r="CN172" s="707">
        <f>CN170*CN171</f>
        <v>1418.7763011824993</v>
      </c>
      <c r="CO172" s="553"/>
      <c r="CP172" s="553"/>
      <c r="CQ172" s="553"/>
      <c r="CR172" s="553"/>
      <c r="CS172" s="208">
        <f>CS170*CS171</f>
        <v>1630.5826398251497</v>
      </c>
      <c r="CT172" s="207"/>
      <c r="CU172" s="207"/>
      <c r="CV172" s="207"/>
      <c r="CW172" s="207"/>
      <c r="CX172" s="207"/>
      <c r="DE172" s="207"/>
      <c r="DF172" s="207"/>
      <c r="DG172" s="207"/>
      <c r="DH172" s="207"/>
      <c r="DI172" s="207"/>
      <c r="DJ172" s="207"/>
      <c r="DK172" s="207"/>
      <c r="DL172" s="207"/>
      <c r="DM172" s="207"/>
      <c r="DN172" s="207"/>
      <c r="DO172" s="207"/>
      <c r="DP172" s="207"/>
      <c r="DQ172" s="207"/>
      <c r="DR172" s="207"/>
      <c r="DS172" s="207"/>
      <c r="DT172" s="207"/>
      <c r="DU172" s="207"/>
      <c r="DV172" s="207"/>
      <c r="DW172" s="207"/>
      <c r="DX172" s="207"/>
      <c r="DY172" s="207"/>
      <c r="DZ172" s="207"/>
      <c r="EA172" s="207"/>
      <c r="EB172" s="207"/>
    </row>
    <row r="173" spans="1:132">
      <c r="B173" s="36"/>
      <c r="C173" s="1"/>
    </row>
    <row r="174" spans="1:132">
      <c r="B174" s="216" t="s">
        <v>310</v>
      </c>
      <c r="C174" s="1"/>
    </row>
    <row r="175" spans="1:132" s="424" customFormat="1">
      <c r="B175" s="766" t="s">
        <v>72</v>
      </c>
      <c r="C175" s="767"/>
      <c r="D175" s="767"/>
      <c r="E175" s="767"/>
      <c r="F175" s="767"/>
      <c r="G175" s="767"/>
      <c r="H175" s="768"/>
      <c r="I175" s="768"/>
      <c r="J175" s="768"/>
      <c r="K175" s="768"/>
      <c r="L175" s="402">
        <v>0.35</v>
      </c>
      <c r="M175" s="769"/>
      <c r="N175" s="769"/>
      <c r="O175" s="769"/>
      <c r="P175" s="769"/>
      <c r="Q175" s="402">
        <v>0.35</v>
      </c>
      <c r="R175" s="769"/>
      <c r="S175" s="769"/>
      <c r="T175" s="769"/>
      <c r="U175" s="769"/>
      <c r="V175" s="402">
        <v>0.35</v>
      </c>
      <c r="W175" s="769">
        <v>0.35</v>
      </c>
      <c r="X175" s="769">
        <v>0.35</v>
      </c>
      <c r="Y175" s="769">
        <v>0.35</v>
      </c>
      <c r="Z175" s="769">
        <v>0.35</v>
      </c>
      <c r="AA175" s="402">
        <v>0.35</v>
      </c>
      <c r="AB175" s="769">
        <v>0.35</v>
      </c>
      <c r="AC175" s="769">
        <v>0.35</v>
      </c>
      <c r="AD175" s="769">
        <v>0.35</v>
      </c>
      <c r="AE175" s="769">
        <v>0.35</v>
      </c>
      <c r="AF175" s="402">
        <v>0.35</v>
      </c>
      <c r="AG175" s="769">
        <v>0.35</v>
      </c>
      <c r="AH175" s="769">
        <v>0.35</v>
      </c>
      <c r="AI175" s="769">
        <v>0.35</v>
      </c>
      <c r="AJ175" s="769">
        <v>0.35</v>
      </c>
      <c r="AK175" s="402">
        <v>0.215</v>
      </c>
      <c r="AL175" s="769">
        <v>0.35</v>
      </c>
      <c r="AM175" s="769">
        <v>0.35</v>
      </c>
      <c r="AN175" s="769">
        <v>0.35</v>
      </c>
      <c r="AO175" s="769">
        <v>0.35</v>
      </c>
      <c r="AP175" s="402">
        <f>AK175</f>
        <v>0.215</v>
      </c>
      <c r="AQ175" s="769">
        <v>0.35</v>
      </c>
      <c r="AR175" s="769">
        <v>0.35</v>
      </c>
      <c r="AS175" s="769">
        <v>0.35</v>
      </c>
      <c r="AT175" s="769">
        <v>0.35</v>
      </c>
      <c r="AU175" s="402">
        <f>AP175</f>
        <v>0.215</v>
      </c>
      <c r="AV175" s="769">
        <v>0.35</v>
      </c>
      <c r="AW175" s="769">
        <v>0.35</v>
      </c>
      <c r="AX175" s="769">
        <v>0.35</v>
      </c>
      <c r="AY175" s="769">
        <v>0.35</v>
      </c>
      <c r="AZ175" s="402">
        <f>AU175</f>
        <v>0.215</v>
      </c>
      <c r="BA175" s="769">
        <v>0.35</v>
      </c>
      <c r="BB175" s="769">
        <v>0.35</v>
      </c>
      <c r="BC175" s="769">
        <v>0.35</v>
      </c>
      <c r="BD175" s="769">
        <v>0.35</v>
      </c>
      <c r="BE175" s="402">
        <f>AZ175</f>
        <v>0.215</v>
      </c>
      <c r="BF175" s="769">
        <v>0.35</v>
      </c>
      <c r="BG175" s="769">
        <v>0.35</v>
      </c>
      <c r="BH175" s="769">
        <v>0.35</v>
      </c>
      <c r="BI175" s="769">
        <v>0.35</v>
      </c>
      <c r="BJ175" s="402">
        <f>BE175</f>
        <v>0.215</v>
      </c>
      <c r="BK175" s="769">
        <v>0.35</v>
      </c>
      <c r="BL175" s="769">
        <v>0.35</v>
      </c>
      <c r="BM175" s="769">
        <v>0.35</v>
      </c>
      <c r="BN175" s="769">
        <v>0.35</v>
      </c>
      <c r="BO175" s="402">
        <f>BJ175</f>
        <v>0.215</v>
      </c>
      <c r="BP175" s="769">
        <v>0.35</v>
      </c>
      <c r="BQ175" s="769">
        <v>0.35</v>
      </c>
      <c r="BR175" s="769">
        <v>0.35</v>
      </c>
      <c r="BS175" s="769">
        <v>0.35</v>
      </c>
      <c r="BT175" s="402">
        <f>BO175</f>
        <v>0.215</v>
      </c>
      <c r="BU175" s="769">
        <v>0.35</v>
      </c>
      <c r="BV175" s="769">
        <v>0.35</v>
      </c>
      <c r="BW175" s="769">
        <v>0.35</v>
      </c>
      <c r="BX175" s="769">
        <v>0.35</v>
      </c>
      <c r="BY175" s="402">
        <f>BT175</f>
        <v>0.215</v>
      </c>
      <c r="BZ175" s="769">
        <v>0.35</v>
      </c>
      <c r="CA175" s="769">
        <v>0.35</v>
      </c>
      <c r="CB175" s="769">
        <v>0.35</v>
      </c>
      <c r="CC175" s="769">
        <v>0.35</v>
      </c>
      <c r="CD175" s="402">
        <f>BY175</f>
        <v>0.215</v>
      </c>
      <c r="CE175" s="769">
        <v>0.35</v>
      </c>
      <c r="CF175" s="769">
        <v>0.35</v>
      </c>
      <c r="CG175" s="769">
        <v>0.35</v>
      </c>
      <c r="CH175" s="769">
        <v>0.35</v>
      </c>
      <c r="CI175" s="402">
        <f>CD175</f>
        <v>0.215</v>
      </c>
      <c r="CJ175" s="769">
        <v>0.35</v>
      </c>
      <c r="CK175" s="769">
        <v>0.35</v>
      </c>
      <c r="CL175" s="769">
        <v>0.35</v>
      </c>
      <c r="CM175" s="769">
        <v>0.35</v>
      </c>
      <c r="CN175" s="402">
        <f>CI175</f>
        <v>0.215</v>
      </c>
      <c r="CO175" s="769">
        <v>0.35</v>
      </c>
      <c r="CP175" s="769">
        <v>0.35</v>
      </c>
      <c r="CQ175" s="769">
        <v>0.35</v>
      </c>
      <c r="CR175" s="769">
        <v>0.35</v>
      </c>
      <c r="CS175" s="403">
        <f>CN175</f>
        <v>0.215</v>
      </c>
      <c r="CY175"/>
      <c r="CZ175"/>
      <c r="DA175"/>
      <c r="DB175"/>
      <c r="DC175"/>
      <c r="DD175"/>
    </row>
    <row r="176" spans="1:132">
      <c r="B176" s="220" t="s">
        <v>311</v>
      </c>
      <c r="C176" s="1"/>
      <c r="H176" s="520"/>
      <c r="I176" s="520"/>
      <c r="J176" s="520"/>
      <c r="K176" s="520"/>
      <c r="L176" s="227">
        <v>-4100</v>
      </c>
      <c r="M176" s="547"/>
      <c r="N176" s="547"/>
      <c r="O176" s="547"/>
      <c r="P176" s="547"/>
      <c r="Q176" s="191">
        <f>L178</f>
        <v>-4726.0439999999999</v>
      </c>
      <c r="R176" s="547"/>
      <c r="S176" s="547"/>
      <c r="T176" s="549"/>
      <c r="U176" s="549"/>
      <c r="V176" s="191">
        <f>Q178</f>
        <v>-5461.558</v>
      </c>
      <c r="W176" s="547"/>
      <c r="X176" s="547"/>
      <c r="Y176" s="547"/>
      <c r="Z176" s="547"/>
      <c r="AA176" s="191">
        <f>V178</f>
        <v>-6019.3580000000002</v>
      </c>
      <c r="AB176" s="547"/>
      <c r="AC176" s="547"/>
      <c r="AD176" s="547"/>
      <c r="AE176" s="547"/>
      <c r="AF176" s="191">
        <f>AA178</f>
        <v>-6086.7240000000002</v>
      </c>
      <c r="AG176" s="547"/>
      <c r="AH176" s="547"/>
      <c r="AI176" s="547"/>
      <c r="AJ176" s="547"/>
      <c r="AK176" s="191">
        <f>AF178</f>
        <v>-6102.4129999999996</v>
      </c>
      <c r="AL176" s="547"/>
      <c r="AM176" s="547"/>
      <c r="AN176" s="547"/>
      <c r="AO176" s="547"/>
      <c r="AP176" s="191">
        <f>AK178</f>
        <v>-5580.0452909922915</v>
      </c>
      <c r="AQ176" s="547"/>
      <c r="AR176" s="547"/>
      <c r="AS176" s="547"/>
      <c r="AT176" s="547"/>
      <c r="AU176" s="191">
        <f>AP178</f>
        <v>-4908.0411710506878</v>
      </c>
      <c r="AV176" s="547"/>
      <c r="AW176" s="547"/>
      <c r="AX176" s="547"/>
      <c r="AY176" s="547"/>
      <c r="AZ176" s="191">
        <f>AU178</f>
        <v>-3312.2851852736012</v>
      </c>
      <c r="BA176" s="547"/>
      <c r="BB176" s="547"/>
      <c r="BC176" s="547"/>
      <c r="BD176" s="547"/>
      <c r="BE176" s="191">
        <f>AZ178</f>
        <v>-551.010006790239</v>
      </c>
      <c r="BF176" s="547"/>
      <c r="BG176" s="547"/>
      <c r="BH176" s="547"/>
      <c r="BI176" s="547"/>
      <c r="BJ176" s="191">
        <f>BE178</f>
        <v>0</v>
      </c>
      <c r="BK176" s="547"/>
      <c r="BL176" s="547"/>
      <c r="BM176" s="547"/>
      <c r="BN176" s="547"/>
      <c r="BO176" s="191">
        <f>BJ178</f>
        <v>0</v>
      </c>
      <c r="BP176" s="547"/>
      <c r="BQ176" s="547"/>
      <c r="BR176" s="547"/>
      <c r="BS176" s="547"/>
      <c r="BT176" s="191">
        <f>BO178</f>
        <v>0</v>
      </c>
      <c r="BU176" s="547"/>
      <c r="BV176" s="547"/>
      <c r="BW176" s="547"/>
      <c r="BX176" s="547"/>
      <c r="BY176" s="191">
        <f>BT178</f>
        <v>0</v>
      </c>
      <c r="BZ176" s="547"/>
      <c r="CA176" s="547"/>
      <c r="CB176" s="547"/>
      <c r="CC176" s="547"/>
      <c r="CD176" s="191">
        <f>BY178</f>
        <v>0</v>
      </c>
      <c r="CE176" s="547"/>
      <c r="CF176" s="547"/>
      <c r="CG176" s="547"/>
      <c r="CH176" s="547"/>
      <c r="CI176" s="191">
        <f>CD178</f>
        <v>0</v>
      </c>
      <c r="CJ176" s="547"/>
      <c r="CK176" s="547"/>
      <c r="CL176" s="547"/>
      <c r="CM176" s="547"/>
      <c r="CN176" s="191">
        <f>CI178</f>
        <v>0</v>
      </c>
      <c r="CO176" s="547"/>
      <c r="CP176" s="547"/>
      <c r="CQ176" s="547"/>
      <c r="CR176" s="547"/>
      <c r="CS176" s="210">
        <f>CN178</f>
        <v>0</v>
      </c>
    </row>
    <row r="177" spans="2:97">
      <c r="B177" s="220" t="s">
        <v>312</v>
      </c>
      <c r="H177" s="520"/>
      <c r="I177" s="520"/>
      <c r="J177" s="520"/>
      <c r="K177" s="520"/>
      <c r="L177" s="191">
        <f>L112</f>
        <v>-626.04399999999998</v>
      </c>
      <c r="M177" s="547"/>
      <c r="N177" s="547"/>
      <c r="O177" s="547"/>
      <c r="P177" s="547"/>
      <c r="Q177" s="191">
        <f>Q112</f>
        <v>-735.5139999999999</v>
      </c>
      <c r="R177" s="547"/>
      <c r="S177" s="547"/>
      <c r="T177" s="549"/>
      <c r="U177" s="549"/>
      <c r="V177" s="191">
        <f>V112</f>
        <v>-557.79999999999995</v>
      </c>
      <c r="W177" s="547"/>
      <c r="X177" s="547"/>
      <c r="Y177" s="547"/>
      <c r="Z177" s="547"/>
      <c r="AA177" s="191">
        <f>AA112</f>
        <v>-67.366000000000028</v>
      </c>
      <c r="AB177" s="547"/>
      <c r="AC177" s="547"/>
      <c r="AD177" s="547"/>
      <c r="AE177" s="547"/>
      <c r="AF177" s="191">
        <f>AF112</f>
        <v>-15.688999999999737</v>
      </c>
      <c r="AG177" s="547"/>
      <c r="AH177" s="547"/>
      <c r="AI177" s="547"/>
      <c r="AJ177" s="547"/>
      <c r="AK177" s="191">
        <f>AK112</f>
        <v>522.36770900770773</v>
      </c>
      <c r="AL177" s="547"/>
      <c r="AM177" s="547"/>
      <c r="AN177" s="547"/>
      <c r="AO177" s="547"/>
      <c r="AP177" s="191">
        <f>AP112</f>
        <v>672.00411994160345</v>
      </c>
      <c r="AQ177" s="547"/>
      <c r="AR177" s="547"/>
      <c r="AS177" s="547"/>
      <c r="AT177" s="547"/>
      <c r="AU177" s="191">
        <f>AU112</f>
        <v>1595.7559857770864</v>
      </c>
      <c r="AV177" s="547"/>
      <c r="AW177" s="547"/>
      <c r="AX177" s="547"/>
      <c r="AY177" s="547"/>
      <c r="AZ177" s="191">
        <f>AZ112</f>
        <v>2761.2751784833622</v>
      </c>
      <c r="BA177" s="547"/>
      <c r="BB177" s="547"/>
      <c r="BC177" s="547"/>
      <c r="BD177" s="547"/>
      <c r="BE177" s="191">
        <f>BE112</f>
        <v>3545.1287249927823</v>
      </c>
      <c r="BF177" s="547"/>
      <c r="BG177" s="547"/>
      <c r="BH177" s="547"/>
      <c r="BI177" s="547"/>
      <c r="BJ177" s="191">
        <f>BJ112</f>
        <v>3977.4732353833779</v>
      </c>
      <c r="BK177" s="547"/>
      <c r="BL177" s="547"/>
      <c r="BM177" s="547"/>
      <c r="BN177" s="547"/>
      <c r="BO177" s="191">
        <f>BO112</f>
        <v>4283.450605256864</v>
      </c>
      <c r="BP177" s="547"/>
      <c r="BQ177" s="547"/>
      <c r="BR177" s="547"/>
      <c r="BS177" s="547"/>
      <c r="BT177" s="191">
        <f>BT112</f>
        <v>5140.8071788132747</v>
      </c>
      <c r="BU177" s="547"/>
      <c r="BV177" s="547"/>
      <c r="BW177" s="547"/>
      <c r="BX177" s="547"/>
      <c r="BY177" s="191">
        <f>BY112</f>
        <v>6760.9209521322646</v>
      </c>
      <c r="BZ177" s="547"/>
      <c r="CA177" s="547"/>
      <c r="CB177" s="547"/>
      <c r="CC177" s="547"/>
      <c r="CD177" s="191">
        <f>CD112</f>
        <v>7117.9783050920332</v>
      </c>
      <c r="CE177" s="547"/>
      <c r="CF177" s="547"/>
      <c r="CG177" s="547"/>
      <c r="CH177" s="547"/>
      <c r="CI177" s="191">
        <f>CI112</f>
        <v>7524.2531156520736</v>
      </c>
      <c r="CJ177" s="547"/>
      <c r="CK177" s="547"/>
      <c r="CL177" s="547"/>
      <c r="CM177" s="547"/>
      <c r="CN177" s="191">
        <f>CN112</f>
        <v>7850.4751164100298</v>
      </c>
      <c r="CO177" s="547"/>
      <c r="CP177" s="547"/>
      <c r="CQ177" s="547"/>
      <c r="CR177" s="547"/>
      <c r="CS177" s="210">
        <f>CS112</f>
        <v>8297.5073546742424</v>
      </c>
    </row>
    <row r="178" spans="2:97">
      <c r="B178" s="220" t="s">
        <v>313</v>
      </c>
      <c r="H178" s="520"/>
      <c r="I178" s="520"/>
      <c r="J178" s="520"/>
      <c r="K178" s="520"/>
      <c r="L178" s="191">
        <f>IF(L176+L177&lt;0,L176+L177,0)</f>
        <v>-4726.0439999999999</v>
      </c>
      <c r="M178" s="547"/>
      <c r="N178" s="547"/>
      <c r="O178" s="547"/>
      <c r="P178" s="547"/>
      <c r="Q178" s="191">
        <f>IF(Q176+Q177&lt;0,Q176+Q177,0)</f>
        <v>-5461.558</v>
      </c>
      <c r="R178" s="547"/>
      <c r="S178" s="547"/>
      <c r="T178" s="549"/>
      <c r="U178" s="549"/>
      <c r="V178" s="191">
        <f>IF(V176+V177&lt;0,V176+V177,0)</f>
        <v>-6019.3580000000002</v>
      </c>
      <c r="W178" s="547"/>
      <c r="X178" s="547"/>
      <c r="Y178" s="547"/>
      <c r="Z178" s="547"/>
      <c r="AA178" s="191">
        <f>IF(AA176+AA177&lt;0,AA176+AA177,0)</f>
        <v>-6086.7240000000002</v>
      </c>
      <c r="AB178" s="547"/>
      <c r="AC178" s="547"/>
      <c r="AD178" s="547"/>
      <c r="AE178" s="547"/>
      <c r="AF178" s="191">
        <f>IF(AF176+AF177&lt;0,AF176+AF177,0)</f>
        <v>-6102.4129999999996</v>
      </c>
      <c r="AG178" s="547"/>
      <c r="AH178" s="547"/>
      <c r="AI178" s="547"/>
      <c r="AJ178" s="547"/>
      <c r="AK178" s="191">
        <f>IF(AK176+AK177&lt;0,AK176+AK177,0)</f>
        <v>-5580.0452909922915</v>
      </c>
      <c r="AL178" s="547"/>
      <c r="AM178" s="547"/>
      <c r="AN178" s="547"/>
      <c r="AO178" s="547"/>
      <c r="AP178" s="191">
        <f>IF(AP176+AP177&lt;0,AP176+AP177,0)</f>
        <v>-4908.0411710506878</v>
      </c>
      <c r="AQ178" s="547"/>
      <c r="AR178" s="547"/>
      <c r="AS178" s="547"/>
      <c r="AT178" s="547"/>
      <c r="AU178" s="191">
        <f>IF(AU176+AU177&lt;0,AU176+AU177,0)</f>
        <v>-3312.2851852736012</v>
      </c>
      <c r="AV178" s="547"/>
      <c r="AW178" s="547"/>
      <c r="AX178" s="547"/>
      <c r="AY178" s="547"/>
      <c r="AZ178" s="191">
        <f>IF(AZ176+AZ177&lt;0,AZ176+AZ177,0)</f>
        <v>-551.010006790239</v>
      </c>
      <c r="BA178" s="547"/>
      <c r="BB178" s="547"/>
      <c r="BC178" s="547"/>
      <c r="BD178" s="547"/>
      <c r="BE178" s="191">
        <f>IF(BE176+BE177&lt;0,BE176+BE177,0)</f>
        <v>0</v>
      </c>
      <c r="BF178" s="547"/>
      <c r="BG178" s="547"/>
      <c r="BH178" s="547"/>
      <c r="BI178" s="547"/>
      <c r="BJ178" s="191">
        <f>IF(BJ176+BJ177&lt;0,BJ176+BJ177,0)</f>
        <v>0</v>
      </c>
      <c r="BK178" s="547"/>
      <c r="BL178" s="547"/>
      <c r="BM178" s="547"/>
      <c r="BN178" s="547"/>
      <c r="BO178" s="191">
        <f>IF(BO176+BO177&lt;0,BO176+BO177,0)</f>
        <v>0</v>
      </c>
      <c r="BP178" s="547"/>
      <c r="BQ178" s="547"/>
      <c r="BR178" s="547"/>
      <c r="BS178" s="547"/>
      <c r="BT178" s="191">
        <f>IF(BT176+BT177&lt;0,BT176+BT177,0)</f>
        <v>0</v>
      </c>
      <c r="BU178" s="547"/>
      <c r="BV178" s="547"/>
      <c r="BW178" s="547"/>
      <c r="BX178" s="547"/>
      <c r="BY178" s="191">
        <f>IF(BY176+BY177&lt;0,BY176+BY177,0)</f>
        <v>0</v>
      </c>
      <c r="BZ178" s="547"/>
      <c r="CA178" s="547"/>
      <c r="CB178" s="547"/>
      <c r="CC178" s="547"/>
      <c r="CD178" s="191">
        <f>IF(CD176+CD177&lt;0,CD176+CD177,0)</f>
        <v>0</v>
      </c>
      <c r="CE178" s="547"/>
      <c r="CF178" s="547"/>
      <c r="CG178" s="547"/>
      <c r="CH178" s="547"/>
      <c r="CI178" s="191">
        <f>IF(CI176+CI177&lt;0,CI176+CI177,0)</f>
        <v>0</v>
      </c>
      <c r="CJ178" s="547"/>
      <c r="CK178" s="547"/>
      <c r="CL178" s="547"/>
      <c r="CM178" s="547"/>
      <c r="CN178" s="191">
        <f>IF(CN176+CN177&lt;0,CN176+CN177,0)</f>
        <v>0</v>
      </c>
      <c r="CO178" s="547"/>
      <c r="CP178" s="547"/>
      <c r="CQ178" s="547"/>
      <c r="CR178" s="547"/>
      <c r="CS178" s="210">
        <f>IF(CS176+CS177&lt;0,CS176+CS177,0)</f>
        <v>0</v>
      </c>
    </row>
    <row r="179" spans="2:97">
      <c r="B179" s="220"/>
      <c r="H179" s="520"/>
      <c r="I179" s="520"/>
      <c r="J179" s="520"/>
      <c r="K179" s="520"/>
      <c r="L179" s="225"/>
      <c r="M179" s="554"/>
      <c r="N179" s="554"/>
      <c r="O179" s="554"/>
      <c r="P179" s="554"/>
      <c r="Q179" s="225"/>
      <c r="R179" s="554"/>
      <c r="S179" s="554"/>
      <c r="T179" s="554"/>
      <c r="U179" s="554"/>
      <c r="V179" s="225"/>
      <c r="W179" s="554"/>
      <c r="X179" s="554"/>
      <c r="Y179" s="554"/>
      <c r="Z179" s="554"/>
      <c r="AA179" s="225"/>
      <c r="AB179" s="554"/>
      <c r="AC179" s="554"/>
      <c r="AD179" s="554"/>
      <c r="AE179" s="554"/>
      <c r="AF179" s="225"/>
      <c r="AG179" s="554"/>
      <c r="AH179" s="554"/>
      <c r="AI179" s="554"/>
      <c r="AJ179" s="554"/>
      <c r="AK179" s="225"/>
      <c r="AL179" s="554"/>
      <c r="AM179" s="554"/>
      <c r="AN179" s="554"/>
      <c r="AO179" s="554"/>
      <c r="AP179" s="225"/>
      <c r="AQ179" s="554"/>
      <c r="AR179" s="554"/>
      <c r="AS179" s="554"/>
      <c r="AT179" s="554"/>
      <c r="AU179" s="225"/>
      <c r="AV179" s="554"/>
      <c r="AW179" s="554"/>
      <c r="AX179" s="554"/>
      <c r="AY179" s="554"/>
      <c r="AZ179" s="225"/>
      <c r="BA179" s="554"/>
      <c r="BB179" s="554"/>
      <c r="BC179" s="554"/>
      <c r="BD179" s="554"/>
      <c r="BE179" s="225"/>
      <c r="BF179" s="554"/>
      <c r="BG179" s="554"/>
      <c r="BH179" s="554"/>
      <c r="BI179" s="554"/>
      <c r="BJ179" s="225"/>
      <c r="BK179" s="554"/>
      <c r="BL179" s="554"/>
      <c r="BM179" s="554"/>
      <c r="BN179" s="554"/>
      <c r="BO179" s="225"/>
      <c r="BP179" s="554"/>
      <c r="BQ179" s="554"/>
      <c r="BR179" s="554"/>
      <c r="BS179" s="554"/>
      <c r="BT179" s="225"/>
      <c r="BU179" s="554"/>
      <c r="BV179" s="554"/>
      <c r="BW179" s="554"/>
      <c r="BX179" s="554"/>
      <c r="BY179" s="225"/>
      <c r="BZ179" s="554"/>
      <c r="CA179" s="554"/>
      <c r="CB179" s="554"/>
      <c r="CC179" s="554"/>
      <c r="CD179" s="225"/>
      <c r="CE179" s="554"/>
      <c r="CF179" s="554"/>
      <c r="CG179" s="554"/>
      <c r="CH179" s="554"/>
      <c r="CI179" s="225"/>
      <c r="CJ179" s="554"/>
      <c r="CK179" s="554"/>
      <c r="CL179" s="554"/>
      <c r="CM179" s="554"/>
      <c r="CN179" s="225"/>
      <c r="CO179" s="554"/>
      <c r="CP179" s="554"/>
      <c r="CQ179" s="554"/>
      <c r="CR179" s="554"/>
      <c r="CS179" s="226"/>
    </row>
    <row r="180" spans="2:97">
      <c r="B180" s="220" t="s">
        <v>314</v>
      </c>
      <c r="H180" s="520"/>
      <c r="I180" s="520"/>
      <c r="J180" s="520"/>
      <c r="K180" s="520"/>
      <c r="L180" s="191">
        <f>IF(L178&lt;0,0,L176+L177)</f>
        <v>0</v>
      </c>
      <c r="M180" s="547"/>
      <c r="N180" s="547"/>
      <c r="O180" s="547"/>
      <c r="P180" s="547"/>
      <c r="Q180" s="191">
        <f>IF(Q178&lt;0,0,Q176+Q177)</f>
        <v>0</v>
      </c>
      <c r="R180" s="547"/>
      <c r="S180" s="547"/>
      <c r="T180" s="549"/>
      <c r="U180" s="549"/>
      <c r="V180" s="191">
        <f>IF(V178&lt;0,0,V176+V177)</f>
        <v>0</v>
      </c>
      <c r="W180" s="547"/>
      <c r="X180" s="547"/>
      <c r="Y180" s="547"/>
      <c r="Z180" s="547"/>
      <c r="AA180" s="191">
        <f>IF(AA178&lt;0,0,AA176+AA177)</f>
        <v>0</v>
      </c>
      <c r="AB180" s="547"/>
      <c r="AC180" s="547"/>
      <c r="AD180" s="547"/>
      <c r="AE180" s="547"/>
      <c r="AF180" s="191">
        <f>IF(AF178&lt;0,0,AF176+AF177)</f>
        <v>0</v>
      </c>
      <c r="AG180" s="547"/>
      <c r="AH180" s="547"/>
      <c r="AI180" s="547"/>
      <c r="AJ180" s="547"/>
      <c r="AK180" s="191">
        <f>IF(AK178&lt;0,0,AK176+AK177)</f>
        <v>0</v>
      </c>
      <c r="AL180" s="547"/>
      <c r="AM180" s="547"/>
      <c r="AN180" s="547"/>
      <c r="AO180" s="547"/>
      <c r="AP180" s="191">
        <f>IF(AP178&lt;0,0,AP176+AP177)</f>
        <v>0</v>
      </c>
      <c r="AQ180" s="547"/>
      <c r="AR180" s="547"/>
      <c r="AS180" s="547"/>
      <c r="AT180" s="547"/>
      <c r="AU180" s="191">
        <f>IF(AU178&lt;0,0,AU176+AU177)</f>
        <v>0</v>
      </c>
      <c r="AV180" s="547"/>
      <c r="AW180" s="547"/>
      <c r="AX180" s="547"/>
      <c r="AY180" s="547"/>
      <c r="AZ180" s="191">
        <f>IF(AZ178&lt;0,0,AZ176+AZ177)</f>
        <v>0</v>
      </c>
      <c r="BA180" s="547"/>
      <c r="BB180" s="547"/>
      <c r="BC180" s="547"/>
      <c r="BD180" s="547"/>
      <c r="BE180" s="191">
        <f>IF(BE178&lt;0,0,BE176+BE177)</f>
        <v>2994.1187182025433</v>
      </c>
      <c r="BF180" s="547"/>
      <c r="BG180" s="547"/>
      <c r="BH180" s="547"/>
      <c r="BI180" s="547"/>
      <c r="BJ180" s="191">
        <f>IF(BJ178&lt;0,0,BJ176+BJ177)</f>
        <v>3977.4732353833779</v>
      </c>
      <c r="BK180" s="547"/>
      <c r="BL180" s="547"/>
      <c r="BM180" s="547"/>
      <c r="BN180" s="547"/>
      <c r="BO180" s="191">
        <f>IF(BO178&lt;0,0,BO176+BO177)</f>
        <v>4283.450605256864</v>
      </c>
      <c r="BP180" s="547"/>
      <c r="BQ180" s="547"/>
      <c r="BR180" s="547"/>
      <c r="BS180" s="547"/>
      <c r="BT180" s="191">
        <f>IF(BT178&lt;0,0,BT176+BT177)</f>
        <v>5140.8071788132747</v>
      </c>
      <c r="BU180" s="547"/>
      <c r="BV180" s="547"/>
      <c r="BW180" s="547"/>
      <c r="BX180" s="547"/>
      <c r="BY180" s="191">
        <f>IF(BY178&lt;0,0,BY176+BY177)</f>
        <v>6760.9209521322646</v>
      </c>
      <c r="BZ180" s="547"/>
      <c r="CA180" s="547"/>
      <c r="CB180" s="547"/>
      <c r="CC180" s="547"/>
      <c r="CD180" s="191">
        <f>IF(CD178&lt;0,0,CD176+CD177)</f>
        <v>7117.9783050920332</v>
      </c>
      <c r="CE180" s="547"/>
      <c r="CF180" s="547"/>
      <c r="CG180" s="547"/>
      <c r="CH180" s="547"/>
      <c r="CI180" s="191">
        <f>IF(CI178&lt;0,0,CI176+CI177)</f>
        <v>7524.2531156520736</v>
      </c>
      <c r="CJ180" s="547"/>
      <c r="CK180" s="547"/>
      <c r="CL180" s="547"/>
      <c r="CM180" s="547"/>
      <c r="CN180" s="191">
        <f>IF(CN178&lt;0,0,CN176+CN177)</f>
        <v>7850.4751164100298</v>
      </c>
      <c r="CO180" s="547"/>
      <c r="CP180" s="547"/>
      <c r="CQ180" s="547"/>
      <c r="CR180" s="547"/>
      <c r="CS180" s="210">
        <f>IF(CS178&lt;0,0,CS176+CS177)</f>
        <v>8297.5073546742424</v>
      </c>
    </row>
    <row r="181" spans="2:97">
      <c r="B181" s="220" t="s">
        <v>315</v>
      </c>
      <c r="H181" s="520"/>
      <c r="I181" s="520"/>
      <c r="J181" s="520"/>
      <c r="K181" s="520"/>
      <c r="L181" s="191">
        <f>IF(L178&lt;0,0,L175*L177)</f>
        <v>0</v>
      </c>
      <c r="M181" s="547"/>
      <c r="N181" s="547"/>
      <c r="O181" s="547"/>
      <c r="P181" s="547"/>
      <c r="Q181" s="191">
        <f>IF(Q178&lt;0,0,Q175*Q177)</f>
        <v>0</v>
      </c>
      <c r="R181" s="547"/>
      <c r="S181" s="547"/>
      <c r="T181" s="549"/>
      <c r="U181" s="549"/>
      <c r="V181" s="191">
        <f>IF(V178&lt;0,0,V175*V177)</f>
        <v>0</v>
      </c>
      <c r="W181" s="547"/>
      <c r="X181" s="547"/>
      <c r="Y181" s="547"/>
      <c r="Z181" s="547"/>
      <c r="AA181" s="191">
        <f>IF(AA178&lt;0,0,AA175*AA177)</f>
        <v>0</v>
      </c>
      <c r="AB181" s="547"/>
      <c r="AC181" s="547"/>
      <c r="AD181" s="547"/>
      <c r="AE181" s="547"/>
      <c r="AF181" s="191">
        <f>IF(AF178&lt;0,0,AF175*AF177)</f>
        <v>0</v>
      </c>
      <c r="AG181" s="547"/>
      <c r="AH181" s="547"/>
      <c r="AI181" s="547"/>
      <c r="AJ181" s="547"/>
      <c r="AK181" s="191">
        <f>IF(AK178&lt;0,0,AK175*AK177)</f>
        <v>0</v>
      </c>
      <c r="AL181" s="547"/>
      <c r="AM181" s="547"/>
      <c r="AN181" s="547"/>
      <c r="AO181" s="547"/>
      <c r="AP181" s="191">
        <f>IF(AP178&lt;0,0,AP175*AP177)</f>
        <v>0</v>
      </c>
      <c r="AQ181" s="547"/>
      <c r="AR181" s="547"/>
      <c r="AS181" s="547"/>
      <c r="AT181" s="547"/>
      <c r="AU181" s="191">
        <f>IF(AU178&lt;0,0,AU175*AU177)</f>
        <v>0</v>
      </c>
      <c r="AV181" s="547"/>
      <c r="AW181" s="547"/>
      <c r="AX181" s="547"/>
      <c r="AY181" s="547"/>
      <c r="AZ181" s="191">
        <f>IF(AZ178&lt;0,0,AZ175*AZ177)</f>
        <v>0</v>
      </c>
      <c r="BA181" s="547"/>
      <c r="BB181" s="547"/>
      <c r="BC181" s="547"/>
      <c r="BD181" s="547"/>
      <c r="BE181" s="191">
        <f>IF(BE178&lt;0,0,BE175*BE177)</f>
        <v>762.20267587344813</v>
      </c>
      <c r="BF181" s="547"/>
      <c r="BG181" s="547"/>
      <c r="BH181" s="547"/>
      <c r="BI181" s="547"/>
      <c r="BJ181" s="191">
        <f>IF(BJ178&lt;0,0,BJ175*BJ177)</f>
        <v>855.15674560742627</v>
      </c>
      <c r="BK181" s="547"/>
      <c r="BL181" s="547"/>
      <c r="BM181" s="547"/>
      <c r="BN181" s="547"/>
      <c r="BO181" s="191">
        <f>IF(BO178&lt;0,0,BO175*BO177)</f>
        <v>920.94188013022574</v>
      </c>
      <c r="BP181" s="547"/>
      <c r="BQ181" s="547"/>
      <c r="BR181" s="547"/>
      <c r="BS181" s="547"/>
      <c r="BT181" s="191">
        <f>IF(BT178&lt;0,0,BT175*BT177)</f>
        <v>1105.2735434448541</v>
      </c>
      <c r="BU181" s="547"/>
      <c r="BV181" s="547"/>
      <c r="BW181" s="547"/>
      <c r="BX181" s="547"/>
      <c r="BY181" s="191">
        <f>IF(BY178&lt;0,0,BY175*BY177)</f>
        <v>1453.598004708437</v>
      </c>
      <c r="BZ181" s="547"/>
      <c r="CA181" s="547"/>
      <c r="CB181" s="547"/>
      <c r="CC181" s="547"/>
      <c r="CD181" s="191">
        <f>IF(CD178&lt;0,0,CD175*CD177)</f>
        <v>1530.3653355947872</v>
      </c>
      <c r="CE181" s="547"/>
      <c r="CF181" s="547"/>
      <c r="CG181" s="547"/>
      <c r="CH181" s="547"/>
      <c r="CI181" s="191">
        <f>IF(CI178&lt;0,0,CI175*CI177)</f>
        <v>1617.7144198651959</v>
      </c>
      <c r="CJ181" s="547"/>
      <c r="CK181" s="547"/>
      <c r="CL181" s="547"/>
      <c r="CM181" s="547"/>
      <c r="CN181" s="191">
        <f>IF(CN178&lt;0,0,CN175*CN177)</f>
        <v>1687.8521500281563</v>
      </c>
      <c r="CO181" s="547"/>
      <c r="CP181" s="547"/>
      <c r="CQ181" s="547"/>
      <c r="CR181" s="547"/>
      <c r="CS181" s="210">
        <f>IF(CS178&lt;0,0,CS175*CS177)</f>
        <v>1783.9640812549621</v>
      </c>
    </row>
    <row r="182" spans="2:97">
      <c r="B182" s="228" t="s">
        <v>316</v>
      </c>
      <c r="C182" s="223"/>
      <c r="D182" s="224"/>
      <c r="E182" s="224"/>
      <c r="F182" s="224"/>
      <c r="G182" s="224"/>
      <c r="H182" s="560"/>
      <c r="I182" s="560"/>
      <c r="J182" s="560"/>
      <c r="K182" s="560"/>
      <c r="L182" s="229">
        <f>L175*L180</f>
        <v>0</v>
      </c>
      <c r="M182" s="555"/>
      <c r="N182" s="555"/>
      <c r="O182" s="555"/>
      <c r="P182" s="555"/>
      <c r="Q182" s="229">
        <f>Q175*Q180</f>
        <v>0</v>
      </c>
      <c r="R182" s="555"/>
      <c r="S182" s="555"/>
      <c r="T182" s="556"/>
      <c r="U182" s="556"/>
      <c r="V182" s="229">
        <f>V175*V180</f>
        <v>0</v>
      </c>
      <c r="W182" s="555"/>
      <c r="X182" s="555"/>
      <c r="Y182" s="555"/>
      <c r="Z182" s="555"/>
      <c r="AA182" s="229">
        <f>AA175*AA180</f>
        <v>0</v>
      </c>
      <c r="AB182" s="555"/>
      <c r="AC182" s="555"/>
      <c r="AD182" s="555"/>
      <c r="AE182" s="555"/>
      <c r="AF182" s="229">
        <f>AF175*AF180</f>
        <v>0</v>
      </c>
      <c r="AG182" s="555"/>
      <c r="AH182" s="555"/>
      <c r="AI182" s="555"/>
      <c r="AJ182" s="555"/>
      <c r="AK182" s="229">
        <f>AK175*AK180</f>
        <v>0</v>
      </c>
      <c r="AL182" s="555"/>
      <c r="AM182" s="555"/>
      <c r="AN182" s="555"/>
      <c r="AO182" s="555"/>
      <c r="AP182" s="713">
        <f>AP175*AP180</f>
        <v>0</v>
      </c>
      <c r="AQ182" s="714"/>
      <c r="AR182" s="714"/>
      <c r="AS182" s="714"/>
      <c r="AT182" s="714"/>
      <c r="AU182" s="713">
        <f>AU175*AU180</f>
        <v>0</v>
      </c>
      <c r="AV182" s="714"/>
      <c r="AW182" s="714"/>
      <c r="AX182" s="714"/>
      <c r="AY182" s="714"/>
      <c r="AZ182" s="713">
        <f>AZ175*AZ180</f>
        <v>0</v>
      </c>
      <c r="BA182" s="714"/>
      <c r="BB182" s="714"/>
      <c r="BC182" s="714"/>
      <c r="BD182" s="714"/>
      <c r="BE182" s="713">
        <f>BE175*BE180</f>
        <v>643.73552441354684</v>
      </c>
      <c r="BF182" s="714"/>
      <c r="BG182" s="714"/>
      <c r="BH182" s="714"/>
      <c r="BI182" s="714"/>
      <c r="BJ182" s="713">
        <f>BJ175*BJ180</f>
        <v>855.15674560742627</v>
      </c>
      <c r="BK182" s="714"/>
      <c r="BL182" s="714"/>
      <c r="BM182" s="714"/>
      <c r="BN182" s="714"/>
      <c r="BO182" s="713">
        <f>BO175*BO180</f>
        <v>920.94188013022574</v>
      </c>
      <c r="BP182" s="714"/>
      <c r="BQ182" s="714"/>
      <c r="BR182" s="714"/>
      <c r="BS182" s="714"/>
      <c r="BT182" s="713">
        <f>BT175*BT180</f>
        <v>1105.2735434448541</v>
      </c>
      <c r="BU182" s="714"/>
      <c r="BV182" s="714"/>
      <c r="BW182" s="714"/>
      <c r="BX182" s="714"/>
      <c r="BY182" s="713">
        <f>BY175*BY180</f>
        <v>1453.598004708437</v>
      </c>
      <c r="BZ182" s="714"/>
      <c r="CA182" s="714"/>
      <c r="CB182" s="714"/>
      <c r="CC182" s="714"/>
      <c r="CD182" s="713">
        <f>CD175*CD180</f>
        <v>1530.3653355947872</v>
      </c>
      <c r="CE182" s="714"/>
      <c r="CF182" s="714"/>
      <c r="CG182" s="714"/>
      <c r="CH182" s="714"/>
      <c r="CI182" s="713">
        <f>CI175*CI180</f>
        <v>1617.7144198651959</v>
      </c>
      <c r="CJ182" s="714"/>
      <c r="CK182" s="714"/>
      <c r="CL182" s="714"/>
      <c r="CM182" s="714"/>
      <c r="CN182" s="713">
        <f>CN175*CN180</f>
        <v>1687.8521500281563</v>
      </c>
      <c r="CO182" s="714"/>
      <c r="CP182" s="714"/>
      <c r="CQ182" s="714"/>
      <c r="CR182" s="714"/>
      <c r="CS182" s="715">
        <f>CS175*CS180</f>
        <v>1783.9640812549621</v>
      </c>
    </row>
    <row r="183" spans="2:97">
      <c r="B183" s="36"/>
    </row>
    <row r="184" spans="2:97">
      <c r="B184" s="216" t="s">
        <v>317</v>
      </c>
    </row>
    <row r="185" spans="2:97">
      <c r="B185" s="217"/>
      <c r="C185" s="234"/>
      <c r="D185" s="221"/>
      <c r="E185" s="221"/>
      <c r="F185" s="221"/>
      <c r="G185" s="221"/>
      <c r="H185" s="559"/>
      <c r="I185" s="559"/>
      <c r="J185" s="559"/>
      <c r="K185" s="559"/>
      <c r="L185" s="221"/>
      <c r="M185" s="559"/>
      <c r="N185" s="559"/>
      <c r="O185" s="559"/>
      <c r="P185" s="559"/>
      <c r="Q185" s="221"/>
      <c r="R185" s="544"/>
      <c r="S185" s="544"/>
      <c r="T185" s="546"/>
      <c r="U185" s="546"/>
      <c r="V185" s="221"/>
      <c r="W185" s="559"/>
      <c r="X185" s="559"/>
      <c r="Y185" s="559"/>
      <c r="Z185" s="559"/>
      <c r="AA185" s="221"/>
      <c r="AB185" s="559"/>
      <c r="AC185" s="559"/>
      <c r="AD185" s="559"/>
      <c r="AE185" s="559"/>
      <c r="AF185" s="221"/>
      <c r="AG185" s="559"/>
      <c r="AH185" s="559"/>
      <c r="AI185" s="559"/>
      <c r="AJ185" s="559"/>
      <c r="AK185" s="221"/>
      <c r="AL185" s="559"/>
      <c r="AM185" s="559"/>
      <c r="AN185" s="559"/>
      <c r="AO185" s="559"/>
      <c r="AP185" s="221"/>
      <c r="AQ185" s="559"/>
      <c r="AR185" s="559"/>
      <c r="AS185" s="559"/>
      <c r="AT185" s="559"/>
      <c r="AU185" s="221"/>
      <c r="AV185" s="559"/>
      <c r="AW185" s="559"/>
      <c r="AX185" s="559"/>
      <c r="AY185" s="559"/>
      <c r="AZ185" s="221"/>
      <c r="BA185" s="559"/>
      <c r="BB185" s="559"/>
      <c r="BC185" s="559"/>
      <c r="BD185" s="559"/>
      <c r="BE185" s="221"/>
      <c r="BF185" s="559"/>
      <c r="BG185" s="559"/>
      <c r="BH185" s="559"/>
      <c r="BI185" s="559"/>
      <c r="BJ185" s="221"/>
      <c r="BK185" s="559"/>
      <c r="BL185" s="559"/>
      <c r="BM185" s="559"/>
      <c r="BN185" s="559"/>
      <c r="BO185" s="221"/>
      <c r="BP185" s="559"/>
      <c r="BQ185" s="559"/>
      <c r="BR185" s="559"/>
      <c r="BS185" s="559"/>
      <c r="BT185" s="221"/>
      <c r="BU185" s="559"/>
      <c r="BV185" s="559"/>
      <c r="BW185" s="559"/>
      <c r="BX185" s="559"/>
      <c r="BY185" s="221"/>
      <c r="BZ185" s="559"/>
      <c r="CA185" s="559"/>
      <c r="CB185" s="559"/>
      <c r="CC185" s="559"/>
      <c r="CD185" s="221"/>
      <c r="CE185" s="559"/>
      <c r="CF185" s="559"/>
      <c r="CG185" s="559"/>
      <c r="CH185" s="559"/>
      <c r="CI185" s="221"/>
      <c r="CJ185" s="559"/>
      <c r="CK185" s="559"/>
      <c r="CL185" s="559"/>
      <c r="CM185" s="559"/>
      <c r="CN185" s="221"/>
      <c r="CO185" s="559"/>
      <c r="CP185" s="559"/>
      <c r="CQ185" s="559"/>
      <c r="CR185" s="559"/>
      <c r="CS185" s="222"/>
    </row>
    <row r="186" spans="2:97">
      <c r="B186" s="231" t="s">
        <v>318</v>
      </c>
      <c r="H186" s="520"/>
      <c r="I186" s="520"/>
      <c r="J186" s="520"/>
      <c r="K186" s="520"/>
      <c r="M186" s="520"/>
      <c r="N186" s="520"/>
      <c r="O186" s="520"/>
      <c r="P186" s="520"/>
      <c r="Q186" s="242" t="s">
        <v>331</v>
      </c>
      <c r="R186" s="547"/>
      <c r="S186" s="547"/>
      <c r="T186" s="549"/>
      <c r="U186" s="549"/>
      <c r="V186" s="242" t="s">
        <v>332</v>
      </c>
      <c r="W186" s="562"/>
      <c r="X186" s="562"/>
      <c r="Y186" s="562"/>
      <c r="Z186" s="562"/>
      <c r="AA186" s="227"/>
      <c r="AB186" s="562"/>
      <c r="AC186" s="562"/>
      <c r="AD186" s="562"/>
      <c r="AE186" s="562"/>
      <c r="AF186" s="227"/>
      <c r="AG186" s="562"/>
      <c r="AH186" s="562"/>
      <c r="AI186" s="562"/>
      <c r="AJ186" s="562"/>
      <c r="AK186" s="227"/>
      <c r="AL186" s="562"/>
      <c r="AM186" s="562"/>
      <c r="AN186" s="562"/>
      <c r="AO186" s="562"/>
      <c r="AP186" s="227"/>
      <c r="AQ186" s="562"/>
      <c r="AR186" s="562"/>
      <c r="AS186" s="562"/>
      <c r="AT186" s="562"/>
      <c r="AU186" s="227"/>
      <c r="AV186" s="562"/>
      <c r="AW186" s="562"/>
      <c r="AX186" s="562"/>
      <c r="AY186" s="562"/>
      <c r="AZ186" s="227"/>
      <c r="BA186" s="562"/>
      <c r="BB186" s="562"/>
      <c r="BC186" s="562"/>
      <c r="BD186" s="562"/>
      <c r="BE186" s="227"/>
      <c r="BF186" s="562"/>
      <c r="BG186" s="562"/>
      <c r="BH186" s="562"/>
      <c r="BI186" s="562"/>
      <c r="BJ186" s="227"/>
      <c r="BK186" s="562"/>
      <c r="BL186" s="562"/>
      <c r="BM186" s="562"/>
      <c r="BN186" s="562"/>
      <c r="BO186" s="227"/>
      <c r="BP186" s="562"/>
      <c r="BQ186" s="562"/>
      <c r="BR186" s="562"/>
      <c r="BS186" s="562"/>
      <c r="BT186" s="227"/>
      <c r="BU186" s="562"/>
      <c r="BV186" s="562"/>
      <c r="BW186" s="562"/>
      <c r="BX186" s="562"/>
      <c r="BY186" s="227"/>
      <c r="BZ186" s="562"/>
      <c r="CA186" s="562"/>
      <c r="CB186" s="562"/>
      <c r="CC186" s="562"/>
      <c r="CD186" s="227"/>
      <c r="CE186" s="562"/>
      <c r="CF186" s="562"/>
      <c r="CG186" s="562"/>
      <c r="CH186" s="562"/>
      <c r="CI186" s="227"/>
      <c r="CJ186" s="562"/>
      <c r="CK186" s="562"/>
      <c r="CL186" s="562"/>
      <c r="CM186" s="562"/>
      <c r="CN186" s="227"/>
      <c r="CO186" s="562"/>
      <c r="CP186" s="562"/>
      <c r="CQ186" s="562"/>
      <c r="CR186" s="562"/>
      <c r="CS186" s="243"/>
    </row>
    <row r="187" spans="2:97">
      <c r="B187" s="232" t="s">
        <v>330</v>
      </c>
      <c r="H187" s="520"/>
      <c r="I187" s="520"/>
      <c r="J187" s="520"/>
      <c r="K187" s="520"/>
      <c r="L187" s="227"/>
      <c r="M187" s="547"/>
      <c r="N187" s="547"/>
      <c r="O187" s="547"/>
      <c r="P187" s="547"/>
      <c r="Q187" s="227">
        <v>300</v>
      </c>
      <c r="R187" s="547"/>
      <c r="S187" s="547"/>
      <c r="T187" s="549"/>
      <c r="U187" s="549"/>
      <c r="V187" s="227">
        <v>200</v>
      </c>
      <c r="W187" s="547"/>
      <c r="X187" s="547"/>
      <c r="Y187" s="547"/>
      <c r="Z187" s="547"/>
      <c r="AA187" s="191"/>
      <c r="AB187" s="547"/>
      <c r="AC187" s="547"/>
      <c r="AD187" s="547"/>
      <c r="AE187" s="547"/>
      <c r="AF187" s="191"/>
      <c r="AG187" s="547"/>
      <c r="AH187" s="547"/>
      <c r="AI187" s="547"/>
      <c r="AJ187" s="547"/>
      <c r="AK187" s="191"/>
      <c r="AL187" s="547"/>
      <c r="AM187" s="547"/>
      <c r="AN187" s="547"/>
      <c r="AO187" s="547"/>
      <c r="AP187" s="191"/>
      <c r="AQ187" s="547"/>
      <c r="AR187" s="547"/>
      <c r="AS187" s="547"/>
      <c r="AT187" s="547"/>
      <c r="AU187" s="191"/>
      <c r="AV187" s="547"/>
      <c r="AW187" s="547"/>
      <c r="AX187" s="547"/>
      <c r="AY187" s="547"/>
      <c r="AZ187" s="191"/>
      <c r="BA187" s="547"/>
      <c r="BB187" s="547"/>
      <c r="BC187" s="547"/>
      <c r="BD187" s="547"/>
      <c r="BE187" s="191"/>
      <c r="BF187" s="547"/>
      <c r="BG187" s="547"/>
      <c r="BH187" s="547"/>
      <c r="BI187" s="547"/>
      <c r="BJ187" s="191"/>
      <c r="BK187" s="547"/>
      <c r="BL187" s="547"/>
      <c r="BM187" s="547"/>
      <c r="BN187" s="547"/>
      <c r="BO187" s="191"/>
      <c r="BP187" s="547"/>
      <c r="BQ187" s="547"/>
      <c r="BR187" s="547"/>
      <c r="BS187" s="547"/>
      <c r="BT187" s="191"/>
      <c r="BU187" s="547"/>
      <c r="BV187" s="547"/>
      <c r="BW187" s="547"/>
      <c r="BX187" s="547"/>
      <c r="BY187" s="191"/>
      <c r="BZ187" s="547"/>
      <c r="CA187" s="547"/>
      <c r="CB187" s="547"/>
      <c r="CC187" s="547"/>
      <c r="CD187" s="191"/>
      <c r="CE187" s="547"/>
      <c r="CF187" s="547"/>
      <c r="CG187" s="547"/>
      <c r="CH187" s="547"/>
      <c r="CI187" s="191"/>
      <c r="CJ187" s="547"/>
      <c r="CK187" s="547"/>
      <c r="CL187" s="547"/>
      <c r="CM187" s="547"/>
      <c r="CN187" s="191"/>
      <c r="CO187" s="547"/>
      <c r="CP187" s="547"/>
      <c r="CQ187" s="547"/>
      <c r="CR187" s="547"/>
      <c r="CS187" s="210"/>
    </row>
    <row r="188" spans="2:97">
      <c r="B188" s="231"/>
      <c r="H188" s="520"/>
      <c r="I188" s="520"/>
      <c r="J188" s="520"/>
      <c r="K188" s="520"/>
      <c r="M188" s="520"/>
      <c r="N188" s="520"/>
      <c r="O188" s="520"/>
      <c r="P188" s="520"/>
      <c r="R188" s="547"/>
      <c r="S188" s="547"/>
      <c r="T188" s="549"/>
      <c r="U188" s="549"/>
      <c r="W188" s="520"/>
      <c r="X188" s="520"/>
      <c r="Y188" s="520"/>
      <c r="Z188" s="520"/>
      <c r="AB188" s="520"/>
      <c r="AC188" s="520"/>
      <c r="AD188" s="520"/>
      <c r="AE188" s="520"/>
      <c r="AG188" s="520"/>
      <c r="AH188" s="520"/>
      <c r="AI188" s="520"/>
      <c r="AJ188" s="520"/>
      <c r="AL188" s="520"/>
      <c r="AM188" s="520"/>
      <c r="AN188" s="520"/>
      <c r="AO188" s="520"/>
      <c r="AQ188" s="520"/>
      <c r="AR188" s="520"/>
      <c r="AS188" s="520"/>
      <c r="AT188" s="520"/>
      <c r="AV188" s="520"/>
      <c r="AW188" s="520"/>
      <c r="AX188" s="520"/>
      <c r="AY188" s="520"/>
      <c r="BA188" s="520"/>
      <c r="BB188" s="520"/>
      <c r="BC188" s="520"/>
      <c r="BD188" s="520"/>
      <c r="BF188" s="520"/>
      <c r="BG188" s="520"/>
      <c r="BH188" s="520"/>
      <c r="BI188" s="520"/>
      <c r="BK188" s="520"/>
      <c r="BL188" s="520"/>
      <c r="BM188" s="520"/>
      <c r="BN188" s="520"/>
      <c r="BP188" s="520"/>
      <c r="BQ188" s="520"/>
      <c r="BR188" s="520"/>
      <c r="BS188" s="520"/>
      <c r="BU188" s="520"/>
      <c r="BV188" s="520"/>
      <c r="BW188" s="520"/>
      <c r="BX188" s="520"/>
      <c r="BZ188" s="520"/>
      <c r="CA188" s="520"/>
      <c r="CB188" s="520"/>
      <c r="CC188" s="520"/>
      <c r="CE188" s="520"/>
      <c r="CF188" s="520"/>
      <c r="CG188" s="520"/>
      <c r="CH188" s="520"/>
      <c r="CJ188" s="520"/>
      <c r="CK188" s="520"/>
      <c r="CL188" s="520"/>
      <c r="CM188" s="520"/>
      <c r="CO188" s="520"/>
      <c r="CP188" s="520"/>
      <c r="CQ188" s="520"/>
      <c r="CR188" s="520"/>
      <c r="CS188" s="14"/>
    </row>
    <row r="189" spans="2:97">
      <c r="B189" s="232" t="s">
        <v>319</v>
      </c>
      <c r="H189" s="520"/>
      <c r="I189" s="520"/>
      <c r="J189" s="520"/>
      <c r="K189" s="520"/>
      <c r="L189" s="227"/>
      <c r="M189" s="547"/>
      <c r="N189" s="547"/>
      <c r="O189" s="547"/>
      <c r="P189" s="547"/>
      <c r="Q189" s="227">
        <f>BS!D30</f>
        <v>280.56900000000002</v>
      </c>
      <c r="R189" s="547"/>
      <c r="S189" s="547"/>
      <c r="T189" s="549"/>
      <c r="U189" s="549"/>
      <c r="V189" s="191">
        <f>Q191</f>
        <v>280.56900000000002</v>
      </c>
      <c r="W189" s="547"/>
      <c r="X189" s="547"/>
      <c r="Y189" s="547"/>
      <c r="Z189" s="547"/>
      <c r="AA189" s="191">
        <f>V191</f>
        <v>250.56900000000002</v>
      </c>
      <c r="AB189" s="547"/>
      <c r="AC189" s="547"/>
      <c r="AD189" s="547"/>
      <c r="AE189" s="547"/>
      <c r="AF189" s="191">
        <f>AA191</f>
        <v>220.56900000000002</v>
      </c>
      <c r="AG189" s="547"/>
      <c r="AH189" s="547"/>
      <c r="AI189" s="547"/>
      <c r="AJ189" s="547"/>
      <c r="AK189" s="191">
        <f>AF191</f>
        <v>0</v>
      </c>
      <c r="AL189" s="547"/>
      <c r="AM189" s="547"/>
      <c r="AN189" s="547"/>
      <c r="AO189" s="547"/>
      <c r="AP189" s="191">
        <f>AK191</f>
        <v>0</v>
      </c>
      <c r="AQ189" s="547"/>
      <c r="AR189" s="547"/>
      <c r="AS189" s="547"/>
      <c r="AT189" s="547"/>
      <c r="AU189" s="191">
        <f>AP191</f>
        <v>0</v>
      </c>
      <c r="AV189" s="547"/>
      <c r="AW189" s="547"/>
      <c r="AX189" s="547"/>
      <c r="AY189" s="547"/>
      <c r="AZ189" s="191">
        <f>AU191</f>
        <v>0</v>
      </c>
      <c r="BA189" s="547"/>
      <c r="BB189" s="547"/>
      <c r="BC189" s="547"/>
      <c r="BD189" s="547"/>
      <c r="BE189" s="191">
        <f>AZ191</f>
        <v>0</v>
      </c>
      <c r="BF189" s="547"/>
      <c r="BG189" s="547"/>
      <c r="BH189" s="547"/>
      <c r="BI189" s="547"/>
      <c r="BJ189" s="191">
        <f>BE191</f>
        <v>0</v>
      </c>
      <c r="BK189" s="547"/>
      <c r="BL189" s="547"/>
      <c r="BM189" s="547"/>
      <c r="BN189" s="547"/>
      <c r="BO189" s="191">
        <f>BJ191</f>
        <v>0</v>
      </c>
      <c r="BP189" s="547"/>
      <c r="BQ189" s="547"/>
      <c r="BR189" s="547"/>
      <c r="BS189" s="547"/>
      <c r="BT189" s="191">
        <f>BO191</f>
        <v>0</v>
      </c>
      <c r="BU189" s="547"/>
      <c r="BV189" s="547"/>
      <c r="BW189" s="547"/>
      <c r="BX189" s="547"/>
      <c r="BY189" s="191">
        <f>BT191</f>
        <v>0</v>
      </c>
      <c r="BZ189" s="547"/>
      <c r="CA189" s="547"/>
      <c r="CB189" s="547"/>
      <c r="CC189" s="547"/>
      <c r="CD189" s="191">
        <f>BY191</f>
        <v>0</v>
      </c>
      <c r="CE189" s="547"/>
      <c r="CF189" s="547"/>
      <c r="CG189" s="547"/>
      <c r="CH189" s="547"/>
      <c r="CI189" s="191">
        <f>CD191</f>
        <v>0</v>
      </c>
      <c r="CJ189" s="547"/>
      <c r="CK189" s="547"/>
      <c r="CL189" s="547"/>
      <c r="CM189" s="547"/>
      <c r="CN189" s="191">
        <f>CI191</f>
        <v>0</v>
      </c>
      <c r="CO189" s="547"/>
      <c r="CP189" s="547"/>
      <c r="CQ189" s="547"/>
      <c r="CR189" s="547"/>
      <c r="CS189" s="210">
        <f>CN191</f>
        <v>0</v>
      </c>
    </row>
    <row r="190" spans="2:97">
      <c r="B190" s="232" t="s">
        <v>320</v>
      </c>
      <c r="H190" s="520"/>
      <c r="I190" s="520"/>
      <c r="J190" s="520"/>
      <c r="K190" s="520"/>
      <c r="L190" s="191"/>
      <c r="M190" s="547"/>
      <c r="N190" s="547"/>
      <c r="O190" s="547"/>
      <c r="P190" s="547"/>
      <c r="Q190" s="227">
        <v>0</v>
      </c>
      <c r="R190" s="547"/>
      <c r="S190" s="547"/>
      <c r="T190" s="549"/>
      <c r="U190" s="549"/>
      <c r="V190" s="227">
        <v>30</v>
      </c>
      <c r="W190" s="562"/>
      <c r="X190" s="562"/>
      <c r="Y190" s="562"/>
      <c r="Z190" s="562"/>
      <c r="AA190" s="227">
        <v>30</v>
      </c>
      <c r="AB190" s="562"/>
      <c r="AC190" s="562"/>
      <c r="AD190" s="562"/>
      <c r="AE190" s="562"/>
      <c r="AF190" s="227">
        <f>AF189</f>
        <v>220.56900000000002</v>
      </c>
      <c r="AG190" s="562"/>
      <c r="AH190" s="562"/>
      <c r="AI190" s="562"/>
      <c r="AJ190" s="562"/>
      <c r="AK190" s="227">
        <v>0</v>
      </c>
      <c r="AL190" s="562"/>
      <c r="AM190" s="562"/>
      <c r="AN190" s="562"/>
      <c r="AO190" s="562"/>
      <c r="AP190" s="227">
        <v>0</v>
      </c>
      <c r="AQ190" s="562"/>
      <c r="AR190" s="562"/>
      <c r="AS190" s="562"/>
      <c r="AT190" s="562"/>
      <c r="AU190" s="227">
        <v>0</v>
      </c>
      <c r="AV190" s="562"/>
      <c r="AW190" s="562"/>
      <c r="AX190" s="562"/>
      <c r="AY190" s="562"/>
      <c r="AZ190" s="227">
        <v>0</v>
      </c>
      <c r="BA190" s="562"/>
      <c r="BB190" s="562"/>
      <c r="BC190" s="562"/>
      <c r="BD190" s="562"/>
      <c r="BE190" s="227">
        <v>0</v>
      </c>
      <c r="BF190" s="562"/>
      <c r="BG190" s="562"/>
      <c r="BH190" s="562"/>
      <c r="BI190" s="562"/>
      <c r="BJ190" s="227">
        <v>0</v>
      </c>
      <c r="BK190" s="562"/>
      <c r="BL190" s="562"/>
      <c r="BM190" s="562"/>
      <c r="BN190" s="562"/>
      <c r="BO190" s="227">
        <v>0</v>
      </c>
      <c r="BP190" s="562"/>
      <c r="BQ190" s="562"/>
      <c r="BR190" s="562"/>
      <c r="BS190" s="562"/>
      <c r="BT190" s="227">
        <v>0</v>
      </c>
      <c r="BU190" s="562"/>
      <c r="BV190" s="562"/>
      <c r="BW190" s="562"/>
      <c r="BX190" s="562"/>
      <c r="BY190" s="227">
        <v>0</v>
      </c>
      <c r="BZ190" s="562"/>
      <c r="CA190" s="562"/>
      <c r="CB190" s="562"/>
      <c r="CC190" s="562"/>
      <c r="CD190" s="227">
        <v>0</v>
      </c>
      <c r="CE190" s="562"/>
      <c r="CF190" s="562"/>
      <c r="CG190" s="562"/>
      <c r="CH190" s="562"/>
      <c r="CI190" s="227">
        <v>0</v>
      </c>
      <c r="CJ190" s="562"/>
      <c r="CK190" s="562"/>
      <c r="CL190" s="562"/>
      <c r="CM190" s="562"/>
      <c r="CN190" s="227">
        <v>0</v>
      </c>
      <c r="CO190" s="562"/>
      <c r="CP190" s="562"/>
      <c r="CQ190" s="562"/>
      <c r="CR190" s="562"/>
      <c r="CS190" s="243">
        <v>0</v>
      </c>
    </row>
    <row r="191" spans="2:97">
      <c r="B191" s="232" t="s">
        <v>321</v>
      </c>
      <c r="H191" s="520"/>
      <c r="I191" s="520"/>
      <c r="J191" s="520"/>
      <c r="K191" s="520"/>
      <c r="L191" s="191"/>
      <c r="M191" s="547"/>
      <c r="N191" s="547"/>
      <c r="O191" s="547"/>
      <c r="P191" s="547"/>
      <c r="Q191" s="191">
        <f>Q189-Q190</f>
        <v>280.56900000000002</v>
      </c>
      <c r="R191" s="547"/>
      <c r="S191" s="547"/>
      <c r="T191" s="549"/>
      <c r="U191" s="549"/>
      <c r="V191" s="191">
        <f>V189-V190</f>
        <v>250.56900000000002</v>
      </c>
      <c r="W191" s="547"/>
      <c r="X191" s="547"/>
      <c r="Y191" s="547"/>
      <c r="Z191" s="547"/>
      <c r="AA191" s="191">
        <f>AA189-AA190</f>
        <v>220.56900000000002</v>
      </c>
      <c r="AB191" s="547"/>
      <c r="AC191" s="547"/>
      <c r="AD191" s="547"/>
      <c r="AE191" s="547"/>
      <c r="AF191" s="291">
        <f>AF189-AF190</f>
        <v>0</v>
      </c>
      <c r="AG191" s="573"/>
      <c r="AH191" s="573"/>
      <c r="AI191" s="573"/>
      <c r="AJ191" s="573"/>
      <c r="AK191" s="291">
        <f>AK189-AK190</f>
        <v>0</v>
      </c>
      <c r="AL191" s="573"/>
      <c r="AM191" s="573"/>
      <c r="AN191" s="573"/>
      <c r="AO191" s="573"/>
      <c r="AP191" s="291">
        <f>AP189-AP190</f>
        <v>0</v>
      </c>
      <c r="AQ191" s="573"/>
      <c r="AR191" s="573"/>
      <c r="AS191" s="573"/>
      <c r="AT191" s="573"/>
      <c r="AU191" s="291">
        <f>AU189-AU190</f>
        <v>0</v>
      </c>
      <c r="AV191" s="573"/>
      <c r="AW191" s="573"/>
      <c r="AX191" s="573"/>
      <c r="AY191" s="573"/>
      <c r="AZ191" s="291">
        <f>AZ189-AZ190</f>
        <v>0</v>
      </c>
      <c r="BA191" s="573"/>
      <c r="BB191" s="573"/>
      <c r="BC191" s="573"/>
      <c r="BD191" s="573"/>
      <c r="BE191" s="291">
        <f>BE189-BE190</f>
        <v>0</v>
      </c>
      <c r="BF191" s="573"/>
      <c r="BG191" s="573"/>
      <c r="BH191" s="573"/>
      <c r="BI191" s="573"/>
      <c r="BJ191" s="291">
        <f>BJ189-BJ190</f>
        <v>0</v>
      </c>
      <c r="BK191" s="573"/>
      <c r="BL191" s="573"/>
      <c r="BM191" s="573"/>
      <c r="BN191" s="573"/>
      <c r="BO191" s="291">
        <f>BO189-BO190</f>
        <v>0</v>
      </c>
      <c r="BP191" s="573"/>
      <c r="BQ191" s="573"/>
      <c r="BR191" s="573"/>
      <c r="BS191" s="573"/>
      <c r="BT191" s="291">
        <f>BT189-BT190</f>
        <v>0</v>
      </c>
      <c r="BU191" s="573"/>
      <c r="BV191" s="573"/>
      <c r="BW191" s="573"/>
      <c r="BX191" s="573"/>
      <c r="BY191" s="291">
        <f>BY189-BY190</f>
        <v>0</v>
      </c>
      <c r="BZ191" s="573"/>
      <c r="CA191" s="573"/>
      <c r="CB191" s="573"/>
      <c r="CC191" s="573"/>
      <c r="CD191" s="291">
        <f>CD189-CD190</f>
        <v>0</v>
      </c>
      <c r="CE191" s="573"/>
      <c r="CF191" s="573"/>
      <c r="CG191" s="573"/>
      <c r="CH191" s="573"/>
      <c r="CI191" s="291">
        <f>CI189-CI190</f>
        <v>0</v>
      </c>
      <c r="CJ191" s="573"/>
      <c r="CK191" s="573"/>
      <c r="CL191" s="573"/>
      <c r="CM191" s="573"/>
      <c r="CN191" s="291">
        <f>CN189-CN190</f>
        <v>0</v>
      </c>
      <c r="CO191" s="573"/>
      <c r="CP191" s="573"/>
      <c r="CQ191" s="573"/>
      <c r="CR191" s="573"/>
      <c r="CS191" s="292">
        <f>CS189-CS190</f>
        <v>0</v>
      </c>
    </row>
    <row r="192" spans="2:97">
      <c r="B192" s="231"/>
      <c r="H192" s="520"/>
      <c r="I192" s="520"/>
      <c r="J192" s="520"/>
      <c r="K192" s="520"/>
      <c r="M192" s="520"/>
      <c r="N192" s="520"/>
      <c r="O192" s="520"/>
      <c r="P192" s="520"/>
      <c r="R192" s="547"/>
      <c r="S192" s="547"/>
      <c r="T192" s="549"/>
      <c r="U192" s="549"/>
      <c r="W192" s="520"/>
      <c r="X192" s="520"/>
      <c r="Y192" s="520"/>
      <c r="Z192" s="520"/>
      <c r="AB192" s="520"/>
      <c r="AC192" s="520"/>
      <c r="AD192" s="520"/>
      <c r="AE192" s="520"/>
      <c r="AG192" s="520"/>
      <c r="AH192" s="520"/>
      <c r="AI192" s="520"/>
      <c r="AJ192" s="520"/>
      <c r="AL192" s="520"/>
      <c r="AM192" s="520"/>
      <c r="AN192" s="520"/>
      <c r="AO192" s="520"/>
      <c r="AQ192" s="520"/>
      <c r="AR192" s="520"/>
      <c r="AS192" s="520"/>
      <c r="AT192" s="520"/>
      <c r="AV192" s="520"/>
      <c r="AW192" s="520"/>
      <c r="AX192" s="520"/>
      <c r="AY192" s="520"/>
      <c r="BA192" s="520"/>
      <c r="BB192" s="520"/>
      <c r="BC192" s="520"/>
      <c r="BD192" s="520"/>
      <c r="BF192" s="520"/>
      <c r="BG192" s="520"/>
      <c r="BH192" s="520"/>
      <c r="BI192" s="520"/>
      <c r="BK192" s="520"/>
      <c r="BL192" s="520"/>
      <c r="BM192" s="520"/>
      <c r="BN192" s="520"/>
      <c r="BP192" s="520"/>
      <c r="BQ192" s="520"/>
      <c r="BR192" s="520"/>
      <c r="BS192" s="520"/>
      <c r="BU192" s="520"/>
      <c r="BV192" s="520"/>
      <c r="BW192" s="520"/>
      <c r="BX192" s="520"/>
      <c r="BZ192" s="520"/>
      <c r="CA192" s="520"/>
      <c r="CB192" s="520"/>
      <c r="CC192" s="520"/>
      <c r="CE192" s="520"/>
      <c r="CF192" s="520"/>
      <c r="CG192" s="520"/>
      <c r="CH192" s="520"/>
      <c r="CJ192" s="520"/>
      <c r="CK192" s="520"/>
      <c r="CL192" s="520"/>
      <c r="CM192" s="520"/>
      <c r="CO192" s="520"/>
      <c r="CP192" s="520"/>
      <c r="CQ192" s="520"/>
      <c r="CR192" s="520"/>
      <c r="CS192" s="14"/>
    </row>
    <row r="193" spans="2:102">
      <c r="B193" s="232" t="s">
        <v>322</v>
      </c>
      <c r="H193" s="520"/>
      <c r="I193" s="520"/>
      <c r="J193" s="520"/>
      <c r="K193" s="520"/>
      <c r="M193" s="520"/>
      <c r="N193" s="520"/>
      <c r="O193" s="520"/>
      <c r="P193" s="520"/>
      <c r="Q193" s="240">
        <v>7.1999999999999995E-2</v>
      </c>
      <c r="R193" s="547"/>
      <c r="S193" s="547"/>
      <c r="T193" s="549"/>
      <c r="U193" s="549"/>
      <c r="V193" s="240">
        <v>7.0000000000000007E-2</v>
      </c>
      <c r="W193" s="563"/>
      <c r="X193" s="563"/>
      <c r="Y193" s="563"/>
      <c r="Z193" s="563"/>
      <c r="AA193" s="240">
        <v>6.2E-2</v>
      </c>
      <c r="AB193" s="563"/>
      <c r="AC193" s="563"/>
      <c r="AD193" s="563"/>
      <c r="AE193" s="563"/>
      <c r="AF193" s="240">
        <v>6.2E-2</v>
      </c>
      <c r="AG193" s="563"/>
      <c r="AH193" s="563"/>
      <c r="AI193" s="563"/>
      <c r="AJ193" s="563"/>
      <c r="AK193" s="240">
        <v>0</v>
      </c>
      <c r="AL193" s="563"/>
      <c r="AM193" s="563"/>
      <c r="AN193" s="563"/>
      <c r="AO193" s="563"/>
      <c r="AP193" s="240">
        <v>0</v>
      </c>
      <c r="AQ193" s="563"/>
      <c r="AR193" s="563"/>
      <c r="AS193" s="563"/>
      <c r="AT193" s="563"/>
      <c r="AU193" s="240">
        <v>0</v>
      </c>
      <c r="AV193" s="563"/>
      <c r="AW193" s="563"/>
      <c r="AX193" s="563"/>
      <c r="AY193" s="563"/>
      <c r="AZ193" s="240">
        <v>0</v>
      </c>
      <c r="BA193" s="563"/>
      <c r="BB193" s="563"/>
      <c r="BC193" s="563"/>
      <c r="BD193" s="563"/>
      <c r="BE193" s="240">
        <v>0</v>
      </c>
      <c r="BF193" s="563"/>
      <c r="BG193" s="563"/>
      <c r="BH193" s="563"/>
      <c r="BI193" s="563"/>
      <c r="BJ193" s="240">
        <v>0</v>
      </c>
      <c r="BK193" s="563"/>
      <c r="BL193" s="563"/>
      <c r="BM193" s="563"/>
      <c r="BN193" s="563"/>
      <c r="BO193" s="240">
        <v>0</v>
      </c>
      <c r="BP193" s="563"/>
      <c r="BQ193" s="563"/>
      <c r="BR193" s="563"/>
      <c r="BS193" s="563"/>
      <c r="BT193" s="240">
        <v>0</v>
      </c>
      <c r="BU193" s="563"/>
      <c r="BV193" s="563"/>
      <c r="BW193" s="563"/>
      <c r="BX193" s="563"/>
      <c r="BY193" s="240">
        <v>0</v>
      </c>
      <c r="BZ193" s="563"/>
      <c r="CA193" s="563"/>
      <c r="CB193" s="563"/>
      <c r="CC193" s="563"/>
      <c r="CD193" s="240">
        <v>0</v>
      </c>
      <c r="CE193" s="563"/>
      <c r="CF193" s="563"/>
      <c r="CG193" s="563"/>
      <c r="CH193" s="563"/>
      <c r="CI193" s="240">
        <v>0</v>
      </c>
      <c r="CJ193" s="563"/>
      <c r="CK193" s="563"/>
      <c r="CL193" s="563"/>
      <c r="CM193" s="563"/>
      <c r="CN193" s="240">
        <v>0</v>
      </c>
      <c r="CO193" s="563"/>
      <c r="CP193" s="563"/>
      <c r="CQ193" s="563"/>
      <c r="CR193" s="563"/>
      <c r="CS193" s="241">
        <v>0</v>
      </c>
    </row>
    <row r="194" spans="2:102">
      <c r="B194" s="233" t="s">
        <v>323</v>
      </c>
      <c r="C194" s="223"/>
      <c r="D194" s="224"/>
      <c r="E194" s="224"/>
      <c r="F194" s="224"/>
      <c r="G194" s="224"/>
      <c r="H194" s="560"/>
      <c r="I194" s="560"/>
      <c r="J194" s="560"/>
      <c r="K194" s="560"/>
      <c r="L194" s="229"/>
      <c r="M194" s="555"/>
      <c r="N194" s="555"/>
      <c r="O194" s="555"/>
      <c r="P194" s="555"/>
      <c r="Q194" s="229"/>
      <c r="R194" s="555"/>
      <c r="S194" s="555"/>
      <c r="T194" s="556"/>
      <c r="U194" s="556"/>
      <c r="V194" s="229">
        <f>((V189+V191)/2)*V193</f>
        <v>18.589830000000003</v>
      </c>
      <c r="W194" s="555"/>
      <c r="X194" s="555"/>
      <c r="Y194" s="555"/>
      <c r="Z194" s="555"/>
      <c r="AA194" s="229">
        <f>((AA189+AA191)/2)*AA193</f>
        <v>14.605278</v>
      </c>
      <c r="AB194" s="555"/>
      <c r="AC194" s="555"/>
      <c r="AD194" s="555"/>
      <c r="AE194" s="555"/>
      <c r="AF194" s="229">
        <f>((AF189+AF191)/2)*AF193</f>
        <v>6.8376390000000002</v>
      </c>
      <c r="AG194" s="555"/>
      <c r="AH194" s="555"/>
      <c r="AI194" s="555"/>
      <c r="AJ194" s="555"/>
      <c r="AK194" s="229">
        <f>((AK189+AK191)/2)*AK193</f>
        <v>0</v>
      </c>
      <c r="AL194" s="555"/>
      <c r="AM194" s="555"/>
      <c r="AN194" s="555"/>
      <c r="AO194" s="555"/>
      <c r="AP194" s="229">
        <f>((AP189+AP191)/2)*AP193</f>
        <v>0</v>
      </c>
      <c r="AQ194" s="555"/>
      <c r="AR194" s="555"/>
      <c r="AS194" s="555"/>
      <c r="AT194" s="555"/>
      <c r="AU194" s="713">
        <f>((AU189+AU191)/2)*AU193</f>
        <v>0</v>
      </c>
      <c r="AV194" s="714"/>
      <c r="AW194" s="714"/>
      <c r="AX194" s="714"/>
      <c r="AY194" s="714"/>
      <c r="AZ194" s="713">
        <f>((AZ189+AZ191)/2)*AZ193</f>
        <v>0</v>
      </c>
      <c r="BA194" s="714"/>
      <c r="BB194" s="714"/>
      <c r="BC194" s="714"/>
      <c r="BD194" s="714"/>
      <c r="BE194" s="713">
        <f>((BE189+BE191)/2)*BE193</f>
        <v>0</v>
      </c>
      <c r="BF194" s="714"/>
      <c r="BG194" s="714"/>
      <c r="BH194" s="714"/>
      <c r="BI194" s="714"/>
      <c r="BJ194" s="713">
        <f>((BJ189+BJ191)/2)*BJ193</f>
        <v>0</v>
      </c>
      <c r="BK194" s="714"/>
      <c r="BL194" s="714"/>
      <c r="BM194" s="714"/>
      <c r="BN194" s="714"/>
      <c r="BO194" s="713">
        <f>((BO189+BO191)/2)*BO193</f>
        <v>0</v>
      </c>
      <c r="BP194" s="714"/>
      <c r="BQ194" s="714"/>
      <c r="BR194" s="714"/>
      <c r="BS194" s="714"/>
      <c r="BT194" s="713">
        <f>((BT189+BT191)/2)*BT193</f>
        <v>0</v>
      </c>
      <c r="BU194" s="714"/>
      <c r="BV194" s="714"/>
      <c r="BW194" s="714"/>
      <c r="BX194" s="714"/>
      <c r="BY194" s="713">
        <f>((BY189+BY191)/2)*BY193</f>
        <v>0</v>
      </c>
      <c r="BZ194" s="714"/>
      <c r="CA194" s="714"/>
      <c r="CB194" s="714"/>
      <c r="CC194" s="714"/>
      <c r="CD194" s="713">
        <f>((CD189+CD191)/2)*CD193</f>
        <v>0</v>
      </c>
      <c r="CE194" s="714"/>
      <c r="CF194" s="714"/>
      <c r="CG194" s="714"/>
      <c r="CH194" s="714"/>
      <c r="CI194" s="713">
        <f>((CI189+CI191)/2)*CI193</f>
        <v>0</v>
      </c>
      <c r="CJ194" s="714"/>
      <c r="CK194" s="714"/>
      <c r="CL194" s="714"/>
      <c r="CM194" s="714"/>
      <c r="CN194" s="713">
        <f>((CN189+CN191)/2)*CN193</f>
        <v>0</v>
      </c>
      <c r="CO194" s="714"/>
      <c r="CP194" s="714"/>
      <c r="CQ194" s="714"/>
      <c r="CR194" s="714"/>
      <c r="CS194" s="715">
        <f>((CS189+CS191)/2)*CS193</f>
        <v>0</v>
      </c>
    </row>
    <row r="195" spans="2:102">
      <c r="B195" s="179"/>
      <c r="AQ195" s="574"/>
      <c r="AR195" s="574"/>
      <c r="AS195" s="574"/>
      <c r="AT195" s="574"/>
      <c r="AV195" s="574"/>
      <c r="AW195" s="574"/>
      <c r="AX195" s="574"/>
      <c r="AY195" s="574"/>
      <c r="BA195" s="574"/>
      <c r="BB195" s="574"/>
      <c r="BC195" s="574"/>
      <c r="BD195" s="574"/>
      <c r="BF195" s="574"/>
      <c r="BG195" s="574"/>
      <c r="BH195" s="574"/>
      <c r="BI195" s="574"/>
      <c r="BK195" s="574"/>
      <c r="BL195" s="574"/>
      <c r="BM195" s="574"/>
      <c r="BN195" s="574"/>
      <c r="BP195" s="574"/>
      <c r="BQ195" s="574"/>
      <c r="BR195" s="574"/>
      <c r="BS195" s="574"/>
      <c r="BU195" s="574"/>
      <c r="BV195" s="574"/>
      <c r="BW195" s="574"/>
      <c r="BX195" s="574"/>
      <c r="BZ195" s="574"/>
      <c r="CA195" s="574"/>
      <c r="CB195" s="574"/>
      <c r="CC195" s="574"/>
      <c r="CE195" s="574"/>
      <c r="CF195" s="574"/>
      <c r="CG195" s="574"/>
      <c r="CH195" s="574"/>
      <c r="CJ195" s="574"/>
      <c r="CK195" s="574"/>
      <c r="CL195" s="574"/>
      <c r="CM195" s="574"/>
      <c r="CO195" s="574"/>
      <c r="CP195" s="574"/>
      <c r="CQ195" s="574"/>
      <c r="CR195" s="574"/>
    </row>
    <row r="196" spans="2:102">
      <c r="B196" s="237" t="s">
        <v>324</v>
      </c>
      <c r="C196" s="235"/>
      <c r="D196" s="236"/>
      <c r="E196" s="236"/>
      <c r="F196" s="236"/>
      <c r="G196" s="236"/>
      <c r="H196" s="585"/>
      <c r="I196" s="585"/>
      <c r="J196" s="585"/>
      <c r="K196" s="585"/>
      <c r="L196" s="238"/>
      <c r="M196" s="557"/>
      <c r="N196" s="557"/>
      <c r="O196" s="557"/>
      <c r="P196" s="557"/>
      <c r="Q196" s="238">
        <v>60</v>
      </c>
      <c r="R196" s="557"/>
      <c r="S196" s="557"/>
      <c r="T196" s="558"/>
      <c r="U196" s="558"/>
      <c r="V196" s="238">
        <f>Q196</f>
        <v>60</v>
      </c>
      <c r="W196" s="557"/>
      <c r="X196" s="557"/>
      <c r="Y196" s="557"/>
      <c r="Z196" s="557"/>
      <c r="AA196" s="238">
        <f>V196</f>
        <v>60</v>
      </c>
      <c r="AB196" s="557"/>
      <c r="AC196" s="557"/>
      <c r="AD196" s="557"/>
      <c r="AE196" s="557"/>
      <c r="AF196" s="238">
        <f>AA196</f>
        <v>60</v>
      </c>
      <c r="AG196" s="557"/>
      <c r="AH196" s="557"/>
      <c r="AI196" s="557"/>
      <c r="AJ196" s="557"/>
      <c r="AK196" s="238">
        <f>AF196</f>
        <v>60</v>
      </c>
      <c r="AL196" s="557"/>
      <c r="AM196" s="557"/>
      <c r="AN196" s="557"/>
      <c r="AO196" s="557"/>
      <c r="AP196" s="238">
        <f>AK196</f>
        <v>60</v>
      </c>
      <c r="AQ196" s="557"/>
      <c r="AR196" s="557"/>
      <c r="AS196" s="557"/>
      <c r="AT196" s="557"/>
      <c r="AU196" s="238">
        <f>AP196</f>
        <v>60</v>
      </c>
      <c r="AV196" s="557"/>
      <c r="AW196" s="557"/>
      <c r="AX196" s="557"/>
      <c r="AY196" s="557"/>
      <c r="AZ196" s="238">
        <f>AU196</f>
        <v>60</v>
      </c>
      <c r="BA196" s="557"/>
      <c r="BB196" s="557"/>
      <c r="BC196" s="557"/>
      <c r="BD196" s="557"/>
      <c r="BE196" s="238">
        <f>AZ196</f>
        <v>60</v>
      </c>
      <c r="BF196" s="557"/>
      <c r="BG196" s="557"/>
      <c r="BH196" s="557"/>
      <c r="BI196" s="557"/>
      <c r="BJ196" s="238">
        <f>BE196</f>
        <v>60</v>
      </c>
      <c r="BK196" s="557"/>
      <c r="BL196" s="557"/>
      <c r="BM196" s="557"/>
      <c r="BN196" s="557"/>
      <c r="BO196" s="238">
        <f>BJ196</f>
        <v>60</v>
      </c>
      <c r="BP196" s="557"/>
      <c r="BQ196" s="557"/>
      <c r="BR196" s="557"/>
      <c r="BS196" s="557"/>
      <c r="BT196" s="238">
        <f>BO196</f>
        <v>60</v>
      </c>
      <c r="BU196" s="557"/>
      <c r="BV196" s="557"/>
      <c r="BW196" s="557"/>
      <c r="BX196" s="557"/>
      <c r="BY196" s="238">
        <f>BT196</f>
        <v>60</v>
      </c>
      <c r="BZ196" s="557"/>
      <c r="CA196" s="557"/>
      <c r="CB196" s="557"/>
      <c r="CC196" s="557"/>
      <c r="CD196" s="238">
        <f>BY196</f>
        <v>60</v>
      </c>
      <c r="CE196" s="557"/>
      <c r="CF196" s="557"/>
      <c r="CG196" s="557"/>
      <c r="CH196" s="557"/>
      <c r="CI196" s="238">
        <f>CD196</f>
        <v>60</v>
      </c>
      <c r="CJ196" s="557"/>
      <c r="CK196" s="557"/>
      <c r="CL196" s="557"/>
      <c r="CM196" s="557"/>
      <c r="CN196" s="238">
        <f>CI196</f>
        <v>60</v>
      </c>
      <c r="CO196" s="557"/>
      <c r="CP196" s="557"/>
      <c r="CQ196" s="557"/>
      <c r="CR196" s="557"/>
      <c r="CS196" s="239">
        <f>CN196</f>
        <v>60</v>
      </c>
    </row>
    <row r="197" spans="2:102">
      <c r="B197" s="179"/>
    </row>
    <row r="198" spans="2:102">
      <c r="B198" s="230" t="s">
        <v>325</v>
      </c>
      <c r="C198" s="234"/>
      <c r="D198" s="221"/>
      <c r="E198" s="221"/>
      <c r="F198" s="221"/>
      <c r="G198" s="221"/>
      <c r="H198" s="559"/>
      <c r="I198" s="559"/>
      <c r="J198" s="559"/>
      <c r="K198" s="559"/>
      <c r="L198" s="221"/>
      <c r="M198" s="559"/>
      <c r="N198" s="559"/>
      <c r="O198" s="559"/>
      <c r="P198" s="559"/>
      <c r="Q198" s="221"/>
      <c r="R198" s="559"/>
      <c r="S198" s="559"/>
      <c r="T198" s="559"/>
      <c r="U198" s="559"/>
      <c r="V198" s="221"/>
      <c r="W198" s="559"/>
      <c r="X198" s="559"/>
      <c r="Y198" s="559"/>
      <c r="Z198" s="559"/>
      <c r="AA198" s="221"/>
      <c r="AB198" s="559"/>
      <c r="AC198" s="559"/>
      <c r="AD198" s="559"/>
      <c r="AE198" s="559"/>
      <c r="AF198" s="221"/>
      <c r="AG198" s="559"/>
      <c r="AH198" s="559"/>
      <c r="AI198" s="559"/>
      <c r="AJ198" s="559"/>
      <c r="AK198" s="221"/>
      <c r="AL198" s="559"/>
      <c r="AM198" s="559"/>
      <c r="AN198" s="559"/>
      <c r="AO198" s="559"/>
      <c r="AP198" s="221"/>
      <c r="AQ198" s="559"/>
      <c r="AR198" s="559"/>
      <c r="AS198" s="559"/>
      <c r="AT198" s="559"/>
      <c r="AU198" s="221"/>
      <c r="AV198" s="559"/>
      <c r="AW198" s="559"/>
      <c r="AX198" s="559"/>
      <c r="AY198" s="559"/>
      <c r="AZ198" s="221"/>
      <c r="BA198" s="559"/>
      <c r="BB198" s="559"/>
      <c r="BC198" s="559"/>
      <c r="BD198" s="559"/>
      <c r="BE198" s="221"/>
      <c r="BF198" s="559"/>
      <c r="BG198" s="559"/>
      <c r="BH198" s="559"/>
      <c r="BI198" s="559"/>
      <c r="BJ198" s="221"/>
      <c r="BK198" s="559"/>
      <c r="BL198" s="559"/>
      <c r="BM198" s="559"/>
      <c r="BN198" s="559"/>
      <c r="BO198" s="221"/>
      <c r="BP198" s="559"/>
      <c r="BQ198" s="559"/>
      <c r="BR198" s="559"/>
      <c r="BS198" s="559"/>
      <c r="BT198" s="221"/>
      <c r="BU198" s="559"/>
      <c r="BV198" s="559"/>
      <c r="BW198" s="559"/>
      <c r="BX198" s="559"/>
      <c r="BY198" s="221"/>
      <c r="BZ198" s="559"/>
      <c r="CA198" s="559"/>
      <c r="CB198" s="559"/>
      <c r="CC198" s="559"/>
      <c r="CD198" s="221"/>
      <c r="CE198" s="559"/>
      <c r="CF198" s="559"/>
      <c r="CG198" s="559"/>
      <c r="CH198" s="559"/>
      <c r="CI198" s="221"/>
      <c r="CJ198" s="559"/>
      <c r="CK198" s="559"/>
      <c r="CL198" s="559"/>
      <c r="CM198" s="559"/>
      <c r="CN198" s="221"/>
      <c r="CO198" s="559"/>
      <c r="CP198" s="559"/>
      <c r="CQ198" s="559"/>
      <c r="CR198" s="559"/>
      <c r="CS198" s="222"/>
    </row>
    <row r="199" spans="2:102">
      <c r="B199" s="232" t="s">
        <v>326</v>
      </c>
      <c r="H199" s="520"/>
      <c r="I199" s="520"/>
      <c r="J199" s="520"/>
      <c r="K199" s="520"/>
      <c r="L199" s="133">
        <f>L108</f>
        <v>-22.925999999999998</v>
      </c>
      <c r="M199" s="520"/>
      <c r="N199" s="520"/>
      <c r="O199" s="520"/>
      <c r="P199" s="520"/>
      <c r="Q199" s="133">
        <f>Q108</f>
        <v>-72.863</v>
      </c>
      <c r="R199" s="520"/>
      <c r="S199" s="520"/>
      <c r="T199" s="520"/>
      <c r="U199" s="520"/>
      <c r="V199" s="133">
        <f>-V194-V196</f>
        <v>-78.589830000000006</v>
      </c>
      <c r="W199" s="542"/>
      <c r="X199" s="542"/>
      <c r="Y199" s="542"/>
      <c r="Z199" s="542"/>
      <c r="AA199" s="133">
        <f>-AA194-AA196</f>
        <v>-74.605277999999998</v>
      </c>
      <c r="AB199" s="542"/>
      <c r="AC199" s="542"/>
      <c r="AD199" s="542"/>
      <c r="AE199" s="542"/>
      <c r="AF199" s="133">
        <f>-AF194-AF196</f>
        <v>-66.837638999999996</v>
      </c>
      <c r="AG199" s="542"/>
      <c r="AH199" s="542"/>
      <c r="AI199" s="542"/>
      <c r="AJ199" s="542"/>
      <c r="AK199" s="133">
        <f>-AK194-AK196</f>
        <v>-60</v>
      </c>
      <c r="AL199" s="542"/>
      <c r="AM199" s="542"/>
      <c r="AN199" s="542"/>
      <c r="AO199" s="542"/>
      <c r="AP199" s="133">
        <f>-AP194-AP196</f>
        <v>-60</v>
      </c>
      <c r="AQ199" s="542"/>
      <c r="AR199" s="542"/>
      <c r="AS199" s="542"/>
      <c r="AT199" s="542"/>
      <c r="AU199" s="133">
        <f>-AU194-AU196</f>
        <v>-60</v>
      </c>
      <c r="AV199" s="542"/>
      <c r="AW199" s="542"/>
      <c r="AX199" s="542"/>
      <c r="AY199" s="542"/>
      <c r="AZ199" s="133">
        <f>-AZ194-AZ196</f>
        <v>-60</v>
      </c>
      <c r="BA199" s="542"/>
      <c r="BB199" s="542"/>
      <c r="BC199" s="542"/>
      <c r="BD199" s="542"/>
      <c r="BE199" s="133">
        <f>-BE194-BE196</f>
        <v>-60</v>
      </c>
      <c r="BF199" s="542"/>
      <c r="BG199" s="542"/>
      <c r="BH199" s="542"/>
      <c r="BI199" s="542"/>
      <c r="BJ199" s="133">
        <f>-BJ194-BJ196</f>
        <v>-60</v>
      </c>
      <c r="BK199" s="542"/>
      <c r="BL199" s="542"/>
      <c r="BM199" s="542"/>
      <c r="BN199" s="542"/>
      <c r="BO199" s="133">
        <f>-BO194-BO196</f>
        <v>-60</v>
      </c>
      <c r="BP199" s="542"/>
      <c r="BQ199" s="542"/>
      <c r="BR199" s="542"/>
      <c r="BS199" s="542"/>
      <c r="BT199" s="133">
        <f>-BT194-BT196</f>
        <v>-60</v>
      </c>
      <c r="BU199" s="542"/>
      <c r="BV199" s="542"/>
      <c r="BW199" s="542"/>
      <c r="BX199" s="542"/>
      <c r="BY199" s="133">
        <f>-BY194-BY196</f>
        <v>-60</v>
      </c>
      <c r="BZ199" s="542"/>
      <c r="CA199" s="542"/>
      <c r="CB199" s="542"/>
      <c r="CC199" s="542"/>
      <c r="CD199" s="133">
        <f>-CD194-CD196</f>
        <v>-60</v>
      </c>
      <c r="CE199" s="542"/>
      <c r="CF199" s="542"/>
      <c r="CG199" s="542"/>
      <c r="CH199" s="542"/>
      <c r="CI199" s="133">
        <f>-CI194-CI196</f>
        <v>-60</v>
      </c>
      <c r="CJ199" s="542"/>
      <c r="CK199" s="542"/>
      <c r="CL199" s="542"/>
      <c r="CM199" s="542"/>
      <c r="CN199" s="133">
        <f>-CN194-CN196</f>
        <v>-60</v>
      </c>
      <c r="CO199" s="542"/>
      <c r="CP199" s="542"/>
      <c r="CQ199" s="542"/>
      <c r="CR199" s="542"/>
      <c r="CS199" s="244">
        <f>-CS194-CS196</f>
        <v>-60</v>
      </c>
    </row>
    <row r="200" spans="2:102">
      <c r="B200" s="233" t="s">
        <v>327</v>
      </c>
      <c r="C200" s="223"/>
      <c r="D200" s="224"/>
      <c r="E200" s="224"/>
      <c r="F200" s="224"/>
      <c r="G200" s="224"/>
      <c r="H200" s="560"/>
      <c r="I200" s="560"/>
      <c r="J200" s="560"/>
      <c r="K200" s="560"/>
      <c r="L200" s="224"/>
      <c r="M200" s="560"/>
      <c r="N200" s="560"/>
      <c r="O200" s="560"/>
      <c r="P200" s="560"/>
      <c r="Q200" s="224"/>
      <c r="R200" s="560"/>
      <c r="S200" s="560"/>
      <c r="T200" s="560"/>
      <c r="U200" s="560"/>
      <c r="V200" s="224"/>
      <c r="W200" s="560"/>
      <c r="X200" s="560"/>
      <c r="Y200" s="560"/>
      <c r="Z200" s="560"/>
      <c r="AA200" s="224"/>
      <c r="AB200" s="560"/>
      <c r="AC200" s="560"/>
      <c r="AD200" s="560"/>
      <c r="AE200" s="560"/>
      <c r="AF200" s="224"/>
      <c r="AG200" s="560"/>
      <c r="AH200" s="560"/>
      <c r="AI200" s="560"/>
      <c r="AJ200" s="560"/>
      <c r="AK200" s="224"/>
      <c r="AL200" s="560"/>
      <c r="AM200" s="560"/>
      <c r="AN200" s="560"/>
      <c r="AO200" s="560"/>
      <c r="AP200" s="224"/>
      <c r="AQ200" s="560"/>
      <c r="AR200" s="560"/>
      <c r="AS200" s="560"/>
      <c r="AT200" s="560"/>
      <c r="AU200" s="716"/>
      <c r="AV200" s="717"/>
      <c r="AW200" s="717"/>
      <c r="AX200" s="717"/>
      <c r="AY200" s="717"/>
      <c r="AZ200" s="716"/>
      <c r="BA200" s="717"/>
      <c r="BB200" s="717"/>
      <c r="BC200" s="717"/>
      <c r="BD200" s="717"/>
      <c r="BE200" s="716"/>
      <c r="BF200" s="717"/>
      <c r="BG200" s="717"/>
      <c r="BH200" s="717"/>
      <c r="BI200" s="717"/>
      <c r="BJ200" s="716"/>
      <c r="BK200" s="717"/>
      <c r="BL200" s="717"/>
      <c r="BM200" s="717"/>
      <c r="BN200" s="717"/>
      <c r="BO200" s="716"/>
      <c r="BP200" s="717"/>
      <c r="BQ200" s="717"/>
      <c r="BR200" s="717"/>
      <c r="BS200" s="717"/>
      <c r="BT200" s="716"/>
      <c r="BU200" s="717"/>
      <c r="BV200" s="717"/>
      <c r="BW200" s="717"/>
      <c r="BX200" s="717"/>
      <c r="BY200" s="716"/>
      <c r="BZ200" s="717"/>
      <c r="CA200" s="717"/>
      <c r="CB200" s="717"/>
      <c r="CC200" s="717"/>
      <c r="CD200" s="716"/>
      <c r="CE200" s="717"/>
      <c r="CF200" s="717"/>
      <c r="CG200" s="717"/>
      <c r="CH200" s="717"/>
      <c r="CI200" s="716"/>
      <c r="CJ200" s="717"/>
      <c r="CK200" s="717"/>
      <c r="CL200" s="717"/>
      <c r="CM200" s="717"/>
      <c r="CN200" s="716"/>
      <c r="CO200" s="717"/>
      <c r="CP200" s="717"/>
      <c r="CQ200" s="717"/>
      <c r="CR200" s="717"/>
      <c r="CS200" s="718"/>
    </row>
    <row r="201" spans="2:102">
      <c r="B201" s="36"/>
      <c r="AF201" s="622"/>
    </row>
    <row r="202" spans="2:102">
      <c r="B202" s="36"/>
    </row>
    <row r="203" spans="2:102">
      <c r="B203" s="45" t="s">
        <v>75</v>
      </c>
    </row>
    <row r="204" spans="2:102">
      <c r="B204" s="46" t="s">
        <v>70</v>
      </c>
      <c r="H204" s="132">
        <v>217.286868</v>
      </c>
      <c r="I204" s="132">
        <v>232.17656400000001</v>
      </c>
      <c r="J204" s="132">
        <v>233.59220099999999</v>
      </c>
      <c r="K204" s="132">
        <v>233.78885199999999</v>
      </c>
      <c r="L204" s="415">
        <f>K204</f>
        <v>233.78885199999999</v>
      </c>
      <c r="M204" s="416">
        <v>236.20133300000001</v>
      </c>
      <c r="N204" s="416">
        <v>237.331086</v>
      </c>
      <c r="O204" s="416">
        <v>240.23809</v>
      </c>
      <c r="P204" s="416">
        <v>241.764398</v>
      </c>
      <c r="Q204" s="415">
        <f>P204</f>
        <v>241.764398</v>
      </c>
      <c r="R204" s="416">
        <v>243.58003199999999</v>
      </c>
      <c r="S204" s="416">
        <v>244.341701</v>
      </c>
      <c r="T204" s="133">
        <f>S204</f>
        <v>244.341701</v>
      </c>
      <c r="U204" s="133">
        <f t="shared" ref="U204:AU204" si="311">T204</f>
        <v>244.341701</v>
      </c>
      <c r="V204" s="133">
        <f t="shared" si="311"/>
        <v>244.341701</v>
      </c>
      <c r="W204" s="133">
        <f t="shared" si="311"/>
        <v>244.341701</v>
      </c>
      <c r="X204" s="133">
        <f t="shared" si="311"/>
        <v>244.341701</v>
      </c>
      <c r="Y204" s="133">
        <f t="shared" si="311"/>
        <v>244.341701</v>
      </c>
      <c r="Z204" s="133">
        <f t="shared" si="311"/>
        <v>244.341701</v>
      </c>
      <c r="AA204" s="133">
        <f t="shared" si="311"/>
        <v>244.341701</v>
      </c>
      <c r="AB204" s="133">
        <f t="shared" si="311"/>
        <v>244.341701</v>
      </c>
      <c r="AC204" s="133">
        <f t="shared" si="311"/>
        <v>244.341701</v>
      </c>
      <c r="AD204" s="133">
        <f t="shared" si="311"/>
        <v>244.341701</v>
      </c>
      <c r="AE204" s="133">
        <f t="shared" si="311"/>
        <v>244.341701</v>
      </c>
      <c r="AF204" s="133">
        <f t="shared" si="311"/>
        <v>244.341701</v>
      </c>
      <c r="AG204" s="133">
        <f t="shared" si="311"/>
        <v>244.341701</v>
      </c>
      <c r="AH204" s="133">
        <f t="shared" si="311"/>
        <v>244.341701</v>
      </c>
      <c r="AI204" s="133">
        <f t="shared" si="311"/>
        <v>244.341701</v>
      </c>
      <c r="AJ204" s="133">
        <f t="shared" si="311"/>
        <v>244.341701</v>
      </c>
      <c r="AK204" s="133">
        <f t="shared" si="311"/>
        <v>244.341701</v>
      </c>
      <c r="AL204" s="133">
        <f t="shared" si="311"/>
        <v>244.341701</v>
      </c>
      <c r="AM204" s="133">
        <f t="shared" si="311"/>
        <v>244.341701</v>
      </c>
      <c r="AN204" s="133">
        <f t="shared" si="311"/>
        <v>244.341701</v>
      </c>
      <c r="AO204" s="133">
        <f t="shared" si="311"/>
        <v>244.341701</v>
      </c>
      <c r="AP204" s="133">
        <f t="shared" si="311"/>
        <v>244.341701</v>
      </c>
      <c r="AQ204" s="133">
        <f t="shared" si="311"/>
        <v>244.341701</v>
      </c>
      <c r="AR204" s="133">
        <f t="shared" si="311"/>
        <v>244.341701</v>
      </c>
      <c r="AS204" s="133">
        <f t="shared" si="311"/>
        <v>244.341701</v>
      </c>
      <c r="AT204" s="133">
        <f t="shared" si="311"/>
        <v>244.341701</v>
      </c>
      <c r="AU204" s="133">
        <f t="shared" si="311"/>
        <v>244.341701</v>
      </c>
      <c r="AV204" s="133">
        <f t="shared" ref="AV204" si="312">AU204</f>
        <v>244.341701</v>
      </c>
      <c r="AW204" s="133">
        <f t="shared" ref="AW204" si="313">AV204</f>
        <v>244.341701</v>
      </c>
      <c r="AX204" s="133">
        <f t="shared" ref="AX204" si="314">AW204</f>
        <v>244.341701</v>
      </c>
      <c r="AY204" s="133">
        <f t="shared" ref="AY204:AZ204" si="315">AX204</f>
        <v>244.341701</v>
      </c>
      <c r="AZ204" s="133">
        <f t="shared" si="315"/>
        <v>244.341701</v>
      </c>
      <c r="BA204" s="133">
        <f t="shared" ref="BA204" si="316">AZ204</f>
        <v>244.341701</v>
      </c>
      <c r="BB204" s="133">
        <f t="shared" ref="BB204" si="317">BA204</f>
        <v>244.341701</v>
      </c>
      <c r="BC204" s="133">
        <f t="shared" ref="BC204" si="318">BB204</f>
        <v>244.341701</v>
      </c>
      <c r="BD204" s="133">
        <f t="shared" ref="BD204:BE204" si="319">BC204</f>
        <v>244.341701</v>
      </c>
      <c r="BE204" s="133">
        <f t="shared" si="319"/>
        <v>244.341701</v>
      </c>
      <c r="BF204" s="133">
        <f t="shared" ref="BF204" si="320">BE204</f>
        <v>244.341701</v>
      </c>
      <c r="BG204" s="133">
        <f t="shared" ref="BG204" si="321">BF204</f>
        <v>244.341701</v>
      </c>
      <c r="BH204" s="133">
        <f t="shared" ref="BH204" si="322">BG204</f>
        <v>244.341701</v>
      </c>
      <c r="BI204" s="133">
        <f t="shared" ref="BI204:BJ204" si="323">BH204</f>
        <v>244.341701</v>
      </c>
      <c r="BJ204" s="133">
        <f t="shared" si="323"/>
        <v>244.341701</v>
      </c>
      <c r="BK204" s="133">
        <f t="shared" ref="BK204" si="324">BJ204</f>
        <v>244.341701</v>
      </c>
      <c r="BL204" s="133">
        <f t="shared" ref="BL204" si="325">BK204</f>
        <v>244.341701</v>
      </c>
      <c r="BM204" s="133">
        <f t="shared" ref="BM204" si="326">BL204</f>
        <v>244.341701</v>
      </c>
      <c r="BN204" s="133">
        <f t="shared" ref="BN204:BO204" si="327">BM204</f>
        <v>244.341701</v>
      </c>
      <c r="BO204" s="133">
        <f t="shared" si="327"/>
        <v>244.341701</v>
      </c>
      <c r="BP204" s="133">
        <f t="shared" ref="BP204" si="328">BO204</f>
        <v>244.341701</v>
      </c>
      <c r="BQ204" s="133">
        <f t="shared" ref="BQ204" si="329">BP204</f>
        <v>244.341701</v>
      </c>
      <c r="BR204" s="133">
        <f t="shared" ref="BR204" si="330">BQ204</f>
        <v>244.341701</v>
      </c>
      <c r="BS204" s="133">
        <f t="shared" ref="BS204:BT204" si="331">BR204</f>
        <v>244.341701</v>
      </c>
      <c r="BT204" s="133">
        <f t="shared" si="331"/>
        <v>244.341701</v>
      </c>
      <c r="BU204" s="133">
        <f t="shared" ref="BU204" si="332">BT204</f>
        <v>244.341701</v>
      </c>
      <c r="BV204" s="133">
        <f t="shared" ref="BV204" si="333">BU204</f>
        <v>244.341701</v>
      </c>
      <c r="BW204" s="133">
        <f t="shared" ref="BW204" si="334">BV204</f>
        <v>244.341701</v>
      </c>
      <c r="BX204" s="133">
        <f t="shared" ref="BX204:BY204" si="335">BW204</f>
        <v>244.341701</v>
      </c>
      <c r="BY204" s="133">
        <f t="shared" si="335"/>
        <v>244.341701</v>
      </c>
      <c r="BZ204" s="133">
        <f t="shared" ref="BZ204" si="336">BY204</f>
        <v>244.341701</v>
      </c>
      <c r="CA204" s="133">
        <f t="shared" ref="CA204" si="337">BZ204</f>
        <v>244.341701</v>
      </c>
      <c r="CB204" s="133">
        <f t="shared" ref="CB204" si="338">CA204</f>
        <v>244.341701</v>
      </c>
      <c r="CC204" s="133">
        <f t="shared" ref="CC204:CD204" si="339">CB204</f>
        <v>244.341701</v>
      </c>
      <c r="CD204" s="133">
        <f t="shared" si="339"/>
        <v>244.341701</v>
      </c>
      <c r="CE204" s="133">
        <f t="shared" ref="CE204" si="340">CD204</f>
        <v>244.341701</v>
      </c>
      <c r="CF204" s="133">
        <f t="shared" ref="CF204" si="341">CE204</f>
        <v>244.341701</v>
      </c>
      <c r="CG204" s="133">
        <f t="shared" ref="CG204" si="342">CF204</f>
        <v>244.341701</v>
      </c>
      <c r="CH204" s="133">
        <f t="shared" ref="CH204:CI204" si="343">CG204</f>
        <v>244.341701</v>
      </c>
      <c r="CI204" s="133">
        <f t="shared" si="343"/>
        <v>244.341701</v>
      </c>
      <c r="CJ204" s="133">
        <f t="shared" ref="CJ204" si="344">CI204</f>
        <v>244.341701</v>
      </c>
      <c r="CK204" s="133">
        <f t="shared" ref="CK204" si="345">CJ204</f>
        <v>244.341701</v>
      </c>
      <c r="CL204" s="133">
        <f t="shared" ref="CL204" si="346">CK204</f>
        <v>244.341701</v>
      </c>
      <c r="CM204" s="133">
        <f t="shared" ref="CM204:CN204" si="347">CL204</f>
        <v>244.341701</v>
      </c>
      <c r="CN204" s="133">
        <f t="shared" si="347"/>
        <v>244.341701</v>
      </c>
      <c r="CO204" s="133">
        <f t="shared" ref="CO204" si="348">CN204</f>
        <v>244.341701</v>
      </c>
      <c r="CP204" s="133">
        <f t="shared" ref="CP204" si="349">CO204</f>
        <v>244.341701</v>
      </c>
      <c r="CQ204" s="133">
        <f t="shared" ref="CQ204" si="350">CP204</f>
        <v>244.341701</v>
      </c>
      <c r="CR204" s="133">
        <f t="shared" ref="CR204:CS204" si="351">CQ204</f>
        <v>244.341701</v>
      </c>
      <c r="CS204" s="133">
        <f t="shared" si="351"/>
        <v>244.341701</v>
      </c>
      <c r="CT204" s="133"/>
      <c r="CU204" s="133"/>
      <c r="CV204" s="133"/>
      <c r="CW204" s="133"/>
      <c r="CX204" s="133"/>
    </row>
    <row r="205" spans="2:102">
      <c r="B205" s="46" t="s">
        <v>71</v>
      </c>
      <c r="H205" s="132">
        <v>0</v>
      </c>
      <c r="I205" s="132">
        <v>0</v>
      </c>
      <c r="J205" s="132">
        <v>0</v>
      </c>
      <c r="K205" s="132">
        <v>0</v>
      </c>
      <c r="L205" s="416">
        <v>0</v>
      </c>
      <c r="M205" s="416">
        <v>0</v>
      </c>
      <c r="N205" s="416">
        <v>0</v>
      </c>
      <c r="O205" s="416">
        <v>0</v>
      </c>
      <c r="P205" s="416">
        <v>0</v>
      </c>
      <c r="Q205" s="416">
        <v>0</v>
      </c>
      <c r="R205" s="416">
        <v>0</v>
      </c>
      <c r="S205" s="416">
        <v>0</v>
      </c>
      <c r="T205" s="1">
        <v>0</v>
      </c>
      <c r="U205" s="1">
        <v>0</v>
      </c>
      <c r="V205" s="1">
        <v>0</v>
      </c>
      <c r="W205" s="1">
        <v>0</v>
      </c>
      <c r="X205" s="1">
        <v>0</v>
      </c>
      <c r="Y205" s="1">
        <v>0</v>
      </c>
      <c r="Z205" s="1">
        <v>0</v>
      </c>
      <c r="AA205" s="1">
        <v>0</v>
      </c>
      <c r="AB205" s="1">
        <v>0</v>
      </c>
      <c r="AC205" s="1">
        <v>0</v>
      </c>
      <c r="AD205" s="1">
        <v>0</v>
      </c>
      <c r="AE205" s="1">
        <v>0</v>
      </c>
      <c r="AF205" s="1">
        <v>0</v>
      </c>
      <c r="AG205" s="1">
        <v>0</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row>
    <row r="206" spans="2:102">
      <c r="B206" s="46" t="s">
        <v>72</v>
      </c>
      <c r="H206" s="136">
        <f t="shared" ref="H206:K206" si="352">SUM(H207:H209)</f>
        <v>0.21639373590354674</v>
      </c>
      <c r="I206" s="136">
        <f t="shared" si="352"/>
        <v>0.21639373590354674</v>
      </c>
      <c r="J206" s="136">
        <f t="shared" si="352"/>
        <v>0.21639373590354674</v>
      </c>
      <c r="K206" s="136">
        <f t="shared" si="352"/>
        <v>0.21639373590354674</v>
      </c>
      <c r="L206" s="417">
        <f>SUM(L207:L209)</f>
        <v>0.21639373590354674</v>
      </c>
      <c r="M206" s="417">
        <f t="shared" ref="M206" si="353">SUM(M207:M209)</f>
        <v>0.29494403810171799</v>
      </c>
      <c r="N206" s="417">
        <f t="shared" ref="N206" si="354">SUM(N207:N209)</f>
        <v>0.29494403810171799</v>
      </c>
      <c r="O206" s="417">
        <f t="shared" ref="O206" si="355">SUM(O207:O209)</f>
        <v>0.29494403810171799</v>
      </c>
      <c r="P206" s="417">
        <f t="shared" ref="P206" si="356">SUM(P207:P209)</f>
        <v>0.29494403810171799</v>
      </c>
      <c r="Q206" s="417">
        <f>SUM(Q207:Q209)</f>
        <v>0.29494403810171799</v>
      </c>
      <c r="R206" s="417">
        <f t="shared" ref="R206:S206" si="357">SUM(R207:R209)</f>
        <v>0.29494403810171799</v>
      </c>
      <c r="S206" s="417">
        <f t="shared" si="357"/>
        <v>0.29494403810171799</v>
      </c>
      <c r="T206" s="136">
        <f>SUM(T207:T209)</f>
        <v>0.29494403810171799</v>
      </c>
      <c r="U206" s="136">
        <f>SUM(U207:U209)</f>
        <v>0.29494403810171799</v>
      </c>
      <c r="V206" s="136">
        <f>SUM(V207:V209)</f>
        <v>0.29494403810171799</v>
      </c>
      <c r="W206" s="136">
        <f t="shared" ref="W206:Z206" si="358">SUM(W207:W209)</f>
        <v>0.29494403810171799</v>
      </c>
      <c r="X206" s="136">
        <f t="shared" si="358"/>
        <v>0.29494403810171799</v>
      </c>
      <c r="Y206" s="136">
        <f t="shared" si="358"/>
        <v>0.29494403810171799</v>
      </c>
      <c r="Z206" s="136">
        <f t="shared" si="358"/>
        <v>0.29494403810171799</v>
      </c>
      <c r="AA206" s="136">
        <f>SUM(AA207:AA209)</f>
        <v>0.29494403810171799</v>
      </c>
      <c r="AB206" s="136">
        <f t="shared" ref="AB206" si="359">SUM(AB207:AB209)</f>
        <v>0.29494403810171799</v>
      </c>
      <c r="AC206" s="136">
        <f t="shared" ref="AC206" si="360">SUM(AC207:AC209)</f>
        <v>0.29494403810171799</v>
      </c>
      <c r="AD206" s="136">
        <f t="shared" ref="AD206" si="361">SUM(AD207:AD209)</f>
        <v>0.29494403810171799</v>
      </c>
      <c r="AE206" s="136">
        <f t="shared" ref="AE206" si="362">SUM(AE207:AE209)</f>
        <v>0.29494403810171799</v>
      </c>
      <c r="AF206" s="136">
        <f>SUM(AF207:AF209)</f>
        <v>0.29494403810171799</v>
      </c>
      <c r="AG206" s="136">
        <f t="shared" ref="AG206" si="363">SUM(AG207:AG209)</f>
        <v>0.29494403810171799</v>
      </c>
      <c r="AH206" s="136">
        <f t="shared" ref="AH206" si="364">SUM(AH207:AH209)</f>
        <v>0.29494403810171799</v>
      </c>
      <c r="AI206" s="136">
        <f t="shared" ref="AI206" si="365">SUM(AI207:AI209)</f>
        <v>0.29494403810171799</v>
      </c>
      <c r="AJ206" s="136">
        <f t="shared" ref="AJ206" si="366">SUM(AJ207:AJ209)</f>
        <v>0.29494403810171799</v>
      </c>
      <c r="AK206" s="136">
        <f>SUM(AK207:AK209)</f>
        <v>0.29494403810171799</v>
      </c>
      <c r="AL206" s="136">
        <f t="shared" ref="AL206" si="367">SUM(AL207:AL209)</f>
        <v>0.29494403810171799</v>
      </c>
      <c r="AM206" s="136">
        <f t="shared" ref="AM206" si="368">SUM(AM207:AM209)</f>
        <v>0.29494403810171799</v>
      </c>
      <c r="AN206" s="136">
        <f t="shared" ref="AN206" si="369">SUM(AN207:AN209)</f>
        <v>0.29494403810171799</v>
      </c>
      <c r="AO206" s="136">
        <f t="shared" ref="AO206" si="370">SUM(AO207:AO209)</f>
        <v>0.29494403810171799</v>
      </c>
      <c r="AP206" s="136">
        <f>SUM(AP207:AP209)</f>
        <v>0.29494403810171799</v>
      </c>
      <c r="AQ206" s="136">
        <f t="shared" ref="AQ206" si="371">SUM(AQ207:AQ209)</f>
        <v>0.29494403810171799</v>
      </c>
      <c r="AR206" s="136">
        <f t="shared" ref="AR206" si="372">SUM(AR207:AR209)</f>
        <v>0.29494403810171799</v>
      </c>
      <c r="AS206" s="136">
        <f t="shared" ref="AS206" si="373">SUM(AS207:AS209)</f>
        <v>0.29494403810171799</v>
      </c>
      <c r="AT206" s="136">
        <f t="shared" ref="AT206" si="374">SUM(AT207:AT209)</f>
        <v>0.29494403810171799</v>
      </c>
      <c r="AU206" s="136">
        <f>SUM(AU207:AU209)</f>
        <v>0.29494403810171799</v>
      </c>
      <c r="AV206" s="136">
        <f t="shared" ref="AV206:AY206" si="375">SUM(AV207:AV209)</f>
        <v>0.29494403810171799</v>
      </c>
      <c r="AW206" s="136">
        <f t="shared" si="375"/>
        <v>0.29494403810171799</v>
      </c>
      <c r="AX206" s="136">
        <f t="shared" si="375"/>
        <v>0.29494403810171799</v>
      </c>
      <c r="AY206" s="136">
        <f t="shared" si="375"/>
        <v>0.29494403810171799</v>
      </c>
      <c r="AZ206" s="136">
        <f>SUM(AZ207:AZ209)</f>
        <v>0.29494403810171799</v>
      </c>
      <c r="BA206" s="136">
        <f t="shared" ref="BA206:BD206" si="376">SUM(BA207:BA209)</f>
        <v>0.29494403810171799</v>
      </c>
      <c r="BB206" s="136">
        <f t="shared" si="376"/>
        <v>0.29494403810171799</v>
      </c>
      <c r="BC206" s="136">
        <f t="shared" si="376"/>
        <v>0.29494403810171799</v>
      </c>
      <c r="BD206" s="136">
        <f t="shared" si="376"/>
        <v>0.29494403810171799</v>
      </c>
      <c r="BE206" s="136">
        <f>SUM(BE207:BE209)</f>
        <v>0.29494403810171799</v>
      </c>
      <c r="BF206" s="136">
        <f t="shared" ref="BF206:BI206" si="377">SUM(BF207:BF209)</f>
        <v>0.29494403810171799</v>
      </c>
      <c r="BG206" s="136">
        <f t="shared" si="377"/>
        <v>0.29494403810171799</v>
      </c>
      <c r="BH206" s="136">
        <f t="shared" si="377"/>
        <v>0.29494403810171799</v>
      </c>
      <c r="BI206" s="136">
        <f t="shared" si="377"/>
        <v>0.29494403810171799</v>
      </c>
      <c r="BJ206" s="136">
        <f>SUM(BJ207:BJ209)</f>
        <v>0.29494403810171799</v>
      </c>
      <c r="BK206" s="136">
        <f t="shared" ref="BK206:BN206" si="378">SUM(BK207:BK209)</f>
        <v>0.29494403810171799</v>
      </c>
      <c r="BL206" s="136">
        <f t="shared" si="378"/>
        <v>0.29494403810171799</v>
      </c>
      <c r="BM206" s="136">
        <f t="shared" si="378"/>
        <v>0.29494403810171799</v>
      </c>
      <c r="BN206" s="136">
        <f t="shared" si="378"/>
        <v>0.29494403810171799</v>
      </c>
      <c r="BO206" s="136">
        <f>SUM(BO207:BO209)</f>
        <v>0.29494403810171799</v>
      </c>
      <c r="BP206" s="136">
        <f t="shared" ref="BP206:BS206" si="379">SUM(BP207:BP209)</f>
        <v>0.29494403810171799</v>
      </c>
      <c r="BQ206" s="136">
        <f t="shared" si="379"/>
        <v>0.29494403810171799</v>
      </c>
      <c r="BR206" s="136">
        <f t="shared" si="379"/>
        <v>0.29494403810171799</v>
      </c>
      <c r="BS206" s="136">
        <f t="shared" si="379"/>
        <v>0.29494403810171799</v>
      </c>
      <c r="BT206" s="136">
        <f>SUM(BT207:BT209)</f>
        <v>0.29494403810171799</v>
      </c>
      <c r="BU206" s="136">
        <f t="shared" ref="BU206:BX206" si="380">SUM(BU207:BU209)</f>
        <v>0.29494403810171799</v>
      </c>
      <c r="BV206" s="136">
        <f t="shared" si="380"/>
        <v>0.29494403810171799</v>
      </c>
      <c r="BW206" s="136">
        <f t="shared" si="380"/>
        <v>0.29494403810171799</v>
      </c>
      <c r="BX206" s="136">
        <f t="shared" si="380"/>
        <v>0.29494403810171799</v>
      </c>
      <c r="BY206" s="136">
        <f>SUM(BY207:BY209)</f>
        <v>0.29494403810171799</v>
      </c>
      <c r="BZ206" s="136">
        <f t="shared" ref="BZ206:CC206" si="381">SUM(BZ207:BZ209)</f>
        <v>0.29494403810171799</v>
      </c>
      <c r="CA206" s="136">
        <f t="shared" si="381"/>
        <v>0.29494403810171799</v>
      </c>
      <c r="CB206" s="136">
        <f t="shared" si="381"/>
        <v>0.29494403810171799</v>
      </c>
      <c r="CC206" s="136">
        <f t="shared" si="381"/>
        <v>0.29494403810171799</v>
      </c>
      <c r="CD206" s="136">
        <f>SUM(CD207:CD209)</f>
        <v>0.29494403810171799</v>
      </c>
      <c r="CE206" s="136">
        <f t="shared" ref="CE206:CH206" si="382">SUM(CE207:CE209)</f>
        <v>0.29494403810171799</v>
      </c>
      <c r="CF206" s="136">
        <f t="shared" si="382"/>
        <v>0.29494403810171799</v>
      </c>
      <c r="CG206" s="136">
        <f t="shared" si="382"/>
        <v>0.29494403810171799</v>
      </c>
      <c r="CH206" s="136">
        <f t="shared" si="382"/>
        <v>0.29494403810171799</v>
      </c>
      <c r="CI206" s="136">
        <f>SUM(CI207:CI209)</f>
        <v>0.29494403810171799</v>
      </c>
      <c r="CJ206" s="136">
        <f t="shared" ref="CJ206:CM206" si="383">SUM(CJ207:CJ209)</f>
        <v>0.29494403810171799</v>
      </c>
      <c r="CK206" s="136">
        <f t="shared" si="383"/>
        <v>0.29494403810171799</v>
      </c>
      <c r="CL206" s="136">
        <f t="shared" si="383"/>
        <v>0.29494403810171799</v>
      </c>
      <c r="CM206" s="136">
        <f t="shared" si="383"/>
        <v>0.29494403810171799</v>
      </c>
      <c r="CN206" s="136">
        <f>SUM(CN207:CN209)</f>
        <v>0.29494403810171799</v>
      </c>
      <c r="CO206" s="136">
        <f t="shared" ref="CO206:CR206" si="384">SUM(CO207:CO209)</f>
        <v>0.29494403810171799</v>
      </c>
      <c r="CP206" s="136">
        <f t="shared" si="384"/>
        <v>0.29494403810171799</v>
      </c>
      <c r="CQ206" s="136">
        <f t="shared" si="384"/>
        <v>0.29494403810171799</v>
      </c>
      <c r="CR206" s="136">
        <f t="shared" si="384"/>
        <v>0.29494403810171799</v>
      </c>
      <c r="CS206" s="136">
        <f>SUM(CS207:CS209)</f>
        <v>0.29494403810171799</v>
      </c>
    </row>
    <row r="207" spans="2:102">
      <c r="B207" s="43" t="s">
        <v>73</v>
      </c>
      <c r="H207" s="136">
        <f>L207</f>
        <v>0.34999936106727325</v>
      </c>
      <c r="I207" s="136">
        <f>L207</f>
        <v>0.34999936106727325</v>
      </c>
      <c r="J207" s="136">
        <f>L207</f>
        <v>0.34999936106727325</v>
      </c>
      <c r="K207" s="136">
        <f>L207</f>
        <v>0.34999936106727325</v>
      </c>
      <c r="L207" s="418">
        <f>-219.115/-626.044</f>
        <v>0.34999936106727325</v>
      </c>
      <c r="M207" s="417">
        <f>Q207</f>
        <v>0.34999965980608949</v>
      </c>
      <c r="N207" s="417">
        <f>Q207</f>
        <v>0.34999965980608949</v>
      </c>
      <c r="O207" s="417">
        <f>Q207</f>
        <v>0.34999965980608949</v>
      </c>
      <c r="P207" s="417">
        <f>Q207</f>
        <v>0.34999965980608949</v>
      </c>
      <c r="Q207" s="418">
        <f>-257.206/-734.875</f>
        <v>0.34999965980608949</v>
      </c>
      <c r="R207" s="417">
        <f>Q207</f>
        <v>0.34999965980608949</v>
      </c>
      <c r="S207" s="417">
        <f>R207</f>
        <v>0.34999965980608949</v>
      </c>
      <c r="T207" s="424">
        <f>+V207</f>
        <v>0.34999965980608949</v>
      </c>
      <c r="U207" s="424">
        <f>+V207</f>
        <v>0.34999965980608949</v>
      </c>
      <c r="V207" s="136">
        <f>+Q207</f>
        <v>0.34999965980608949</v>
      </c>
      <c r="W207" s="136">
        <f>+AA207</f>
        <v>0.34999965980608949</v>
      </c>
      <c r="X207" s="136">
        <f>+AA207</f>
        <v>0.34999965980608949</v>
      </c>
      <c r="Y207" s="136">
        <f>+AA207</f>
        <v>0.34999965980608949</v>
      </c>
      <c r="Z207" s="136">
        <f>+AA207</f>
        <v>0.34999965980608949</v>
      </c>
      <c r="AA207" s="136">
        <f>+V207</f>
        <v>0.34999965980608949</v>
      </c>
      <c r="AB207" s="136">
        <f>+AF207</f>
        <v>0.34999965980608949</v>
      </c>
      <c r="AC207" s="136">
        <f>+AF207</f>
        <v>0.34999965980608949</v>
      </c>
      <c r="AD207" s="136">
        <f>+AF207</f>
        <v>0.34999965980608949</v>
      </c>
      <c r="AE207" s="136">
        <f>+AF207</f>
        <v>0.34999965980608949</v>
      </c>
      <c r="AF207" s="136">
        <f>+AA207</f>
        <v>0.34999965980608949</v>
      </c>
      <c r="AG207" s="136">
        <f>+AK207</f>
        <v>0.34999965980608949</v>
      </c>
      <c r="AH207" s="136">
        <f>+AK207</f>
        <v>0.34999965980608949</v>
      </c>
      <c r="AI207" s="136">
        <f>+AK207</f>
        <v>0.34999965980608949</v>
      </c>
      <c r="AJ207" s="136">
        <f>+AK207</f>
        <v>0.34999965980608949</v>
      </c>
      <c r="AK207" s="136">
        <f>+AF207</f>
        <v>0.34999965980608949</v>
      </c>
      <c r="AL207" s="136">
        <f>+AP207</f>
        <v>0.34999965980608949</v>
      </c>
      <c r="AM207" s="136">
        <f>+AP207</f>
        <v>0.34999965980608949</v>
      </c>
      <c r="AN207" s="136">
        <f>+AP207</f>
        <v>0.34999965980608949</v>
      </c>
      <c r="AO207" s="136">
        <f>+AP207</f>
        <v>0.34999965980608949</v>
      </c>
      <c r="AP207" s="136">
        <f>+AK207</f>
        <v>0.34999965980608949</v>
      </c>
      <c r="AQ207" s="136">
        <f>+AU207</f>
        <v>0.34999965980608949</v>
      </c>
      <c r="AR207" s="136">
        <f>+AU207</f>
        <v>0.34999965980608949</v>
      </c>
      <c r="AS207" s="136">
        <f>+AU207</f>
        <v>0.34999965980608949</v>
      </c>
      <c r="AT207" s="136">
        <f>+AU207</f>
        <v>0.34999965980608949</v>
      </c>
      <c r="AU207" s="136">
        <f>+AP207</f>
        <v>0.34999965980608949</v>
      </c>
      <c r="AV207" s="136">
        <f>+AZ207</f>
        <v>0.34999965980608949</v>
      </c>
      <c r="AW207" s="136">
        <f>+AZ207</f>
        <v>0.34999965980608949</v>
      </c>
      <c r="AX207" s="136">
        <f>+AZ207</f>
        <v>0.34999965980608949</v>
      </c>
      <c r="AY207" s="136">
        <f>+AZ207</f>
        <v>0.34999965980608949</v>
      </c>
      <c r="AZ207" s="136">
        <f>+AU207</f>
        <v>0.34999965980608949</v>
      </c>
      <c r="BA207" s="136">
        <f>+BE207</f>
        <v>0.34999965980608949</v>
      </c>
      <c r="BB207" s="136">
        <f>+BE207</f>
        <v>0.34999965980608949</v>
      </c>
      <c r="BC207" s="136">
        <f>+BE207</f>
        <v>0.34999965980608949</v>
      </c>
      <c r="BD207" s="136">
        <f>+BE207</f>
        <v>0.34999965980608949</v>
      </c>
      <c r="BE207" s="136">
        <f>+AZ207</f>
        <v>0.34999965980608949</v>
      </c>
      <c r="BF207" s="136">
        <f>+BJ207</f>
        <v>0.34999965980608949</v>
      </c>
      <c r="BG207" s="136">
        <f>+BJ207</f>
        <v>0.34999965980608949</v>
      </c>
      <c r="BH207" s="136">
        <f>+BJ207</f>
        <v>0.34999965980608949</v>
      </c>
      <c r="BI207" s="136">
        <f>+BJ207</f>
        <v>0.34999965980608949</v>
      </c>
      <c r="BJ207" s="136">
        <f>+BE207</f>
        <v>0.34999965980608949</v>
      </c>
      <c r="BK207" s="136">
        <f>+BO207</f>
        <v>0.34999965980608949</v>
      </c>
      <c r="BL207" s="136">
        <f>+BO207</f>
        <v>0.34999965980608949</v>
      </c>
      <c r="BM207" s="136">
        <f>+BO207</f>
        <v>0.34999965980608949</v>
      </c>
      <c r="BN207" s="136">
        <f>+BO207</f>
        <v>0.34999965980608949</v>
      </c>
      <c r="BO207" s="136">
        <f>+BJ207</f>
        <v>0.34999965980608949</v>
      </c>
      <c r="BP207" s="136">
        <f>+BT207</f>
        <v>0.34999965980608949</v>
      </c>
      <c r="BQ207" s="136">
        <f>+BT207</f>
        <v>0.34999965980608949</v>
      </c>
      <c r="BR207" s="136">
        <f>+BT207</f>
        <v>0.34999965980608949</v>
      </c>
      <c r="BS207" s="136">
        <f>+BT207</f>
        <v>0.34999965980608949</v>
      </c>
      <c r="BT207" s="136">
        <f>+BO207</f>
        <v>0.34999965980608949</v>
      </c>
      <c r="BU207" s="136">
        <f>+BY207</f>
        <v>0.34999965980608949</v>
      </c>
      <c r="BV207" s="136">
        <f>+BY207</f>
        <v>0.34999965980608949</v>
      </c>
      <c r="BW207" s="136">
        <f>+BY207</f>
        <v>0.34999965980608949</v>
      </c>
      <c r="BX207" s="136">
        <f>+BY207</f>
        <v>0.34999965980608949</v>
      </c>
      <c r="BY207" s="136">
        <f>+BT207</f>
        <v>0.34999965980608949</v>
      </c>
      <c r="BZ207" s="136">
        <f>+CD207</f>
        <v>0.34999965980608949</v>
      </c>
      <c r="CA207" s="136">
        <f>+CD207</f>
        <v>0.34999965980608949</v>
      </c>
      <c r="CB207" s="136">
        <f>+CD207</f>
        <v>0.34999965980608949</v>
      </c>
      <c r="CC207" s="136">
        <f>+CD207</f>
        <v>0.34999965980608949</v>
      </c>
      <c r="CD207" s="136">
        <f>+BY207</f>
        <v>0.34999965980608949</v>
      </c>
      <c r="CE207" s="136">
        <f>+CI207</f>
        <v>0.34999965980608949</v>
      </c>
      <c r="CF207" s="136">
        <f>+CI207</f>
        <v>0.34999965980608949</v>
      </c>
      <c r="CG207" s="136">
        <f>+CI207</f>
        <v>0.34999965980608949</v>
      </c>
      <c r="CH207" s="136">
        <f>+CI207</f>
        <v>0.34999965980608949</v>
      </c>
      <c r="CI207" s="136">
        <f>+CD207</f>
        <v>0.34999965980608949</v>
      </c>
      <c r="CJ207" s="136">
        <f>+CN207</f>
        <v>0.34999965980608949</v>
      </c>
      <c r="CK207" s="136">
        <f>+CN207</f>
        <v>0.34999965980608949</v>
      </c>
      <c r="CL207" s="136">
        <f>+CN207</f>
        <v>0.34999965980608949</v>
      </c>
      <c r="CM207" s="136">
        <f>+CN207</f>
        <v>0.34999965980608949</v>
      </c>
      <c r="CN207" s="136">
        <f>+CI207</f>
        <v>0.34999965980608949</v>
      </c>
      <c r="CO207" s="136">
        <f>+CS207</f>
        <v>0.34999965980608949</v>
      </c>
      <c r="CP207" s="136">
        <f>+CS207</f>
        <v>0.34999965980608949</v>
      </c>
      <c r="CQ207" s="136">
        <f>+CS207</f>
        <v>0.34999965980608949</v>
      </c>
      <c r="CR207" s="136">
        <f>+CS207</f>
        <v>0.34999965980608949</v>
      </c>
      <c r="CS207" s="136">
        <f>+CN207</f>
        <v>0.34999965980608949</v>
      </c>
    </row>
    <row r="208" spans="2:102">
      <c r="B208" s="43" t="s">
        <v>74</v>
      </c>
      <c r="H208" s="136">
        <f t="shared" ref="H208:H209" si="385">L208</f>
        <v>-6.140143504290433E-3</v>
      </c>
      <c r="I208" s="136">
        <f t="shared" ref="I208:I209" si="386">L208</f>
        <v>-6.140143504290433E-3</v>
      </c>
      <c r="J208" s="136">
        <f t="shared" ref="J208:J209" si="387">L208</f>
        <v>-6.140143504290433E-3</v>
      </c>
      <c r="K208" s="136">
        <f t="shared" ref="K208:K209" si="388">L208</f>
        <v>-6.140143504290433E-3</v>
      </c>
      <c r="L208" s="418">
        <f>3.844/-626.044</f>
        <v>-6.140143504290433E-3</v>
      </c>
      <c r="M208" s="417">
        <f t="shared" ref="M208:M209" si="389">Q208</f>
        <v>-1.529511821738391E-3</v>
      </c>
      <c r="N208" s="417">
        <f t="shared" ref="N208:N209" si="390">Q208</f>
        <v>-1.529511821738391E-3</v>
      </c>
      <c r="O208" s="417">
        <f t="shared" ref="O208:O209" si="391">Q208</f>
        <v>-1.529511821738391E-3</v>
      </c>
      <c r="P208" s="417">
        <f t="shared" ref="P208:P209" si="392">Q208</f>
        <v>-1.529511821738391E-3</v>
      </c>
      <c r="Q208" s="418">
        <f>1.124/-734.875</f>
        <v>-1.529511821738391E-3</v>
      </c>
      <c r="R208" s="417">
        <f t="shared" ref="R208:S208" si="393">Q208</f>
        <v>-1.529511821738391E-3</v>
      </c>
      <c r="S208" s="417">
        <f t="shared" si="393"/>
        <v>-1.529511821738391E-3</v>
      </c>
      <c r="T208" s="424">
        <f>+V208</f>
        <v>-1.529511821738391E-3</v>
      </c>
      <c r="U208" s="424">
        <f>+V208</f>
        <v>-1.529511821738391E-3</v>
      </c>
      <c r="V208" s="136">
        <f>+Q208</f>
        <v>-1.529511821738391E-3</v>
      </c>
      <c r="W208" s="136">
        <f>+AA208</f>
        <v>-1.529511821738391E-3</v>
      </c>
      <c r="X208" s="136">
        <f>+AA208</f>
        <v>-1.529511821738391E-3</v>
      </c>
      <c r="Y208" s="136">
        <f>+AA208</f>
        <v>-1.529511821738391E-3</v>
      </c>
      <c r="Z208" s="136">
        <f>+AA208</f>
        <v>-1.529511821738391E-3</v>
      </c>
      <c r="AA208" s="136">
        <f>+V208</f>
        <v>-1.529511821738391E-3</v>
      </c>
      <c r="AB208" s="136">
        <f>+AF208</f>
        <v>-1.529511821738391E-3</v>
      </c>
      <c r="AC208" s="136">
        <f>+AF208</f>
        <v>-1.529511821738391E-3</v>
      </c>
      <c r="AD208" s="136">
        <f>+AF208</f>
        <v>-1.529511821738391E-3</v>
      </c>
      <c r="AE208" s="136">
        <f>+AF208</f>
        <v>-1.529511821738391E-3</v>
      </c>
      <c r="AF208" s="136">
        <f>+AA208</f>
        <v>-1.529511821738391E-3</v>
      </c>
      <c r="AG208" s="136">
        <f>+AK208</f>
        <v>-1.529511821738391E-3</v>
      </c>
      <c r="AH208" s="136">
        <f>+AK208</f>
        <v>-1.529511821738391E-3</v>
      </c>
      <c r="AI208" s="136">
        <f>+AK208</f>
        <v>-1.529511821738391E-3</v>
      </c>
      <c r="AJ208" s="136">
        <f>+AK208</f>
        <v>-1.529511821738391E-3</v>
      </c>
      <c r="AK208" s="136">
        <f>+AF208</f>
        <v>-1.529511821738391E-3</v>
      </c>
      <c r="AL208" s="136">
        <f>+AP208</f>
        <v>-1.529511821738391E-3</v>
      </c>
      <c r="AM208" s="136">
        <f>+AP208</f>
        <v>-1.529511821738391E-3</v>
      </c>
      <c r="AN208" s="136">
        <f>+AP208</f>
        <v>-1.529511821738391E-3</v>
      </c>
      <c r="AO208" s="136">
        <f>+AP208</f>
        <v>-1.529511821738391E-3</v>
      </c>
      <c r="AP208" s="136">
        <f>+AK208</f>
        <v>-1.529511821738391E-3</v>
      </c>
      <c r="AQ208" s="136">
        <f>+AU208</f>
        <v>-1.529511821738391E-3</v>
      </c>
      <c r="AR208" s="136">
        <f>+AU208</f>
        <v>-1.529511821738391E-3</v>
      </c>
      <c r="AS208" s="136">
        <f>+AU208</f>
        <v>-1.529511821738391E-3</v>
      </c>
      <c r="AT208" s="136">
        <f>+AU208</f>
        <v>-1.529511821738391E-3</v>
      </c>
      <c r="AU208" s="136">
        <f>+AP208</f>
        <v>-1.529511821738391E-3</v>
      </c>
      <c r="AV208" s="136">
        <f>+AZ208</f>
        <v>-1.529511821738391E-3</v>
      </c>
      <c r="AW208" s="136">
        <f>+AZ208</f>
        <v>-1.529511821738391E-3</v>
      </c>
      <c r="AX208" s="136">
        <f>+AZ208</f>
        <v>-1.529511821738391E-3</v>
      </c>
      <c r="AY208" s="136">
        <f>+AZ208</f>
        <v>-1.529511821738391E-3</v>
      </c>
      <c r="AZ208" s="136">
        <f>+AU208</f>
        <v>-1.529511821738391E-3</v>
      </c>
      <c r="BA208" s="136">
        <f>+BE208</f>
        <v>-1.529511821738391E-3</v>
      </c>
      <c r="BB208" s="136">
        <f>+BE208</f>
        <v>-1.529511821738391E-3</v>
      </c>
      <c r="BC208" s="136">
        <f>+BE208</f>
        <v>-1.529511821738391E-3</v>
      </c>
      <c r="BD208" s="136">
        <f>+BE208</f>
        <v>-1.529511821738391E-3</v>
      </c>
      <c r="BE208" s="136">
        <f>+AZ208</f>
        <v>-1.529511821738391E-3</v>
      </c>
      <c r="BF208" s="136">
        <f>+BJ208</f>
        <v>-1.529511821738391E-3</v>
      </c>
      <c r="BG208" s="136">
        <f>+BJ208</f>
        <v>-1.529511821738391E-3</v>
      </c>
      <c r="BH208" s="136">
        <f>+BJ208</f>
        <v>-1.529511821738391E-3</v>
      </c>
      <c r="BI208" s="136">
        <f>+BJ208</f>
        <v>-1.529511821738391E-3</v>
      </c>
      <c r="BJ208" s="136">
        <f>+BE208</f>
        <v>-1.529511821738391E-3</v>
      </c>
      <c r="BK208" s="136">
        <f>+BO208</f>
        <v>-1.529511821738391E-3</v>
      </c>
      <c r="BL208" s="136">
        <f>+BO208</f>
        <v>-1.529511821738391E-3</v>
      </c>
      <c r="BM208" s="136">
        <f>+BO208</f>
        <v>-1.529511821738391E-3</v>
      </c>
      <c r="BN208" s="136">
        <f>+BO208</f>
        <v>-1.529511821738391E-3</v>
      </c>
      <c r="BO208" s="136">
        <f>+BJ208</f>
        <v>-1.529511821738391E-3</v>
      </c>
      <c r="BP208" s="136">
        <f>+BT208</f>
        <v>-1.529511821738391E-3</v>
      </c>
      <c r="BQ208" s="136">
        <f>+BT208</f>
        <v>-1.529511821738391E-3</v>
      </c>
      <c r="BR208" s="136">
        <f>+BT208</f>
        <v>-1.529511821738391E-3</v>
      </c>
      <c r="BS208" s="136">
        <f>+BT208</f>
        <v>-1.529511821738391E-3</v>
      </c>
      <c r="BT208" s="136">
        <f>+BO208</f>
        <v>-1.529511821738391E-3</v>
      </c>
      <c r="BU208" s="136">
        <f>+BY208</f>
        <v>-1.529511821738391E-3</v>
      </c>
      <c r="BV208" s="136">
        <f>+BY208</f>
        <v>-1.529511821738391E-3</v>
      </c>
      <c r="BW208" s="136">
        <f>+BY208</f>
        <v>-1.529511821738391E-3</v>
      </c>
      <c r="BX208" s="136">
        <f>+BY208</f>
        <v>-1.529511821738391E-3</v>
      </c>
      <c r="BY208" s="136">
        <f>+BT208</f>
        <v>-1.529511821738391E-3</v>
      </c>
      <c r="BZ208" s="136">
        <f>+CD208</f>
        <v>-1.529511821738391E-3</v>
      </c>
      <c r="CA208" s="136">
        <f>+CD208</f>
        <v>-1.529511821738391E-3</v>
      </c>
      <c r="CB208" s="136">
        <f>+CD208</f>
        <v>-1.529511821738391E-3</v>
      </c>
      <c r="CC208" s="136">
        <f>+CD208</f>
        <v>-1.529511821738391E-3</v>
      </c>
      <c r="CD208" s="136">
        <f>+BY208</f>
        <v>-1.529511821738391E-3</v>
      </c>
      <c r="CE208" s="136">
        <f>+CI208</f>
        <v>-1.529511821738391E-3</v>
      </c>
      <c r="CF208" s="136">
        <f>+CI208</f>
        <v>-1.529511821738391E-3</v>
      </c>
      <c r="CG208" s="136">
        <f>+CI208</f>
        <v>-1.529511821738391E-3</v>
      </c>
      <c r="CH208" s="136">
        <f>+CI208</f>
        <v>-1.529511821738391E-3</v>
      </c>
      <c r="CI208" s="136">
        <f>+CD208</f>
        <v>-1.529511821738391E-3</v>
      </c>
      <c r="CJ208" s="136">
        <f>+CN208</f>
        <v>-1.529511821738391E-3</v>
      </c>
      <c r="CK208" s="136">
        <f>+CN208</f>
        <v>-1.529511821738391E-3</v>
      </c>
      <c r="CL208" s="136">
        <f>+CN208</f>
        <v>-1.529511821738391E-3</v>
      </c>
      <c r="CM208" s="136">
        <f>+CN208</f>
        <v>-1.529511821738391E-3</v>
      </c>
      <c r="CN208" s="136">
        <f>+CI208</f>
        <v>-1.529511821738391E-3</v>
      </c>
      <c r="CO208" s="136">
        <f>+CS208</f>
        <v>-1.529511821738391E-3</v>
      </c>
      <c r="CP208" s="136">
        <f>+CS208</f>
        <v>-1.529511821738391E-3</v>
      </c>
      <c r="CQ208" s="136">
        <f>+CS208</f>
        <v>-1.529511821738391E-3</v>
      </c>
      <c r="CR208" s="136">
        <f>+CS208</f>
        <v>-1.529511821738391E-3</v>
      </c>
      <c r="CS208" s="136">
        <f>+CN208</f>
        <v>-1.529511821738391E-3</v>
      </c>
    </row>
    <row r="209" spans="2:108">
      <c r="B209" s="43" t="s">
        <v>226</v>
      </c>
      <c r="H209" s="136">
        <f t="shared" si="385"/>
        <v>-0.12746548165943608</v>
      </c>
      <c r="I209" s="136">
        <f t="shared" si="386"/>
        <v>-0.12746548165943608</v>
      </c>
      <c r="J209" s="136">
        <f t="shared" si="387"/>
        <v>-0.12746548165943608</v>
      </c>
      <c r="K209" s="136">
        <f t="shared" si="388"/>
        <v>-0.12746548165943608</v>
      </c>
      <c r="L209" s="418">
        <f>79.799/-626.044</f>
        <v>-0.12746548165943608</v>
      </c>
      <c r="M209" s="417">
        <f t="shared" si="389"/>
        <v>-5.3526109882633101E-2</v>
      </c>
      <c r="N209" s="417">
        <f t="shared" si="390"/>
        <v>-5.3526109882633101E-2</v>
      </c>
      <c r="O209" s="417">
        <f t="shared" si="391"/>
        <v>-5.3526109882633101E-2</v>
      </c>
      <c r="P209" s="417">
        <f t="shared" si="392"/>
        <v>-5.3526109882633101E-2</v>
      </c>
      <c r="Q209" s="418">
        <f>39.335/-734.875</f>
        <v>-5.3526109882633101E-2</v>
      </c>
      <c r="R209" s="417">
        <f t="shared" ref="R209:S209" si="394">Q209</f>
        <v>-5.3526109882633101E-2</v>
      </c>
      <c r="S209" s="417">
        <f t="shared" si="394"/>
        <v>-5.3526109882633101E-2</v>
      </c>
      <c r="T209" s="424">
        <f>+V209</f>
        <v>-5.3526109882633101E-2</v>
      </c>
      <c r="U209" s="424">
        <f>+V209</f>
        <v>-5.3526109882633101E-2</v>
      </c>
      <c r="V209" s="136">
        <f>+Q209</f>
        <v>-5.3526109882633101E-2</v>
      </c>
      <c r="W209" s="136">
        <f>+AA209</f>
        <v>-5.3526109882633101E-2</v>
      </c>
      <c r="X209" s="136">
        <f>+AA209</f>
        <v>-5.3526109882633101E-2</v>
      </c>
      <c r="Y209" s="136">
        <f>+AA209</f>
        <v>-5.3526109882633101E-2</v>
      </c>
      <c r="Z209" s="136">
        <f>+AA209</f>
        <v>-5.3526109882633101E-2</v>
      </c>
      <c r="AA209" s="136">
        <f>+V209</f>
        <v>-5.3526109882633101E-2</v>
      </c>
      <c r="AB209" s="136">
        <f>+AF209</f>
        <v>-5.3526109882633101E-2</v>
      </c>
      <c r="AC209" s="136">
        <f>+AF209</f>
        <v>-5.3526109882633101E-2</v>
      </c>
      <c r="AD209" s="136">
        <f>+AF209</f>
        <v>-5.3526109882633101E-2</v>
      </c>
      <c r="AE209" s="136">
        <f>+AF209</f>
        <v>-5.3526109882633101E-2</v>
      </c>
      <c r="AF209" s="136">
        <f>+AA209</f>
        <v>-5.3526109882633101E-2</v>
      </c>
      <c r="AG209" s="136">
        <f>+AK209</f>
        <v>-5.3526109882633101E-2</v>
      </c>
      <c r="AH209" s="136">
        <f>+AK209</f>
        <v>-5.3526109882633101E-2</v>
      </c>
      <c r="AI209" s="136">
        <f>+AK209</f>
        <v>-5.3526109882633101E-2</v>
      </c>
      <c r="AJ209" s="136">
        <f>+AK209</f>
        <v>-5.3526109882633101E-2</v>
      </c>
      <c r="AK209" s="136">
        <f>+AF209</f>
        <v>-5.3526109882633101E-2</v>
      </c>
      <c r="AL209" s="136">
        <f>+AP209</f>
        <v>-5.3526109882633101E-2</v>
      </c>
      <c r="AM209" s="136">
        <f>+AP209</f>
        <v>-5.3526109882633101E-2</v>
      </c>
      <c r="AN209" s="136">
        <f>+AP209</f>
        <v>-5.3526109882633101E-2</v>
      </c>
      <c r="AO209" s="136">
        <f>+AP209</f>
        <v>-5.3526109882633101E-2</v>
      </c>
      <c r="AP209" s="136">
        <f>+AK209</f>
        <v>-5.3526109882633101E-2</v>
      </c>
      <c r="AQ209" s="136">
        <f>+AU209</f>
        <v>-5.3526109882633101E-2</v>
      </c>
      <c r="AR209" s="136">
        <f>+AU209</f>
        <v>-5.3526109882633101E-2</v>
      </c>
      <c r="AS209" s="136">
        <f>+AU209</f>
        <v>-5.3526109882633101E-2</v>
      </c>
      <c r="AT209" s="136">
        <f>+AU209</f>
        <v>-5.3526109882633101E-2</v>
      </c>
      <c r="AU209" s="136">
        <f>+AP209</f>
        <v>-5.3526109882633101E-2</v>
      </c>
      <c r="AV209" s="136">
        <f>+AZ209</f>
        <v>-5.3526109882633101E-2</v>
      </c>
      <c r="AW209" s="136">
        <f>+AZ209</f>
        <v>-5.3526109882633101E-2</v>
      </c>
      <c r="AX209" s="136">
        <f>+AZ209</f>
        <v>-5.3526109882633101E-2</v>
      </c>
      <c r="AY209" s="136">
        <f>+AZ209</f>
        <v>-5.3526109882633101E-2</v>
      </c>
      <c r="AZ209" s="136">
        <f>+AU209</f>
        <v>-5.3526109882633101E-2</v>
      </c>
      <c r="BA209" s="136">
        <f>+BE209</f>
        <v>-5.3526109882633101E-2</v>
      </c>
      <c r="BB209" s="136">
        <f>+BE209</f>
        <v>-5.3526109882633101E-2</v>
      </c>
      <c r="BC209" s="136">
        <f>+BE209</f>
        <v>-5.3526109882633101E-2</v>
      </c>
      <c r="BD209" s="136">
        <f>+BE209</f>
        <v>-5.3526109882633101E-2</v>
      </c>
      <c r="BE209" s="136">
        <f>+AZ209</f>
        <v>-5.3526109882633101E-2</v>
      </c>
      <c r="BF209" s="136">
        <f>+BJ209</f>
        <v>-5.3526109882633101E-2</v>
      </c>
      <c r="BG209" s="136">
        <f>+BJ209</f>
        <v>-5.3526109882633101E-2</v>
      </c>
      <c r="BH209" s="136">
        <f>+BJ209</f>
        <v>-5.3526109882633101E-2</v>
      </c>
      <c r="BI209" s="136">
        <f>+BJ209</f>
        <v>-5.3526109882633101E-2</v>
      </c>
      <c r="BJ209" s="136">
        <f>+BE209</f>
        <v>-5.3526109882633101E-2</v>
      </c>
      <c r="BK209" s="136">
        <f>+BO209</f>
        <v>-5.3526109882633101E-2</v>
      </c>
      <c r="BL209" s="136">
        <f>+BO209</f>
        <v>-5.3526109882633101E-2</v>
      </c>
      <c r="BM209" s="136">
        <f>+BO209</f>
        <v>-5.3526109882633101E-2</v>
      </c>
      <c r="BN209" s="136">
        <f>+BO209</f>
        <v>-5.3526109882633101E-2</v>
      </c>
      <c r="BO209" s="136">
        <f>+BJ209</f>
        <v>-5.3526109882633101E-2</v>
      </c>
      <c r="BP209" s="136">
        <f>+BT209</f>
        <v>-5.3526109882633101E-2</v>
      </c>
      <c r="BQ209" s="136">
        <f>+BT209</f>
        <v>-5.3526109882633101E-2</v>
      </c>
      <c r="BR209" s="136">
        <f>+BT209</f>
        <v>-5.3526109882633101E-2</v>
      </c>
      <c r="BS209" s="136">
        <f>+BT209</f>
        <v>-5.3526109882633101E-2</v>
      </c>
      <c r="BT209" s="136">
        <f>+BO209</f>
        <v>-5.3526109882633101E-2</v>
      </c>
      <c r="BU209" s="136">
        <f>+BY209</f>
        <v>-5.3526109882633101E-2</v>
      </c>
      <c r="BV209" s="136">
        <f>+BY209</f>
        <v>-5.3526109882633101E-2</v>
      </c>
      <c r="BW209" s="136">
        <f>+BY209</f>
        <v>-5.3526109882633101E-2</v>
      </c>
      <c r="BX209" s="136">
        <f>+BY209</f>
        <v>-5.3526109882633101E-2</v>
      </c>
      <c r="BY209" s="136">
        <f>+BT209</f>
        <v>-5.3526109882633101E-2</v>
      </c>
      <c r="BZ209" s="136">
        <f>+CD209</f>
        <v>-5.3526109882633101E-2</v>
      </c>
      <c r="CA209" s="136">
        <f>+CD209</f>
        <v>-5.3526109882633101E-2</v>
      </c>
      <c r="CB209" s="136">
        <f>+CD209</f>
        <v>-5.3526109882633101E-2</v>
      </c>
      <c r="CC209" s="136">
        <f>+CD209</f>
        <v>-5.3526109882633101E-2</v>
      </c>
      <c r="CD209" s="136">
        <f>+BY209</f>
        <v>-5.3526109882633101E-2</v>
      </c>
      <c r="CE209" s="136">
        <f>+CI209</f>
        <v>-5.3526109882633101E-2</v>
      </c>
      <c r="CF209" s="136">
        <f>+CI209</f>
        <v>-5.3526109882633101E-2</v>
      </c>
      <c r="CG209" s="136">
        <f>+CI209</f>
        <v>-5.3526109882633101E-2</v>
      </c>
      <c r="CH209" s="136">
        <f>+CI209</f>
        <v>-5.3526109882633101E-2</v>
      </c>
      <c r="CI209" s="136">
        <f>+CD209</f>
        <v>-5.3526109882633101E-2</v>
      </c>
      <c r="CJ209" s="136">
        <f>+CN209</f>
        <v>-5.3526109882633101E-2</v>
      </c>
      <c r="CK209" s="136">
        <f>+CN209</f>
        <v>-5.3526109882633101E-2</v>
      </c>
      <c r="CL209" s="136">
        <f>+CN209</f>
        <v>-5.3526109882633101E-2</v>
      </c>
      <c r="CM209" s="136">
        <f>+CN209</f>
        <v>-5.3526109882633101E-2</v>
      </c>
      <c r="CN209" s="136">
        <f>+CI209</f>
        <v>-5.3526109882633101E-2</v>
      </c>
      <c r="CO209" s="136">
        <f>+CS209</f>
        <v>-5.3526109882633101E-2</v>
      </c>
      <c r="CP209" s="136">
        <f>+CS209</f>
        <v>-5.3526109882633101E-2</v>
      </c>
      <c r="CQ209" s="136">
        <f>+CS209</f>
        <v>-5.3526109882633101E-2</v>
      </c>
      <c r="CR209" s="136">
        <f>+CS209</f>
        <v>-5.3526109882633101E-2</v>
      </c>
      <c r="CS209" s="136">
        <f>+CN209</f>
        <v>-5.3526109882633101E-2</v>
      </c>
    </row>
    <row r="210" spans="2:108">
      <c r="B210" s="36" t="s">
        <v>489</v>
      </c>
      <c r="H210" s="245">
        <f>+H122+H119</f>
        <v>-312.62700000000001</v>
      </c>
      <c r="I210" s="1">
        <f t="shared" ref="I210:AU210" si="395">+I122+I119</f>
        <v>-61.712000000000003</v>
      </c>
      <c r="J210" s="1">
        <f t="shared" si="395"/>
        <v>-128.66200000000001</v>
      </c>
      <c r="K210" s="245">
        <f>+K122+K119</f>
        <v>-184.54899999999992</v>
      </c>
      <c r="L210" s="425">
        <f t="shared" si="395"/>
        <v>-687.55</v>
      </c>
      <c r="M210" s="425">
        <f t="shared" si="395"/>
        <v>-232.45699999999997</v>
      </c>
      <c r="N210" s="425">
        <f t="shared" si="395"/>
        <v>-159.38200000000003</v>
      </c>
      <c r="O210" s="425">
        <f t="shared" si="395"/>
        <v>-170.06</v>
      </c>
      <c r="P210" s="425">
        <f t="shared" si="395"/>
        <v>-180.84599999999995</v>
      </c>
      <c r="Q210" s="425">
        <f t="shared" si="395"/>
        <v>-742.745</v>
      </c>
      <c r="R210" s="425">
        <f t="shared" si="395"/>
        <v>-198.70399999999998</v>
      </c>
      <c r="S210" s="425">
        <f t="shared" si="395"/>
        <v>-220.99199999999999</v>
      </c>
      <c r="T210" s="425">
        <f t="shared" si="395"/>
        <v>-93.815999999999931</v>
      </c>
      <c r="U210" s="425">
        <f t="shared" si="395"/>
        <v>-74.668999999999997</v>
      </c>
      <c r="V210" s="425">
        <f t="shared" si="395"/>
        <v>-588.18099999999981</v>
      </c>
      <c r="W210" s="425">
        <f t="shared" si="395"/>
        <v>-36.10199999999999</v>
      </c>
      <c r="X210" s="425">
        <f t="shared" si="395"/>
        <v>-36.150999999999996</v>
      </c>
      <c r="Y210" s="425">
        <f t="shared" si="395"/>
        <v>-39.536999999999992</v>
      </c>
      <c r="Z210" s="425">
        <f t="shared" si="395"/>
        <v>27.758999999999936</v>
      </c>
      <c r="AA210" s="425">
        <f>+AA122+AA119</f>
        <v>-84.03100000000002</v>
      </c>
      <c r="AB210" s="425">
        <f t="shared" si="395"/>
        <v>249.54799999999997</v>
      </c>
      <c r="AC210" s="425">
        <f t="shared" si="395"/>
        <v>31.169000000000104</v>
      </c>
      <c r="AD210" s="425">
        <f t="shared" si="395"/>
        <v>-291.26699999999994</v>
      </c>
      <c r="AE210" s="425">
        <f t="shared" si="395"/>
        <v>102.18499999999999</v>
      </c>
      <c r="AF210" s="425">
        <f>+AF122+AF119</f>
        <v>91.635000000000275</v>
      </c>
      <c r="AG210" s="425">
        <f t="shared" si="395"/>
        <v>72.836505935452038</v>
      </c>
      <c r="AH210" s="425">
        <f t="shared" si="395"/>
        <v>112.41238117450692</v>
      </c>
      <c r="AI210" s="425">
        <f t="shared" si="395"/>
        <v>156.38557588456811</v>
      </c>
      <c r="AJ210" s="425">
        <f t="shared" si="395"/>
        <v>180.73324601318052</v>
      </c>
      <c r="AK210" s="425">
        <f t="shared" si="395"/>
        <v>522.36770900770773</v>
      </c>
      <c r="AL210" s="425">
        <f t="shared" si="395"/>
        <v>0</v>
      </c>
      <c r="AM210" s="425">
        <f t="shared" si="395"/>
        <v>0</v>
      </c>
      <c r="AN210" s="425">
        <f t="shared" si="395"/>
        <v>0</v>
      </c>
      <c r="AO210" s="425">
        <f t="shared" si="395"/>
        <v>0</v>
      </c>
      <c r="AP210" s="425">
        <f t="shared" si="395"/>
        <v>672.00411994160345</v>
      </c>
      <c r="AQ210" s="425">
        <f t="shared" si="395"/>
        <v>0</v>
      </c>
      <c r="AR210" s="425">
        <f t="shared" si="395"/>
        <v>0</v>
      </c>
      <c r="AS210" s="425">
        <f t="shared" si="395"/>
        <v>0</v>
      </c>
      <c r="AT210" s="425">
        <f t="shared" si="395"/>
        <v>0</v>
      </c>
      <c r="AU210" s="425">
        <f t="shared" si="395"/>
        <v>1595.7559857770864</v>
      </c>
      <c r="AV210" s="425">
        <f t="shared" ref="AV210:AZ210" si="396">+AV122+AV119</f>
        <v>0</v>
      </c>
      <c r="AW210" s="425">
        <f t="shared" si="396"/>
        <v>0</v>
      </c>
      <c r="AX210" s="425">
        <f t="shared" si="396"/>
        <v>0</v>
      </c>
      <c r="AY210" s="425">
        <f t="shared" si="396"/>
        <v>0</v>
      </c>
      <c r="AZ210" s="425">
        <f t="shared" si="396"/>
        <v>2761.2751784833622</v>
      </c>
      <c r="BA210" s="425">
        <f t="shared" ref="BA210:BE210" si="397">+BA122+BA119</f>
        <v>0</v>
      </c>
      <c r="BB210" s="425">
        <f t="shared" si="397"/>
        <v>0</v>
      </c>
      <c r="BC210" s="425">
        <f t="shared" si="397"/>
        <v>0</v>
      </c>
      <c r="BD210" s="425">
        <f t="shared" si="397"/>
        <v>0</v>
      </c>
      <c r="BE210" s="425">
        <f t="shared" si="397"/>
        <v>2901.3932005792353</v>
      </c>
      <c r="BF210" s="425">
        <f t="shared" ref="BF210:BJ210" si="398">+BF122+BF119</f>
        <v>0</v>
      </c>
      <c r="BG210" s="425">
        <f t="shared" si="398"/>
        <v>0</v>
      </c>
      <c r="BH210" s="425">
        <f t="shared" si="398"/>
        <v>0</v>
      </c>
      <c r="BI210" s="425">
        <f t="shared" si="398"/>
        <v>0</v>
      </c>
      <c r="BJ210" s="425">
        <f t="shared" si="398"/>
        <v>3122.3164897759516</v>
      </c>
      <c r="BK210" s="425">
        <f t="shared" ref="BK210:BO210" si="399">+BK122+BK119</f>
        <v>0</v>
      </c>
      <c r="BL210" s="425">
        <f t="shared" si="399"/>
        <v>0</v>
      </c>
      <c r="BM210" s="425">
        <f t="shared" si="399"/>
        <v>0</v>
      </c>
      <c r="BN210" s="425">
        <f t="shared" si="399"/>
        <v>0</v>
      </c>
      <c r="BO210" s="425">
        <f t="shared" si="399"/>
        <v>3362.5087251266382</v>
      </c>
      <c r="BP210" s="425">
        <f t="shared" ref="BP210:BT210" si="400">+BP122+BP119</f>
        <v>0</v>
      </c>
      <c r="BQ210" s="425">
        <f t="shared" si="400"/>
        <v>0</v>
      </c>
      <c r="BR210" s="425">
        <f t="shared" si="400"/>
        <v>0</v>
      </c>
      <c r="BS210" s="425">
        <f t="shared" si="400"/>
        <v>0</v>
      </c>
      <c r="BT210" s="425">
        <f t="shared" si="400"/>
        <v>4035.5336353684206</v>
      </c>
      <c r="BU210" s="425">
        <f t="shared" ref="BU210:BY210" si="401">+BU122+BU119</f>
        <v>0</v>
      </c>
      <c r="BV210" s="425">
        <f t="shared" si="401"/>
        <v>0</v>
      </c>
      <c r="BW210" s="425">
        <f t="shared" si="401"/>
        <v>0</v>
      </c>
      <c r="BX210" s="425">
        <f t="shared" si="401"/>
        <v>0</v>
      </c>
      <c r="BY210" s="425">
        <f t="shared" si="401"/>
        <v>5307.3229474238278</v>
      </c>
      <c r="BZ210" s="425">
        <f t="shared" ref="BZ210:CD210" si="402">+BZ122+BZ119</f>
        <v>0</v>
      </c>
      <c r="CA210" s="425">
        <f t="shared" si="402"/>
        <v>0</v>
      </c>
      <c r="CB210" s="425">
        <f t="shared" si="402"/>
        <v>0</v>
      </c>
      <c r="CC210" s="425">
        <f t="shared" si="402"/>
        <v>0</v>
      </c>
      <c r="CD210" s="425">
        <f t="shared" si="402"/>
        <v>5587.612969497246</v>
      </c>
      <c r="CE210" s="425">
        <f t="shared" ref="CE210:CI210" si="403">+CE122+CE119</f>
        <v>0</v>
      </c>
      <c r="CF210" s="425">
        <f t="shared" si="403"/>
        <v>0</v>
      </c>
      <c r="CG210" s="425">
        <f t="shared" si="403"/>
        <v>0</v>
      </c>
      <c r="CH210" s="425">
        <f t="shared" si="403"/>
        <v>0</v>
      </c>
      <c r="CI210" s="425">
        <f t="shared" si="403"/>
        <v>5906.5386957868777</v>
      </c>
      <c r="CJ210" s="425">
        <f t="shared" ref="CJ210:CN210" si="404">+CJ122+CJ119</f>
        <v>0</v>
      </c>
      <c r="CK210" s="425">
        <f t="shared" si="404"/>
        <v>0</v>
      </c>
      <c r="CL210" s="425">
        <f t="shared" si="404"/>
        <v>0</v>
      </c>
      <c r="CM210" s="425">
        <f t="shared" si="404"/>
        <v>0</v>
      </c>
      <c r="CN210" s="425">
        <f t="shared" si="404"/>
        <v>6162.622966381874</v>
      </c>
      <c r="CO210" s="425">
        <f t="shared" ref="CO210:CS210" si="405">+CO122+CO119</f>
        <v>0</v>
      </c>
      <c r="CP210" s="425">
        <f t="shared" si="405"/>
        <v>0</v>
      </c>
      <c r="CQ210" s="425">
        <f t="shared" si="405"/>
        <v>0</v>
      </c>
      <c r="CR210" s="425">
        <f t="shared" si="405"/>
        <v>0</v>
      </c>
      <c r="CS210" s="425">
        <f t="shared" si="405"/>
        <v>6513.54327341928</v>
      </c>
    </row>
    <row r="211" spans="2:108">
      <c r="B211" s="36" t="s">
        <v>490</v>
      </c>
      <c r="H211" s="245"/>
      <c r="K211" s="245"/>
      <c r="L211" s="425">
        <f>+CF!G33+CF!G10</f>
        <v>393.18099999999998</v>
      </c>
      <c r="M211" s="425"/>
      <c r="N211" s="425"/>
      <c r="O211" s="425"/>
      <c r="P211" s="425"/>
      <c r="Q211" s="425">
        <f>+CF!H33+CF!H10</f>
        <v>452.15700000000004</v>
      </c>
      <c r="R211" s="425"/>
      <c r="S211" s="425"/>
      <c r="T211" s="425"/>
      <c r="U211" s="425"/>
      <c r="V211" s="425">
        <f>+CF!I33+CF!I10</f>
        <v>416.61700000000002</v>
      </c>
      <c r="W211" s="425"/>
      <c r="X211" s="425"/>
      <c r="Y211" s="425"/>
      <c r="Z211" s="425"/>
      <c r="AA211" s="425">
        <f>+CF!J33+CF!J10</f>
        <v>305.935</v>
      </c>
      <c r="AB211" s="425"/>
      <c r="AC211" s="425"/>
      <c r="AD211" s="425"/>
      <c r="AE211" s="425"/>
      <c r="AF211" s="425">
        <f>+CF!K33+CF!K10</f>
        <v>635.57600000000002</v>
      </c>
      <c r="AG211" s="425"/>
      <c r="AH211" s="425"/>
      <c r="AI211" s="425"/>
      <c r="AJ211" s="425"/>
      <c r="AK211" s="425">
        <f>+CF!L33+CF!L10</f>
        <v>248.9068</v>
      </c>
      <c r="AL211" s="425"/>
      <c r="AM211" s="425"/>
      <c r="AN211" s="425"/>
      <c r="AO211" s="425"/>
      <c r="AP211" s="425">
        <f>+CF!M33+CF!M10</f>
        <v>248.02777</v>
      </c>
      <c r="AQ211" s="425"/>
      <c r="AR211" s="425"/>
      <c r="AS211" s="425"/>
      <c r="AT211" s="425"/>
      <c r="AU211" s="425">
        <f>+CF!N33+CF!N10</f>
        <v>247.34652174999999</v>
      </c>
      <c r="AV211" s="425"/>
      <c r="AW211" s="425"/>
      <c r="AX211" s="425"/>
      <c r="AY211" s="425"/>
      <c r="AZ211" s="425">
        <f>+CF!O33+CF!O10</f>
        <v>246.81855435624999</v>
      </c>
      <c r="BA211" s="425"/>
      <c r="BB211" s="425"/>
      <c r="BC211" s="425"/>
      <c r="BD211" s="425"/>
      <c r="BE211" s="425">
        <f>+CF!P33+CF!P10</f>
        <v>246.40937962609374</v>
      </c>
      <c r="BF211" s="425"/>
      <c r="BG211" s="425"/>
      <c r="BH211" s="425"/>
      <c r="BI211" s="425"/>
      <c r="BJ211" s="425">
        <f>+CF!Q33+CF!Q10</f>
        <v>246.09226921022267</v>
      </c>
      <c r="BK211" s="425"/>
      <c r="BL211" s="425"/>
      <c r="BM211" s="425"/>
      <c r="BN211" s="425"/>
      <c r="BO211" s="425">
        <f>+CF!R33+CF!R10</f>
        <v>245.84650863792257</v>
      </c>
      <c r="BP211" s="425"/>
      <c r="BQ211" s="425"/>
      <c r="BR211" s="425"/>
      <c r="BS211" s="425"/>
      <c r="BT211" s="425">
        <f>+CF!S33+CF!S10</f>
        <v>245.65604419438998</v>
      </c>
      <c r="BU211" s="425"/>
      <c r="BV211" s="425"/>
      <c r="BW211" s="425"/>
      <c r="BX211" s="425"/>
      <c r="BY211" s="425">
        <f>+CF!T33+CF!T10</f>
        <v>245.50843425065224</v>
      </c>
      <c r="BZ211" s="425"/>
      <c r="CA211" s="425"/>
      <c r="CB211" s="425"/>
      <c r="CC211" s="425"/>
      <c r="CD211" s="425">
        <f>+CF!U33+CF!U10</f>
        <v>245.39403654425547</v>
      </c>
      <c r="CE211" s="425"/>
      <c r="CF211" s="425"/>
      <c r="CG211" s="425"/>
      <c r="CH211" s="425"/>
      <c r="CI211" s="425">
        <f>+CF!V33+CF!V10</f>
        <v>245.305378321798</v>
      </c>
      <c r="CJ211" s="425"/>
      <c r="CK211" s="425"/>
      <c r="CL211" s="425"/>
      <c r="CM211" s="425"/>
      <c r="CN211" s="425">
        <f>+CF!W33+CF!W10</f>
        <v>245.23666819939345</v>
      </c>
      <c r="CO211" s="425"/>
      <c r="CP211" s="425"/>
      <c r="CQ211" s="425"/>
      <c r="CR211" s="425"/>
      <c r="CS211" s="425">
        <f>+CF!X33+CF!X10</f>
        <v>245.18341785452992</v>
      </c>
    </row>
    <row r="212" spans="2:108">
      <c r="B212" s="36" t="s">
        <v>491</v>
      </c>
      <c r="H212" s="245"/>
      <c r="K212" s="245"/>
      <c r="L212" s="425">
        <v>0</v>
      </c>
      <c r="M212" s="425"/>
      <c r="N212" s="425"/>
      <c r="O212" s="425"/>
      <c r="P212" s="425"/>
      <c r="Q212" s="425">
        <v>0</v>
      </c>
      <c r="R212" s="425">
        <v>0</v>
      </c>
      <c r="S212" s="425">
        <v>0</v>
      </c>
      <c r="T212" s="425">
        <v>0</v>
      </c>
      <c r="U212" s="425">
        <v>0</v>
      </c>
      <c r="V212" s="425">
        <v>0</v>
      </c>
      <c r="W212" s="425">
        <v>0</v>
      </c>
      <c r="X212" s="425">
        <v>0</v>
      </c>
      <c r="Y212" s="425">
        <v>0</v>
      </c>
      <c r="Z212" s="425">
        <v>0</v>
      </c>
      <c r="AA212" s="425">
        <v>0</v>
      </c>
      <c r="AB212" s="425">
        <v>0</v>
      </c>
      <c r="AC212" s="425">
        <v>0</v>
      </c>
      <c r="AD212" s="425">
        <v>0</v>
      </c>
      <c r="AE212" s="425">
        <v>0</v>
      </c>
      <c r="AF212" s="425">
        <v>0</v>
      </c>
      <c r="AG212" s="425">
        <v>0</v>
      </c>
      <c r="AH212" s="425">
        <v>0</v>
      </c>
      <c r="AI212" s="425">
        <v>0</v>
      </c>
      <c r="AJ212" s="425">
        <v>0</v>
      </c>
      <c r="AK212" s="425">
        <v>0</v>
      </c>
      <c r="AL212" s="425">
        <v>0</v>
      </c>
      <c r="AM212" s="425">
        <v>0</v>
      </c>
      <c r="AN212" s="425">
        <v>0</v>
      </c>
      <c r="AO212" s="425">
        <v>0</v>
      </c>
      <c r="AP212" s="425">
        <v>0</v>
      </c>
      <c r="AQ212" s="425">
        <v>0</v>
      </c>
      <c r="AR212" s="425">
        <v>0</v>
      </c>
      <c r="AS212" s="425">
        <v>0</v>
      </c>
      <c r="AT212" s="425">
        <v>0</v>
      </c>
      <c r="AU212" s="425">
        <v>0</v>
      </c>
      <c r="AV212" s="425">
        <v>0</v>
      </c>
      <c r="AW212" s="425">
        <v>0</v>
      </c>
      <c r="AX212" s="425">
        <v>0</v>
      </c>
      <c r="AY212" s="425">
        <v>0</v>
      </c>
      <c r="AZ212" s="425">
        <v>0</v>
      </c>
      <c r="BA212" s="425">
        <v>0</v>
      </c>
      <c r="BB212" s="425">
        <v>0</v>
      </c>
      <c r="BC212" s="425">
        <v>0</v>
      </c>
      <c r="BD212" s="425">
        <v>0</v>
      </c>
      <c r="BE212" s="425">
        <v>0</v>
      </c>
      <c r="BF212" s="425">
        <v>0</v>
      </c>
      <c r="BG212" s="425">
        <v>0</v>
      </c>
      <c r="BH212" s="425">
        <v>0</v>
      </c>
      <c r="BI212" s="425">
        <v>0</v>
      </c>
      <c r="BJ212" s="425">
        <v>0</v>
      </c>
      <c r="BK212" s="425">
        <v>0</v>
      </c>
      <c r="BL212" s="425">
        <v>0</v>
      </c>
      <c r="BM212" s="425">
        <v>0</v>
      </c>
      <c r="BN212" s="425">
        <v>0</v>
      </c>
      <c r="BO212" s="425">
        <v>0</v>
      </c>
      <c r="BP212" s="425">
        <v>0</v>
      </c>
      <c r="BQ212" s="425">
        <v>0</v>
      </c>
      <c r="BR212" s="425">
        <v>0</v>
      </c>
      <c r="BS212" s="425">
        <v>0</v>
      </c>
      <c r="BT212" s="425">
        <v>0</v>
      </c>
      <c r="BU212" s="425">
        <v>0</v>
      </c>
      <c r="BV212" s="425">
        <v>0</v>
      </c>
      <c r="BW212" s="425">
        <v>0</v>
      </c>
      <c r="BX212" s="425">
        <v>0</v>
      </c>
      <c r="BY212" s="425">
        <v>0</v>
      </c>
      <c r="BZ212" s="425">
        <v>0</v>
      </c>
      <c r="CA212" s="425">
        <v>0</v>
      </c>
      <c r="CB212" s="425">
        <v>0</v>
      </c>
      <c r="CC212" s="425">
        <v>0</v>
      </c>
      <c r="CD212" s="425">
        <v>0</v>
      </c>
      <c r="CE212" s="425">
        <v>0</v>
      </c>
      <c r="CF212" s="425">
        <v>0</v>
      </c>
      <c r="CG212" s="425">
        <v>0</v>
      </c>
      <c r="CH212" s="425">
        <v>0</v>
      </c>
      <c r="CI212" s="425">
        <v>0</v>
      </c>
      <c r="CJ212" s="425">
        <v>0</v>
      </c>
      <c r="CK212" s="425">
        <v>0</v>
      </c>
      <c r="CL212" s="425">
        <v>0</v>
      </c>
      <c r="CM212" s="425">
        <v>0</v>
      </c>
      <c r="CN212" s="425">
        <v>0</v>
      </c>
      <c r="CO212" s="425">
        <v>0</v>
      </c>
      <c r="CP212" s="425">
        <v>0</v>
      </c>
      <c r="CQ212" s="425">
        <v>0</v>
      </c>
      <c r="CR212" s="425">
        <v>0</v>
      </c>
      <c r="CS212" s="425">
        <v>0</v>
      </c>
    </row>
    <row r="213" spans="2:108">
      <c r="B213" s="14" t="s">
        <v>180</v>
      </c>
      <c r="H213" s="425">
        <f t="shared" ref="H213:AM213" si="406">H39-H172</f>
        <v>-4.6440000000000001</v>
      </c>
      <c r="I213" s="425">
        <f t="shared" si="406"/>
        <v>-2.8530000000000002</v>
      </c>
      <c r="J213" s="425">
        <f t="shared" si="406"/>
        <v>4.6560000000000006</v>
      </c>
      <c r="K213" s="425">
        <f t="shared" si="406"/>
        <v>-1.1000000000064958E-2</v>
      </c>
      <c r="L213" s="425">
        <f t="shared" si="406"/>
        <v>-3.0270000000000632</v>
      </c>
      <c r="M213" s="425">
        <f t="shared" si="406"/>
        <v>-15.266</v>
      </c>
      <c r="N213" s="425">
        <f t="shared" si="406"/>
        <v>-14.539000000000001</v>
      </c>
      <c r="O213" s="425">
        <f t="shared" si="406"/>
        <v>-24.374000000000002</v>
      </c>
      <c r="P213" s="425">
        <f t="shared" si="406"/>
        <v>-24.982000000000003</v>
      </c>
      <c r="Q213" s="425">
        <f t="shared" si="406"/>
        <v>-79.147999999999996</v>
      </c>
      <c r="R213" s="425">
        <f t="shared" si="406"/>
        <v>-26.419999999999998</v>
      </c>
      <c r="S213" s="425">
        <f t="shared" si="406"/>
        <v>-19.696999999999999</v>
      </c>
      <c r="T213" s="425">
        <f t="shared" si="406"/>
        <v>-22.46</v>
      </c>
      <c r="U213" s="425">
        <f t="shared" si="406"/>
        <v>-22.344000000000001</v>
      </c>
      <c r="V213" s="425">
        <f t="shared" si="406"/>
        <v>-90.920999999999992</v>
      </c>
      <c r="W213" s="425">
        <f t="shared" si="406"/>
        <v>-16.076000000000001</v>
      </c>
      <c r="X213" s="425">
        <f t="shared" si="406"/>
        <v>-21.410000000000004</v>
      </c>
      <c r="Y213" s="425">
        <f t="shared" si="406"/>
        <v>-20.343000000000004</v>
      </c>
      <c r="Z213" s="425">
        <f t="shared" si="406"/>
        <v>-19.366</v>
      </c>
      <c r="AA213" s="425">
        <f t="shared" si="406"/>
        <v>-77.195000000000007</v>
      </c>
      <c r="AB213" s="425">
        <f t="shared" si="406"/>
        <v>-17.343</v>
      </c>
      <c r="AC213" s="425">
        <f t="shared" si="406"/>
        <v>-17.241</v>
      </c>
      <c r="AD213" s="425">
        <f t="shared" si="406"/>
        <v>-14.545999999999992</v>
      </c>
      <c r="AE213" s="425">
        <f t="shared" si="406"/>
        <v>-13.298999999999999</v>
      </c>
      <c r="AF213" s="425">
        <f t="shared" si="406"/>
        <v>-62.428999999999988</v>
      </c>
      <c r="AG213" s="425">
        <f t="shared" si="406"/>
        <v>-15</v>
      </c>
      <c r="AH213" s="425">
        <f t="shared" si="406"/>
        <v>-15</v>
      </c>
      <c r="AI213" s="425">
        <f t="shared" si="406"/>
        <v>-15</v>
      </c>
      <c r="AJ213" s="425">
        <f t="shared" si="406"/>
        <v>-15</v>
      </c>
      <c r="AK213" s="425">
        <f t="shared" si="406"/>
        <v>-73.588479260060069</v>
      </c>
      <c r="AL213" s="425">
        <f t="shared" si="406"/>
        <v>0</v>
      </c>
      <c r="AM213" s="425">
        <f t="shared" si="406"/>
        <v>0</v>
      </c>
      <c r="AN213" s="425">
        <f t="shared" ref="AN213:BS213" si="407">AN39-AN172</f>
        <v>0</v>
      </c>
      <c r="AO213" s="425">
        <f t="shared" si="407"/>
        <v>0</v>
      </c>
      <c r="AP213" s="425">
        <f t="shared" si="407"/>
        <v>-73.659289881122589</v>
      </c>
      <c r="AQ213" s="425">
        <f t="shared" si="407"/>
        <v>0</v>
      </c>
      <c r="AR213" s="425">
        <f t="shared" si="407"/>
        <v>0</v>
      </c>
      <c r="AS213" s="425">
        <f t="shared" si="407"/>
        <v>0</v>
      </c>
      <c r="AT213" s="425">
        <f t="shared" si="407"/>
        <v>0</v>
      </c>
      <c r="AU213" s="425">
        <f t="shared" si="407"/>
        <v>-84.935210487839157</v>
      </c>
      <c r="AV213" s="425">
        <f t="shared" si="407"/>
        <v>0</v>
      </c>
      <c r="AW213" s="425">
        <f t="shared" si="407"/>
        <v>0</v>
      </c>
      <c r="AX213" s="425">
        <f t="shared" si="407"/>
        <v>0</v>
      </c>
      <c r="AY213" s="425">
        <f t="shared" si="407"/>
        <v>0</v>
      </c>
      <c r="AZ213" s="425">
        <f t="shared" si="407"/>
        <v>-106.0299119232704</v>
      </c>
      <c r="BA213" s="425">
        <f t="shared" si="407"/>
        <v>0</v>
      </c>
      <c r="BB213" s="425">
        <f t="shared" si="407"/>
        <v>0</v>
      </c>
      <c r="BC213" s="425">
        <f t="shared" si="407"/>
        <v>0</v>
      </c>
      <c r="BD213" s="425">
        <f t="shared" si="407"/>
        <v>0</v>
      </c>
      <c r="BE213" s="425">
        <f t="shared" si="407"/>
        <v>-122.41267248990252</v>
      </c>
      <c r="BF213" s="425">
        <f t="shared" si="407"/>
        <v>0</v>
      </c>
      <c r="BG213" s="425">
        <f t="shared" si="407"/>
        <v>0</v>
      </c>
      <c r="BH213" s="425">
        <f t="shared" si="407"/>
        <v>0</v>
      </c>
      <c r="BI213" s="425">
        <f t="shared" si="407"/>
        <v>0</v>
      </c>
      <c r="BJ213" s="425">
        <f t="shared" si="407"/>
        <v>-141.85596275988956</v>
      </c>
      <c r="BK213" s="425">
        <f t="shared" si="407"/>
        <v>0</v>
      </c>
      <c r="BL213" s="425">
        <f t="shared" si="407"/>
        <v>0</v>
      </c>
      <c r="BM213" s="425">
        <f t="shared" si="407"/>
        <v>0</v>
      </c>
      <c r="BN213" s="425">
        <f t="shared" si="407"/>
        <v>0</v>
      </c>
      <c r="BO213" s="425">
        <f t="shared" si="407"/>
        <v>-162.7008745906509</v>
      </c>
      <c r="BP213" s="425">
        <f t="shared" si="407"/>
        <v>0</v>
      </c>
      <c r="BQ213" s="425">
        <f t="shared" si="407"/>
        <v>0</v>
      </c>
      <c r="BR213" s="425">
        <f t="shared" si="407"/>
        <v>0</v>
      </c>
      <c r="BS213" s="425">
        <f t="shared" si="407"/>
        <v>0</v>
      </c>
      <c r="BT213" s="425">
        <f t="shared" ref="BT213:CS213" si="408">BT39-BT172</f>
        <v>-190.99157722003963</v>
      </c>
      <c r="BU213" s="425">
        <f t="shared" si="408"/>
        <v>0</v>
      </c>
      <c r="BV213" s="425">
        <f t="shared" si="408"/>
        <v>0</v>
      </c>
      <c r="BW213" s="425">
        <f t="shared" si="408"/>
        <v>0</v>
      </c>
      <c r="BX213" s="425">
        <f t="shared" si="408"/>
        <v>0</v>
      </c>
      <c r="BY213" s="425">
        <f t="shared" si="408"/>
        <v>-235.4940744324839</v>
      </c>
      <c r="BZ213" s="425">
        <f t="shared" si="408"/>
        <v>0</v>
      </c>
      <c r="CA213" s="425">
        <f t="shared" si="408"/>
        <v>0</v>
      </c>
      <c r="CB213" s="425">
        <f t="shared" si="408"/>
        <v>0</v>
      </c>
      <c r="CC213" s="425">
        <f t="shared" si="408"/>
        <v>0</v>
      </c>
      <c r="CD213" s="425">
        <f t="shared" si="408"/>
        <v>-277.84504799999547</v>
      </c>
      <c r="CE213" s="425">
        <f t="shared" si="408"/>
        <v>0</v>
      </c>
      <c r="CF213" s="425">
        <f t="shared" si="408"/>
        <v>0</v>
      </c>
      <c r="CG213" s="425">
        <f t="shared" si="408"/>
        <v>0</v>
      </c>
      <c r="CH213" s="425">
        <f t="shared" si="408"/>
        <v>0</v>
      </c>
      <c r="CI213" s="425">
        <f t="shared" si="408"/>
        <v>-315.34281277866558</v>
      </c>
      <c r="CJ213" s="425">
        <f t="shared" si="408"/>
        <v>0</v>
      </c>
      <c r="CK213" s="425">
        <f t="shared" si="408"/>
        <v>0</v>
      </c>
      <c r="CL213" s="425">
        <f t="shared" si="408"/>
        <v>0</v>
      </c>
      <c r="CM213" s="425">
        <f t="shared" si="408"/>
        <v>0</v>
      </c>
      <c r="CN213" s="425">
        <f t="shared" si="408"/>
        <v>-353.92038735857955</v>
      </c>
      <c r="CO213" s="425">
        <f t="shared" si="408"/>
        <v>0</v>
      </c>
      <c r="CP213" s="425">
        <f t="shared" si="408"/>
        <v>0</v>
      </c>
      <c r="CQ213" s="425">
        <f t="shared" si="408"/>
        <v>0</v>
      </c>
      <c r="CR213" s="425">
        <f t="shared" si="408"/>
        <v>0</v>
      </c>
      <c r="CS213" s="425">
        <f t="shared" si="408"/>
        <v>-271.80633864265042</v>
      </c>
    </row>
    <row r="214" spans="2:108">
      <c r="B214" s="36"/>
      <c r="H214" s="245"/>
      <c r="K214" s="245"/>
    </row>
    <row r="215" spans="2:108">
      <c r="B215" s="45" t="s">
        <v>229</v>
      </c>
    </row>
    <row r="216" spans="2:108">
      <c r="B216" s="83"/>
    </row>
    <row r="217" spans="2:108" s="520" customFormat="1">
      <c r="B217" s="564" t="s">
        <v>206</v>
      </c>
      <c r="C217" s="565"/>
      <c r="CY217"/>
      <c r="CZ217"/>
      <c r="DA217"/>
      <c r="DB217"/>
      <c r="DC217"/>
      <c r="DD217"/>
    </row>
    <row r="218" spans="2:108" s="520" customFormat="1">
      <c r="B218" s="566" t="s">
        <v>205</v>
      </c>
      <c r="C218" s="565"/>
      <c r="H218" s="535">
        <v>11.091999999999942</v>
      </c>
      <c r="I218" s="535">
        <v>-2.8040000000000305</v>
      </c>
      <c r="J218" s="535">
        <v>-76.484999999999985</v>
      </c>
      <c r="K218" s="535">
        <v>-128.48899999999992</v>
      </c>
      <c r="L218" s="535"/>
      <c r="M218" s="535"/>
      <c r="N218" s="535"/>
      <c r="O218" s="535"/>
      <c r="P218" s="535"/>
      <c r="Q218" s="535"/>
      <c r="R218" s="535"/>
      <c r="S218" s="535"/>
      <c r="CY218"/>
      <c r="CZ218"/>
      <c r="DA218"/>
      <c r="DB218"/>
      <c r="DC218"/>
      <c r="DD218"/>
    </row>
    <row r="219" spans="2:108" s="520" customFormat="1">
      <c r="B219" s="566" t="s">
        <v>202</v>
      </c>
      <c r="C219" s="565"/>
      <c r="H219" s="535">
        <v>-308.01600000000002</v>
      </c>
      <c r="I219" s="535">
        <v>-57.164999999999999</v>
      </c>
      <c r="J219" s="535">
        <v>-124.125</v>
      </c>
      <c r="K219" s="535">
        <v>44.284999999999997</v>
      </c>
      <c r="L219" s="535"/>
      <c r="M219" s="535"/>
      <c r="N219" s="535"/>
      <c r="O219" s="535"/>
      <c r="P219" s="535"/>
      <c r="Q219" s="535"/>
      <c r="R219" s="535"/>
      <c r="S219" s="535"/>
      <c r="CY219"/>
      <c r="CZ219"/>
      <c r="DA219"/>
      <c r="DB219"/>
      <c r="DC219"/>
      <c r="DD219"/>
    </row>
    <row r="220" spans="2:108" s="520" customFormat="1">
      <c r="B220" s="566" t="s">
        <v>203</v>
      </c>
      <c r="C220" s="565"/>
      <c r="H220" s="535">
        <v>5.7489999999999997</v>
      </c>
      <c r="I220" s="535">
        <v>-6.2149999999999999</v>
      </c>
      <c r="J220" s="535">
        <v>-74.384</v>
      </c>
      <c r="K220" s="535">
        <v>-128.446</v>
      </c>
      <c r="L220" s="535"/>
      <c r="M220" s="535"/>
      <c r="N220" s="535"/>
      <c r="O220" s="535"/>
      <c r="P220" s="535"/>
      <c r="Q220" s="535"/>
      <c r="R220" s="535"/>
      <c r="S220" s="535"/>
      <c r="CY220"/>
      <c r="CZ220"/>
      <c r="DA220"/>
      <c r="DB220"/>
      <c r="DC220"/>
      <c r="DD220"/>
    </row>
    <row r="221" spans="2:108" s="520" customFormat="1">
      <c r="B221" s="566" t="s">
        <v>204</v>
      </c>
      <c r="C221" s="565"/>
      <c r="H221" s="535">
        <v>-1.43</v>
      </c>
      <c r="I221" s="535">
        <v>-0.26</v>
      </c>
      <c r="J221" s="535">
        <v>-0.54</v>
      </c>
      <c r="K221" s="535">
        <v>0.19</v>
      </c>
      <c r="L221" s="535"/>
      <c r="M221" s="535"/>
      <c r="N221" s="535"/>
      <c r="O221" s="535"/>
      <c r="P221" s="535"/>
      <c r="Q221" s="535"/>
      <c r="R221" s="535"/>
      <c r="S221" s="535"/>
      <c r="CY221"/>
      <c r="CZ221"/>
      <c r="DA221"/>
      <c r="DB221"/>
      <c r="DC221"/>
      <c r="DD221"/>
    </row>
    <row r="222" spans="2:108" s="520" customFormat="1">
      <c r="B222" s="566" t="s">
        <v>228</v>
      </c>
      <c r="C222" s="565"/>
      <c r="H222" s="535">
        <v>0.03</v>
      </c>
      <c r="I222" s="535">
        <v>-0.03</v>
      </c>
      <c r="J222" s="535">
        <v>-0.32</v>
      </c>
      <c r="K222" s="535">
        <v>-0.56000000000000005</v>
      </c>
      <c r="L222" s="535"/>
      <c r="M222" s="535"/>
      <c r="N222" s="535"/>
      <c r="O222" s="535"/>
      <c r="P222" s="535"/>
      <c r="Q222" s="535"/>
      <c r="R222" s="535"/>
      <c r="S222" s="535"/>
      <c r="CY222"/>
      <c r="CZ222"/>
      <c r="DA222"/>
      <c r="DB222"/>
      <c r="DC222"/>
      <c r="DD222"/>
    </row>
    <row r="223" spans="2:108" s="520" customFormat="1">
      <c r="B223" s="566"/>
      <c r="C223" s="565"/>
      <c r="CY223"/>
      <c r="CZ223"/>
      <c r="DA223"/>
      <c r="DB223"/>
      <c r="DC223"/>
      <c r="DD223"/>
    </row>
    <row r="224" spans="2:108" s="520" customFormat="1">
      <c r="B224" s="564" t="s">
        <v>94</v>
      </c>
      <c r="C224" s="565"/>
      <c r="CY224"/>
      <c r="CZ224"/>
      <c r="DA224"/>
      <c r="DB224"/>
      <c r="DC224"/>
      <c r="DD224"/>
    </row>
    <row r="225" spans="2:108" s="520" customFormat="1">
      <c r="B225" s="566" t="s">
        <v>205</v>
      </c>
      <c r="C225" s="565"/>
      <c r="H225" s="567">
        <f>H218-H37</f>
        <v>0</v>
      </c>
      <c r="I225" s="567">
        <f>I218-I37</f>
        <v>0</v>
      </c>
      <c r="J225" s="567">
        <f>J218-J37</f>
        <v>-1.450499999999991</v>
      </c>
      <c r="K225" s="567">
        <f>K218-K37</f>
        <v>-1.4059999999999775</v>
      </c>
      <c r="L225" s="567"/>
      <c r="M225" s="567"/>
      <c r="N225" s="567"/>
      <c r="O225" s="567"/>
      <c r="P225" s="568"/>
      <c r="Q225" s="568"/>
      <c r="R225" s="568"/>
      <c r="S225" s="568"/>
      <c r="CY225"/>
      <c r="CZ225"/>
      <c r="DA225"/>
      <c r="DB225"/>
      <c r="DC225"/>
      <c r="DD225"/>
    </row>
    <row r="226" spans="2:108" s="520" customFormat="1">
      <c r="B226" s="566" t="s">
        <v>202</v>
      </c>
      <c r="C226" s="565"/>
      <c r="H226" s="567">
        <f>H219-H122</f>
        <v>0</v>
      </c>
      <c r="I226" s="567">
        <f>I219-I122</f>
        <v>0</v>
      </c>
      <c r="J226" s="567">
        <f>J219-J122</f>
        <v>7.0000000000050022E-3</v>
      </c>
      <c r="K226" s="567">
        <f>K219-K122</f>
        <v>-8.5265128291212022E-14</v>
      </c>
      <c r="L226" s="567"/>
      <c r="M226" s="567"/>
      <c r="N226" s="567"/>
      <c r="O226" s="567"/>
      <c r="P226" s="567"/>
      <c r="Q226" s="567"/>
      <c r="R226" s="567"/>
      <c r="S226" s="567"/>
      <c r="CY226"/>
      <c r="CZ226"/>
      <c r="DA226"/>
      <c r="DB226"/>
      <c r="DC226"/>
      <c r="DD226"/>
    </row>
    <row r="227" spans="2:108" s="520" customFormat="1">
      <c r="B227" s="566" t="s">
        <v>203</v>
      </c>
      <c r="C227" s="565"/>
      <c r="H227" s="567">
        <f>H220-H45</f>
        <v>7.0166095156309893E-14</v>
      </c>
      <c r="I227" s="567">
        <f>I220-I45</f>
        <v>3.0198066269804258E-14</v>
      </c>
      <c r="J227" s="567">
        <f>J220-J45</f>
        <v>-0.23050000000000637</v>
      </c>
      <c r="K227" s="567">
        <f>K220-K45</f>
        <v>2.7040000000000077</v>
      </c>
      <c r="L227" s="567"/>
      <c r="M227" s="567"/>
      <c r="N227" s="567"/>
      <c r="O227" s="567"/>
      <c r="P227" s="567"/>
      <c r="Q227" s="567"/>
      <c r="R227" s="567"/>
      <c r="S227" s="567"/>
      <c r="CY227"/>
      <c r="CZ227"/>
      <c r="DA227"/>
      <c r="DB227"/>
      <c r="DC227"/>
      <c r="DD227"/>
    </row>
    <row r="228" spans="2:108" s="520" customFormat="1">
      <c r="B228" s="566" t="s">
        <v>204</v>
      </c>
      <c r="C228" s="565"/>
      <c r="H228" s="569">
        <f t="shared" ref="H228:K228" si="409">H126-H221</f>
        <v>1.6725388889637927E-4</v>
      </c>
      <c r="I228" s="569">
        <f t="shared" si="409"/>
        <v>2.5614605522104594E-3</v>
      </c>
      <c r="J228" s="569">
        <f t="shared" si="409"/>
        <v>1.4780590442723396E-3</v>
      </c>
      <c r="K228" s="569">
        <f t="shared" si="409"/>
        <v>1.4911097274114271E-3</v>
      </c>
      <c r="L228" s="569"/>
      <c r="M228" s="569"/>
      <c r="N228" s="569"/>
      <c r="O228" s="569"/>
      <c r="P228" s="569"/>
      <c r="Q228" s="569"/>
      <c r="R228" s="569"/>
      <c r="S228" s="569"/>
      <c r="CY228"/>
      <c r="CZ228"/>
      <c r="DA228"/>
      <c r="DB228"/>
      <c r="DC228"/>
      <c r="DD228"/>
    </row>
    <row r="229" spans="2:108" s="520" customFormat="1">
      <c r="B229" s="566" t="s">
        <v>228</v>
      </c>
      <c r="C229" s="565"/>
      <c r="H229" s="569">
        <f>H48-H222</f>
        <v>-3.3127225293730425E-3</v>
      </c>
      <c r="I229" s="569">
        <f>I48-I222</f>
        <v>2.011186518533728E-3</v>
      </c>
      <c r="J229" s="569">
        <f>J48-J222</f>
        <v>-1.7001800394785271E-3</v>
      </c>
      <c r="K229" s="569">
        <f>K48-K222</f>
        <v>-7.1008025460079782E-3</v>
      </c>
      <c r="L229" s="569"/>
      <c r="M229" s="569"/>
      <c r="N229" s="569"/>
      <c r="O229" s="569"/>
      <c r="P229" s="569"/>
      <c r="Q229" s="569"/>
      <c r="R229" s="569"/>
      <c r="S229" s="569"/>
      <c r="CY229"/>
      <c r="CZ229"/>
      <c r="DA229"/>
      <c r="DB229"/>
      <c r="DC229"/>
      <c r="DD229"/>
    </row>
    <row r="234" spans="2:108" customFormat="1" ht="11.25"/>
  </sheetData>
  <dataConsolidate/>
  <phoneticPr fontId="0" type="noConversion"/>
  <pageMargins left="0" right="0" top="0" bottom="0" header="0" footer="0"/>
  <pageSetup paperSize="5" scale="10"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F2"/>
  <sheetViews>
    <sheetView zoomScaleNormal="100" workbookViewId="0"/>
  </sheetViews>
  <sheetFormatPr defaultRowHeight="11.25"/>
  <sheetData>
    <row r="1" spans="1:6">
      <c r="A1" t="s">
        <v>496</v>
      </c>
    </row>
    <row r="2" spans="1:6">
      <c r="A2" s="426" t="s">
        <v>494</v>
      </c>
      <c r="B2" s="426" t="s">
        <v>497</v>
      </c>
      <c r="C2" s="426" t="s">
        <v>495</v>
      </c>
      <c r="D2" s="426" t="s">
        <v>679</v>
      </c>
      <c r="E2" s="426" t="s">
        <v>493</v>
      </c>
      <c r="F2" s="426" t="s">
        <v>486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3:DW59"/>
  <sheetViews>
    <sheetView showGridLines="0" topLeftCell="A3" zoomScaleNormal="100" workbookViewId="0">
      <pane xSplit="2" ySplit="2" topLeftCell="AU17" activePane="bottomRight" state="frozen"/>
      <selection activeCell="A3" sqref="A3"/>
      <selection pane="topRight" activeCell="C3" sqref="C3"/>
      <selection pane="bottomLeft" activeCell="A4" sqref="A4"/>
      <selection pane="bottomRight" activeCell="B37" sqref="B37"/>
    </sheetView>
  </sheetViews>
  <sheetFormatPr defaultRowHeight="12.75" outlineLevelRow="1" outlineLevelCol="3"/>
  <cols>
    <col min="1" max="1" width="2" style="141" customWidth="1"/>
    <col min="2" max="2" width="36.1640625" style="141" bestFit="1" customWidth="1"/>
    <col min="3" max="6" width="9.33203125" style="141" hidden="1" customWidth="1" outlineLevel="3"/>
    <col min="7" max="7" width="9.33203125" style="141" hidden="1" customWidth="1" outlineLevel="2"/>
    <col min="8" max="11" width="9.33203125" style="141" hidden="1" customWidth="1" outlineLevel="3"/>
    <col min="12" max="12" width="9.33203125" style="141" hidden="1" customWidth="1" outlineLevel="2"/>
    <col min="13" max="16" width="9.33203125" style="141" hidden="1" customWidth="1" outlineLevel="3"/>
    <col min="17" max="17" width="9.33203125" style="141" hidden="1" customWidth="1" outlineLevel="2"/>
    <col min="18" max="21" width="9.33203125" style="141" hidden="1" customWidth="1" outlineLevel="3"/>
    <col min="22" max="22" width="9.33203125" style="141" hidden="1" customWidth="1" outlineLevel="2"/>
    <col min="23" max="26" width="9.33203125" style="141" hidden="1" customWidth="1" outlineLevel="3"/>
    <col min="27" max="27" width="9.33203125" style="141" hidden="1" customWidth="1" outlineLevel="2"/>
    <col min="28" max="31" width="9.33203125" style="141" hidden="1" customWidth="1" outlineLevel="1"/>
    <col min="32" max="32" width="0" style="141" hidden="1" customWidth="1" collapsed="1"/>
    <col min="33" max="36" width="9.33203125" style="141" hidden="1" customWidth="1" outlineLevel="1"/>
    <col min="37" max="37" width="0" style="141" hidden="1" customWidth="1" collapsed="1"/>
    <col min="38" max="41" width="10.6640625" style="141" hidden="1" customWidth="1" outlineLevel="1"/>
    <col min="42" max="42" width="0" style="141" hidden="1" customWidth="1" collapsed="1"/>
    <col min="43" max="46" width="10.6640625" style="141" hidden="1" customWidth="1" outlineLevel="1"/>
    <col min="47" max="47" width="9.33203125" style="141" collapsed="1"/>
    <col min="48" max="51" width="10.6640625" style="141" hidden="1" customWidth="1" outlineLevel="1"/>
    <col min="52" max="52" width="9.33203125" style="141" collapsed="1"/>
    <col min="53" max="56" width="10.6640625" style="141" hidden="1" customWidth="1" outlineLevel="1"/>
    <col min="57" max="57" width="9.33203125" style="141" collapsed="1"/>
    <col min="58" max="61" width="9.33203125" style="141" hidden="1" customWidth="1" outlineLevel="1"/>
    <col min="62" max="62" width="11.5" style="141" customWidth="1" collapsed="1"/>
    <col min="63" max="66" width="9.33203125" style="141" customWidth="1" outlineLevel="1"/>
    <col min="67" max="67" width="9.33203125" style="141"/>
    <col min="68" max="71" width="9.33203125" style="141" hidden="1" customWidth="1" outlineLevel="1"/>
    <col min="72" max="72" width="9.33203125" style="141" collapsed="1"/>
    <col min="73" max="76" width="9.33203125" style="141" hidden="1" customWidth="1" outlineLevel="1"/>
    <col min="77" max="77" width="9.33203125" style="141" collapsed="1"/>
    <col min="78" max="81" width="9.33203125" style="141" hidden="1" customWidth="1" outlineLevel="1"/>
    <col min="82" max="82" width="10.83203125" style="141" bestFit="1" customWidth="1" collapsed="1"/>
    <col min="83" max="86" width="0" style="141" hidden="1" customWidth="1" outlineLevel="1"/>
    <col min="87" max="87" width="9.33203125" style="141" collapsed="1"/>
    <col min="88" max="91" width="0" style="141" hidden="1" customWidth="1" outlineLevel="1"/>
    <col min="92" max="92" width="9.33203125" style="141" collapsed="1"/>
    <col min="93" max="96" width="0" style="141" hidden="1" customWidth="1" outlineLevel="1"/>
    <col min="97" max="97" width="9.33203125" style="141" collapsed="1"/>
    <col min="98" max="101" width="0" style="141" hidden="1" customWidth="1" outlineLevel="1"/>
    <col min="102" max="102" width="9.33203125" style="141" collapsed="1"/>
    <col min="103" max="106" width="0" style="141" hidden="1" customWidth="1" outlineLevel="1"/>
    <col min="107" max="107" width="9.33203125" style="141" collapsed="1"/>
    <col min="108" max="111" width="0" style="141" hidden="1" customWidth="1" outlineLevel="1"/>
    <col min="112" max="112" width="9.33203125" style="141" collapsed="1"/>
    <col min="113" max="116" width="0" style="141" hidden="1" customWidth="1" outlineLevel="1"/>
    <col min="117" max="117" width="9.33203125" style="141" collapsed="1"/>
    <col min="118" max="121" width="0" style="141" hidden="1" customWidth="1" outlineLevel="1"/>
    <col min="122" max="122" width="9.33203125" style="141" collapsed="1"/>
    <col min="123" max="126" width="0" style="141" hidden="1" customWidth="1" outlineLevel="1"/>
    <col min="127" max="127" width="9.6640625" style="141" bestFit="1" customWidth="1" collapsed="1"/>
    <col min="128" max="255" width="9.33203125" style="141"/>
    <col min="256" max="256" width="2" style="141" customWidth="1"/>
    <col min="257" max="257" width="36.1640625" style="141" bestFit="1" customWidth="1"/>
    <col min="258" max="261" width="0" style="141" hidden="1" customWidth="1"/>
    <col min="262" max="262" width="9.33203125" style="141"/>
    <col min="263" max="266" width="0" style="141" hidden="1" customWidth="1"/>
    <col min="267" max="267" width="9.33203125" style="141"/>
    <col min="268" max="271" width="0" style="141" hidden="1" customWidth="1"/>
    <col min="272" max="272" width="9.33203125" style="141"/>
    <col min="273" max="276" width="0" style="141" hidden="1" customWidth="1"/>
    <col min="277" max="277" width="9.33203125" style="141"/>
    <col min="278" max="281" width="0" style="141" hidden="1" customWidth="1"/>
    <col min="282" max="282" width="9.33203125" style="141"/>
    <col min="283" max="286" width="0" style="141" hidden="1" customWidth="1"/>
    <col min="287" max="287" width="9.33203125" style="141"/>
    <col min="288" max="291" width="0" style="141" hidden="1" customWidth="1"/>
    <col min="292" max="292" width="9.33203125" style="141"/>
    <col min="293" max="296" width="0" style="141" hidden="1" customWidth="1"/>
    <col min="297" max="297" width="9.33203125" style="141"/>
    <col min="298" max="301" width="10.6640625" style="141" customWidth="1"/>
    <col min="302" max="302" width="9.33203125" style="141"/>
    <col min="303" max="306" width="10.6640625" style="141" customWidth="1"/>
    <col min="307" max="307" width="9.33203125" style="141"/>
    <col min="308" max="311" width="0" style="141" hidden="1" customWidth="1"/>
    <col min="312" max="312" width="9.33203125" style="141"/>
    <col min="313" max="316" width="0" style="141" hidden="1" customWidth="1"/>
    <col min="317" max="317" width="9.33203125" style="141"/>
    <col min="318" max="321" width="0" style="141" hidden="1" customWidth="1"/>
    <col min="322" max="322" width="9.33203125" style="141"/>
    <col min="323" max="326" width="0" style="141" hidden="1" customWidth="1"/>
    <col min="327" max="327" width="9.33203125" style="141"/>
    <col min="328" max="331" width="0" style="141" hidden="1" customWidth="1"/>
    <col min="332" max="332" width="9.33203125" style="141"/>
    <col min="333" max="336" width="0" style="141" hidden="1" customWidth="1"/>
    <col min="337" max="511" width="9.33203125" style="141"/>
    <col min="512" max="512" width="2" style="141" customWidth="1"/>
    <col min="513" max="513" width="36.1640625" style="141" bestFit="1" customWidth="1"/>
    <col min="514" max="517" width="0" style="141" hidden="1" customWidth="1"/>
    <col min="518" max="518" width="9.33203125" style="141"/>
    <col min="519" max="522" width="0" style="141" hidden="1" customWidth="1"/>
    <col min="523" max="523" width="9.33203125" style="141"/>
    <col min="524" max="527" width="0" style="141" hidden="1" customWidth="1"/>
    <col min="528" max="528" width="9.33203125" style="141"/>
    <col min="529" max="532" width="0" style="141" hidden="1" customWidth="1"/>
    <col min="533" max="533" width="9.33203125" style="141"/>
    <col min="534" max="537" width="0" style="141" hidden="1" customWidth="1"/>
    <col min="538" max="538" width="9.33203125" style="141"/>
    <col min="539" max="542" width="0" style="141" hidden="1" customWidth="1"/>
    <col min="543" max="543" width="9.33203125" style="141"/>
    <col min="544" max="547" width="0" style="141" hidden="1" customWidth="1"/>
    <col min="548" max="548" width="9.33203125" style="141"/>
    <col min="549" max="552" width="0" style="141" hidden="1" customWidth="1"/>
    <col min="553" max="553" width="9.33203125" style="141"/>
    <col min="554" max="557" width="10.6640625" style="141" customWidth="1"/>
    <col min="558" max="558" width="9.33203125" style="141"/>
    <col min="559" max="562" width="10.6640625" style="141" customWidth="1"/>
    <col min="563" max="563" width="9.33203125" style="141"/>
    <col min="564" max="567" width="0" style="141" hidden="1" customWidth="1"/>
    <col min="568" max="568" width="9.33203125" style="141"/>
    <col min="569" max="572" width="0" style="141" hidden="1" customWidth="1"/>
    <col min="573" max="573" width="9.33203125" style="141"/>
    <col min="574" max="577" width="0" style="141" hidden="1" customWidth="1"/>
    <col min="578" max="578" width="9.33203125" style="141"/>
    <col min="579" max="582" width="0" style="141" hidden="1" customWidth="1"/>
    <col min="583" max="583" width="9.33203125" style="141"/>
    <col min="584" max="587" width="0" style="141" hidden="1" customWidth="1"/>
    <col min="588" max="588" width="9.33203125" style="141"/>
    <col min="589" max="592" width="0" style="141" hidden="1" customWidth="1"/>
    <col min="593" max="767" width="9.33203125" style="141"/>
    <col min="768" max="768" width="2" style="141" customWidth="1"/>
    <col min="769" max="769" width="36.1640625" style="141" bestFit="1" customWidth="1"/>
    <col min="770" max="773" width="0" style="141" hidden="1" customWidth="1"/>
    <col min="774" max="774" width="9.33203125" style="141"/>
    <col min="775" max="778" width="0" style="141" hidden="1" customWidth="1"/>
    <col min="779" max="779" width="9.33203125" style="141"/>
    <col min="780" max="783" width="0" style="141" hidden="1" customWidth="1"/>
    <col min="784" max="784" width="9.33203125" style="141"/>
    <col min="785" max="788" width="0" style="141" hidden="1" customWidth="1"/>
    <col min="789" max="789" width="9.33203125" style="141"/>
    <col min="790" max="793" width="0" style="141" hidden="1" customWidth="1"/>
    <col min="794" max="794" width="9.33203125" style="141"/>
    <col min="795" max="798" width="0" style="141" hidden="1" customWidth="1"/>
    <col min="799" max="799" width="9.33203125" style="141"/>
    <col min="800" max="803" width="0" style="141" hidden="1" customWidth="1"/>
    <col min="804" max="804" width="9.33203125" style="141"/>
    <col min="805" max="808" width="0" style="141" hidden="1" customWidth="1"/>
    <col min="809" max="809" width="9.33203125" style="141"/>
    <col min="810" max="813" width="10.6640625" style="141" customWidth="1"/>
    <col min="814" max="814" width="9.33203125" style="141"/>
    <col min="815" max="818" width="10.6640625" style="141" customWidth="1"/>
    <col min="819" max="819" width="9.33203125" style="141"/>
    <col min="820" max="823" width="0" style="141" hidden="1" customWidth="1"/>
    <col min="824" max="824" width="9.33203125" style="141"/>
    <col min="825" max="828" width="0" style="141" hidden="1" customWidth="1"/>
    <col min="829" max="829" width="9.33203125" style="141"/>
    <col min="830" max="833" width="0" style="141" hidden="1" customWidth="1"/>
    <col min="834" max="834" width="9.33203125" style="141"/>
    <col min="835" max="838" width="0" style="141" hidden="1" customWidth="1"/>
    <col min="839" max="839" width="9.33203125" style="141"/>
    <col min="840" max="843" width="0" style="141" hidden="1" customWidth="1"/>
    <col min="844" max="844" width="9.33203125" style="141"/>
    <col min="845" max="848" width="0" style="141" hidden="1" customWidth="1"/>
    <col min="849" max="1023" width="9.33203125" style="141"/>
    <col min="1024" max="1024" width="2" style="141" customWidth="1"/>
    <col min="1025" max="1025" width="36.1640625" style="141" bestFit="1" customWidth="1"/>
    <col min="1026" max="1029" width="0" style="141" hidden="1" customWidth="1"/>
    <col min="1030" max="1030" width="9.33203125" style="141"/>
    <col min="1031" max="1034" width="0" style="141" hidden="1" customWidth="1"/>
    <col min="1035" max="1035" width="9.33203125" style="141"/>
    <col min="1036" max="1039" width="0" style="141" hidden="1" customWidth="1"/>
    <col min="1040" max="1040" width="9.33203125" style="141"/>
    <col min="1041" max="1044" width="0" style="141" hidden="1" customWidth="1"/>
    <col min="1045" max="1045" width="9.33203125" style="141"/>
    <col min="1046" max="1049" width="0" style="141" hidden="1" customWidth="1"/>
    <col min="1050" max="1050" width="9.33203125" style="141"/>
    <col min="1051" max="1054" width="0" style="141" hidden="1" customWidth="1"/>
    <col min="1055" max="1055" width="9.33203125" style="141"/>
    <col min="1056" max="1059" width="0" style="141" hidden="1" customWidth="1"/>
    <col min="1060" max="1060" width="9.33203125" style="141"/>
    <col min="1061" max="1064" width="0" style="141" hidden="1" customWidth="1"/>
    <col min="1065" max="1065" width="9.33203125" style="141"/>
    <col min="1066" max="1069" width="10.6640625" style="141" customWidth="1"/>
    <col min="1070" max="1070" width="9.33203125" style="141"/>
    <col min="1071" max="1074" width="10.6640625" style="141" customWidth="1"/>
    <col min="1075" max="1075" width="9.33203125" style="141"/>
    <col min="1076" max="1079" width="0" style="141" hidden="1" customWidth="1"/>
    <col min="1080" max="1080" width="9.33203125" style="141"/>
    <col min="1081" max="1084" width="0" style="141" hidden="1" customWidth="1"/>
    <col min="1085" max="1085" width="9.33203125" style="141"/>
    <col min="1086" max="1089" width="0" style="141" hidden="1" customWidth="1"/>
    <col min="1090" max="1090" width="9.33203125" style="141"/>
    <col min="1091" max="1094" width="0" style="141" hidden="1" customWidth="1"/>
    <col min="1095" max="1095" width="9.33203125" style="141"/>
    <col min="1096" max="1099" width="0" style="141" hidden="1" customWidth="1"/>
    <col min="1100" max="1100" width="9.33203125" style="141"/>
    <col min="1101" max="1104" width="0" style="141" hidden="1" customWidth="1"/>
    <col min="1105" max="1279" width="9.33203125" style="141"/>
    <col min="1280" max="1280" width="2" style="141" customWidth="1"/>
    <col min="1281" max="1281" width="36.1640625" style="141" bestFit="1" customWidth="1"/>
    <col min="1282" max="1285" width="0" style="141" hidden="1" customWidth="1"/>
    <col min="1286" max="1286" width="9.33203125" style="141"/>
    <col min="1287" max="1290" width="0" style="141" hidden="1" customWidth="1"/>
    <col min="1291" max="1291" width="9.33203125" style="141"/>
    <col min="1292" max="1295" width="0" style="141" hidden="1" customWidth="1"/>
    <col min="1296" max="1296" width="9.33203125" style="141"/>
    <col min="1297" max="1300" width="0" style="141" hidden="1" customWidth="1"/>
    <col min="1301" max="1301" width="9.33203125" style="141"/>
    <col min="1302" max="1305" width="0" style="141" hidden="1" customWidth="1"/>
    <col min="1306" max="1306" width="9.33203125" style="141"/>
    <col min="1307" max="1310" width="0" style="141" hidden="1" customWidth="1"/>
    <col min="1311" max="1311" width="9.33203125" style="141"/>
    <col min="1312" max="1315" width="0" style="141" hidden="1" customWidth="1"/>
    <col min="1316" max="1316" width="9.33203125" style="141"/>
    <col min="1317" max="1320" width="0" style="141" hidden="1" customWidth="1"/>
    <col min="1321" max="1321" width="9.33203125" style="141"/>
    <col min="1322" max="1325" width="10.6640625" style="141" customWidth="1"/>
    <col min="1326" max="1326" width="9.33203125" style="141"/>
    <col min="1327" max="1330" width="10.6640625" style="141" customWidth="1"/>
    <col min="1331" max="1331" width="9.33203125" style="141"/>
    <col min="1332" max="1335" width="0" style="141" hidden="1" customWidth="1"/>
    <col min="1336" max="1336" width="9.33203125" style="141"/>
    <col min="1337" max="1340" width="0" style="141" hidden="1" customWidth="1"/>
    <col min="1341" max="1341" width="9.33203125" style="141"/>
    <col min="1342" max="1345" width="0" style="141" hidden="1" customWidth="1"/>
    <col min="1346" max="1346" width="9.33203125" style="141"/>
    <col min="1347" max="1350" width="0" style="141" hidden="1" customWidth="1"/>
    <col min="1351" max="1351" width="9.33203125" style="141"/>
    <col min="1352" max="1355" width="0" style="141" hidden="1" customWidth="1"/>
    <col min="1356" max="1356" width="9.33203125" style="141"/>
    <col min="1357" max="1360" width="0" style="141" hidden="1" customWidth="1"/>
    <col min="1361" max="1535" width="9.33203125" style="141"/>
    <col min="1536" max="1536" width="2" style="141" customWidth="1"/>
    <col min="1537" max="1537" width="36.1640625" style="141" bestFit="1" customWidth="1"/>
    <col min="1538" max="1541" width="0" style="141" hidden="1" customWidth="1"/>
    <col min="1542" max="1542" width="9.33203125" style="141"/>
    <col min="1543" max="1546" width="0" style="141" hidden="1" customWidth="1"/>
    <col min="1547" max="1547" width="9.33203125" style="141"/>
    <col min="1548" max="1551" width="0" style="141" hidden="1" customWidth="1"/>
    <col min="1552" max="1552" width="9.33203125" style="141"/>
    <col min="1553" max="1556" width="0" style="141" hidden="1" customWidth="1"/>
    <col min="1557" max="1557" width="9.33203125" style="141"/>
    <col min="1558" max="1561" width="0" style="141" hidden="1" customWidth="1"/>
    <col min="1562" max="1562" width="9.33203125" style="141"/>
    <col min="1563" max="1566" width="0" style="141" hidden="1" customWidth="1"/>
    <col min="1567" max="1567" width="9.33203125" style="141"/>
    <col min="1568" max="1571" width="0" style="141" hidden="1" customWidth="1"/>
    <col min="1572" max="1572" width="9.33203125" style="141"/>
    <col min="1573" max="1576" width="0" style="141" hidden="1" customWidth="1"/>
    <col min="1577" max="1577" width="9.33203125" style="141"/>
    <col min="1578" max="1581" width="10.6640625" style="141" customWidth="1"/>
    <col min="1582" max="1582" width="9.33203125" style="141"/>
    <col min="1583" max="1586" width="10.6640625" style="141" customWidth="1"/>
    <col min="1587" max="1587" width="9.33203125" style="141"/>
    <col min="1588" max="1591" width="0" style="141" hidden="1" customWidth="1"/>
    <col min="1592" max="1592" width="9.33203125" style="141"/>
    <col min="1593" max="1596" width="0" style="141" hidden="1" customWidth="1"/>
    <col min="1597" max="1597" width="9.33203125" style="141"/>
    <col min="1598" max="1601" width="0" style="141" hidden="1" customWidth="1"/>
    <col min="1602" max="1602" width="9.33203125" style="141"/>
    <col min="1603" max="1606" width="0" style="141" hidden="1" customWidth="1"/>
    <col min="1607" max="1607" width="9.33203125" style="141"/>
    <col min="1608" max="1611" width="0" style="141" hidden="1" customWidth="1"/>
    <col min="1612" max="1612" width="9.33203125" style="141"/>
    <col min="1613" max="1616" width="0" style="141" hidden="1" customWidth="1"/>
    <col min="1617" max="1791" width="9.33203125" style="141"/>
    <col min="1792" max="1792" width="2" style="141" customWidth="1"/>
    <col min="1793" max="1793" width="36.1640625" style="141" bestFit="1" customWidth="1"/>
    <col min="1794" max="1797" width="0" style="141" hidden="1" customWidth="1"/>
    <col min="1798" max="1798" width="9.33203125" style="141"/>
    <col min="1799" max="1802" width="0" style="141" hidden="1" customWidth="1"/>
    <col min="1803" max="1803" width="9.33203125" style="141"/>
    <col min="1804" max="1807" width="0" style="141" hidden="1" customWidth="1"/>
    <col min="1808" max="1808" width="9.33203125" style="141"/>
    <col min="1809" max="1812" width="0" style="141" hidden="1" customWidth="1"/>
    <col min="1813" max="1813" width="9.33203125" style="141"/>
    <col min="1814" max="1817" width="0" style="141" hidden="1" customWidth="1"/>
    <col min="1818" max="1818" width="9.33203125" style="141"/>
    <col min="1819" max="1822" width="0" style="141" hidden="1" customWidth="1"/>
    <col min="1823" max="1823" width="9.33203125" style="141"/>
    <col min="1824" max="1827" width="0" style="141" hidden="1" customWidth="1"/>
    <col min="1828" max="1828" width="9.33203125" style="141"/>
    <col min="1829" max="1832" width="0" style="141" hidden="1" customWidth="1"/>
    <col min="1833" max="1833" width="9.33203125" style="141"/>
    <col min="1834" max="1837" width="10.6640625" style="141" customWidth="1"/>
    <col min="1838" max="1838" width="9.33203125" style="141"/>
    <col min="1839" max="1842" width="10.6640625" style="141" customWidth="1"/>
    <col min="1843" max="1843" width="9.33203125" style="141"/>
    <col min="1844" max="1847" width="0" style="141" hidden="1" customWidth="1"/>
    <col min="1848" max="1848" width="9.33203125" style="141"/>
    <col min="1849" max="1852" width="0" style="141" hidden="1" customWidth="1"/>
    <col min="1853" max="1853" width="9.33203125" style="141"/>
    <col min="1854" max="1857" width="0" style="141" hidden="1" customWidth="1"/>
    <col min="1858" max="1858" width="9.33203125" style="141"/>
    <col min="1859" max="1862" width="0" style="141" hidden="1" customWidth="1"/>
    <col min="1863" max="1863" width="9.33203125" style="141"/>
    <col min="1864" max="1867" width="0" style="141" hidden="1" customWidth="1"/>
    <col min="1868" max="1868" width="9.33203125" style="141"/>
    <col min="1869" max="1872" width="0" style="141" hidden="1" customWidth="1"/>
    <col min="1873" max="2047" width="9.33203125" style="141"/>
    <col min="2048" max="2048" width="2" style="141" customWidth="1"/>
    <col min="2049" max="2049" width="36.1640625" style="141" bestFit="1" customWidth="1"/>
    <col min="2050" max="2053" width="0" style="141" hidden="1" customWidth="1"/>
    <col min="2054" max="2054" width="9.33203125" style="141"/>
    <col min="2055" max="2058" width="0" style="141" hidden="1" customWidth="1"/>
    <col min="2059" max="2059" width="9.33203125" style="141"/>
    <col min="2060" max="2063" width="0" style="141" hidden="1" customWidth="1"/>
    <col min="2064" max="2064" width="9.33203125" style="141"/>
    <col min="2065" max="2068" width="0" style="141" hidden="1" customWidth="1"/>
    <col min="2069" max="2069" width="9.33203125" style="141"/>
    <col min="2070" max="2073" width="0" style="141" hidden="1" customWidth="1"/>
    <col min="2074" max="2074" width="9.33203125" style="141"/>
    <col min="2075" max="2078" width="0" style="141" hidden="1" customWidth="1"/>
    <col min="2079" max="2079" width="9.33203125" style="141"/>
    <col min="2080" max="2083" width="0" style="141" hidden="1" customWidth="1"/>
    <col min="2084" max="2084" width="9.33203125" style="141"/>
    <col min="2085" max="2088" width="0" style="141" hidden="1" customWidth="1"/>
    <col min="2089" max="2089" width="9.33203125" style="141"/>
    <col min="2090" max="2093" width="10.6640625" style="141" customWidth="1"/>
    <col min="2094" max="2094" width="9.33203125" style="141"/>
    <col min="2095" max="2098" width="10.6640625" style="141" customWidth="1"/>
    <col min="2099" max="2099" width="9.33203125" style="141"/>
    <col min="2100" max="2103" width="0" style="141" hidden="1" customWidth="1"/>
    <col min="2104" max="2104" width="9.33203125" style="141"/>
    <col min="2105" max="2108" width="0" style="141" hidden="1" customWidth="1"/>
    <col min="2109" max="2109" width="9.33203125" style="141"/>
    <col min="2110" max="2113" width="0" style="141" hidden="1" customWidth="1"/>
    <col min="2114" max="2114" width="9.33203125" style="141"/>
    <col min="2115" max="2118" width="0" style="141" hidden="1" customWidth="1"/>
    <col min="2119" max="2119" width="9.33203125" style="141"/>
    <col min="2120" max="2123" width="0" style="141" hidden="1" customWidth="1"/>
    <col min="2124" max="2124" width="9.33203125" style="141"/>
    <col min="2125" max="2128" width="0" style="141" hidden="1" customWidth="1"/>
    <col min="2129" max="2303" width="9.33203125" style="141"/>
    <col min="2304" max="2304" width="2" style="141" customWidth="1"/>
    <col min="2305" max="2305" width="36.1640625" style="141" bestFit="1" customWidth="1"/>
    <col min="2306" max="2309" width="0" style="141" hidden="1" customWidth="1"/>
    <col min="2310" max="2310" width="9.33203125" style="141"/>
    <col min="2311" max="2314" width="0" style="141" hidden="1" customWidth="1"/>
    <col min="2315" max="2315" width="9.33203125" style="141"/>
    <col min="2316" max="2319" width="0" style="141" hidden="1" customWidth="1"/>
    <col min="2320" max="2320" width="9.33203125" style="141"/>
    <col min="2321" max="2324" width="0" style="141" hidden="1" customWidth="1"/>
    <col min="2325" max="2325" width="9.33203125" style="141"/>
    <col min="2326" max="2329" width="0" style="141" hidden="1" customWidth="1"/>
    <col min="2330" max="2330" width="9.33203125" style="141"/>
    <col min="2331" max="2334" width="0" style="141" hidden="1" customWidth="1"/>
    <col min="2335" max="2335" width="9.33203125" style="141"/>
    <col min="2336" max="2339" width="0" style="141" hidden="1" customWidth="1"/>
    <col min="2340" max="2340" width="9.33203125" style="141"/>
    <col min="2341" max="2344" width="0" style="141" hidden="1" customWidth="1"/>
    <col min="2345" max="2345" width="9.33203125" style="141"/>
    <col min="2346" max="2349" width="10.6640625" style="141" customWidth="1"/>
    <col min="2350" max="2350" width="9.33203125" style="141"/>
    <col min="2351" max="2354" width="10.6640625" style="141" customWidth="1"/>
    <col min="2355" max="2355" width="9.33203125" style="141"/>
    <col min="2356" max="2359" width="0" style="141" hidden="1" customWidth="1"/>
    <col min="2360" max="2360" width="9.33203125" style="141"/>
    <col min="2361" max="2364" width="0" style="141" hidden="1" customWidth="1"/>
    <col min="2365" max="2365" width="9.33203125" style="141"/>
    <col min="2366" max="2369" width="0" style="141" hidden="1" customWidth="1"/>
    <col min="2370" max="2370" width="9.33203125" style="141"/>
    <col min="2371" max="2374" width="0" style="141" hidden="1" customWidth="1"/>
    <col min="2375" max="2375" width="9.33203125" style="141"/>
    <col min="2376" max="2379" width="0" style="141" hidden="1" customWidth="1"/>
    <col min="2380" max="2380" width="9.33203125" style="141"/>
    <col min="2381" max="2384" width="0" style="141" hidden="1" customWidth="1"/>
    <col min="2385" max="2559" width="9.33203125" style="141"/>
    <col min="2560" max="2560" width="2" style="141" customWidth="1"/>
    <col min="2561" max="2561" width="36.1640625" style="141" bestFit="1" customWidth="1"/>
    <col min="2562" max="2565" width="0" style="141" hidden="1" customWidth="1"/>
    <col min="2566" max="2566" width="9.33203125" style="141"/>
    <col min="2567" max="2570" width="0" style="141" hidden="1" customWidth="1"/>
    <col min="2571" max="2571" width="9.33203125" style="141"/>
    <col min="2572" max="2575" width="0" style="141" hidden="1" customWidth="1"/>
    <col min="2576" max="2576" width="9.33203125" style="141"/>
    <col min="2577" max="2580" width="0" style="141" hidden="1" customWidth="1"/>
    <col min="2581" max="2581" width="9.33203125" style="141"/>
    <col min="2582" max="2585" width="0" style="141" hidden="1" customWidth="1"/>
    <col min="2586" max="2586" width="9.33203125" style="141"/>
    <col min="2587" max="2590" width="0" style="141" hidden="1" customWidth="1"/>
    <col min="2591" max="2591" width="9.33203125" style="141"/>
    <col min="2592" max="2595" width="0" style="141" hidden="1" customWidth="1"/>
    <col min="2596" max="2596" width="9.33203125" style="141"/>
    <col min="2597" max="2600" width="0" style="141" hidden="1" customWidth="1"/>
    <col min="2601" max="2601" width="9.33203125" style="141"/>
    <col min="2602" max="2605" width="10.6640625" style="141" customWidth="1"/>
    <col min="2606" max="2606" width="9.33203125" style="141"/>
    <col min="2607" max="2610" width="10.6640625" style="141" customWidth="1"/>
    <col min="2611" max="2611" width="9.33203125" style="141"/>
    <col min="2612" max="2615" width="0" style="141" hidden="1" customWidth="1"/>
    <col min="2616" max="2616" width="9.33203125" style="141"/>
    <col min="2617" max="2620" width="0" style="141" hidden="1" customWidth="1"/>
    <col min="2621" max="2621" width="9.33203125" style="141"/>
    <col min="2622" max="2625" width="0" style="141" hidden="1" customWidth="1"/>
    <col min="2626" max="2626" width="9.33203125" style="141"/>
    <col min="2627" max="2630" width="0" style="141" hidden="1" customWidth="1"/>
    <col min="2631" max="2631" width="9.33203125" style="141"/>
    <col min="2632" max="2635" width="0" style="141" hidden="1" customWidth="1"/>
    <col min="2636" max="2636" width="9.33203125" style="141"/>
    <col min="2637" max="2640" width="0" style="141" hidden="1" customWidth="1"/>
    <col min="2641" max="2815" width="9.33203125" style="141"/>
    <col min="2816" max="2816" width="2" style="141" customWidth="1"/>
    <col min="2817" max="2817" width="36.1640625" style="141" bestFit="1" customWidth="1"/>
    <col min="2818" max="2821" width="0" style="141" hidden="1" customWidth="1"/>
    <col min="2822" max="2822" width="9.33203125" style="141"/>
    <col min="2823" max="2826" width="0" style="141" hidden="1" customWidth="1"/>
    <col min="2827" max="2827" width="9.33203125" style="141"/>
    <col min="2828" max="2831" width="0" style="141" hidden="1" customWidth="1"/>
    <col min="2832" max="2832" width="9.33203125" style="141"/>
    <col min="2833" max="2836" width="0" style="141" hidden="1" customWidth="1"/>
    <col min="2837" max="2837" width="9.33203125" style="141"/>
    <col min="2838" max="2841" width="0" style="141" hidden="1" customWidth="1"/>
    <col min="2842" max="2842" width="9.33203125" style="141"/>
    <col min="2843" max="2846" width="0" style="141" hidden="1" customWidth="1"/>
    <col min="2847" max="2847" width="9.33203125" style="141"/>
    <col min="2848" max="2851" width="0" style="141" hidden="1" customWidth="1"/>
    <col min="2852" max="2852" width="9.33203125" style="141"/>
    <col min="2853" max="2856" width="0" style="141" hidden="1" customWidth="1"/>
    <col min="2857" max="2857" width="9.33203125" style="141"/>
    <col min="2858" max="2861" width="10.6640625" style="141" customWidth="1"/>
    <col min="2862" max="2862" width="9.33203125" style="141"/>
    <col min="2863" max="2866" width="10.6640625" style="141" customWidth="1"/>
    <col min="2867" max="2867" width="9.33203125" style="141"/>
    <col min="2868" max="2871" width="0" style="141" hidden="1" customWidth="1"/>
    <col min="2872" max="2872" width="9.33203125" style="141"/>
    <col min="2873" max="2876" width="0" style="141" hidden="1" customWidth="1"/>
    <col min="2877" max="2877" width="9.33203125" style="141"/>
    <col min="2878" max="2881" width="0" style="141" hidden="1" customWidth="1"/>
    <col min="2882" max="2882" width="9.33203125" style="141"/>
    <col min="2883" max="2886" width="0" style="141" hidden="1" customWidth="1"/>
    <col min="2887" max="2887" width="9.33203125" style="141"/>
    <col min="2888" max="2891" width="0" style="141" hidden="1" customWidth="1"/>
    <col min="2892" max="2892" width="9.33203125" style="141"/>
    <col min="2893" max="2896" width="0" style="141" hidden="1" customWidth="1"/>
    <col min="2897" max="3071" width="9.33203125" style="141"/>
    <col min="3072" max="3072" width="2" style="141" customWidth="1"/>
    <col min="3073" max="3073" width="36.1640625" style="141" bestFit="1" customWidth="1"/>
    <col min="3074" max="3077" width="0" style="141" hidden="1" customWidth="1"/>
    <col min="3078" max="3078" width="9.33203125" style="141"/>
    <col min="3079" max="3082" width="0" style="141" hidden="1" customWidth="1"/>
    <col min="3083" max="3083" width="9.33203125" style="141"/>
    <col min="3084" max="3087" width="0" style="141" hidden="1" customWidth="1"/>
    <col min="3088" max="3088" width="9.33203125" style="141"/>
    <col min="3089" max="3092" width="0" style="141" hidden="1" customWidth="1"/>
    <col min="3093" max="3093" width="9.33203125" style="141"/>
    <col min="3094" max="3097" width="0" style="141" hidden="1" customWidth="1"/>
    <col min="3098" max="3098" width="9.33203125" style="141"/>
    <col min="3099" max="3102" width="0" style="141" hidden="1" customWidth="1"/>
    <col min="3103" max="3103" width="9.33203125" style="141"/>
    <col min="3104" max="3107" width="0" style="141" hidden="1" customWidth="1"/>
    <col min="3108" max="3108" width="9.33203125" style="141"/>
    <col min="3109" max="3112" width="0" style="141" hidden="1" customWidth="1"/>
    <col min="3113" max="3113" width="9.33203125" style="141"/>
    <col min="3114" max="3117" width="10.6640625" style="141" customWidth="1"/>
    <col min="3118" max="3118" width="9.33203125" style="141"/>
    <col min="3119" max="3122" width="10.6640625" style="141" customWidth="1"/>
    <col min="3123" max="3123" width="9.33203125" style="141"/>
    <col min="3124" max="3127" width="0" style="141" hidden="1" customWidth="1"/>
    <col min="3128" max="3128" width="9.33203125" style="141"/>
    <col min="3129" max="3132" width="0" style="141" hidden="1" customWidth="1"/>
    <col min="3133" max="3133" width="9.33203125" style="141"/>
    <col min="3134" max="3137" width="0" style="141" hidden="1" customWidth="1"/>
    <col min="3138" max="3138" width="9.33203125" style="141"/>
    <col min="3139" max="3142" width="0" style="141" hidden="1" customWidth="1"/>
    <col min="3143" max="3143" width="9.33203125" style="141"/>
    <col min="3144" max="3147" width="0" style="141" hidden="1" customWidth="1"/>
    <col min="3148" max="3148" width="9.33203125" style="141"/>
    <col min="3149" max="3152" width="0" style="141" hidden="1" customWidth="1"/>
    <col min="3153" max="3327" width="9.33203125" style="141"/>
    <col min="3328" max="3328" width="2" style="141" customWidth="1"/>
    <col min="3329" max="3329" width="36.1640625" style="141" bestFit="1" customWidth="1"/>
    <col min="3330" max="3333" width="0" style="141" hidden="1" customWidth="1"/>
    <col min="3334" max="3334" width="9.33203125" style="141"/>
    <col min="3335" max="3338" width="0" style="141" hidden="1" customWidth="1"/>
    <col min="3339" max="3339" width="9.33203125" style="141"/>
    <col min="3340" max="3343" width="0" style="141" hidden="1" customWidth="1"/>
    <col min="3344" max="3344" width="9.33203125" style="141"/>
    <col min="3345" max="3348" width="0" style="141" hidden="1" customWidth="1"/>
    <col min="3349" max="3349" width="9.33203125" style="141"/>
    <col min="3350" max="3353" width="0" style="141" hidden="1" customWidth="1"/>
    <col min="3354" max="3354" width="9.33203125" style="141"/>
    <col min="3355" max="3358" width="0" style="141" hidden="1" customWidth="1"/>
    <col min="3359" max="3359" width="9.33203125" style="141"/>
    <col min="3360" max="3363" width="0" style="141" hidden="1" customWidth="1"/>
    <col min="3364" max="3364" width="9.33203125" style="141"/>
    <col min="3365" max="3368" width="0" style="141" hidden="1" customWidth="1"/>
    <col min="3369" max="3369" width="9.33203125" style="141"/>
    <col min="3370" max="3373" width="10.6640625" style="141" customWidth="1"/>
    <col min="3374" max="3374" width="9.33203125" style="141"/>
    <col min="3375" max="3378" width="10.6640625" style="141" customWidth="1"/>
    <col min="3379" max="3379" width="9.33203125" style="141"/>
    <col min="3380" max="3383" width="0" style="141" hidden="1" customWidth="1"/>
    <col min="3384" max="3384" width="9.33203125" style="141"/>
    <col min="3385" max="3388" width="0" style="141" hidden="1" customWidth="1"/>
    <col min="3389" max="3389" width="9.33203125" style="141"/>
    <col min="3390" max="3393" width="0" style="141" hidden="1" customWidth="1"/>
    <col min="3394" max="3394" width="9.33203125" style="141"/>
    <col min="3395" max="3398" width="0" style="141" hidden="1" customWidth="1"/>
    <col min="3399" max="3399" width="9.33203125" style="141"/>
    <col min="3400" max="3403" width="0" style="141" hidden="1" customWidth="1"/>
    <col min="3404" max="3404" width="9.33203125" style="141"/>
    <col min="3405" max="3408" width="0" style="141" hidden="1" customWidth="1"/>
    <col min="3409" max="3583" width="9.33203125" style="141"/>
    <col min="3584" max="3584" width="2" style="141" customWidth="1"/>
    <col min="3585" max="3585" width="36.1640625" style="141" bestFit="1" customWidth="1"/>
    <col min="3586" max="3589" width="0" style="141" hidden="1" customWidth="1"/>
    <col min="3590" max="3590" width="9.33203125" style="141"/>
    <col min="3591" max="3594" width="0" style="141" hidden="1" customWidth="1"/>
    <col min="3595" max="3595" width="9.33203125" style="141"/>
    <col min="3596" max="3599" width="0" style="141" hidden="1" customWidth="1"/>
    <col min="3600" max="3600" width="9.33203125" style="141"/>
    <col min="3601" max="3604" width="0" style="141" hidden="1" customWidth="1"/>
    <col min="3605" max="3605" width="9.33203125" style="141"/>
    <col min="3606" max="3609" width="0" style="141" hidden="1" customWidth="1"/>
    <col min="3610" max="3610" width="9.33203125" style="141"/>
    <col min="3611" max="3614" width="0" style="141" hidden="1" customWidth="1"/>
    <col min="3615" max="3615" width="9.33203125" style="141"/>
    <col min="3616" max="3619" width="0" style="141" hidden="1" customWidth="1"/>
    <col min="3620" max="3620" width="9.33203125" style="141"/>
    <col min="3621" max="3624" width="0" style="141" hidden="1" customWidth="1"/>
    <col min="3625" max="3625" width="9.33203125" style="141"/>
    <col min="3626" max="3629" width="10.6640625" style="141" customWidth="1"/>
    <col min="3630" max="3630" width="9.33203125" style="141"/>
    <col min="3631" max="3634" width="10.6640625" style="141" customWidth="1"/>
    <col min="3635" max="3635" width="9.33203125" style="141"/>
    <col min="3636" max="3639" width="0" style="141" hidden="1" customWidth="1"/>
    <col min="3640" max="3640" width="9.33203125" style="141"/>
    <col min="3641" max="3644" width="0" style="141" hidden="1" customWidth="1"/>
    <col min="3645" max="3645" width="9.33203125" style="141"/>
    <col min="3646" max="3649" width="0" style="141" hidden="1" customWidth="1"/>
    <col min="3650" max="3650" width="9.33203125" style="141"/>
    <col min="3651" max="3654" width="0" style="141" hidden="1" customWidth="1"/>
    <col min="3655" max="3655" width="9.33203125" style="141"/>
    <col min="3656" max="3659" width="0" style="141" hidden="1" customWidth="1"/>
    <col min="3660" max="3660" width="9.33203125" style="141"/>
    <col min="3661" max="3664" width="0" style="141" hidden="1" customWidth="1"/>
    <col min="3665" max="3839" width="9.33203125" style="141"/>
    <col min="3840" max="3840" width="2" style="141" customWidth="1"/>
    <col min="3841" max="3841" width="36.1640625" style="141" bestFit="1" customWidth="1"/>
    <col min="3842" max="3845" width="0" style="141" hidden="1" customWidth="1"/>
    <col min="3846" max="3846" width="9.33203125" style="141"/>
    <col min="3847" max="3850" width="0" style="141" hidden="1" customWidth="1"/>
    <col min="3851" max="3851" width="9.33203125" style="141"/>
    <col min="3852" max="3855" width="0" style="141" hidden="1" customWidth="1"/>
    <col min="3856" max="3856" width="9.33203125" style="141"/>
    <col min="3857" max="3860" width="0" style="141" hidden="1" customWidth="1"/>
    <col min="3861" max="3861" width="9.33203125" style="141"/>
    <col min="3862" max="3865" width="0" style="141" hidden="1" customWidth="1"/>
    <col min="3866" max="3866" width="9.33203125" style="141"/>
    <col min="3867" max="3870" width="0" style="141" hidden="1" customWidth="1"/>
    <col min="3871" max="3871" width="9.33203125" style="141"/>
    <col min="3872" max="3875" width="0" style="141" hidden="1" customWidth="1"/>
    <col min="3876" max="3876" width="9.33203125" style="141"/>
    <col min="3877" max="3880" width="0" style="141" hidden="1" customWidth="1"/>
    <col min="3881" max="3881" width="9.33203125" style="141"/>
    <col min="3882" max="3885" width="10.6640625" style="141" customWidth="1"/>
    <col min="3886" max="3886" width="9.33203125" style="141"/>
    <col min="3887" max="3890" width="10.6640625" style="141" customWidth="1"/>
    <col min="3891" max="3891" width="9.33203125" style="141"/>
    <col min="3892" max="3895" width="0" style="141" hidden="1" customWidth="1"/>
    <col min="3896" max="3896" width="9.33203125" style="141"/>
    <col min="3897" max="3900" width="0" style="141" hidden="1" customWidth="1"/>
    <col min="3901" max="3901" width="9.33203125" style="141"/>
    <col min="3902" max="3905" width="0" style="141" hidden="1" customWidth="1"/>
    <col min="3906" max="3906" width="9.33203125" style="141"/>
    <col min="3907" max="3910" width="0" style="141" hidden="1" customWidth="1"/>
    <col min="3911" max="3911" width="9.33203125" style="141"/>
    <col min="3912" max="3915" width="0" style="141" hidden="1" customWidth="1"/>
    <col min="3916" max="3916" width="9.33203125" style="141"/>
    <col min="3917" max="3920" width="0" style="141" hidden="1" customWidth="1"/>
    <col min="3921" max="4095" width="9.33203125" style="141"/>
    <col min="4096" max="4096" width="2" style="141" customWidth="1"/>
    <col min="4097" max="4097" width="36.1640625" style="141" bestFit="1" customWidth="1"/>
    <col min="4098" max="4101" width="0" style="141" hidden="1" customWidth="1"/>
    <col min="4102" max="4102" width="9.33203125" style="141"/>
    <col min="4103" max="4106" width="0" style="141" hidden="1" customWidth="1"/>
    <col min="4107" max="4107" width="9.33203125" style="141"/>
    <col min="4108" max="4111" width="0" style="141" hidden="1" customWidth="1"/>
    <col min="4112" max="4112" width="9.33203125" style="141"/>
    <col min="4113" max="4116" width="0" style="141" hidden="1" customWidth="1"/>
    <col min="4117" max="4117" width="9.33203125" style="141"/>
    <col min="4118" max="4121" width="0" style="141" hidden="1" customWidth="1"/>
    <col min="4122" max="4122" width="9.33203125" style="141"/>
    <col min="4123" max="4126" width="0" style="141" hidden="1" customWidth="1"/>
    <col min="4127" max="4127" width="9.33203125" style="141"/>
    <col min="4128" max="4131" width="0" style="141" hidden="1" customWidth="1"/>
    <col min="4132" max="4132" width="9.33203125" style="141"/>
    <col min="4133" max="4136" width="0" style="141" hidden="1" customWidth="1"/>
    <col min="4137" max="4137" width="9.33203125" style="141"/>
    <col min="4138" max="4141" width="10.6640625" style="141" customWidth="1"/>
    <col min="4142" max="4142" width="9.33203125" style="141"/>
    <col min="4143" max="4146" width="10.6640625" style="141" customWidth="1"/>
    <col min="4147" max="4147" width="9.33203125" style="141"/>
    <col min="4148" max="4151" width="0" style="141" hidden="1" customWidth="1"/>
    <col min="4152" max="4152" width="9.33203125" style="141"/>
    <col min="4153" max="4156" width="0" style="141" hidden="1" customWidth="1"/>
    <col min="4157" max="4157" width="9.33203125" style="141"/>
    <col min="4158" max="4161" width="0" style="141" hidden="1" customWidth="1"/>
    <col min="4162" max="4162" width="9.33203125" style="141"/>
    <col min="4163" max="4166" width="0" style="141" hidden="1" customWidth="1"/>
    <col min="4167" max="4167" width="9.33203125" style="141"/>
    <col min="4168" max="4171" width="0" style="141" hidden="1" customWidth="1"/>
    <col min="4172" max="4172" width="9.33203125" style="141"/>
    <col min="4173" max="4176" width="0" style="141" hidden="1" customWidth="1"/>
    <col min="4177" max="4351" width="9.33203125" style="141"/>
    <col min="4352" max="4352" width="2" style="141" customWidth="1"/>
    <col min="4353" max="4353" width="36.1640625" style="141" bestFit="1" customWidth="1"/>
    <col min="4354" max="4357" width="0" style="141" hidden="1" customWidth="1"/>
    <col min="4358" max="4358" width="9.33203125" style="141"/>
    <col min="4359" max="4362" width="0" style="141" hidden="1" customWidth="1"/>
    <col min="4363" max="4363" width="9.33203125" style="141"/>
    <col min="4364" max="4367" width="0" style="141" hidden="1" customWidth="1"/>
    <col min="4368" max="4368" width="9.33203125" style="141"/>
    <col min="4369" max="4372" width="0" style="141" hidden="1" customWidth="1"/>
    <col min="4373" max="4373" width="9.33203125" style="141"/>
    <col min="4374" max="4377" width="0" style="141" hidden="1" customWidth="1"/>
    <col min="4378" max="4378" width="9.33203125" style="141"/>
    <col min="4379" max="4382" width="0" style="141" hidden="1" customWidth="1"/>
    <col min="4383" max="4383" width="9.33203125" style="141"/>
    <col min="4384" max="4387" width="0" style="141" hidden="1" customWidth="1"/>
    <col min="4388" max="4388" width="9.33203125" style="141"/>
    <col min="4389" max="4392" width="0" style="141" hidden="1" customWidth="1"/>
    <col min="4393" max="4393" width="9.33203125" style="141"/>
    <col min="4394" max="4397" width="10.6640625" style="141" customWidth="1"/>
    <col min="4398" max="4398" width="9.33203125" style="141"/>
    <col min="4399" max="4402" width="10.6640625" style="141" customWidth="1"/>
    <col min="4403" max="4403" width="9.33203125" style="141"/>
    <col min="4404" max="4407" width="0" style="141" hidden="1" customWidth="1"/>
    <col min="4408" max="4408" width="9.33203125" style="141"/>
    <col min="4409" max="4412" width="0" style="141" hidden="1" customWidth="1"/>
    <col min="4413" max="4413" width="9.33203125" style="141"/>
    <col min="4414" max="4417" width="0" style="141" hidden="1" customWidth="1"/>
    <col min="4418" max="4418" width="9.33203125" style="141"/>
    <col min="4419" max="4422" width="0" style="141" hidden="1" customWidth="1"/>
    <col min="4423" max="4423" width="9.33203125" style="141"/>
    <col min="4424" max="4427" width="0" style="141" hidden="1" customWidth="1"/>
    <col min="4428" max="4428" width="9.33203125" style="141"/>
    <col min="4429" max="4432" width="0" style="141" hidden="1" customWidth="1"/>
    <col min="4433" max="4607" width="9.33203125" style="141"/>
    <col min="4608" max="4608" width="2" style="141" customWidth="1"/>
    <col min="4609" max="4609" width="36.1640625" style="141" bestFit="1" customWidth="1"/>
    <col min="4610" max="4613" width="0" style="141" hidden="1" customWidth="1"/>
    <col min="4614" max="4614" width="9.33203125" style="141"/>
    <col min="4615" max="4618" width="0" style="141" hidden="1" customWidth="1"/>
    <col min="4619" max="4619" width="9.33203125" style="141"/>
    <col min="4620" max="4623" width="0" style="141" hidden="1" customWidth="1"/>
    <col min="4624" max="4624" width="9.33203125" style="141"/>
    <col min="4625" max="4628" width="0" style="141" hidden="1" customWidth="1"/>
    <col min="4629" max="4629" width="9.33203125" style="141"/>
    <col min="4630" max="4633" width="0" style="141" hidden="1" customWidth="1"/>
    <col min="4634" max="4634" width="9.33203125" style="141"/>
    <col min="4635" max="4638" width="0" style="141" hidden="1" customWidth="1"/>
    <col min="4639" max="4639" width="9.33203125" style="141"/>
    <col min="4640" max="4643" width="0" style="141" hidden="1" customWidth="1"/>
    <col min="4644" max="4644" width="9.33203125" style="141"/>
    <col min="4645" max="4648" width="0" style="141" hidden="1" customWidth="1"/>
    <col min="4649" max="4649" width="9.33203125" style="141"/>
    <col min="4650" max="4653" width="10.6640625" style="141" customWidth="1"/>
    <col min="4654" max="4654" width="9.33203125" style="141"/>
    <col min="4655" max="4658" width="10.6640625" style="141" customWidth="1"/>
    <col min="4659" max="4659" width="9.33203125" style="141"/>
    <col min="4660" max="4663" width="0" style="141" hidden="1" customWidth="1"/>
    <col min="4664" max="4664" width="9.33203125" style="141"/>
    <col min="4665" max="4668" width="0" style="141" hidden="1" customWidth="1"/>
    <col min="4669" max="4669" width="9.33203125" style="141"/>
    <col min="4670" max="4673" width="0" style="141" hidden="1" customWidth="1"/>
    <col min="4674" max="4674" width="9.33203125" style="141"/>
    <col min="4675" max="4678" width="0" style="141" hidden="1" customWidth="1"/>
    <col min="4679" max="4679" width="9.33203125" style="141"/>
    <col min="4680" max="4683" width="0" style="141" hidden="1" customWidth="1"/>
    <col min="4684" max="4684" width="9.33203125" style="141"/>
    <col min="4685" max="4688" width="0" style="141" hidden="1" customWidth="1"/>
    <col min="4689" max="4863" width="9.33203125" style="141"/>
    <col min="4864" max="4864" width="2" style="141" customWidth="1"/>
    <col min="4865" max="4865" width="36.1640625" style="141" bestFit="1" customWidth="1"/>
    <col min="4866" max="4869" width="0" style="141" hidden="1" customWidth="1"/>
    <col min="4870" max="4870" width="9.33203125" style="141"/>
    <col min="4871" max="4874" width="0" style="141" hidden="1" customWidth="1"/>
    <col min="4875" max="4875" width="9.33203125" style="141"/>
    <col min="4876" max="4879" width="0" style="141" hidden="1" customWidth="1"/>
    <col min="4880" max="4880" width="9.33203125" style="141"/>
    <col min="4881" max="4884" width="0" style="141" hidden="1" customWidth="1"/>
    <col min="4885" max="4885" width="9.33203125" style="141"/>
    <col min="4886" max="4889" width="0" style="141" hidden="1" customWidth="1"/>
    <col min="4890" max="4890" width="9.33203125" style="141"/>
    <col min="4891" max="4894" width="0" style="141" hidden="1" customWidth="1"/>
    <col min="4895" max="4895" width="9.33203125" style="141"/>
    <col min="4896" max="4899" width="0" style="141" hidden="1" customWidth="1"/>
    <col min="4900" max="4900" width="9.33203125" style="141"/>
    <col min="4901" max="4904" width="0" style="141" hidden="1" customWidth="1"/>
    <col min="4905" max="4905" width="9.33203125" style="141"/>
    <col min="4906" max="4909" width="10.6640625" style="141" customWidth="1"/>
    <col min="4910" max="4910" width="9.33203125" style="141"/>
    <col min="4911" max="4914" width="10.6640625" style="141" customWidth="1"/>
    <col min="4915" max="4915" width="9.33203125" style="141"/>
    <col min="4916" max="4919" width="0" style="141" hidden="1" customWidth="1"/>
    <col min="4920" max="4920" width="9.33203125" style="141"/>
    <col min="4921" max="4924" width="0" style="141" hidden="1" customWidth="1"/>
    <col min="4925" max="4925" width="9.33203125" style="141"/>
    <col min="4926" max="4929" width="0" style="141" hidden="1" customWidth="1"/>
    <col min="4930" max="4930" width="9.33203125" style="141"/>
    <col min="4931" max="4934" width="0" style="141" hidden="1" customWidth="1"/>
    <col min="4935" max="4935" width="9.33203125" style="141"/>
    <col min="4936" max="4939" width="0" style="141" hidden="1" customWidth="1"/>
    <col min="4940" max="4940" width="9.33203125" style="141"/>
    <col min="4941" max="4944" width="0" style="141" hidden="1" customWidth="1"/>
    <col min="4945" max="5119" width="9.33203125" style="141"/>
    <col min="5120" max="5120" width="2" style="141" customWidth="1"/>
    <col min="5121" max="5121" width="36.1640625" style="141" bestFit="1" customWidth="1"/>
    <col min="5122" max="5125" width="0" style="141" hidden="1" customWidth="1"/>
    <col min="5126" max="5126" width="9.33203125" style="141"/>
    <col min="5127" max="5130" width="0" style="141" hidden="1" customWidth="1"/>
    <col min="5131" max="5131" width="9.33203125" style="141"/>
    <col min="5132" max="5135" width="0" style="141" hidden="1" customWidth="1"/>
    <col min="5136" max="5136" width="9.33203125" style="141"/>
    <col min="5137" max="5140" width="0" style="141" hidden="1" customWidth="1"/>
    <col min="5141" max="5141" width="9.33203125" style="141"/>
    <col min="5142" max="5145" width="0" style="141" hidden="1" customWidth="1"/>
    <col min="5146" max="5146" width="9.33203125" style="141"/>
    <col min="5147" max="5150" width="0" style="141" hidden="1" customWidth="1"/>
    <col min="5151" max="5151" width="9.33203125" style="141"/>
    <col min="5152" max="5155" width="0" style="141" hidden="1" customWidth="1"/>
    <col min="5156" max="5156" width="9.33203125" style="141"/>
    <col min="5157" max="5160" width="0" style="141" hidden="1" customWidth="1"/>
    <col min="5161" max="5161" width="9.33203125" style="141"/>
    <col min="5162" max="5165" width="10.6640625" style="141" customWidth="1"/>
    <col min="5166" max="5166" width="9.33203125" style="141"/>
    <col min="5167" max="5170" width="10.6640625" style="141" customWidth="1"/>
    <col min="5171" max="5171" width="9.33203125" style="141"/>
    <col min="5172" max="5175" width="0" style="141" hidden="1" customWidth="1"/>
    <col min="5176" max="5176" width="9.33203125" style="141"/>
    <col min="5177" max="5180" width="0" style="141" hidden="1" customWidth="1"/>
    <col min="5181" max="5181" width="9.33203125" style="141"/>
    <col min="5182" max="5185" width="0" style="141" hidden="1" customWidth="1"/>
    <col min="5186" max="5186" width="9.33203125" style="141"/>
    <col min="5187" max="5190" width="0" style="141" hidden="1" customWidth="1"/>
    <col min="5191" max="5191" width="9.33203125" style="141"/>
    <col min="5192" max="5195" width="0" style="141" hidden="1" customWidth="1"/>
    <col min="5196" max="5196" width="9.33203125" style="141"/>
    <col min="5197" max="5200" width="0" style="141" hidden="1" customWidth="1"/>
    <col min="5201" max="5375" width="9.33203125" style="141"/>
    <col min="5376" max="5376" width="2" style="141" customWidth="1"/>
    <col min="5377" max="5377" width="36.1640625" style="141" bestFit="1" customWidth="1"/>
    <col min="5378" max="5381" width="0" style="141" hidden="1" customWidth="1"/>
    <col min="5382" max="5382" width="9.33203125" style="141"/>
    <col min="5383" max="5386" width="0" style="141" hidden="1" customWidth="1"/>
    <col min="5387" max="5387" width="9.33203125" style="141"/>
    <col min="5388" max="5391" width="0" style="141" hidden="1" customWidth="1"/>
    <col min="5392" max="5392" width="9.33203125" style="141"/>
    <col min="5393" max="5396" width="0" style="141" hidden="1" customWidth="1"/>
    <col min="5397" max="5397" width="9.33203125" style="141"/>
    <col min="5398" max="5401" width="0" style="141" hidden="1" customWidth="1"/>
    <col min="5402" max="5402" width="9.33203125" style="141"/>
    <col min="5403" max="5406" width="0" style="141" hidden="1" customWidth="1"/>
    <col min="5407" max="5407" width="9.33203125" style="141"/>
    <col min="5408" max="5411" width="0" style="141" hidden="1" customWidth="1"/>
    <col min="5412" max="5412" width="9.33203125" style="141"/>
    <col min="5413" max="5416" width="0" style="141" hidden="1" customWidth="1"/>
    <col min="5417" max="5417" width="9.33203125" style="141"/>
    <col min="5418" max="5421" width="10.6640625" style="141" customWidth="1"/>
    <col min="5422" max="5422" width="9.33203125" style="141"/>
    <col min="5423" max="5426" width="10.6640625" style="141" customWidth="1"/>
    <col min="5427" max="5427" width="9.33203125" style="141"/>
    <col min="5428" max="5431" width="0" style="141" hidden="1" customWidth="1"/>
    <col min="5432" max="5432" width="9.33203125" style="141"/>
    <col min="5433" max="5436" width="0" style="141" hidden="1" customWidth="1"/>
    <col min="5437" max="5437" width="9.33203125" style="141"/>
    <col min="5438" max="5441" width="0" style="141" hidden="1" customWidth="1"/>
    <col min="5442" max="5442" width="9.33203125" style="141"/>
    <col min="5443" max="5446" width="0" style="141" hidden="1" customWidth="1"/>
    <col min="5447" max="5447" width="9.33203125" style="141"/>
    <col min="5448" max="5451" width="0" style="141" hidden="1" customWidth="1"/>
    <col min="5452" max="5452" width="9.33203125" style="141"/>
    <col min="5453" max="5456" width="0" style="141" hidden="1" customWidth="1"/>
    <col min="5457" max="5631" width="9.33203125" style="141"/>
    <col min="5632" max="5632" width="2" style="141" customWidth="1"/>
    <col min="5633" max="5633" width="36.1640625" style="141" bestFit="1" customWidth="1"/>
    <col min="5634" max="5637" width="0" style="141" hidden="1" customWidth="1"/>
    <col min="5638" max="5638" width="9.33203125" style="141"/>
    <col min="5639" max="5642" width="0" style="141" hidden="1" customWidth="1"/>
    <col min="5643" max="5643" width="9.33203125" style="141"/>
    <col min="5644" max="5647" width="0" style="141" hidden="1" customWidth="1"/>
    <col min="5648" max="5648" width="9.33203125" style="141"/>
    <col min="5649" max="5652" width="0" style="141" hidden="1" customWidth="1"/>
    <col min="5653" max="5653" width="9.33203125" style="141"/>
    <col min="5654" max="5657" width="0" style="141" hidden="1" customWidth="1"/>
    <col min="5658" max="5658" width="9.33203125" style="141"/>
    <col min="5659" max="5662" width="0" style="141" hidden="1" customWidth="1"/>
    <col min="5663" max="5663" width="9.33203125" style="141"/>
    <col min="5664" max="5667" width="0" style="141" hidden="1" customWidth="1"/>
    <col min="5668" max="5668" width="9.33203125" style="141"/>
    <col min="5669" max="5672" width="0" style="141" hidden="1" customWidth="1"/>
    <col min="5673" max="5673" width="9.33203125" style="141"/>
    <col min="5674" max="5677" width="10.6640625" style="141" customWidth="1"/>
    <col min="5678" max="5678" width="9.33203125" style="141"/>
    <col min="5679" max="5682" width="10.6640625" style="141" customWidth="1"/>
    <col min="5683" max="5683" width="9.33203125" style="141"/>
    <col min="5684" max="5687" width="0" style="141" hidden="1" customWidth="1"/>
    <col min="5688" max="5688" width="9.33203125" style="141"/>
    <col min="5689" max="5692" width="0" style="141" hidden="1" customWidth="1"/>
    <col min="5693" max="5693" width="9.33203125" style="141"/>
    <col min="5694" max="5697" width="0" style="141" hidden="1" customWidth="1"/>
    <col min="5698" max="5698" width="9.33203125" style="141"/>
    <col min="5699" max="5702" width="0" style="141" hidden="1" customWidth="1"/>
    <col min="5703" max="5703" width="9.33203125" style="141"/>
    <col min="5704" max="5707" width="0" style="141" hidden="1" customWidth="1"/>
    <col min="5708" max="5708" width="9.33203125" style="141"/>
    <col min="5709" max="5712" width="0" style="141" hidden="1" customWidth="1"/>
    <col min="5713" max="5887" width="9.33203125" style="141"/>
    <col min="5888" max="5888" width="2" style="141" customWidth="1"/>
    <col min="5889" max="5889" width="36.1640625" style="141" bestFit="1" customWidth="1"/>
    <col min="5890" max="5893" width="0" style="141" hidden="1" customWidth="1"/>
    <col min="5894" max="5894" width="9.33203125" style="141"/>
    <col min="5895" max="5898" width="0" style="141" hidden="1" customWidth="1"/>
    <col min="5899" max="5899" width="9.33203125" style="141"/>
    <col min="5900" max="5903" width="0" style="141" hidden="1" customWidth="1"/>
    <col min="5904" max="5904" width="9.33203125" style="141"/>
    <col min="5905" max="5908" width="0" style="141" hidden="1" customWidth="1"/>
    <col min="5909" max="5909" width="9.33203125" style="141"/>
    <col min="5910" max="5913" width="0" style="141" hidden="1" customWidth="1"/>
    <col min="5914" max="5914" width="9.33203125" style="141"/>
    <col min="5915" max="5918" width="0" style="141" hidden="1" customWidth="1"/>
    <col min="5919" max="5919" width="9.33203125" style="141"/>
    <col min="5920" max="5923" width="0" style="141" hidden="1" customWidth="1"/>
    <col min="5924" max="5924" width="9.33203125" style="141"/>
    <col min="5925" max="5928" width="0" style="141" hidden="1" customWidth="1"/>
    <col min="5929" max="5929" width="9.33203125" style="141"/>
    <col min="5930" max="5933" width="10.6640625" style="141" customWidth="1"/>
    <col min="5934" max="5934" width="9.33203125" style="141"/>
    <col min="5935" max="5938" width="10.6640625" style="141" customWidth="1"/>
    <col min="5939" max="5939" width="9.33203125" style="141"/>
    <col min="5940" max="5943" width="0" style="141" hidden="1" customWidth="1"/>
    <col min="5944" max="5944" width="9.33203125" style="141"/>
    <col min="5945" max="5948" width="0" style="141" hidden="1" customWidth="1"/>
    <col min="5949" max="5949" width="9.33203125" style="141"/>
    <col min="5950" max="5953" width="0" style="141" hidden="1" customWidth="1"/>
    <col min="5954" max="5954" width="9.33203125" style="141"/>
    <col min="5955" max="5958" width="0" style="141" hidden="1" customWidth="1"/>
    <col min="5959" max="5959" width="9.33203125" style="141"/>
    <col min="5960" max="5963" width="0" style="141" hidden="1" customWidth="1"/>
    <col min="5964" max="5964" width="9.33203125" style="141"/>
    <col min="5965" max="5968" width="0" style="141" hidden="1" customWidth="1"/>
    <col min="5969" max="6143" width="9.33203125" style="141"/>
    <col min="6144" max="6144" width="2" style="141" customWidth="1"/>
    <col min="6145" max="6145" width="36.1640625" style="141" bestFit="1" customWidth="1"/>
    <col min="6146" max="6149" width="0" style="141" hidden="1" customWidth="1"/>
    <col min="6150" max="6150" width="9.33203125" style="141"/>
    <col min="6151" max="6154" width="0" style="141" hidden="1" customWidth="1"/>
    <col min="6155" max="6155" width="9.33203125" style="141"/>
    <col min="6156" max="6159" width="0" style="141" hidden="1" customWidth="1"/>
    <col min="6160" max="6160" width="9.33203125" style="141"/>
    <col min="6161" max="6164" width="0" style="141" hidden="1" customWidth="1"/>
    <col min="6165" max="6165" width="9.33203125" style="141"/>
    <col min="6166" max="6169" width="0" style="141" hidden="1" customWidth="1"/>
    <col min="6170" max="6170" width="9.33203125" style="141"/>
    <col min="6171" max="6174" width="0" style="141" hidden="1" customWidth="1"/>
    <col min="6175" max="6175" width="9.33203125" style="141"/>
    <col min="6176" max="6179" width="0" style="141" hidden="1" customWidth="1"/>
    <col min="6180" max="6180" width="9.33203125" style="141"/>
    <col min="6181" max="6184" width="0" style="141" hidden="1" customWidth="1"/>
    <col min="6185" max="6185" width="9.33203125" style="141"/>
    <col min="6186" max="6189" width="10.6640625" style="141" customWidth="1"/>
    <col min="6190" max="6190" width="9.33203125" style="141"/>
    <col min="6191" max="6194" width="10.6640625" style="141" customWidth="1"/>
    <col min="6195" max="6195" width="9.33203125" style="141"/>
    <col min="6196" max="6199" width="0" style="141" hidden="1" customWidth="1"/>
    <col min="6200" max="6200" width="9.33203125" style="141"/>
    <col min="6201" max="6204" width="0" style="141" hidden="1" customWidth="1"/>
    <col min="6205" max="6205" width="9.33203125" style="141"/>
    <col min="6206" max="6209" width="0" style="141" hidden="1" customWidth="1"/>
    <col min="6210" max="6210" width="9.33203125" style="141"/>
    <col min="6211" max="6214" width="0" style="141" hidden="1" customWidth="1"/>
    <col min="6215" max="6215" width="9.33203125" style="141"/>
    <col min="6216" max="6219" width="0" style="141" hidden="1" customWidth="1"/>
    <col min="6220" max="6220" width="9.33203125" style="141"/>
    <col min="6221" max="6224" width="0" style="141" hidden="1" customWidth="1"/>
    <col min="6225" max="6399" width="9.33203125" style="141"/>
    <col min="6400" max="6400" width="2" style="141" customWidth="1"/>
    <col min="6401" max="6401" width="36.1640625" style="141" bestFit="1" customWidth="1"/>
    <col min="6402" max="6405" width="0" style="141" hidden="1" customWidth="1"/>
    <col min="6406" max="6406" width="9.33203125" style="141"/>
    <col min="6407" max="6410" width="0" style="141" hidden="1" customWidth="1"/>
    <col min="6411" max="6411" width="9.33203125" style="141"/>
    <col min="6412" max="6415" width="0" style="141" hidden="1" customWidth="1"/>
    <col min="6416" max="6416" width="9.33203125" style="141"/>
    <col min="6417" max="6420" width="0" style="141" hidden="1" customWidth="1"/>
    <col min="6421" max="6421" width="9.33203125" style="141"/>
    <col min="6422" max="6425" width="0" style="141" hidden="1" customWidth="1"/>
    <col min="6426" max="6426" width="9.33203125" style="141"/>
    <col min="6427" max="6430" width="0" style="141" hidden="1" customWidth="1"/>
    <col min="6431" max="6431" width="9.33203125" style="141"/>
    <col min="6432" max="6435" width="0" style="141" hidden="1" customWidth="1"/>
    <col min="6436" max="6436" width="9.33203125" style="141"/>
    <col min="6437" max="6440" width="0" style="141" hidden="1" customWidth="1"/>
    <col min="6441" max="6441" width="9.33203125" style="141"/>
    <col min="6442" max="6445" width="10.6640625" style="141" customWidth="1"/>
    <col min="6446" max="6446" width="9.33203125" style="141"/>
    <col min="6447" max="6450" width="10.6640625" style="141" customWidth="1"/>
    <col min="6451" max="6451" width="9.33203125" style="141"/>
    <col min="6452" max="6455" width="0" style="141" hidden="1" customWidth="1"/>
    <col min="6456" max="6456" width="9.33203125" style="141"/>
    <col min="6457" max="6460" width="0" style="141" hidden="1" customWidth="1"/>
    <col min="6461" max="6461" width="9.33203125" style="141"/>
    <col min="6462" max="6465" width="0" style="141" hidden="1" customWidth="1"/>
    <col min="6466" max="6466" width="9.33203125" style="141"/>
    <col min="6467" max="6470" width="0" style="141" hidden="1" customWidth="1"/>
    <col min="6471" max="6471" width="9.33203125" style="141"/>
    <col min="6472" max="6475" width="0" style="141" hidden="1" customWidth="1"/>
    <col min="6476" max="6476" width="9.33203125" style="141"/>
    <col min="6477" max="6480" width="0" style="141" hidden="1" customWidth="1"/>
    <col min="6481" max="6655" width="9.33203125" style="141"/>
    <col min="6656" max="6656" width="2" style="141" customWidth="1"/>
    <col min="6657" max="6657" width="36.1640625" style="141" bestFit="1" customWidth="1"/>
    <col min="6658" max="6661" width="0" style="141" hidden="1" customWidth="1"/>
    <col min="6662" max="6662" width="9.33203125" style="141"/>
    <col min="6663" max="6666" width="0" style="141" hidden="1" customWidth="1"/>
    <col min="6667" max="6667" width="9.33203125" style="141"/>
    <col min="6668" max="6671" width="0" style="141" hidden="1" customWidth="1"/>
    <col min="6672" max="6672" width="9.33203125" style="141"/>
    <col min="6673" max="6676" width="0" style="141" hidden="1" customWidth="1"/>
    <col min="6677" max="6677" width="9.33203125" style="141"/>
    <col min="6678" max="6681" width="0" style="141" hidden="1" customWidth="1"/>
    <col min="6682" max="6682" width="9.33203125" style="141"/>
    <col min="6683" max="6686" width="0" style="141" hidden="1" customWidth="1"/>
    <col min="6687" max="6687" width="9.33203125" style="141"/>
    <col min="6688" max="6691" width="0" style="141" hidden="1" customWidth="1"/>
    <col min="6692" max="6692" width="9.33203125" style="141"/>
    <col min="6693" max="6696" width="0" style="141" hidden="1" customWidth="1"/>
    <col min="6697" max="6697" width="9.33203125" style="141"/>
    <col min="6698" max="6701" width="10.6640625" style="141" customWidth="1"/>
    <col min="6702" max="6702" width="9.33203125" style="141"/>
    <col min="6703" max="6706" width="10.6640625" style="141" customWidth="1"/>
    <col min="6707" max="6707" width="9.33203125" style="141"/>
    <col min="6708" max="6711" width="0" style="141" hidden="1" customWidth="1"/>
    <col min="6712" max="6712" width="9.33203125" style="141"/>
    <col min="6713" max="6716" width="0" style="141" hidden="1" customWidth="1"/>
    <col min="6717" max="6717" width="9.33203125" style="141"/>
    <col min="6718" max="6721" width="0" style="141" hidden="1" customWidth="1"/>
    <col min="6722" max="6722" width="9.33203125" style="141"/>
    <col min="6723" max="6726" width="0" style="141" hidden="1" customWidth="1"/>
    <col min="6727" max="6727" width="9.33203125" style="141"/>
    <col min="6728" max="6731" width="0" style="141" hidden="1" customWidth="1"/>
    <col min="6732" max="6732" width="9.33203125" style="141"/>
    <col min="6733" max="6736" width="0" style="141" hidden="1" customWidth="1"/>
    <col min="6737" max="6911" width="9.33203125" style="141"/>
    <col min="6912" max="6912" width="2" style="141" customWidth="1"/>
    <col min="6913" max="6913" width="36.1640625" style="141" bestFit="1" customWidth="1"/>
    <col min="6914" max="6917" width="0" style="141" hidden="1" customWidth="1"/>
    <col min="6918" max="6918" width="9.33203125" style="141"/>
    <col min="6919" max="6922" width="0" style="141" hidden="1" customWidth="1"/>
    <col min="6923" max="6923" width="9.33203125" style="141"/>
    <col min="6924" max="6927" width="0" style="141" hidden="1" customWidth="1"/>
    <col min="6928" max="6928" width="9.33203125" style="141"/>
    <col min="6929" max="6932" width="0" style="141" hidden="1" customWidth="1"/>
    <col min="6933" max="6933" width="9.33203125" style="141"/>
    <col min="6934" max="6937" width="0" style="141" hidden="1" customWidth="1"/>
    <col min="6938" max="6938" width="9.33203125" style="141"/>
    <col min="6939" max="6942" width="0" style="141" hidden="1" customWidth="1"/>
    <col min="6943" max="6943" width="9.33203125" style="141"/>
    <col min="6944" max="6947" width="0" style="141" hidden="1" customWidth="1"/>
    <col min="6948" max="6948" width="9.33203125" style="141"/>
    <col min="6949" max="6952" width="0" style="141" hidden="1" customWidth="1"/>
    <col min="6953" max="6953" width="9.33203125" style="141"/>
    <col min="6954" max="6957" width="10.6640625" style="141" customWidth="1"/>
    <col min="6958" max="6958" width="9.33203125" style="141"/>
    <col min="6959" max="6962" width="10.6640625" style="141" customWidth="1"/>
    <col min="6963" max="6963" width="9.33203125" style="141"/>
    <col min="6964" max="6967" width="0" style="141" hidden="1" customWidth="1"/>
    <col min="6968" max="6968" width="9.33203125" style="141"/>
    <col min="6969" max="6972" width="0" style="141" hidden="1" customWidth="1"/>
    <col min="6973" max="6973" width="9.33203125" style="141"/>
    <col min="6974" max="6977" width="0" style="141" hidden="1" customWidth="1"/>
    <col min="6978" max="6978" width="9.33203125" style="141"/>
    <col min="6979" max="6982" width="0" style="141" hidden="1" customWidth="1"/>
    <col min="6983" max="6983" width="9.33203125" style="141"/>
    <col min="6984" max="6987" width="0" style="141" hidden="1" customWidth="1"/>
    <col min="6988" max="6988" width="9.33203125" style="141"/>
    <col min="6989" max="6992" width="0" style="141" hidden="1" customWidth="1"/>
    <col min="6993" max="7167" width="9.33203125" style="141"/>
    <col min="7168" max="7168" width="2" style="141" customWidth="1"/>
    <col min="7169" max="7169" width="36.1640625" style="141" bestFit="1" customWidth="1"/>
    <col min="7170" max="7173" width="0" style="141" hidden="1" customWidth="1"/>
    <col min="7174" max="7174" width="9.33203125" style="141"/>
    <col min="7175" max="7178" width="0" style="141" hidden="1" customWidth="1"/>
    <col min="7179" max="7179" width="9.33203125" style="141"/>
    <col min="7180" max="7183" width="0" style="141" hidden="1" customWidth="1"/>
    <col min="7184" max="7184" width="9.33203125" style="141"/>
    <col min="7185" max="7188" width="0" style="141" hidden="1" customWidth="1"/>
    <col min="7189" max="7189" width="9.33203125" style="141"/>
    <col min="7190" max="7193" width="0" style="141" hidden="1" customWidth="1"/>
    <col min="7194" max="7194" width="9.33203125" style="141"/>
    <col min="7195" max="7198" width="0" style="141" hidden="1" customWidth="1"/>
    <col min="7199" max="7199" width="9.33203125" style="141"/>
    <col min="7200" max="7203" width="0" style="141" hidden="1" customWidth="1"/>
    <col min="7204" max="7204" width="9.33203125" style="141"/>
    <col min="7205" max="7208" width="0" style="141" hidden="1" customWidth="1"/>
    <col min="7209" max="7209" width="9.33203125" style="141"/>
    <col min="7210" max="7213" width="10.6640625" style="141" customWidth="1"/>
    <col min="7214" max="7214" width="9.33203125" style="141"/>
    <col min="7215" max="7218" width="10.6640625" style="141" customWidth="1"/>
    <col min="7219" max="7219" width="9.33203125" style="141"/>
    <col min="7220" max="7223" width="0" style="141" hidden="1" customWidth="1"/>
    <col min="7224" max="7224" width="9.33203125" style="141"/>
    <col min="7225" max="7228" width="0" style="141" hidden="1" customWidth="1"/>
    <col min="7229" max="7229" width="9.33203125" style="141"/>
    <col min="7230" max="7233" width="0" style="141" hidden="1" customWidth="1"/>
    <col min="7234" max="7234" width="9.33203125" style="141"/>
    <col min="7235" max="7238" width="0" style="141" hidden="1" customWidth="1"/>
    <col min="7239" max="7239" width="9.33203125" style="141"/>
    <col min="7240" max="7243" width="0" style="141" hidden="1" customWidth="1"/>
    <col min="7244" max="7244" width="9.33203125" style="141"/>
    <col min="7245" max="7248" width="0" style="141" hidden="1" customWidth="1"/>
    <col min="7249" max="7423" width="9.33203125" style="141"/>
    <col min="7424" max="7424" width="2" style="141" customWidth="1"/>
    <col min="7425" max="7425" width="36.1640625" style="141" bestFit="1" customWidth="1"/>
    <col min="7426" max="7429" width="0" style="141" hidden="1" customWidth="1"/>
    <col min="7430" max="7430" width="9.33203125" style="141"/>
    <col min="7431" max="7434" width="0" style="141" hidden="1" customWidth="1"/>
    <col min="7435" max="7435" width="9.33203125" style="141"/>
    <col min="7436" max="7439" width="0" style="141" hidden="1" customWidth="1"/>
    <col min="7440" max="7440" width="9.33203125" style="141"/>
    <col min="7441" max="7444" width="0" style="141" hidden="1" customWidth="1"/>
    <col min="7445" max="7445" width="9.33203125" style="141"/>
    <col min="7446" max="7449" width="0" style="141" hidden="1" customWidth="1"/>
    <col min="7450" max="7450" width="9.33203125" style="141"/>
    <col min="7451" max="7454" width="0" style="141" hidden="1" customWidth="1"/>
    <col min="7455" max="7455" width="9.33203125" style="141"/>
    <col min="7456" max="7459" width="0" style="141" hidden="1" customWidth="1"/>
    <col min="7460" max="7460" width="9.33203125" style="141"/>
    <col min="7461" max="7464" width="0" style="141" hidden="1" customWidth="1"/>
    <col min="7465" max="7465" width="9.33203125" style="141"/>
    <col min="7466" max="7469" width="10.6640625" style="141" customWidth="1"/>
    <col min="7470" max="7470" width="9.33203125" style="141"/>
    <col min="7471" max="7474" width="10.6640625" style="141" customWidth="1"/>
    <col min="7475" max="7475" width="9.33203125" style="141"/>
    <col min="7476" max="7479" width="0" style="141" hidden="1" customWidth="1"/>
    <col min="7480" max="7480" width="9.33203125" style="141"/>
    <col min="7481" max="7484" width="0" style="141" hidden="1" customWidth="1"/>
    <col min="7485" max="7485" width="9.33203125" style="141"/>
    <col min="7486" max="7489" width="0" style="141" hidden="1" customWidth="1"/>
    <col min="7490" max="7490" width="9.33203125" style="141"/>
    <col min="7491" max="7494" width="0" style="141" hidden="1" customWidth="1"/>
    <col min="7495" max="7495" width="9.33203125" style="141"/>
    <col min="7496" max="7499" width="0" style="141" hidden="1" customWidth="1"/>
    <col min="7500" max="7500" width="9.33203125" style="141"/>
    <col min="7501" max="7504" width="0" style="141" hidden="1" customWidth="1"/>
    <col min="7505" max="7679" width="9.33203125" style="141"/>
    <col min="7680" max="7680" width="2" style="141" customWidth="1"/>
    <col min="7681" max="7681" width="36.1640625" style="141" bestFit="1" customWidth="1"/>
    <col min="7682" max="7685" width="0" style="141" hidden="1" customWidth="1"/>
    <col min="7686" max="7686" width="9.33203125" style="141"/>
    <col min="7687" max="7690" width="0" style="141" hidden="1" customWidth="1"/>
    <col min="7691" max="7691" width="9.33203125" style="141"/>
    <col min="7692" max="7695" width="0" style="141" hidden="1" customWidth="1"/>
    <col min="7696" max="7696" width="9.33203125" style="141"/>
    <col min="7697" max="7700" width="0" style="141" hidden="1" customWidth="1"/>
    <col min="7701" max="7701" width="9.33203125" style="141"/>
    <col min="7702" max="7705" width="0" style="141" hidden="1" customWidth="1"/>
    <col min="7706" max="7706" width="9.33203125" style="141"/>
    <col min="7707" max="7710" width="0" style="141" hidden="1" customWidth="1"/>
    <col min="7711" max="7711" width="9.33203125" style="141"/>
    <col min="7712" max="7715" width="0" style="141" hidden="1" customWidth="1"/>
    <col min="7716" max="7716" width="9.33203125" style="141"/>
    <col min="7717" max="7720" width="0" style="141" hidden="1" customWidth="1"/>
    <col min="7721" max="7721" width="9.33203125" style="141"/>
    <col min="7722" max="7725" width="10.6640625" style="141" customWidth="1"/>
    <col min="7726" max="7726" width="9.33203125" style="141"/>
    <col min="7727" max="7730" width="10.6640625" style="141" customWidth="1"/>
    <col min="7731" max="7731" width="9.33203125" style="141"/>
    <col min="7732" max="7735" width="0" style="141" hidden="1" customWidth="1"/>
    <col min="7736" max="7736" width="9.33203125" style="141"/>
    <col min="7737" max="7740" width="0" style="141" hidden="1" customWidth="1"/>
    <col min="7741" max="7741" width="9.33203125" style="141"/>
    <col min="7742" max="7745" width="0" style="141" hidden="1" customWidth="1"/>
    <col min="7746" max="7746" width="9.33203125" style="141"/>
    <col min="7747" max="7750" width="0" style="141" hidden="1" customWidth="1"/>
    <col min="7751" max="7751" width="9.33203125" style="141"/>
    <col min="7752" max="7755" width="0" style="141" hidden="1" customWidth="1"/>
    <col min="7756" max="7756" width="9.33203125" style="141"/>
    <col min="7757" max="7760" width="0" style="141" hidden="1" customWidth="1"/>
    <col min="7761" max="7935" width="9.33203125" style="141"/>
    <col min="7936" max="7936" width="2" style="141" customWidth="1"/>
    <col min="7937" max="7937" width="36.1640625" style="141" bestFit="1" customWidth="1"/>
    <col min="7938" max="7941" width="0" style="141" hidden="1" customWidth="1"/>
    <col min="7942" max="7942" width="9.33203125" style="141"/>
    <col min="7943" max="7946" width="0" style="141" hidden="1" customWidth="1"/>
    <col min="7947" max="7947" width="9.33203125" style="141"/>
    <col min="7948" max="7951" width="0" style="141" hidden="1" customWidth="1"/>
    <col min="7952" max="7952" width="9.33203125" style="141"/>
    <col min="7953" max="7956" width="0" style="141" hidden="1" customWidth="1"/>
    <col min="7957" max="7957" width="9.33203125" style="141"/>
    <col min="7958" max="7961" width="0" style="141" hidden="1" customWidth="1"/>
    <col min="7962" max="7962" width="9.33203125" style="141"/>
    <col min="7963" max="7966" width="0" style="141" hidden="1" customWidth="1"/>
    <col min="7967" max="7967" width="9.33203125" style="141"/>
    <col min="7968" max="7971" width="0" style="141" hidden="1" customWidth="1"/>
    <col min="7972" max="7972" width="9.33203125" style="141"/>
    <col min="7973" max="7976" width="0" style="141" hidden="1" customWidth="1"/>
    <col min="7977" max="7977" width="9.33203125" style="141"/>
    <col min="7978" max="7981" width="10.6640625" style="141" customWidth="1"/>
    <col min="7982" max="7982" width="9.33203125" style="141"/>
    <col min="7983" max="7986" width="10.6640625" style="141" customWidth="1"/>
    <col min="7987" max="7987" width="9.33203125" style="141"/>
    <col min="7988" max="7991" width="0" style="141" hidden="1" customWidth="1"/>
    <col min="7992" max="7992" width="9.33203125" style="141"/>
    <col min="7993" max="7996" width="0" style="141" hidden="1" customWidth="1"/>
    <col min="7997" max="7997" width="9.33203125" style="141"/>
    <col min="7998" max="8001" width="0" style="141" hidden="1" customWidth="1"/>
    <col min="8002" max="8002" width="9.33203125" style="141"/>
    <col min="8003" max="8006" width="0" style="141" hidden="1" customWidth="1"/>
    <col min="8007" max="8007" width="9.33203125" style="141"/>
    <col min="8008" max="8011" width="0" style="141" hidden="1" customWidth="1"/>
    <col min="8012" max="8012" width="9.33203125" style="141"/>
    <col min="8013" max="8016" width="0" style="141" hidden="1" customWidth="1"/>
    <col min="8017" max="8191" width="9.33203125" style="141"/>
    <col min="8192" max="8192" width="2" style="141" customWidth="1"/>
    <col min="8193" max="8193" width="36.1640625" style="141" bestFit="1" customWidth="1"/>
    <col min="8194" max="8197" width="0" style="141" hidden="1" customWidth="1"/>
    <col min="8198" max="8198" width="9.33203125" style="141"/>
    <col min="8199" max="8202" width="0" style="141" hidden="1" customWidth="1"/>
    <col min="8203" max="8203" width="9.33203125" style="141"/>
    <col min="8204" max="8207" width="0" style="141" hidden="1" customWidth="1"/>
    <col min="8208" max="8208" width="9.33203125" style="141"/>
    <col min="8209" max="8212" width="0" style="141" hidden="1" customWidth="1"/>
    <col min="8213" max="8213" width="9.33203125" style="141"/>
    <col min="8214" max="8217" width="0" style="141" hidden="1" customWidth="1"/>
    <col min="8218" max="8218" width="9.33203125" style="141"/>
    <col min="8219" max="8222" width="0" style="141" hidden="1" customWidth="1"/>
    <col min="8223" max="8223" width="9.33203125" style="141"/>
    <col min="8224" max="8227" width="0" style="141" hidden="1" customWidth="1"/>
    <col min="8228" max="8228" width="9.33203125" style="141"/>
    <col min="8229" max="8232" width="0" style="141" hidden="1" customWidth="1"/>
    <col min="8233" max="8233" width="9.33203125" style="141"/>
    <col min="8234" max="8237" width="10.6640625" style="141" customWidth="1"/>
    <col min="8238" max="8238" width="9.33203125" style="141"/>
    <col min="8239" max="8242" width="10.6640625" style="141" customWidth="1"/>
    <col min="8243" max="8243" width="9.33203125" style="141"/>
    <col min="8244" max="8247" width="0" style="141" hidden="1" customWidth="1"/>
    <col min="8248" max="8248" width="9.33203125" style="141"/>
    <col min="8249" max="8252" width="0" style="141" hidden="1" customWidth="1"/>
    <col min="8253" max="8253" width="9.33203125" style="141"/>
    <col min="8254" max="8257" width="0" style="141" hidden="1" customWidth="1"/>
    <col min="8258" max="8258" width="9.33203125" style="141"/>
    <col min="8259" max="8262" width="0" style="141" hidden="1" customWidth="1"/>
    <col min="8263" max="8263" width="9.33203125" style="141"/>
    <col min="8264" max="8267" width="0" style="141" hidden="1" customWidth="1"/>
    <col min="8268" max="8268" width="9.33203125" style="141"/>
    <col min="8269" max="8272" width="0" style="141" hidden="1" customWidth="1"/>
    <col min="8273" max="8447" width="9.33203125" style="141"/>
    <col min="8448" max="8448" width="2" style="141" customWidth="1"/>
    <col min="8449" max="8449" width="36.1640625" style="141" bestFit="1" customWidth="1"/>
    <col min="8450" max="8453" width="0" style="141" hidden="1" customWidth="1"/>
    <col min="8454" max="8454" width="9.33203125" style="141"/>
    <col min="8455" max="8458" width="0" style="141" hidden="1" customWidth="1"/>
    <col min="8459" max="8459" width="9.33203125" style="141"/>
    <col min="8460" max="8463" width="0" style="141" hidden="1" customWidth="1"/>
    <col min="8464" max="8464" width="9.33203125" style="141"/>
    <col min="8465" max="8468" width="0" style="141" hidden="1" customWidth="1"/>
    <col min="8469" max="8469" width="9.33203125" style="141"/>
    <col min="8470" max="8473" width="0" style="141" hidden="1" customWidth="1"/>
    <col min="8474" max="8474" width="9.33203125" style="141"/>
    <col min="8475" max="8478" width="0" style="141" hidden="1" customWidth="1"/>
    <col min="8479" max="8479" width="9.33203125" style="141"/>
    <col min="8480" max="8483" width="0" style="141" hidden="1" customWidth="1"/>
    <col min="8484" max="8484" width="9.33203125" style="141"/>
    <col min="8485" max="8488" width="0" style="141" hidden="1" customWidth="1"/>
    <col min="8489" max="8489" width="9.33203125" style="141"/>
    <col min="8490" max="8493" width="10.6640625" style="141" customWidth="1"/>
    <col min="8494" max="8494" width="9.33203125" style="141"/>
    <col min="8495" max="8498" width="10.6640625" style="141" customWidth="1"/>
    <col min="8499" max="8499" width="9.33203125" style="141"/>
    <col min="8500" max="8503" width="0" style="141" hidden="1" customWidth="1"/>
    <col min="8504" max="8504" width="9.33203125" style="141"/>
    <col min="8505" max="8508" width="0" style="141" hidden="1" customWidth="1"/>
    <col min="8509" max="8509" width="9.33203125" style="141"/>
    <col min="8510" max="8513" width="0" style="141" hidden="1" customWidth="1"/>
    <col min="8514" max="8514" width="9.33203125" style="141"/>
    <col min="8515" max="8518" width="0" style="141" hidden="1" customWidth="1"/>
    <col min="8519" max="8519" width="9.33203125" style="141"/>
    <col min="8520" max="8523" width="0" style="141" hidden="1" customWidth="1"/>
    <col min="8524" max="8524" width="9.33203125" style="141"/>
    <col min="8525" max="8528" width="0" style="141" hidden="1" customWidth="1"/>
    <col min="8529" max="8703" width="9.33203125" style="141"/>
    <col min="8704" max="8704" width="2" style="141" customWidth="1"/>
    <col min="8705" max="8705" width="36.1640625" style="141" bestFit="1" customWidth="1"/>
    <col min="8706" max="8709" width="0" style="141" hidden="1" customWidth="1"/>
    <col min="8710" max="8710" width="9.33203125" style="141"/>
    <col min="8711" max="8714" width="0" style="141" hidden="1" customWidth="1"/>
    <col min="8715" max="8715" width="9.33203125" style="141"/>
    <col min="8716" max="8719" width="0" style="141" hidden="1" customWidth="1"/>
    <col min="8720" max="8720" width="9.33203125" style="141"/>
    <col min="8721" max="8724" width="0" style="141" hidden="1" customWidth="1"/>
    <col min="8725" max="8725" width="9.33203125" style="141"/>
    <col min="8726" max="8729" width="0" style="141" hidden="1" customWidth="1"/>
    <col min="8730" max="8730" width="9.33203125" style="141"/>
    <col min="8731" max="8734" width="0" style="141" hidden="1" customWidth="1"/>
    <col min="8735" max="8735" width="9.33203125" style="141"/>
    <col min="8736" max="8739" width="0" style="141" hidden="1" customWidth="1"/>
    <col min="8740" max="8740" width="9.33203125" style="141"/>
    <col min="8741" max="8744" width="0" style="141" hidden="1" customWidth="1"/>
    <col min="8745" max="8745" width="9.33203125" style="141"/>
    <col min="8746" max="8749" width="10.6640625" style="141" customWidth="1"/>
    <col min="8750" max="8750" width="9.33203125" style="141"/>
    <col min="8751" max="8754" width="10.6640625" style="141" customWidth="1"/>
    <col min="8755" max="8755" width="9.33203125" style="141"/>
    <col min="8756" max="8759" width="0" style="141" hidden="1" customWidth="1"/>
    <col min="8760" max="8760" width="9.33203125" style="141"/>
    <col min="8761" max="8764" width="0" style="141" hidden="1" customWidth="1"/>
    <col min="8765" max="8765" width="9.33203125" style="141"/>
    <col min="8766" max="8769" width="0" style="141" hidden="1" customWidth="1"/>
    <col min="8770" max="8770" width="9.33203125" style="141"/>
    <col min="8771" max="8774" width="0" style="141" hidden="1" customWidth="1"/>
    <col min="8775" max="8775" width="9.33203125" style="141"/>
    <col min="8776" max="8779" width="0" style="141" hidden="1" customWidth="1"/>
    <col min="8780" max="8780" width="9.33203125" style="141"/>
    <col min="8781" max="8784" width="0" style="141" hidden="1" customWidth="1"/>
    <col min="8785" max="8959" width="9.33203125" style="141"/>
    <col min="8960" max="8960" width="2" style="141" customWidth="1"/>
    <col min="8961" max="8961" width="36.1640625" style="141" bestFit="1" customWidth="1"/>
    <col min="8962" max="8965" width="0" style="141" hidden="1" customWidth="1"/>
    <col min="8966" max="8966" width="9.33203125" style="141"/>
    <col min="8967" max="8970" width="0" style="141" hidden="1" customWidth="1"/>
    <col min="8971" max="8971" width="9.33203125" style="141"/>
    <col min="8972" max="8975" width="0" style="141" hidden="1" customWidth="1"/>
    <col min="8976" max="8976" width="9.33203125" style="141"/>
    <col min="8977" max="8980" width="0" style="141" hidden="1" customWidth="1"/>
    <col min="8981" max="8981" width="9.33203125" style="141"/>
    <col min="8982" max="8985" width="0" style="141" hidden="1" customWidth="1"/>
    <col min="8986" max="8986" width="9.33203125" style="141"/>
    <col min="8987" max="8990" width="0" style="141" hidden="1" customWidth="1"/>
    <col min="8991" max="8991" width="9.33203125" style="141"/>
    <col min="8992" max="8995" width="0" style="141" hidden="1" customWidth="1"/>
    <col min="8996" max="8996" width="9.33203125" style="141"/>
    <col min="8997" max="9000" width="0" style="141" hidden="1" customWidth="1"/>
    <col min="9001" max="9001" width="9.33203125" style="141"/>
    <col min="9002" max="9005" width="10.6640625" style="141" customWidth="1"/>
    <col min="9006" max="9006" width="9.33203125" style="141"/>
    <col min="9007" max="9010" width="10.6640625" style="141" customWidth="1"/>
    <col min="9011" max="9011" width="9.33203125" style="141"/>
    <col min="9012" max="9015" width="0" style="141" hidden="1" customWidth="1"/>
    <col min="9016" max="9016" width="9.33203125" style="141"/>
    <col min="9017" max="9020" width="0" style="141" hidden="1" customWidth="1"/>
    <col min="9021" max="9021" width="9.33203125" style="141"/>
    <col min="9022" max="9025" width="0" style="141" hidden="1" customWidth="1"/>
    <col min="9026" max="9026" width="9.33203125" style="141"/>
    <col min="9027" max="9030" width="0" style="141" hidden="1" customWidth="1"/>
    <col min="9031" max="9031" width="9.33203125" style="141"/>
    <col min="9032" max="9035" width="0" style="141" hidden="1" customWidth="1"/>
    <col min="9036" max="9036" width="9.33203125" style="141"/>
    <col min="9037" max="9040" width="0" style="141" hidden="1" customWidth="1"/>
    <col min="9041" max="9215" width="9.33203125" style="141"/>
    <col min="9216" max="9216" width="2" style="141" customWidth="1"/>
    <col min="9217" max="9217" width="36.1640625" style="141" bestFit="1" customWidth="1"/>
    <col min="9218" max="9221" width="0" style="141" hidden="1" customWidth="1"/>
    <col min="9222" max="9222" width="9.33203125" style="141"/>
    <col min="9223" max="9226" width="0" style="141" hidden="1" customWidth="1"/>
    <col min="9227" max="9227" width="9.33203125" style="141"/>
    <col min="9228" max="9231" width="0" style="141" hidden="1" customWidth="1"/>
    <col min="9232" max="9232" width="9.33203125" style="141"/>
    <col min="9233" max="9236" width="0" style="141" hidden="1" customWidth="1"/>
    <col min="9237" max="9237" width="9.33203125" style="141"/>
    <col min="9238" max="9241" width="0" style="141" hidden="1" customWidth="1"/>
    <col min="9242" max="9242" width="9.33203125" style="141"/>
    <col min="9243" max="9246" width="0" style="141" hidden="1" customWidth="1"/>
    <col min="9247" max="9247" width="9.33203125" style="141"/>
    <col min="9248" max="9251" width="0" style="141" hidden="1" customWidth="1"/>
    <col min="9252" max="9252" width="9.33203125" style="141"/>
    <col min="9253" max="9256" width="0" style="141" hidden="1" customWidth="1"/>
    <col min="9257" max="9257" width="9.33203125" style="141"/>
    <col min="9258" max="9261" width="10.6640625" style="141" customWidth="1"/>
    <col min="9262" max="9262" width="9.33203125" style="141"/>
    <col min="9263" max="9266" width="10.6640625" style="141" customWidth="1"/>
    <col min="9267" max="9267" width="9.33203125" style="141"/>
    <col min="9268" max="9271" width="0" style="141" hidden="1" customWidth="1"/>
    <col min="9272" max="9272" width="9.33203125" style="141"/>
    <col min="9273" max="9276" width="0" style="141" hidden="1" customWidth="1"/>
    <col min="9277" max="9277" width="9.33203125" style="141"/>
    <col min="9278" max="9281" width="0" style="141" hidden="1" customWidth="1"/>
    <col min="9282" max="9282" width="9.33203125" style="141"/>
    <col min="9283" max="9286" width="0" style="141" hidden="1" customWidth="1"/>
    <col min="9287" max="9287" width="9.33203125" style="141"/>
    <col min="9288" max="9291" width="0" style="141" hidden="1" customWidth="1"/>
    <col min="9292" max="9292" width="9.33203125" style="141"/>
    <col min="9293" max="9296" width="0" style="141" hidden="1" customWidth="1"/>
    <col min="9297" max="9471" width="9.33203125" style="141"/>
    <col min="9472" max="9472" width="2" style="141" customWidth="1"/>
    <col min="9473" max="9473" width="36.1640625" style="141" bestFit="1" customWidth="1"/>
    <col min="9474" max="9477" width="0" style="141" hidden="1" customWidth="1"/>
    <col min="9478" max="9478" width="9.33203125" style="141"/>
    <col min="9479" max="9482" width="0" style="141" hidden="1" customWidth="1"/>
    <col min="9483" max="9483" width="9.33203125" style="141"/>
    <col min="9484" max="9487" width="0" style="141" hidden="1" customWidth="1"/>
    <col min="9488" max="9488" width="9.33203125" style="141"/>
    <col min="9489" max="9492" width="0" style="141" hidden="1" customWidth="1"/>
    <col min="9493" max="9493" width="9.33203125" style="141"/>
    <col min="9494" max="9497" width="0" style="141" hidden="1" customWidth="1"/>
    <col min="9498" max="9498" width="9.33203125" style="141"/>
    <col min="9499" max="9502" width="0" style="141" hidden="1" customWidth="1"/>
    <col min="9503" max="9503" width="9.33203125" style="141"/>
    <col min="9504" max="9507" width="0" style="141" hidden="1" customWidth="1"/>
    <col min="9508" max="9508" width="9.33203125" style="141"/>
    <col min="9509" max="9512" width="0" style="141" hidden="1" customWidth="1"/>
    <col min="9513" max="9513" width="9.33203125" style="141"/>
    <col min="9514" max="9517" width="10.6640625" style="141" customWidth="1"/>
    <col min="9518" max="9518" width="9.33203125" style="141"/>
    <col min="9519" max="9522" width="10.6640625" style="141" customWidth="1"/>
    <col min="9523" max="9523" width="9.33203125" style="141"/>
    <col min="9524" max="9527" width="0" style="141" hidden="1" customWidth="1"/>
    <col min="9528" max="9528" width="9.33203125" style="141"/>
    <col min="9529" max="9532" width="0" style="141" hidden="1" customWidth="1"/>
    <col min="9533" max="9533" width="9.33203125" style="141"/>
    <col min="9534" max="9537" width="0" style="141" hidden="1" customWidth="1"/>
    <col min="9538" max="9538" width="9.33203125" style="141"/>
    <col min="9539" max="9542" width="0" style="141" hidden="1" customWidth="1"/>
    <col min="9543" max="9543" width="9.33203125" style="141"/>
    <col min="9544" max="9547" width="0" style="141" hidden="1" customWidth="1"/>
    <col min="9548" max="9548" width="9.33203125" style="141"/>
    <col min="9549" max="9552" width="0" style="141" hidden="1" customWidth="1"/>
    <col min="9553" max="9727" width="9.33203125" style="141"/>
    <col min="9728" max="9728" width="2" style="141" customWidth="1"/>
    <col min="9729" max="9729" width="36.1640625" style="141" bestFit="1" customWidth="1"/>
    <col min="9730" max="9733" width="0" style="141" hidden="1" customWidth="1"/>
    <col min="9734" max="9734" width="9.33203125" style="141"/>
    <col min="9735" max="9738" width="0" style="141" hidden="1" customWidth="1"/>
    <col min="9739" max="9739" width="9.33203125" style="141"/>
    <col min="9740" max="9743" width="0" style="141" hidden="1" customWidth="1"/>
    <col min="9744" max="9744" width="9.33203125" style="141"/>
    <col min="9745" max="9748" width="0" style="141" hidden="1" customWidth="1"/>
    <col min="9749" max="9749" width="9.33203125" style="141"/>
    <col min="9750" max="9753" width="0" style="141" hidden="1" customWidth="1"/>
    <col min="9754" max="9754" width="9.33203125" style="141"/>
    <col min="9755" max="9758" width="0" style="141" hidden="1" customWidth="1"/>
    <col min="9759" max="9759" width="9.33203125" style="141"/>
    <col min="9760" max="9763" width="0" style="141" hidden="1" customWidth="1"/>
    <col min="9764" max="9764" width="9.33203125" style="141"/>
    <col min="9765" max="9768" width="0" style="141" hidden="1" customWidth="1"/>
    <col min="9769" max="9769" width="9.33203125" style="141"/>
    <col min="9770" max="9773" width="10.6640625" style="141" customWidth="1"/>
    <col min="9774" max="9774" width="9.33203125" style="141"/>
    <col min="9775" max="9778" width="10.6640625" style="141" customWidth="1"/>
    <col min="9779" max="9779" width="9.33203125" style="141"/>
    <col min="9780" max="9783" width="0" style="141" hidden="1" customWidth="1"/>
    <col min="9784" max="9784" width="9.33203125" style="141"/>
    <col min="9785" max="9788" width="0" style="141" hidden="1" customWidth="1"/>
    <col min="9789" max="9789" width="9.33203125" style="141"/>
    <col min="9790" max="9793" width="0" style="141" hidden="1" customWidth="1"/>
    <col min="9794" max="9794" width="9.33203125" style="141"/>
    <col min="9795" max="9798" width="0" style="141" hidden="1" customWidth="1"/>
    <col min="9799" max="9799" width="9.33203125" style="141"/>
    <col min="9800" max="9803" width="0" style="141" hidden="1" customWidth="1"/>
    <col min="9804" max="9804" width="9.33203125" style="141"/>
    <col min="9805" max="9808" width="0" style="141" hidden="1" customWidth="1"/>
    <col min="9809" max="9983" width="9.33203125" style="141"/>
    <col min="9984" max="9984" width="2" style="141" customWidth="1"/>
    <col min="9985" max="9985" width="36.1640625" style="141" bestFit="1" customWidth="1"/>
    <col min="9986" max="9989" width="0" style="141" hidden="1" customWidth="1"/>
    <col min="9990" max="9990" width="9.33203125" style="141"/>
    <col min="9991" max="9994" width="0" style="141" hidden="1" customWidth="1"/>
    <col min="9995" max="9995" width="9.33203125" style="141"/>
    <col min="9996" max="9999" width="0" style="141" hidden="1" customWidth="1"/>
    <col min="10000" max="10000" width="9.33203125" style="141"/>
    <col min="10001" max="10004" width="0" style="141" hidden="1" customWidth="1"/>
    <col min="10005" max="10005" width="9.33203125" style="141"/>
    <col min="10006" max="10009" width="0" style="141" hidden="1" customWidth="1"/>
    <col min="10010" max="10010" width="9.33203125" style="141"/>
    <col min="10011" max="10014" width="0" style="141" hidden="1" customWidth="1"/>
    <col min="10015" max="10015" width="9.33203125" style="141"/>
    <col min="10016" max="10019" width="0" style="141" hidden="1" customWidth="1"/>
    <col min="10020" max="10020" width="9.33203125" style="141"/>
    <col min="10021" max="10024" width="0" style="141" hidden="1" customWidth="1"/>
    <col min="10025" max="10025" width="9.33203125" style="141"/>
    <col min="10026" max="10029" width="10.6640625" style="141" customWidth="1"/>
    <col min="10030" max="10030" width="9.33203125" style="141"/>
    <col min="10031" max="10034" width="10.6640625" style="141" customWidth="1"/>
    <col min="10035" max="10035" width="9.33203125" style="141"/>
    <col min="10036" max="10039" width="0" style="141" hidden="1" customWidth="1"/>
    <col min="10040" max="10040" width="9.33203125" style="141"/>
    <col min="10041" max="10044" width="0" style="141" hidden="1" customWidth="1"/>
    <col min="10045" max="10045" width="9.33203125" style="141"/>
    <col min="10046" max="10049" width="0" style="141" hidden="1" customWidth="1"/>
    <col min="10050" max="10050" width="9.33203125" style="141"/>
    <col min="10051" max="10054" width="0" style="141" hidden="1" customWidth="1"/>
    <col min="10055" max="10055" width="9.33203125" style="141"/>
    <col min="10056" max="10059" width="0" style="141" hidden="1" customWidth="1"/>
    <col min="10060" max="10060" width="9.33203125" style="141"/>
    <col min="10061" max="10064" width="0" style="141" hidden="1" customWidth="1"/>
    <col min="10065" max="10239" width="9.33203125" style="141"/>
    <col min="10240" max="10240" width="2" style="141" customWidth="1"/>
    <col min="10241" max="10241" width="36.1640625" style="141" bestFit="1" customWidth="1"/>
    <col min="10242" max="10245" width="0" style="141" hidden="1" customWidth="1"/>
    <col min="10246" max="10246" width="9.33203125" style="141"/>
    <col min="10247" max="10250" width="0" style="141" hidden="1" customWidth="1"/>
    <col min="10251" max="10251" width="9.33203125" style="141"/>
    <col min="10252" max="10255" width="0" style="141" hidden="1" customWidth="1"/>
    <col min="10256" max="10256" width="9.33203125" style="141"/>
    <col min="10257" max="10260" width="0" style="141" hidden="1" customWidth="1"/>
    <col min="10261" max="10261" width="9.33203125" style="141"/>
    <col min="10262" max="10265" width="0" style="141" hidden="1" customWidth="1"/>
    <col min="10266" max="10266" width="9.33203125" style="141"/>
    <col min="10267" max="10270" width="0" style="141" hidden="1" customWidth="1"/>
    <col min="10271" max="10271" width="9.33203125" style="141"/>
    <col min="10272" max="10275" width="0" style="141" hidden="1" customWidth="1"/>
    <col min="10276" max="10276" width="9.33203125" style="141"/>
    <col min="10277" max="10280" width="0" style="141" hidden="1" customWidth="1"/>
    <col min="10281" max="10281" width="9.33203125" style="141"/>
    <col min="10282" max="10285" width="10.6640625" style="141" customWidth="1"/>
    <col min="10286" max="10286" width="9.33203125" style="141"/>
    <col min="10287" max="10290" width="10.6640625" style="141" customWidth="1"/>
    <col min="10291" max="10291" width="9.33203125" style="141"/>
    <col min="10292" max="10295" width="0" style="141" hidden="1" customWidth="1"/>
    <col min="10296" max="10296" width="9.33203125" style="141"/>
    <col min="10297" max="10300" width="0" style="141" hidden="1" customWidth="1"/>
    <col min="10301" max="10301" width="9.33203125" style="141"/>
    <col min="10302" max="10305" width="0" style="141" hidden="1" customWidth="1"/>
    <col min="10306" max="10306" width="9.33203125" style="141"/>
    <col min="10307" max="10310" width="0" style="141" hidden="1" customWidth="1"/>
    <col min="10311" max="10311" width="9.33203125" style="141"/>
    <col min="10312" max="10315" width="0" style="141" hidden="1" customWidth="1"/>
    <col min="10316" max="10316" width="9.33203125" style="141"/>
    <col min="10317" max="10320" width="0" style="141" hidden="1" customWidth="1"/>
    <col min="10321" max="10495" width="9.33203125" style="141"/>
    <col min="10496" max="10496" width="2" style="141" customWidth="1"/>
    <col min="10497" max="10497" width="36.1640625" style="141" bestFit="1" customWidth="1"/>
    <col min="10498" max="10501" width="0" style="141" hidden="1" customWidth="1"/>
    <col min="10502" max="10502" width="9.33203125" style="141"/>
    <col min="10503" max="10506" width="0" style="141" hidden="1" customWidth="1"/>
    <col min="10507" max="10507" width="9.33203125" style="141"/>
    <col min="10508" max="10511" width="0" style="141" hidden="1" customWidth="1"/>
    <col min="10512" max="10512" width="9.33203125" style="141"/>
    <col min="10513" max="10516" width="0" style="141" hidden="1" customWidth="1"/>
    <col min="10517" max="10517" width="9.33203125" style="141"/>
    <col min="10518" max="10521" width="0" style="141" hidden="1" customWidth="1"/>
    <col min="10522" max="10522" width="9.33203125" style="141"/>
    <col min="10523" max="10526" width="0" style="141" hidden="1" customWidth="1"/>
    <col min="10527" max="10527" width="9.33203125" style="141"/>
    <col min="10528" max="10531" width="0" style="141" hidden="1" customWidth="1"/>
    <col min="10532" max="10532" width="9.33203125" style="141"/>
    <col min="10533" max="10536" width="0" style="141" hidden="1" customWidth="1"/>
    <col min="10537" max="10537" width="9.33203125" style="141"/>
    <col min="10538" max="10541" width="10.6640625" style="141" customWidth="1"/>
    <col min="10542" max="10542" width="9.33203125" style="141"/>
    <col min="10543" max="10546" width="10.6640625" style="141" customWidth="1"/>
    <col min="10547" max="10547" width="9.33203125" style="141"/>
    <col min="10548" max="10551" width="0" style="141" hidden="1" customWidth="1"/>
    <col min="10552" max="10552" width="9.33203125" style="141"/>
    <col min="10553" max="10556" width="0" style="141" hidden="1" customWidth="1"/>
    <col min="10557" max="10557" width="9.33203125" style="141"/>
    <col min="10558" max="10561" width="0" style="141" hidden="1" customWidth="1"/>
    <col min="10562" max="10562" width="9.33203125" style="141"/>
    <col min="10563" max="10566" width="0" style="141" hidden="1" customWidth="1"/>
    <col min="10567" max="10567" width="9.33203125" style="141"/>
    <col min="10568" max="10571" width="0" style="141" hidden="1" customWidth="1"/>
    <col min="10572" max="10572" width="9.33203125" style="141"/>
    <col min="10573" max="10576" width="0" style="141" hidden="1" customWidth="1"/>
    <col min="10577" max="10751" width="9.33203125" style="141"/>
    <col min="10752" max="10752" width="2" style="141" customWidth="1"/>
    <col min="10753" max="10753" width="36.1640625" style="141" bestFit="1" customWidth="1"/>
    <col min="10754" max="10757" width="0" style="141" hidden="1" customWidth="1"/>
    <col min="10758" max="10758" width="9.33203125" style="141"/>
    <col min="10759" max="10762" width="0" style="141" hidden="1" customWidth="1"/>
    <col min="10763" max="10763" width="9.33203125" style="141"/>
    <col min="10764" max="10767" width="0" style="141" hidden="1" customWidth="1"/>
    <col min="10768" max="10768" width="9.33203125" style="141"/>
    <col min="10769" max="10772" width="0" style="141" hidden="1" customWidth="1"/>
    <col min="10773" max="10773" width="9.33203125" style="141"/>
    <col min="10774" max="10777" width="0" style="141" hidden="1" customWidth="1"/>
    <col min="10778" max="10778" width="9.33203125" style="141"/>
    <col min="10779" max="10782" width="0" style="141" hidden="1" customWidth="1"/>
    <col min="10783" max="10783" width="9.33203125" style="141"/>
    <col min="10784" max="10787" width="0" style="141" hidden="1" customWidth="1"/>
    <col min="10788" max="10788" width="9.33203125" style="141"/>
    <col min="10789" max="10792" width="0" style="141" hidden="1" customWidth="1"/>
    <col min="10793" max="10793" width="9.33203125" style="141"/>
    <col min="10794" max="10797" width="10.6640625" style="141" customWidth="1"/>
    <col min="10798" max="10798" width="9.33203125" style="141"/>
    <col min="10799" max="10802" width="10.6640625" style="141" customWidth="1"/>
    <col min="10803" max="10803" width="9.33203125" style="141"/>
    <col min="10804" max="10807" width="0" style="141" hidden="1" customWidth="1"/>
    <col min="10808" max="10808" width="9.33203125" style="141"/>
    <col min="10809" max="10812" width="0" style="141" hidden="1" customWidth="1"/>
    <col min="10813" max="10813" width="9.33203125" style="141"/>
    <col min="10814" max="10817" width="0" style="141" hidden="1" customWidth="1"/>
    <col min="10818" max="10818" width="9.33203125" style="141"/>
    <col min="10819" max="10822" width="0" style="141" hidden="1" customWidth="1"/>
    <col min="10823" max="10823" width="9.33203125" style="141"/>
    <col min="10824" max="10827" width="0" style="141" hidden="1" customWidth="1"/>
    <col min="10828" max="10828" width="9.33203125" style="141"/>
    <col min="10829" max="10832" width="0" style="141" hidden="1" customWidth="1"/>
    <col min="10833" max="11007" width="9.33203125" style="141"/>
    <col min="11008" max="11008" width="2" style="141" customWidth="1"/>
    <col min="11009" max="11009" width="36.1640625" style="141" bestFit="1" customWidth="1"/>
    <col min="11010" max="11013" width="0" style="141" hidden="1" customWidth="1"/>
    <col min="11014" max="11014" width="9.33203125" style="141"/>
    <col min="11015" max="11018" width="0" style="141" hidden="1" customWidth="1"/>
    <col min="11019" max="11019" width="9.33203125" style="141"/>
    <col min="11020" max="11023" width="0" style="141" hidden="1" customWidth="1"/>
    <col min="11024" max="11024" width="9.33203125" style="141"/>
    <col min="11025" max="11028" width="0" style="141" hidden="1" customWidth="1"/>
    <col min="11029" max="11029" width="9.33203125" style="141"/>
    <col min="11030" max="11033" width="0" style="141" hidden="1" customWidth="1"/>
    <col min="11034" max="11034" width="9.33203125" style="141"/>
    <col min="11035" max="11038" width="0" style="141" hidden="1" customWidth="1"/>
    <col min="11039" max="11039" width="9.33203125" style="141"/>
    <col min="11040" max="11043" width="0" style="141" hidden="1" customWidth="1"/>
    <col min="11044" max="11044" width="9.33203125" style="141"/>
    <col min="11045" max="11048" width="0" style="141" hidden="1" customWidth="1"/>
    <col min="11049" max="11049" width="9.33203125" style="141"/>
    <col min="11050" max="11053" width="10.6640625" style="141" customWidth="1"/>
    <col min="11054" max="11054" width="9.33203125" style="141"/>
    <col min="11055" max="11058" width="10.6640625" style="141" customWidth="1"/>
    <col min="11059" max="11059" width="9.33203125" style="141"/>
    <col min="11060" max="11063" width="0" style="141" hidden="1" customWidth="1"/>
    <col min="11064" max="11064" width="9.33203125" style="141"/>
    <col min="11065" max="11068" width="0" style="141" hidden="1" customWidth="1"/>
    <col min="11069" max="11069" width="9.33203125" style="141"/>
    <col min="11070" max="11073" width="0" style="141" hidden="1" customWidth="1"/>
    <col min="11074" max="11074" width="9.33203125" style="141"/>
    <col min="11075" max="11078" width="0" style="141" hidden="1" customWidth="1"/>
    <col min="11079" max="11079" width="9.33203125" style="141"/>
    <col min="11080" max="11083" width="0" style="141" hidden="1" customWidth="1"/>
    <col min="11084" max="11084" width="9.33203125" style="141"/>
    <col min="11085" max="11088" width="0" style="141" hidden="1" customWidth="1"/>
    <col min="11089" max="11263" width="9.33203125" style="141"/>
    <col min="11264" max="11264" width="2" style="141" customWidth="1"/>
    <col min="11265" max="11265" width="36.1640625" style="141" bestFit="1" customWidth="1"/>
    <col min="11266" max="11269" width="0" style="141" hidden="1" customWidth="1"/>
    <col min="11270" max="11270" width="9.33203125" style="141"/>
    <col min="11271" max="11274" width="0" style="141" hidden="1" customWidth="1"/>
    <col min="11275" max="11275" width="9.33203125" style="141"/>
    <col min="11276" max="11279" width="0" style="141" hidden="1" customWidth="1"/>
    <col min="11280" max="11280" width="9.33203125" style="141"/>
    <col min="11281" max="11284" width="0" style="141" hidden="1" customWidth="1"/>
    <col min="11285" max="11285" width="9.33203125" style="141"/>
    <col min="11286" max="11289" width="0" style="141" hidden="1" customWidth="1"/>
    <col min="11290" max="11290" width="9.33203125" style="141"/>
    <col min="11291" max="11294" width="0" style="141" hidden="1" customWidth="1"/>
    <col min="11295" max="11295" width="9.33203125" style="141"/>
    <col min="11296" max="11299" width="0" style="141" hidden="1" customWidth="1"/>
    <col min="11300" max="11300" width="9.33203125" style="141"/>
    <col min="11301" max="11304" width="0" style="141" hidden="1" customWidth="1"/>
    <col min="11305" max="11305" width="9.33203125" style="141"/>
    <col min="11306" max="11309" width="10.6640625" style="141" customWidth="1"/>
    <col min="11310" max="11310" width="9.33203125" style="141"/>
    <col min="11311" max="11314" width="10.6640625" style="141" customWidth="1"/>
    <col min="11315" max="11315" width="9.33203125" style="141"/>
    <col min="11316" max="11319" width="0" style="141" hidden="1" customWidth="1"/>
    <col min="11320" max="11320" width="9.33203125" style="141"/>
    <col min="11321" max="11324" width="0" style="141" hidden="1" customWidth="1"/>
    <col min="11325" max="11325" width="9.33203125" style="141"/>
    <col min="11326" max="11329" width="0" style="141" hidden="1" customWidth="1"/>
    <col min="11330" max="11330" width="9.33203125" style="141"/>
    <col min="11331" max="11334" width="0" style="141" hidden="1" customWidth="1"/>
    <col min="11335" max="11335" width="9.33203125" style="141"/>
    <col min="11336" max="11339" width="0" style="141" hidden="1" customWidth="1"/>
    <col min="11340" max="11340" width="9.33203125" style="141"/>
    <col min="11341" max="11344" width="0" style="141" hidden="1" customWidth="1"/>
    <col min="11345" max="11519" width="9.33203125" style="141"/>
    <col min="11520" max="11520" width="2" style="141" customWidth="1"/>
    <col min="11521" max="11521" width="36.1640625" style="141" bestFit="1" customWidth="1"/>
    <col min="11522" max="11525" width="0" style="141" hidden="1" customWidth="1"/>
    <col min="11526" max="11526" width="9.33203125" style="141"/>
    <col min="11527" max="11530" width="0" style="141" hidden="1" customWidth="1"/>
    <col min="11531" max="11531" width="9.33203125" style="141"/>
    <col min="11532" max="11535" width="0" style="141" hidden="1" customWidth="1"/>
    <col min="11536" max="11536" width="9.33203125" style="141"/>
    <col min="11537" max="11540" width="0" style="141" hidden="1" customWidth="1"/>
    <col min="11541" max="11541" width="9.33203125" style="141"/>
    <col min="11542" max="11545" width="0" style="141" hidden="1" customWidth="1"/>
    <col min="11546" max="11546" width="9.33203125" style="141"/>
    <col min="11547" max="11550" width="0" style="141" hidden="1" customWidth="1"/>
    <col min="11551" max="11551" width="9.33203125" style="141"/>
    <col min="11552" max="11555" width="0" style="141" hidden="1" customWidth="1"/>
    <col min="11556" max="11556" width="9.33203125" style="141"/>
    <col min="11557" max="11560" width="0" style="141" hidden="1" customWidth="1"/>
    <col min="11561" max="11561" width="9.33203125" style="141"/>
    <col min="11562" max="11565" width="10.6640625" style="141" customWidth="1"/>
    <col min="11566" max="11566" width="9.33203125" style="141"/>
    <col min="11567" max="11570" width="10.6640625" style="141" customWidth="1"/>
    <col min="11571" max="11571" width="9.33203125" style="141"/>
    <col min="11572" max="11575" width="0" style="141" hidden="1" customWidth="1"/>
    <col min="11576" max="11576" width="9.33203125" style="141"/>
    <col min="11577" max="11580" width="0" style="141" hidden="1" customWidth="1"/>
    <col min="11581" max="11581" width="9.33203125" style="141"/>
    <col min="11582" max="11585" width="0" style="141" hidden="1" customWidth="1"/>
    <col min="11586" max="11586" width="9.33203125" style="141"/>
    <col min="11587" max="11590" width="0" style="141" hidden="1" customWidth="1"/>
    <col min="11591" max="11591" width="9.33203125" style="141"/>
    <col min="11592" max="11595" width="0" style="141" hidden="1" customWidth="1"/>
    <col min="11596" max="11596" width="9.33203125" style="141"/>
    <col min="11597" max="11600" width="0" style="141" hidden="1" customWidth="1"/>
    <col min="11601" max="11775" width="9.33203125" style="141"/>
    <col min="11776" max="11776" width="2" style="141" customWidth="1"/>
    <col min="11777" max="11777" width="36.1640625" style="141" bestFit="1" customWidth="1"/>
    <col min="11778" max="11781" width="0" style="141" hidden="1" customWidth="1"/>
    <col min="11782" max="11782" width="9.33203125" style="141"/>
    <col min="11783" max="11786" width="0" style="141" hidden="1" customWidth="1"/>
    <col min="11787" max="11787" width="9.33203125" style="141"/>
    <col min="11788" max="11791" width="0" style="141" hidden="1" customWidth="1"/>
    <col min="11792" max="11792" width="9.33203125" style="141"/>
    <col min="11793" max="11796" width="0" style="141" hidden="1" customWidth="1"/>
    <col min="11797" max="11797" width="9.33203125" style="141"/>
    <col min="11798" max="11801" width="0" style="141" hidden="1" customWidth="1"/>
    <col min="11802" max="11802" width="9.33203125" style="141"/>
    <col min="11803" max="11806" width="0" style="141" hidden="1" customWidth="1"/>
    <col min="11807" max="11807" width="9.33203125" style="141"/>
    <col min="11808" max="11811" width="0" style="141" hidden="1" customWidth="1"/>
    <col min="11812" max="11812" width="9.33203125" style="141"/>
    <col min="11813" max="11816" width="0" style="141" hidden="1" customWidth="1"/>
    <col min="11817" max="11817" width="9.33203125" style="141"/>
    <col min="11818" max="11821" width="10.6640625" style="141" customWidth="1"/>
    <col min="11822" max="11822" width="9.33203125" style="141"/>
    <col min="11823" max="11826" width="10.6640625" style="141" customWidth="1"/>
    <col min="11827" max="11827" width="9.33203125" style="141"/>
    <col min="11828" max="11831" width="0" style="141" hidden="1" customWidth="1"/>
    <col min="11832" max="11832" width="9.33203125" style="141"/>
    <col min="11833" max="11836" width="0" style="141" hidden="1" customWidth="1"/>
    <col min="11837" max="11837" width="9.33203125" style="141"/>
    <col min="11838" max="11841" width="0" style="141" hidden="1" customWidth="1"/>
    <col min="11842" max="11842" width="9.33203125" style="141"/>
    <col min="11843" max="11846" width="0" style="141" hidden="1" customWidth="1"/>
    <col min="11847" max="11847" width="9.33203125" style="141"/>
    <col min="11848" max="11851" width="0" style="141" hidden="1" customWidth="1"/>
    <col min="11852" max="11852" width="9.33203125" style="141"/>
    <col min="11853" max="11856" width="0" style="141" hidden="1" customWidth="1"/>
    <col min="11857" max="12031" width="9.33203125" style="141"/>
    <col min="12032" max="12032" width="2" style="141" customWidth="1"/>
    <col min="12033" max="12033" width="36.1640625" style="141" bestFit="1" customWidth="1"/>
    <col min="12034" max="12037" width="0" style="141" hidden="1" customWidth="1"/>
    <col min="12038" max="12038" width="9.33203125" style="141"/>
    <col min="12039" max="12042" width="0" style="141" hidden="1" customWidth="1"/>
    <col min="12043" max="12043" width="9.33203125" style="141"/>
    <col min="12044" max="12047" width="0" style="141" hidden="1" customWidth="1"/>
    <col min="12048" max="12048" width="9.33203125" style="141"/>
    <col min="12049" max="12052" width="0" style="141" hidden="1" customWidth="1"/>
    <col min="12053" max="12053" width="9.33203125" style="141"/>
    <col min="12054" max="12057" width="0" style="141" hidden="1" customWidth="1"/>
    <col min="12058" max="12058" width="9.33203125" style="141"/>
    <col min="12059" max="12062" width="0" style="141" hidden="1" customWidth="1"/>
    <col min="12063" max="12063" width="9.33203125" style="141"/>
    <col min="12064" max="12067" width="0" style="141" hidden="1" customWidth="1"/>
    <col min="12068" max="12068" width="9.33203125" style="141"/>
    <col min="12069" max="12072" width="0" style="141" hidden="1" customWidth="1"/>
    <col min="12073" max="12073" width="9.33203125" style="141"/>
    <col min="12074" max="12077" width="10.6640625" style="141" customWidth="1"/>
    <col min="12078" max="12078" width="9.33203125" style="141"/>
    <col min="12079" max="12082" width="10.6640625" style="141" customWidth="1"/>
    <col min="12083" max="12083" width="9.33203125" style="141"/>
    <col min="12084" max="12087" width="0" style="141" hidden="1" customWidth="1"/>
    <col min="12088" max="12088" width="9.33203125" style="141"/>
    <col min="12089" max="12092" width="0" style="141" hidden="1" customWidth="1"/>
    <col min="12093" max="12093" width="9.33203125" style="141"/>
    <col min="12094" max="12097" width="0" style="141" hidden="1" customWidth="1"/>
    <col min="12098" max="12098" width="9.33203125" style="141"/>
    <col min="12099" max="12102" width="0" style="141" hidden="1" customWidth="1"/>
    <col min="12103" max="12103" width="9.33203125" style="141"/>
    <col min="12104" max="12107" width="0" style="141" hidden="1" customWidth="1"/>
    <col min="12108" max="12108" width="9.33203125" style="141"/>
    <col min="12109" max="12112" width="0" style="141" hidden="1" customWidth="1"/>
    <col min="12113" max="12287" width="9.33203125" style="141"/>
    <col min="12288" max="12288" width="2" style="141" customWidth="1"/>
    <col min="12289" max="12289" width="36.1640625" style="141" bestFit="1" customWidth="1"/>
    <col min="12290" max="12293" width="0" style="141" hidden="1" customWidth="1"/>
    <col min="12294" max="12294" width="9.33203125" style="141"/>
    <col min="12295" max="12298" width="0" style="141" hidden="1" customWidth="1"/>
    <col min="12299" max="12299" width="9.33203125" style="141"/>
    <col min="12300" max="12303" width="0" style="141" hidden="1" customWidth="1"/>
    <col min="12304" max="12304" width="9.33203125" style="141"/>
    <col min="12305" max="12308" width="0" style="141" hidden="1" customWidth="1"/>
    <col min="12309" max="12309" width="9.33203125" style="141"/>
    <col min="12310" max="12313" width="0" style="141" hidden="1" customWidth="1"/>
    <col min="12314" max="12314" width="9.33203125" style="141"/>
    <col min="12315" max="12318" width="0" style="141" hidden="1" customWidth="1"/>
    <col min="12319" max="12319" width="9.33203125" style="141"/>
    <col min="12320" max="12323" width="0" style="141" hidden="1" customWidth="1"/>
    <col min="12324" max="12324" width="9.33203125" style="141"/>
    <col min="12325" max="12328" width="0" style="141" hidden="1" customWidth="1"/>
    <col min="12329" max="12329" width="9.33203125" style="141"/>
    <col min="12330" max="12333" width="10.6640625" style="141" customWidth="1"/>
    <col min="12334" max="12334" width="9.33203125" style="141"/>
    <col min="12335" max="12338" width="10.6640625" style="141" customWidth="1"/>
    <col min="12339" max="12339" width="9.33203125" style="141"/>
    <col min="12340" max="12343" width="0" style="141" hidden="1" customWidth="1"/>
    <col min="12344" max="12344" width="9.33203125" style="141"/>
    <col min="12345" max="12348" width="0" style="141" hidden="1" customWidth="1"/>
    <col min="12349" max="12349" width="9.33203125" style="141"/>
    <col min="12350" max="12353" width="0" style="141" hidden="1" customWidth="1"/>
    <col min="12354" max="12354" width="9.33203125" style="141"/>
    <col min="12355" max="12358" width="0" style="141" hidden="1" customWidth="1"/>
    <col min="12359" max="12359" width="9.33203125" style="141"/>
    <col min="12360" max="12363" width="0" style="141" hidden="1" customWidth="1"/>
    <col min="12364" max="12364" width="9.33203125" style="141"/>
    <col min="12365" max="12368" width="0" style="141" hidden="1" customWidth="1"/>
    <col min="12369" max="12543" width="9.33203125" style="141"/>
    <col min="12544" max="12544" width="2" style="141" customWidth="1"/>
    <col min="12545" max="12545" width="36.1640625" style="141" bestFit="1" customWidth="1"/>
    <col min="12546" max="12549" width="0" style="141" hidden="1" customWidth="1"/>
    <col min="12550" max="12550" width="9.33203125" style="141"/>
    <col min="12551" max="12554" width="0" style="141" hidden="1" customWidth="1"/>
    <col min="12555" max="12555" width="9.33203125" style="141"/>
    <col min="12556" max="12559" width="0" style="141" hidden="1" customWidth="1"/>
    <col min="12560" max="12560" width="9.33203125" style="141"/>
    <col min="12561" max="12564" width="0" style="141" hidden="1" customWidth="1"/>
    <col min="12565" max="12565" width="9.33203125" style="141"/>
    <col min="12566" max="12569" width="0" style="141" hidden="1" customWidth="1"/>
    <col min="12570" max="12570" width="9.33203125" style="141"/>
    <col min="12571" max="12574" width="0" style="141" hidden="1" customWidth="1"/>
    <col min="12575" max="12575" width="9.33203125" style="141"/>
    <col min="12576" max="12579" width="0" style="141" hidden="1" customWidth="1"/>
    <col min="12580" max="12580" width="9.33203125" style="141"/>
    <col min="12581" max="12584" width="0" style="141" hidden="1" customWidth="1"/>
    <col min="12585" max="12585" width="9.33203125" style="141"/>
    <col min="12586" max="12589" width="10.6640625" style="141" customWidth="1"/>
    <col min="12590" max="12590" width="9.33203125" style="141"/>
    <col min="12591" max="12594" width="10.6640625" style="141" customWidth="1"/>
    <col min="12595" max="12595" width="9.33203125" style="141"/>
    <col min="12596" max="12599" width="0" style="141" hidden="1" customWidth="1"/>
    <col min="12600" max="12600" width="9.33203125" style="141"/>
    <col min="12601" max="12604" width="0" style="141" hidden="1" customWidth="1"/>
    <col min="12605" max="12605" width="9.33203125" style="141"/>
    <col min="12606" max="12609" width="0" style="141" hidden="1" customWidth="1"/>
    <col min="12610" max="12610" width="9.33203125" style="141"/>
    <col min="12611" max="12614" width="0" style="141" hidden="1" customWidth="1"/>
    <col min="12615" max="12615" width="9.33203125" style="141"/>
    <col min="12616" max="12619" width="0" style="141" hidden="1" customWidth="1"/>
    <col min="12620" max="12620" width="9.33203125" style="141"/>
    <col min="12621" max="12624" width="0" style="141" hidden="1" customWidth="1"/>
    <col min="12625" max="12799" width="9.33203125" style="141"/>
    <col min="12800" max="12800" width="2" style="141" customWidth="1"/>
    <col min="12801" max="12801" width="36.1640625" style="141" bestFit="1" customWidth="1"/>
    <col min="12802" max="12805" width="0" style="141" hidden="1" customWidth="1"/>
    <col min="12806" max="12806" width="9.33203125" style="141"/>
    <col min="12807" max="12810" width="0" style="141" hidden="1" customWidth="1"/>
    <col min="12811" max="12811" width="9.33203125" style="141"/>
    <col min="12812" max="12815" width="0" style="141" hidden="1" customWidth="1"/>
    <col min="12816" max="12816" width="9.33203125" style="141"/>
    <col min="12817" max="12820" width="0" style="141" hidden="1" customWidth="1"/>
    <col min="12821" max="12821" width="9.33203125" style="141"/>
    <col min="12822" max="12825" width="0" style="141" hidden="1" customWidth="1"/>
    <col min="12826" max="12826" width="9.33203125" style="141"/>
    <col min="12827" max="12830" width="0" style="141" hidden="1" customWidth="1"/>
    <col min="12831" max="12831" width="9.33203125" style="141"/>
    <col min="12832" max="12835" width="0" style="141" hidden="1" customWidth="1"/>
    <col min="12836" max="12836" width="9.33203125" style="141"/>
    <col min="12837" max="12840" width="0" style="141" hidden="1" customWidth="1"/>
    <col min="12841" max="12841" width="9.33203125" style="141"/>
    <col min="12842" max="12845" width="10.6640625" style="141" customWidth="1"/>
    <col min="12846" max="12846" width="9.33203125" style="141"/>
    <col min="12847" max="12850" width="10.6640625" style="141" customWidth="1"/>
    <col min="12851" max="12851" width="9.33203125" style="141"/>
    <col min="12852" max="12855" width="0" style="141" hidden="1" customWidth="1"/>
    <col min="12856" max="12856" width="9.33203125" style="141"/>
    <col min="12857" max="12860" width="0" style="141" hidden="1" customWidth="1"/>
    <col min="12861" max="12861" width="9.33203125" style="141"/>
    <col min="12862" max="12865" width="0" style="141" hidden="1" customWidth="1"/>
    <col min="12866" max="12866" width="9.33203125" style="141"/>
    <col min="12867" max="12870" width="0" style="141" hidden="1" customWidth="1"/>
    <col min="12871" max="12871" width="9.33203125" style="141"/>
    <col min="12872" max="12875" width="0" style="141" hidden="1" customWidth="1"/>
    <col min="12876" max="12876" width="9.33203125" style="141"/>
    <col min="12877" max="12880" width="0" style="141" hidden="1" customWidth="1"/>
    <col min="12881" max="13055" width="9.33203125" style="141"/>
    <col min="13056" max="13056" width="2" style="141" customWidth="1"/>
    <col min="13057" max="13057" width="36.1640625" style="141" bestFit="1" customWidth="1"/>
    <col min="13058" max="13061" width="0" style="141" hidden="1" customWidth="1"/>
    <col min="13062" max="13062" width="9.33203125" style="141"/>
    <col min="13063" max="13066" width="0" style="141" hidden="1" customWidth="1"/>
    <col min="13067" max="13067" width="9.33203125" style="141"/>
    <col min="13068" max="13071" width="0" style="141" hidden="1" customWidth="1"/>
    <col min="13072" max="13072" width="9.33203125" style="141"/>
    <col min="13073" max="13076" width="0" style="141" hidden="1" customWidth="1"/>
    <col min="13077" max="13077" width="9.33203125" style="141"/>
    <col min="13078" max="13081" width="0" style="141" hidden="1" customWidth="1"/>
    <col min="13082" max="13082" width="9.33203125" style="141"/>
    <col min="13083" max="13086" width="0" style="141" hidden="1" customWidth="1"/>
    <col min="13087" max="13087" width="9.33203125" style="141"/>
    <col min="13088" max="13091" width="0" style="141" hidden="1" customWidth="1"/>
    <col min="13092" max="13092" width="9.33203125" style="141"/>
    <col min="13093" max="13096" width="0" style="141" hidden="1" customWidth="1"/>
    <col min="13097" max="13097" width="9.33203125" style="141"/>
    <col min="13098" max="13101" width="10.6640625" style="141" customWidth="1"/>
    <col min="13102" max="13102" width="9.33203125" style="141"/>
    <col min="13103" max="13106" width="10.6640625" style="141" customWidth="1"/>
    <col min="13107" max="13107" width="9.33203125" style="141"/>
    <col min="13108" max="13111" width="0" style="141" hidden="1" customWidth="1"/>
    <col min="13112" max="13112" width="9.33203125" style="141"/>
    <col min="13113" max="13116" width="0" style="141" hidden="1" customWidth="1"/>
    <col min="13117" max="13117" width="9.33203125" style="141"/>
    <col min="13118" max="13121" width="0" style="141" hidden="1" customWidth="1"/>
    <col min="13122" max="13122" width="9.33203125" style="141"/>
    <col min="13123" max="13126" width="0" style="141" hidden="1" customWidth="1"/>
    <col min="13127" max="13127" width="9.33203125" style="141"/>
    <col min="13128" max="13131" width="0" style="141" hidden="1" customWidth="1"/>
    <col min="13132" max="13132" width="9.33203125" style="141"/>
    <col min="13133" max="13136" width="0" style="141" hidden="1" customWidth="1"/>
    <col min="13137" max="13311" width="9.33203125" style="141"/>
    <col min="13312" max="13312" width="2" style="141" customWidth="1"/>
    <col min="13313" max="13313" width="36.1640625" style="141" bestFit="1" customWidth="1"/>
    <col min="13314" max="13317" width="0" style="141" hidden="1" customWidth="1"/>
    <col min="13318" max="13318" width="9.33203125" style="141"/>
    <col min="13319" max="13322" width="0" style="141" hidden="1" customWidth="1"/>
    <col min="13323" max="13323" width="9.33203125" style="141"/>
    <col min="13324" max="13327" width="0" style="141" hidden="1" customWidth="1"/>
    <col min="13328" max="13328" width="9.33203125" style="141"/>
    <col min="13329" max="13332" width="0" style="141" hidden="1" customWidth="1"/>
    <col min="13333" max="13333" width="9.33203125" style="141"/>
    <col min="13334" max="13337" width="0" style="141" hidden="1" customWidth="1"/>
    <col min="13338" max="13338" width="9.33203125" style="141"/>
    <col min="13339" max="13342" width="0" style="141" hidden="1" customWidth="1"/>
    <col min="13343" max="13343" width="9.33203125" style="141"/>
    <col min="13344" max="13347" width="0" style="141" hidden="1" customWidth="1"/>
    <col min="13348" max="13348" width="9.33203125" style="141"/>
    <col min="13349" max="13352" width="0" style="141" hidden="1" customWidth="1"/>
    <col min="13353" max="13353" width="9.33203125" style="141"/>
    <col min="13354" max="13357" width="10.6640625" style="141" customWidth="1"/>
    <col min="13358" max="13358" width="9.33203125" style="141"/>
    <col min="13359" max="13362" width="10.6640625" style="141" customWidth="1"/>
    <col min="13363" max="13363" width="9.33203125" style="141"/>
    <col min="13364" max="13367" width="0" style="141" hidden="1" customWidth="1"/>
    <col min="13368" max="13368" width="9.33203125" style="141"/>
    <col min="13369" max="13372" width="0" style="141" hidden="1" customWidth="1"/>
    <col min="13373" max="13373" width="9.33203125" style="141"/>
    <col min="13374" max="13377" width="0" style="141" hidden="1" customWidth="1"/>
    <col min="13378" max="13378" width="9.33203125" style="141"/>
    <col min="13379" max="13382" width="0" style="141" hidden="1" customWidth="1"/>
    <col min="13383" max="13383" width="9.33203125" style="141"/>
    <col min="13384" max="13387" width="0" style="141" hidden="1" customWidth="1"/>
    <col min="13388" max="13388" width="9.33203125" style="141"/>
    <col min="13389" max="13392" width="0" style="141" hidden="1" customWidth="1"/>
    <col min="13393" max="13567" width="9.33203125" style="141"/>
    <col min="13568" max="13568" width="2" style="141" customWidth="1"/>
    <col min="13569" max="13569" width="36.1640625" style="141" bestFit="1" customWidth="1"/>
    <col min="13570" max="13573" width="0" style="141" hidden="1" customWidth="1"/>
    <col min="13574" max="13574" width="9.33203125" style="141"/>
    <col min="13575" max="13578" width="0" style="141" hidden="1" customWidth="1"/>
    <col min="13579" max="13579" width="9.33203125" style="141"/>
    <col min="13580" max="13583" width="0" style="141" hidden="1" customWidth="1"/>
    <col min="13584" max="13584" width="9.33203125" style="141"/>
    <col min="13585" max="13588" width="0" style="141" hidden="1" customWidth="1"/>
    <col min="13589" max="13589" width="9.33203125" style="141"/>
    <col min="13590" max="13593" width="0" style="141" hidden="1" customWidth="1"/>
    <col min="13594" max="13594" width="9.33203125" style="141"/>
    <col min="13595" max="13598" width="0" style="141" hidden="1" customWidth="1"/>
    <col min="13599" max="13599" width="9.33203125" style="141"/>
    <col min="13600" max="13603" width="0" style="141" hidden="1" customWidth="1"/>
    <col min="13604" max="13604" width="9.33203125" style="141"/>
    <col min="13605" max="13608" width="0" style="141" hidden="1" customWidth="1"/>
    <col min="13609" max="13609" width="9.33203125" style="141"/>
    <col min="13610" max="13613" width="10.6640625" style="141" customWidth="1"/>
    <col min="13614" max="13614" width="9.33203125" style="141"/>
    <col min="13615" max="13618" width="10.6640625" style="141" customWidth="1"/>
    <col min="13619" max="13619" width="9.33203125" style="141"/>
    <col min="13620" max="13623" width="0" style="141" hidden="1" customWidth="1"/>
    <col min="13624" max="13624" width="9.33203125" style="141"/>
    <col min="13625" max="13628" width="0" style="141" hidden="1" customWidth="1"/>
    <col min="13629" max="13629" width="9.33203125" style="141"/>
    <col min="13630" max="13633" width="0" style="141" hidden="1" customWidth="1"/>
    <col min="13634" max="13634" width="9.33203125" style="141"/>
    <col min="13635" max="13638" width="0" style="141" hidden="1" customWidth="1"/>
    <col min="13639" max="13639" width="9.33203125" style="141"/>
    <col min="13640" max="13643" width="0" style="141" hidden="1" customWidth="1"/>
    <col min="13644" max="13644" width="9.33203125" style="141"/>
    <col min="13645" max="13648" width="0" style="141" hidden="1" customWidth="1"/>
    <col min="13649" max="13823" width="9.33203125" style="141"/>
    <col min="13824" max="13824" width="2" style="141" customWidth="1"/>
    <col min="13825" max="13825" width="36.1640625" style="141" bestFit="1" customWidth="1"/>
    <col min="13826" max="13829" width="0" style="141" hidden="1" customWidth="1"/>
    <col min="13830" max="13830" width="9.33203125" style="141"/>
    <col min="13831" max="13834" width="0" style="141" hidden="1" customWidth="1"/>
    <col min="13835" max="13835" width="9.33203125" style="141"/>
    <col min="13836" max="13839" width="0" style="141" hidden="1" customWidth="1"/>
    <col min="13840" max="13840" width="9.33203125" style="141"/>
    <col min="13841" max="13844" width="0" style="141" hidden="1" customWidth="1"/>
    <col min="13845" max="13845" width="9.33203125" style="141"/>
    <col min="13846" max="13849" width="0" style="141" hidden="1" customWidth="1"/>
    <col min="13850" max="13850" width="9.33203125" style="141"/>
    <col min="13851" max="13854" width="0" style="141" hidden="1" customWidth="1"/>
    <col min="13855" max="13855" width="9.33203125" style="141"/>
    <col min="13856" max="13859" width="0" style="141" hidden="1" customWidth="1"/>
    <col min="13860" max="13860" width="9.33203125" style="141"/>
    <col min="13861" max="13864" width="0" style="141" hidden="1" customWidth="1"/>
    <col min="13865" max="13865" width="9.33203125" style="141"/>
    <col min="13866" max="13869" width="10.6640625" style="141" customWidth="1"/>
    <col min="13870" max="13870" width="9.33203125" style="141"/>
    <col min="13871" max="13874" width="10.6640625" style="141" customWidth="1"/>
    <col min="13875" max="13875" width="9.33203125" style="141"/>
    <col min="13876" max="13879" width="0" style="141" hidden="1" customWidth="1"/>
    <col min="13880" max="13880" width="9.33203125" style="141"/>
    <col min="13881" max="13884" width="0" style="141" hidden="1" customWidth="1"/>
    <col min="13885" max="13885" width="9.33203125" style="141"/>
    <col min="13886" max="13889" width="0" style="141" hidden="1" customWidth="1"/>
    <col min="13890" max="13890" width="9.33203125" style="141"/>
    <col min="13891" max="13894" width="0" style="141" hidden="1" customWidth="1"/>
    <col min="13895" max="13895" width="9.33203125" style="141"/>
    <col min="13896" max="13899" width="0" style="141" hidden="1" customWidth="1"/>
    <col min="13900" max="13900" width="9.33203125" style="141"/>
    <col min="13901" max="13904" width="0" style="141" hidden="1" customWidth="1"/>
    <col min="13905" max="14079" width="9.33203125" style="141"/>
    <col min="14080" max="14080" width="2" style="141" customWidth="1"/>
    <col min="14081" max="14081" width="36.1640625" style="141" bestFit="1" customWidth="1"/>
    <col min="14082" max="14085" width="0" style="141" hidden="1" customWidth="1"/>
    <col min="14086" max="14086" width="9.33203125" style="141"/>
    <col min="14087" max="14090" width="0" style="141" hidden="1" customWidth="1"/>
    <col min="14091" max="14091" width="9.33203125" style="141"/>
    <col min="14092" max="14095" width="0" style="141" hidden="1" customWidth="1"/>
    <col min="14096" max="14096" width="9.33203125" style="141"/>
    <col min="14097" max="14100" width="0" style="141" hidden="1" customWidth="1"/>
    <col min="14101" max="14101" width="9.33203125" style="141"/>
    <col min="14102" max="14105" width="0" style="141" hidden="1" customWidth="1"/>
    <col min="14106" max="14106" width="9.33203125" style="141"/>
    <col min="14107" max="14110" width="0" style="141" hidden="1" customWidth="1"/>
    <col min="14111" max="14111" width="9.33203125" style="141"/>
    <col min="14112" max="14115" width="0" style="141" hidden="1" customWidth="1"/>
    <col min="14116" max="14116" width="9.33203125" style="141"/>
    <col min="14117" max="14120" width="0" style="141" hidden="1" customWidth="1"/>
    <col min="14121" max="14121" width="9.33203125" style="141"/>
    <col min="14122" max="14125" width="10.6640625" style="141" customWidth="1"/>
    <col min="14126" max="14126" width="9.33203125" style="141"/>
    <col min="14127" max="14130" width="10.6640625" style="141" customWidth="1"/>
    <col min="14131" max="14131" width="9.33203125" style="141"/>
    <col min="14132" max="14135" width="0" style="141" hidden="1" customWidth="1"/>
    <col min="14136" max="14136" width="9.33203125" style="141"/>
    <col min="14137" max="14140" width="0" style="141" hidden="1" customWidth="1"/>
    <col min="14141" max="14141" width="9.33203125" style="141"/>
    <col min="14142" max="14145" width="0" style="141" hidden="1" customWidth="1"/>
    <col min="14146" max="14146" width="9.33203125" style="141"/>
    <col min="14147" max="14150" width="0" style="141" hidden="1" customWidth="1"/>
    <col min="14151" max="14151" width="9.33203125" style="141"/>
    <col min="14152" max="14155" width="0" style="141" hidden="1" customWidth="1"/>
    <col min="14156" max="14156" width="9.33203125" style="141"/>
    <col min="14157" max="14160" width="0" style="141" hidden="1" customWidth="1"/>
    <col min="14161" max="14335" width="9.33203125" style="141"/>
    <col min="14336" max="14336" width="2" style="141" customWidth="1"/>
    <col min="14337" max="14337" width="36.1640625" style="141" bestFit="1" customWidth="1"/>
    <col min="14338" max="14341" width="0" style="141" hidden="1" customWidth="1"/>
    <col min="14342" max="14342" width="9.33203125" style="141"/>
    <col min="14343" max="14346" width="0" style="141" hidden="1" customWidth="1"/>
    <col min="14347" max="14347" width="9.33203125" style="141"/>
    <col min="14348" max="14351" width="0" style="141" hidden="1" customWidth="1"/>
    <col min="14352" max="14352" width="9.33203125" style="141"/>
    <col min="14353" max="14356" width="0" style="141" hidden="1" customWidth="1"/>
    <col min="14357" max="14357" width="9.33203125" style="141"/>
    <col min="14358" max="14361" width="0" style="141" hidden="1" customWidth="1"/>
    <col min="14362" max="14362" width="9.33203125" style="141"/>
    <col min="14363" max="14366" width="0" style="141" hidden="1" customWidth="1"/>
    <col min="14367" max="14367" width="9.33203125" style="141"/>
    <col min="14368" max="14371" width="0" style="141" hidden="1" customWidth="1"/>
    <col min="14372" max="14372" width="9.33203125" style="141"/>
    <col min="14373" max="14376" width="0" style="141" hidden="1" customWidth="1"/>
    <col min="14377" max="14377" width="9.33203125" style="141"/>
    <col min="14378" max="14381" width="10.6640625" style="141" customWidth="1"/>
    <col min="14382" max="14382" width="9.33203125" style="141"/>
    <col min="14383" max="14386" width="10.6640625" style="141" customWidth="1"/>
    <col min="14387" max="14387" width="9.33203125" style="141"/>
    <col min="14388" max="14391" width="0" style="141" hidden="1" customWidth="1"/>
    <col min="14392" max="14392" width="9.33203125" style="141"/>
    <col min="14393" max="14396" width="0" style="141" hidden="1" customWidth="1"/>
    <col min="14397" max="14397" width="9.33203125" style="141"/>
    <col min="14398" max="14401" width="0" style="141" hidden="1" customWidth="1"/>
    <col min="14402" max="14402" width="9.33203125" style="141"/>
    <col min="14403" max="14406" width="0" style="141" hidden="1" customWidth="1"/>
    <col min="14407" max="14407" width="9.33203125" style="141"/>
    <col min="14408" max="14411" width="0" style="141" hidden="1" customWidth="1"/>
    <col min="14412" max="14412" width="9.33203125" style="141"/>
    <col min="14413" max="14416" width="0" style="141" hidden="1" customWidth="1"/>
    <col min="14417" max="14591" width="9.33203125" style="141"/>
    <col min="14592" max="14592" width="2" style="141" customWidth="1"/>
    <col min="14593" max="14593" width="36.1640625" style="141" bestFit="1" customWidth="1"/>
    <col min="14594" max="14597" width="0" style="141" hidden="1" customWidth="1"/>
    <col min="14598" max="14598" width="9.33203125" style="141"/>
    <col min="14599" max="14602" width="0" style="141" hidden="1" customWidth="1"/>
    <col min="14603" max="14603" width="9.33203125" style="141"/>
    <col min="14604" max="14607" width="0" style="141" hidden="1" customWidth="1"/>
    <col min="14608" max="14608" width="9.33203125" style="141"/>
    <col min="14609" max="14612" width="0" style="141" hidden="1" customWidth="1"/>
    <col min="14613" max="14613" width="9.33203125" style="141"/>
    <col min="14614" max="14617" width="0" style="141" hidden="1" customWidth="1"/>
    <col min="14618" max="14618" width="9.33203125" style="141"/>
    <col min="14619" max="14622" width="0" style="141" hidden="1" customWidth="1"/>
    <col min="14623" max="14623" width="9.33203125" style="141"/>
    <col min="14624" max="14627" width="0" style="141" hidden="1" customWidth="1"/>
    <col min="14628" max="14628" width="9.33203125" style="141"/>
    <col min="14629" max="14632" width="0" style="141" hidden="1" customWidth="1"/>
    <col min="14633" max="14633" width="9.33203125" style="141"/>
    <col min="14634" max="14637" width="10.6640625" style="141" customWidth="1"/>
    <col min="14638" max="14638" width="9.33203125" style="141"/>
    <col min="14639" max="14642" width="10.6640625" style="141" customWidth="1"/>
    <col min="14643" max="14643" width="9.33203125" style="141"/>
    <col min="14644" max="14647" width="0" style="141" hidden="1" customWidth="1"/>
    <col min="14648" max="14648" width="9.33203125" style="141"/>
    <col min="14649" max="14652" width="0" style="141" hidden="1" customWidth="1"/>
    <col min="14653" max="14653" width="9.33203125" style="141"/>
    <col min="14654" max="14657" width="0" style="141" hidden="1" customWidth="1"/>
    <col min="14658" max="14658" width="9.33203125" style="141"/>
    <col min="14659" max="14662" width="0" style="141" hidden="1" customWidth="1"/>
    <col min="14663" max="14663" width="9.33203125" style="141"/>
    <col min="14664" max="14667" width="0" style="141" hidden="1" customWidth="1"/>
    <col min="14668" max="14668" width="9.33203125" style="141"/>
    <col min="14669" max="14672" width="0" style="141" hidden="1" customWidth="1"/>
    <col min="14673" max="14847" width="9.33203125" style="141"/>
    <col min="14848" max="14848" width="2" style="141" customWidth="1"/>
    <col min="14849" max="14849" width="36.1640625" style="141" bestFit="1" customWidth="1"/>
    <col min="14850" max="14853" width="0" style="141" hidden="1" customWidth="1"/>
    <col min="14854" max="14854" width="9.33203125" style="141"/>
    <col min="14855" max="14858" width="0" style="141" hidden="1" customWidth="1"/>
    <col min="14859" max="14859" width="9.33203125" style="141"/>
    <col min="14860" max="14863" width="0" style="141" hidden="1" customWidth="1"/>
    <col min="14864" max="14864" width="9.33203125" style="141"/>
    <col min="14865" max="14868" width="0" style="141" hidden="1" customWidth="1"/>
    <col min="14869" max="14869" width="9.33203125" style="141"/>
    <col min="14870" max="14873" width="0" style="141" hidden="1" customWidth="1"/>
    <col min="14874" max="14874" width="9.33203125" style="141"/>
    <col min="14875" max="14878" width="0" style="141" hidden="1" customWidth="1"/>
    <col min="14879" max="14879" width="9.33203125" style="141"/>
    <col min="14880" max="14883" width="0" style="141" hidden="1" customWidth="1"/>
    <col min="14884" max="14884" width="9.33203125" style="141"/>
    <col min="14885" max="14888" width="0" style="141" hidden="1" customWidth="1"/>
    <col min="14889" max="14889" width="9.33203125" style="141"/>
    <col min="14890" max="14893" width="10.6640625" style="141" customWidth="1"/>
    <col min="14894" max="14894" width="9.33203125" style="141"/>
    <col min="14895" max="14898" width="10.6640625" style="141" customWidth="1"/>
    <col min="14899" max="14899" width="9.33203125" style="141"/>
    <col min="14900" max="14903" width="0" style="141" hidden="1" customWidth="1"/>
    <col min="14904" max="14904" width="9.33203125" style="141"/>
    <col min="14905" max="14908" width="0" style="141" hidden="1" customWidth="1"/>
    <col min="14909" max="14909" width="9.33203125" style="141"/>
    <col min="14910" max="14913" width="0" style="141" hidden="1" customWidth="1"/>
    <col min="14914" max="14914" width="9.33203125" style="141"/>
    <col min="14915" max="14918" width="0" style="141" hidden="1" customWidth="1"/>
    <col min="14919" max="14919" width="9.33203125" style="141"/>
    <col min="14920" max="14923" width="0" style="141" hidden="1" customWidth="1"/>
    <col min="14924" max="14924" width="9.33203125" style="141"/>
    <col min="14925" max="14928" width="0" style="141" hidden="1" customWidth="1"/>
    <col min="14929" max="15103" width="9.33203125" style="141"/>
    <col min="15104" max="15104" width="2" style="141" customWidth="1"/>
    <col min="15105" max="15105" width="36.1640625" style="141" bestFit="1" customWidth="1"/>
    <col min="15106" max="15109" width="0" style="141" hidden="1" customWidth="1"/>
    <col min="15110" max="15110" width="9.33203125" style="141"/>
    <col min="15111" max="15114" width="0" style="141" hidden="1" customWidth="1"/>
    <col min="15115" max="15115" width="9.33203125" style="141"/>
    <col min="15116" max="15119" width="0" style="141" hidden="1" customWidth="1"/>
    <col min="15120" max="15120" width="9.33203125" style="141"/>
    <col min="15121" max="15124" width="0" style="141" hidden="1" customWidth="1"/>
    <col min="15125" max="15125" width="9.33203125" style="141"/>
    <col min="15126" max="15129" width="0" style="141" hidden="1" customWidth="1"/>
    <col min="15130" max="15130" width="9.33203125" style="141"/>
    <col min="15131" max="15134" width="0" style="141" hidden="1" customWidth="1"/>
    <col min="15135" max="15135" width="9.33203125" style="141"/>
    <col min="15136" max="15139" width="0" style="141" hidden="1" customWidth="1"/>
    <col min="15140" max="15140" width="9.33203125" style="141"/>
    <col min="15141" max="15144" width="0" style="141" hidden="1" customWidth="1"/>
    <col min="15145" max="15145" width="9.33203125" style="141"/>
    <col min="15146" max="15149" width="10.6640625" style="141" customWidth="1"/>
    <col min="15150" max="15150" width="9.33203125" style="141"/>
    <col min="15151" max="15154" width="10.6640625" style="141" customWidth="1"/>
    <col min="15155" max="15155" width="9.33203125" style="141"/>
    <col min="15156" max="15159" width="0" style="141" hidden="1" customWidth="1"/>
    <col min="15160" max="15160" width="9.33203125" style="141"/>
    <col min="15161" max="15164" width="0" style="141" hidden="1" customWidth="1"/>
    <col min="15165" max="15165" width="9.33203125" style="141"/>
    <col min="15166" max="15169" width="0" style="141" hidden="1" customWidth="1"/>
    <col min="15170" max="15170" width="9.33203125" style="141"/>
    <col min="15171" max="15174" width="0" style="141" hidden="1" customWidth="1"/>
    <col min="15175" max="15175" width="9.33203125" style="141"/>
    <col min="15176" max="15179" width="0" style="141" hidden="1" customWidth="1"/>
    <col min="15180" max="15180" width="9.33203125" style="141"/>
    <col min="15181" max="15184" width="0" style="141" hidden="1" customWidth="1"/>
    <col min="15185" max="15359" width="9.33203125" style="141"/>
    <col min="15360" max="15360" width="2" style="141" customWidth="1"/>
    <col min="15361" max="15361" width="36.1640625" style="141" bestFit="1" customWidth="1"/>
    <col min="15362" max="15365" width="0" style="141" hidden="1" customWidth="1"/>
    <col min="15366" max="15366" width="9.33203125" style="141"/>
    <col min="15367" max="15370" width="0" style="141" hidden="1" customWidth="1"/>
    <col min="15371" max="15371" width="9.33203125" style="141"/>
    <col min="15372" max="15375" width="0" style="141" hidden="1" customWidth="1"/>
    <col min="15376" max="15376" width="9.33203125" style="141"/>
    <col min="15377" max="15380" width="0" style="141" hidden="1" customWidth="1"/>
    <col min="15381" max="15381" width="9.33203125" style="141"/>
    <col min="15382" max="15385" width="0" style="141" hidden="1" customWidth="1"/>
    <col min="15386" max="15386" width="9.33203125" style="141"/>
    <col min="15387" max="15390" width="0" style="141" hidden="1" customWidth="1"/>
    <col min="15391" max="15391" width="9.33203125" style="141"/>
    <col min="15392" max="15395" width="0" style="141" hidden="1" customWidth="1"/>
    <col min="15396" max="15396" width="9.33203125" style="141"/>
    <col min="15397" max="15400" width="0" style="141" hidden="1" customWidth="1"/>
    <col min="15401" max="15401" width="9.33203125" style="141"/>
    <col min="15402" max="15405" width="10.6640625" style="141" customWidth="1"/>
    <col min="15406" max="15406" width="9.33203125" style="141"/>
    <col min="15407" max="15410" width="10.6640625" style="141" customWidth="1"/>
    <col min="15411" max="15411" width="9.33203125" style="141"/>
    <col min="15412" max="15415" width="0" style="141" hidden="1" customWidth="1"/>
    <col min="15416" max="15416" width="9.33203125" style="141"/>
    <col min="15417" max="15420" width="0" style="141" hidden="1" customWidth="1"/>
    <col min="15421" max="15421" width="9.33203125" style="141"/>
    <col min="15422" max="15425" width="0" style="141" hidden="1" customWidth="1"/>
    <col min="15426" max="15426" width="9.33203125" style="141"/>
    <col min="15427" max="15430" width="0" style="141" hidden="1" customWidth="1"/>
    <col min="15431" max="15431" width="9.33203125" style="141"/>
    <col min="15432" max="15435" width="0" style="141" hidden="1" customWidth="1"/>
    <col min="15436" max="15436" width="9.33203125" style="141"/>
    <col min="15437" max="15440" width="0" style="141" hidden="1" customWidth="1"/>
    <col min="15441" max="15615" width="9.33203125" style="141"/>
    <col min="15616" max="15616" width="2" style="141" customWidth="1"/>
    <col min="15617" max="15617" width="36.1640625" style="141" bestFit="1" customWidth="1"/>
    <col min="15618" max="15621" width="0" style="141" hidden="1" customWidth="1"/>
    <col min="15622" max="15622" width="9.33203125" style="141"/>
    <col min="15623" max="15626" width="0" style="141" hidden="1" customWidth="1"/>
    <col min="15627" max="15627" width="9.33203125" style="141"/>
    <col min="15628" max="15631" width="0" style="141" hidden="1" customWidth="1"/>
    <col min="15632" max="15632" width="9.33203125" style="141"/>
    <col min="15633" max="15636" width="0" style="141" hidden="1" customWidth="1"/>
    <col min="15637" max="15637" width="9.33203125" style="141"/>
    <col min="15638" max="15641" width="0" style="141" hidden="1" customWidth="1"/>
    <col min="15642" max="15642" width="9.33203125" style="141"/>
    <col min="15643" max="15646" width="0" style="141" hidden="1" customWidth="1"/>
    <col min="15647" max="15647" width="9.33203125" style="141"/>
    <col min="15648" max="15651" width="0" style="141" hidden="1" customWidth="1"/>
    <col min="15652" max="15652" width="9.33203125" style="141"/>
    <col min="15653" max="15656" width="0" style="141" hidden="1" customWidth="1"/>
    <col min="15657" max="15657" width="9.33203125" style="141"/>
    <col min="15658" max="15661" width="10.6640625" style="141" customWidth="1"/>
    <col min="15662" max="15662" width="9.33203125" style="141"/>
    <col min="15663" max="15666" width="10.6640625" style="141" customWidth="1"/>
    <col min="15667" max="15667" width="9.33203125" style="141"/>
    <col min="15668" max="15671" width="0" style="141" hidden="1" customWidth="1"/>
    <col min="15672" max="15672" width="9.33203125" style="141"/>
    <col min="15673" max="15676" width="0" style="141" hidden="1" customWidth="1"/>
    <col min="15677" max="15677" width="9.33203125" style="141"/>
    <col min="15678" max="15681" width="0" style="141" hidden="1" customWidth="1"/>
    <col min="15682" max="15682" width="9.33203125" style="141"/>
    <col min="15683" max="15686" width="0" style="141" hidden="1" customWidth="1"/>
    <col min="15687" max="15687" width="9.33203125" style="141"/>
    <col min="15688" max="15691" width="0" style="141" hidden="1" customWidth="1"/>
    <col min="15692" max="15692" width="9.33203125" style="141"/>
    <col min="15693" max="15696" width="0" style="141" hidden="1" customWidth="1"/>
    <col min="15697" max="15871" width="9.33203125" style="141"/>
    <col min="15872" max="15872" width="2" style="141" customWidth="1"/>
    <col min="15873" max="15873" width="36.1640625" style="141" bestFit="1" customWidth="1"/>
    <col min="15874" max="15877" width="0" style="141" hidden="1" customWidth="1"/>
    <col min="15878" max="15878" width="9.33203125" style="141"/>
    <col min="15879" max="15882" width="0" style="141" hidden="1" customWidth="1"/>
    <col min="15883" max="15883" width="9.33203125" style="141"/>
    <col min="15884" max="15887" width="0" style="141" hidden="1" customWidth="1"/>
    <col min="15888" max="15888" width="9.33203125" style="141"/>
    <col min="15889" max="15892" width="0" style="141" hidden="1" customWidth="1"/>
    <col min="15893" max="15893" width="9.33203125" style="141"/>
    <col min="15894" max="15897" width="0" style="141" hidden="1" customWidth="1"/>
    <col min="15898" max="15898" width="9.33203125" style="141"/>
    <col min="15899" max="15902" width="0" style="141" hidden="1" customWidth="1"/>
    <col min="15903" max="15903" width="9.33203125" style="141"/>
    <col min="15904" max="15907" width="0" style="141" hidden="1" customWidth="1"/>
    <col min="15908" max="15908" width="9.33203125" style="141"/>
    <col min="15909" max="15912" width="0" style="141" hidden="1" customWidth="1"/>
    <col min="15913" max="15913" width="9.33203125" style="141"/>
    <col min="15914" max="15917" width="10.6640625" style="141" customWidth="1"/>
    <col min="15918" max="15918" width="9.33203125" style="141"/>
    <col min="15919" max="15922" width="10.6640625" style="141" customWidth="1"/>
    <col min="15923" max="15923" width="9.33203125" style="141"/>
    <col min="15924" max="15927" width="0" style="141" hidden="1" customWidth="1"/>
    <col min="15928" max="15928" width="9.33203125" style="141"/>
    <col min="15929" max="15932" width="0" style="141" hidden="1" customWidth="1"/>
    <col min="15933" max="15933" width="9.33203125" style="141"/>
    <col min="15934" max="15937" width="0" style="141" hidden="1" customWidth="1"/>
    <col min="15938" max="15938" width="9.33203125" style="141"/>
    <col min="15939" max="15942" width="0" style="141" hidden="1" customWidth="1"/>
    <col min="15943" max="15943" width="9.33203125" style="141"/>
    <col min="15944" max="15947" width="0" style="141" hidden="1" customWidth="1"/>
    <col min="15948" max="15948" width="9.33203125" style="141"/>
    <col min="15949" max="15952" width="0" style="141" hidden="1" customWidth="1"/>
    <col min="15953" max="16127" width="9.33203125" style="141"/>
    <col min="16128" max="16128" width="2" style="141" customWidth="1"/>
    <col min="16129" max="16129" width="36.1640625" style="141" bestFit="1" customWidth="1"/>
    <col min="16130" max="16133" width="0" style="141" hidden="1" customWidth="1"/>
    <col min="16134" max="16134" width="9.33203125" style="141"/>
    <col min="16135" max="16138" width="0" style="141" hidden="1" customWidth="1"/>
    <col min="16139" max="16139" width="9.33203125" style="141"/>
    <col min="16140" max="16143" width="0" style="141" hidden="1" customWidth="1"/>
    <col min="16144" max="16144" width="9.33203125" style="141"/>
    <col min="16145" max="16148" width="0" style="141" hidden="1" customWidth="1"/>
    <col min="16149" max="16149" width="9.33203125" style="141"/>
    <col min="16150" max="16153" width="0" style="141" hidden="1" customWidth="1"/>
    <col min="16154" max="16154" width="9.33203125" style="141"/>
    <col min="16155" max="16158" width="0" style="141" hidden="1" customWidth="1"/>
    <col min="16159" max="16159" width="9.33203125" style="141"/>
    <col min="16160" max="16163" width="0" style="141" hidden="1" customWidth="1"/>
    <col min="16164" max="16164" width="9.33203125" style="141"/>
    <col min="16165" max="16168" width="0" style="141" hidden="1" customWidth="1"/>
    <col min="16169" max="16169" width="9.33203125" style="141"/>
    <col min="16170" max="16173" width="10.6640625" style="141" customWidth="1"/>
    <col min="16174" max="16174" width="9.33203125" style="141"/>
    <col min="16175" max="16178" width="10.6640625" style="141" customWidth="1"/>
    <col min="16179" max="16179" width="9.33203125" style="141"/>
    <col min="16180" max="16183" width="0" style="141" hidden="1" customWidth="1"/>
    <col min="16184" max="16184" width="9.33203125" style="141"/>
    <col min="16185" max="16188" width="0" style="141" hidden="1" customWidth="1"/>
    <col min="16189" max="16189" width="9.33203125" style="141"/>
    <col min="16190" max="16193" width="0" style="141" hidden="1" customWidth="1"/>
    <col min="16194" max="16194" width="9.33203125" style="141"/>
    <col min="16195" max="16198" width="0" style="141" hidden="1" customWidth="1"/>
    <col min="16199" max="16199" width="9.33203125" style="141"/>
    <col min="16200" max="16203" width="0" style="141" hidden="1" customWidth="1"/>
    <col min="16204" max="16204" width="9.33203125" style="141"/>
    <col min="16205" max="16208" width="0" style="141" hidden="1" customWidth="1"/>
    <col min="16209" max="16384" width="9.33203125" style="141"/>
  </cols>
  <sheetData>
    <row r="3" spans="1:127" ht="17.25" customHeight="1"/>
    <row r="4" spans="1:127">
      <c r="B4" s="142" t="s">
        <v>235</v>
      </c>
      <c r="C4" s="586" t="s">
        <v>236</v>
      </c>
      <c r="D4" s="586" t="s">
        <v>237</v>
      </c>
      <c r="E4" s="586" t="s">
        <v>238</v>
      </c>
      <c r="F4" s="586" t="s">
        <v>239</v>
      </c>
      <c r="G4" s="157">
        <v>2006</v>
      </c>
      <c r="H4" s="586" t="s">
        <v>240</v>
      </c>
      <c r="I4" s="586" t="s">
        <v>241</v>
      </c>
      <c r="J4" s="586" t="s">
        <v>242</v>
      </c>
      <c r="K4" s="586" t="s">
        <v>243</v>
      </c>
      <c r="L4" s="157">
        <v>2007</v>
      </c>
      <c r="M4" s="586" t="s">
        <v>244</v>
      </c>
      <c r="N4" s="586" t="s">
        <v>245</v>
      </c>
      <c r="O4" s="586" t="s">
        <v>246</v>
      </c>
      <c r="P4" s="586" t="s">
        <v>247</v>
      </c>
      <c r="Q4" s="157">
        <v>2008</v>
      </c>
      <c r="R4" s="586" t="s">
        <v>248</v>
      </c>
      <c r="S4" s="586" t="s">
        <v>249</v>
      </c>
      <c r="T4" s="586" t="s">
        <v>250</v>
      </c>
      <c r="U4" s="586" t="s">
        <v>251</v>
      </c>
      <c r="V4" s="157">
        <v>2009</v>
      </c>
      <c r="W4" s="586" t="s">
        <v>252</v>
      </c>
      <c r="X4" s="586" t="s">
        <v>253</v>
      </c>
      <c r="Y4" s="586" t="s">
        <v>254</v>
      </c>
      <c r="Z4" s="586" t="s">
        <v>255</v>
      </c>
      <c r="AA4" s="157">
        <v>2010</v>
      </c>
      <c r="AB4" s="586" t="s">
        <v>256</v>
      </c>
      <c r="AC4" s="586" t="s">
        <v>257</v>
      </c>
      <c r="AD4" s="586" t="s">
        <v>258</v>
      </c>
      <c r="AE4" s="586" t="s">
        <v>259</v>
      </c>
      <c r="AF4" s="157">
        <v>2011</v>
      </c>
      <c r="AG4" s="586" t="s">
        <v>260</v>
      </c>
      <c r="AH4" s="586" t="s">
        <v>261</v>
      </c>
      <c r="AI4" s="586" t="s">
        <v>262</v>
      </c>
      <c r="AJ4" s="586" t="s">
        <v>263</v>
      </c>
      <c r="AK4" s="157">
        <v>2012</v>
      </c>
      <c r="AL4" s="586" t="s">
        <v>264</v>
      </c>
      <c r="AM4" s="586" t="s">
        <v>265</v>
      </c>
      <c r="AN4" s="586" t="s">
        <v>266</v>
      </c>
      <c r="AO4" s="586" t="s">
        <v>267</v>
      </c>
      <c r="AP4" s="157">
        <v>2013</v>
      </c>
      <c r="AQ4" s="586" t="s">
        <v>268</v>
      </c>
      <c r="AR4" s="586" t="s">
        <v>269</v>
      </c>
      <c r="AS4" s="586" t="s">
        <v>270</v>
      </c>
      <c r="AT4" s="586" t="s">
        <v>271</v>
      </c>
      <c r="AU4" s="157" t="s">
        <v>514</v>
      </c>
      <c r="AV4" s="586" t="s">
        <v>511</v>
      </c>
      <c r="AW4" s="586" t="s">
        <v>512</v>
      </c>
      <c r="AX4" s="586" t="s">
        <v>510</v>
      </c>
      <c r="AY4" s="586" t="s">
        <v>516</v>
      </c>
      <c r="AZ4" s="157" t="s">
        <v>517</v>
      </c>
      <c r="BA4" s="586" t="s">
        <v>518</v>
      </c>
      <c r="BB4" s="586" t="s">
        <v>519</v>
      </c>
      <c r="BC4" s="586" t="s">
        <v>520</v>
      </c>
      <c r="BD4" s="586" t="s">
        <v>522</v>
      </c>
      <c r="BE4" s="157" t="s">
        <v>526</v>
      </c>
      <c r="BF4" s="586" t="s">
        <v>527</v>
      </c>
      <c r="BG4" s="586" t="s">
        <v>668</v>
      </c>
      <c r="BH4" s="586" t="s">
        <v>669</v>
      </c>
      <c r="BI4" s="586" t="s">
        <v>677</v>
      </c>
      <c r="BJ4" s="157" t="s">
        <v>678</v>
      </c>
      <c r="BK4" s="586" t="s">
        <v>13</v>
      </c>
      <c r="BL4" s="586" t="s">
        <v>14</v>
      </c>
      <c r="BM4" s="586" t="s">
        <v>15</v>
      </c>
      <c r="BN4" s="586" t="s">
        <v>16</v>
      </c>
      <c r="BO4" s="157" t="s">
        <v>17</v>
      </c>
      <c r="BP4" s="586" t="s">
        <v>30</v>
      </c>
      <c r="BQ4" s="586" t="s">
        <v>18</v>
      </c>
      <c r="BR4" s="586" t="s">
        <v>19</v>
      </c>
      <c r="BS4" s="586" t="s">
        <v>20</v>
      </c>
      <c r="BT4" s="157" t="s">
        <v>21</v>
      </c>
      <c r="BU4" s="586" t="s">
        <v>22</v>
      </c>
      <c r="BV4" s="586" t="s">
        <v>23</v>
      </c>
      <c r="BW4" s="586" t="s">
        <v>24</v>
      </c>
      <c r="BX4" s="586" t="s">
        <v>25</v>
      </c>
      <c r="BY4" s="157" t="s">
        <v>26</v>
      </c>
      <c r="BZ4" s="586" t="s">
        <v>272</v>
      </c>
      <c r="CA4" s="586" t="s">
        <v>273</v>
      </c>
      <c r="CB4" s="586" t="s">
        <v>274</v>
      </c>
      <c r="CC4" s="586" t="s">
        <v>275</v>
      </c>
      <c r="CD4" s="625" t="s">
        <v>276</v>
      </c>
      <c r="CE4" s="586" t="s">
        <v>590</v>
      </c>
      <c r="CF4" s="586" t="s">
        <v>593</v>
      </c>
      <c r="CG4" s="586" t="s">
        <v>592</v>
      </c>
      <c r="CH4" s="586" t="s">
        <v>594</v>
      </c>
      <c r="CI4" s="157" t="s">
        <v>595</v>
      </c>
      <c r="CJ4" s="586" t="s">
        <v>596</v>
      </c>
      <c r="CK4" s="586" t="s">
        <v>591</v>
      </c>
      <c r="CL4" s="586" t="s">
        <v>597</v>
      </c>
      <c r="CM4" s="586" t="s">
        <v>598</v>
      </c>
      <c r="CN4" s="157" t="s">
        <v>599</v>
      </c>
      <c r="CO4" s="586" t="s">
        <v>600</v>
      </c>
      <c r="CP4" s="586" t="s">
        <v>601</v>
      </c>
      <c r="CQ4" s="586" t="s">
        <v>602</v>
      </c>
      <c r="CR4" s="586" t="s">
        <v>603</v>
      </c>
      <c r="CS4" s="625" t="s">
        <v>604</v>
      </c>
      <c r="CT4" s="586" t="s">
        <v>605</v>
      </c>
      <c r="CU4" s="586" t="s">
        <v>606</v>
      </c>
      <c r="CV4" s="586" t="s">
        <v>607</v>
      </c>
      <c r="CW4" s="586" t="s">
        <v>608</v>
      </c>
      <c r="CX4" s="625" t="s">
        <v>609</v>
      </c>
      <c r="CY4" s="586" t="s">
        <v>610</v>
      </c>
      <c r="CZ4" s="586" t="s">
        <v>611</v>
      </c>
      <c r="DA4" s="586" t="s">
        <v>612</v>
      </c>
      <c r="DB4" s="586" t="s">
        <v>613</v>
      </c>
      <c r="DC4" s="157" t="s">
        <v>614</v>
      </c>
      <c r="DD4" s="586" t="s">
        <v>615</v>
      </c>
      <c r="DE4" s="586" t="s">
        <v>616</v>
      </c>
      <c r="DF4" s="586" t="s">
        <v>617</v>
      </c>
      <c r="DG4" s="586" t="s">
        <v>618</v>
      </c>
      <c r="DH4" s="157" t="s">
        <v>619</v>
      </c>
      <c r="DI4" s="586" t="s">
        <v>620</v>
      </c>
      <c r="DJ4" s="586" t="s">
        <v>621</v>
      </c>
      <c r="DK4" s="586" t="s">
        <v>622</v>
      </c>
      <c r="DL4" s="586" t="s">
        <v>623</v>
      </c>
      <c r="DM4" s="625" t="s">
        <v>624</v>
      </c>
      <c r="DN4" s="586" t="s">
        <v>625</v>
      </c>
      <c r="DO4" s="586" t="s">
        <v>626</v>
      </c>
      <c r="DP4" s="586" t="s">
        <v>627</v>
      </c>
      <c r="DQ4" s="586" t="s">
        <v>628</v>
      </c>
      <c r="DR4" s="157" t="s">
        <v>629</v>
      </c>
      <c r="DS4" s="586" t="s">
        <v>630</v>
      </c>
      <c r="DT4" s="586" t="s">
        <v>631</v>
      </c>
      <c r="DU4" s="586" t="s">
        <v>632</v>
      </c>
      <c r="DV4" s="586" t="s">
        <v>633</v>
      </c>
      <c r="DW4" s="625" t="s">
        <v>634</v>
      </c>
    </row>
    <row r="5" spans="1:127">
      <c r="B5" s="145" t="s">
        <v>277</v>
      </c>
      <c r="C5" s="588">
        <v>0</v>
      </c>
      <c r="D5" s="588">
        <v>0</v>
      </c>
      <c r="E5" s="588">
        <v>0</v>
      </c>
      <c r="F5" s="588">
        <v>0</v>
      </c>
      <c r="G5" s="158">
        <f>SUM(C5:F5)</f>
        <v>0</v>
      </c>
      <c r="H5" s="588">
        <v>0</v>
      </c>
      <c r="I5" s="588">
        <v>0</v>
      </c>
      <c r="J5" s="588">
        <v>0</v>
      </c>
      <c r="K5" s="588">
        <v>0</v>
      </c>
      <c r="L5" s="158">
        <f>SUM(H5:K5)</f>
        <v>0</v>
      </c>
      <c r="M5" s="588">
        <v>0</v>
      </c>
      <c r="N5" s="588">
        <v>0</v>
      </c>
      <c r="O5" s="588">
        <v>0</v>
      </c>
      <c r="P5" s="588">
        <v>0</v>
      </c>
      <c r="Q5" s="158">
        <f>SUM(M5:P5)</f>
        <v>0</v>
      </c>
      <c r="R5" s="588">
        <v>0</v>
      </c>
      <c r="S5" s="588">
        <v>0</v>
      </c>
      <c r="T5" s="588">
        <v>0</v>
      </c>
      <c r="U5" s="588">
        <v>0</v>
      </c>
      <c r="V5" s="158">
        <f>SUM(R5:U5)</f>
        <v>0</v>
      </c>
      <c r="W5" s="588">
        <v>0</v>
      </c>
      <c r="X5" s="588">
        <v>0</v>
      </c>
      <c r="Y5" s="588">
        <v>0</v>
      </c>
      <c r="Z5" s="588">
        <v>0</v>
      </c>
      <c r="AA5" s="158">
        <f>SUM(W5:Z5)</f>
        <v>0</v>
      </c>
      <c r="AB5" s="588">
        <v>0</v>
      </c>
      <c r="AC5" s="588">
        <v>0</v>
      </c>
      <c r="AD5" s="588">
        <v>0</v>
      </c>
      <c r="AE5" s="588">
        <v>0</v>
      </c>
      <c r="AF5" s="159">
        <f>SUM(AB5:AE5)</f>
        <v>0</v>
      </c>
      <c r="AG5" s="588">
        <v>18.448</v>
      </c>
      <c r="AH5" s="588">
        <v>45.533999999999999</v>
      </c>
      <c r="AI5" s="588">
        <v>49.161000000000001</v>
      </c>
      <c r="AJ5" s="588">
        <v>50</v>
      </c>
      <c r="AK5" s="159">
        <f>SUM(AG5:AJ5)</f>
        <v>163.143</v>
      </c>
      <c r="AL5" s="588">
        <v>50</v>
      </c>
      <c r="AM5" s="588">
        <v>55</v>
      </c>
      <c r="AN5" s="588">
        <v>55</v>
      </c>
      <c r="AO5" s="588">
        <v>56</v>
      </c>
      <c r="AP5" s="159">
        <f>SUM(AL5:AO5)</f>
        <v>216</v>
      </c>
      <c r="AQ5" s="588">
        <v>56</v>
      </c>
      <c r="AR5" s="588">
        <v>63</v>
      </c>
      <c r="AS5" s="588">
        <v>74</v>
      </c>
      <c r="AT5" s="588">
        <v>68</v>
      </c>
      <c r="AU5" s="159">
        <f>SUM(AQ5:AT5)</f>
        <v>261</v>
      </c>
      <c r="AV5" s="587">
        <v>72</v>
      </c>
      <c r="AW5" s="588">
        <v>93</v>
      </c>
      <c r="AX5" s="588">
        <f>165.929-AX6</f>
        <v>95.028999999999996</v>
      </c>
      <c r="AY5" s="588">
        <f>180-AY6</f>
        <v>105</v>
      </c>
      <c r="AZ5" s="150">
        <f>AY5+AX5+AW5+AV5</f>
        <v>365.029</v>
      </c>
      <c r="BA5" s="595">
        <v>95</v>
      </c>
      <c r="BB5" s="595">
        <v>103</v>
      </c>
      <c r="BC5" s="595">
        <v>101</v>
      </c>
      <c r="BD5" s="595">
        <v>101</v>
      </c>
      <c r="BE5" s="148">
        <f>SUM(BA5:BD5)</f>
        <v>400</v>
      </c>
      <c r="BF5" s="595">
        <v>102</v>
      </c>
      <c r="BG5" s="595">
        <v>112</v>
      </c>
      <c r="BH5" s="595">
        <v>133</v>
      </c>
      <c r="BI5" s="595">
        <v>164</v>
      </c>
      <c r="BJ5" s="148">
        <f>SUM(BF5:BI5)</f>
        <v>511</v>
      </c>
      <c r="BK5" s="598">
        <v>150</v>
      </c>
      <c r="BL5" s="598">
        <v>155</v>
      </c>
      <c r="BM5" s="598">
        <v>160</v>
      </c>
      <c r="BN5" s="598">
        <f>BO5-SUM(BK5:BM5)</f>
        <v>171.23235110399992</v>
      </c>
      <c r="BO5" s="148">
        <f>'CF Market'!M327</f>
        <v>636.23235110399992</v>
      </c>
      <c r="BP5" s="598"/>
      <c r="BQ5" s="598"/>
      <c r="BR5" s="598"/>
      <c r="BS5" s="598"/>
      <c r="BT5" s="148">
        <f>'CF Market'!N327</f>
        <v>673.904003472</v>
      </c>
      <c r="BU5" s="598"/>
      <c r="BV5" s="598"/>
      <c r="BW5" s="598"/>
      <c r="BX5" s="598"/>
      <c r="BY5" s="148">
        <f>'CF Market'!O327</f>
        <v>719.66808486720004</v>
      </c>
      <c r="BZ5" s="598"/>
      <c r="CA5" s="598"/>
      <c r="CB5" s="598"/>
      <c r="CC5" s="598"/>
      <c r="CD5" s="148">
        <f>'CF Market'!P327</f>
        <v>761.61849281280001</v>
      </c>
      <c r="CE5" s="598"/>
      <c r="CF5" s="598"/>
      <c r="CG5" s="598"/>
      <c r="CH5" s="598"/>
      <c r="CI5" s="148">
        <f>'CF Market'!Q327</f>
        <v>761.61849281280001</v>
      </c>
      <c r="CJ5" s="598"/>
      <c r="CK5" s="598"/>
      <c r="CL5" s="598"/>
      <c r="CM5" s="598"/>
      <c r="CN5" s="148">
        <f>'CF Market'!R327</f>
        <v>761.61849281280001</v>
      </c>
      <c r="CO5" s="598"/>
      <c r="CP5" s="598"/>
      <c r="CQ5" s="598"/>
      <c r="CR5" s="598"/>
      <c r="CS5" s="148">
        <f>'CF Market'!S327</f>
        <v>761.61849281280001</v>
      </c>
      <c r="CT5" s="598"/>
      <c r="CU5" s="598"/>
      <c r="CV5" s="598"/>
      <c r="CW5" s="598"/>
      <c r="CX5" s="148">
        <f>'CF Market'!T327</f>
        <v>408.62115766080007</v>
      </c>
      <c r="CY5" s="598"/>
      <c r="CZ5" s="598"/>
      <c r="DA5" s="598"/>
      <c r="DB5" s="598"/>
      <c r="DC5" s="148">
        <f>'CF Market'!U327</f>
        <v>216.0771566688</v>
      </c>
      <c r="DD5" s="598"/>
      <c r="DE5" s="598"/>
      <c r="DF5" s="598"/>
      <c r="DG5" s="598"/>
      <c r="DH5" s="148">
        <f>'CF Market'!V327</f>
        <v>216.0771566688</v>
      </c>
      <c r="DI5" s="598"/>
      <c r="DJ5" s="598"/>
      <c r="DK5" s="598"/>
      <c r="DL5" s="598"/>
      <c r="DM5" s="148">
        <f>'CF Market'!W327</f>
        <v>43.8572446704</v>
      </c>
      <c r="DN5" s="598"/>
      <c r="DO5" s="598"/>
      <c r="DP5" s="598"/>
      <c r="DQ5" s="598"/>
      <c r="DR5" s="148">
        <f>'CF Market'!X327</f>
        <v>8.7714489340799986</v>
      </c>
      <c r="DS5" s="598"/>
      <c r="DT5" s="598"/>
      <c r="DU5" s="598"/>
      <c r="DV5" s="598"/>
      <c r="DW5" s="148">
        <f>'CF Market'!Y327</f>
        <v>0</v>
      </c>
    </row>
    <row r="6" spans="1:127">
      <c r="B6" s="153" t="s">
        <v>278</v>
      </c>
      <c r="C6" s="588">
        <v>0</v>
      </c>
      <c r="D6" s="588">
        <v>0</v>
      </c>
      <c r="E6" s="588">
        <v>0</v>
      </c>
      <c r="F6" s="588">
        <v>0</v>
      </c>
      <c r="G6" s="158">
        <f>SUM(C6:F6)</f>
        <v>0</v>
      </c>
      <c r="H6" s="588">
        <v>0</v>
      </c>
      <c r="I6" s="588">
        <v>0</v>
      </c>
      <c r="J6" s="588">
        <v>0</v>
      </c>
      <c r="K6" s="588">
        <v>0</v>
      </c>
      <c r="L6" s="158">
        <f>SUM(H6:K6)</f>
        <v>0</v>
      </c>
      <c r="M6" s="588">
        <v>0</v>
      </c>
      <c r="N6" s="588">
        <v>0</v>
      </c>
      <c r="O6" s="588">
        <v>0</v>
      </c>
      <c r="P6" s="588">
        <v>0</v>
      </c>
      <c r="Q6" s="158">
        <f>SUM(M6:P6)</f>
        <v>0</v>
      </c>
      <c r="R6" s="588">
        <v>0</v>
      </c>
      <c r="S6" s="588">
        <v>0</v>
      </c>
      <c r="T6" s="588">
        <v>0</v>
      </c>
      <c r="U6" s="588">
        <v>0</v>
      </c>
      <c r="V6" s="158">
        <f>SUM(R6:U6)</f>
        <v>0</v>
      </c>
      <c r="W6" s="588">
        <v>0</v>
      </c>
      <c r="X6" s="588">
        <v>0</v>
      </c>
      <c r="Y6" s="588">
        <v>0</v>
      </c>
      <c r="Z6" s="588">
        <v>0</v>
      </c>
      <c r="AA6" s="158">
        <f>SUM(W6:Z6)</f>
        <v>0</v>
      </c>
      <c r="AB6" s="588">
        <v>0</v>
      </c>
      <c r="AC6" s="588">
        <v>0</v>
      </c>
      <c r="AD6" s="588">
        <v>0</v>
      </c>
      <c r="AE6" s="588">
        <v>0</v>
      </c>
      <c r="AF6" s="159">
        <f>SUM(AB6:AE6)</f>
        <v>0</v>
      </c>
      <c r="AG6" s="588">
        <v>0</v>
      </c>
      <c r="AH6" s="588">
        <v>0</v>
      </c>
      <c r="AI6" s="588">
        <v>0</v>
      </c>
      <c r="AJ6" s="589">
        <f>58.5-AJ5</f>
        <v>8.5</v>
      </c>
      <c r="AK6" s="159">
        <f>SUM(AG6:AJ6)</f>
        <v>8.5</v>
      </c>
      <c r="AL6" s="589">
        <f>61.8-AL5</f>
        <v>11.799999999999997</v>
      </c>
      <c r="AM6" s="589">
        <f>99-AM5</f>
        <v>44</v>
      </c>
      <c r="AN6" s="589">
        <f>101.1-AN5</f>
        <v>46.099999999999994</v>
      </c>
      <c r="AO6" s="589">
        <f>109.5-AO5</f>
        <v>53.5</v>
      </c>
      <c r="AP6" s="159">
        <f>SUM(AL6:AO6)</f>
        <v>155.39999999999998</v>
      </c>
      <c r="AQ6" s="589">
        <f>99.5-AQ5</f>
        <v>43.5</v>
      </c>
      <c r="AR6" s="589">
        <f>122.319-AR5-AR19</f>
        <v>50.019000000000005</v>
      </c>
      <c r="AS6" s="600">
        <f>137.099-AS5-AS19</f>
        <v>52.798999999999992</v>
      </c>
      <c r="AT6" s="588">
        <f>124.942-AT5-AT19</f>
        <v>56.341999999999992</v>
      </c>
      <c r="AU6" s="159">
        <f>SUM(AQ6:AT6)</f>
        <v>202.65999999999997</v>
      </c>
      <c r="AV6" s="587">
        <f>130.875-AV5-AV19</f>
        <v>58.2</v>
      </c>
      <c r="AW6" s="588">
        <v>62</v>
      </c>
      <c r="AX6" s="588">
        <v>70.900000000000006</v>
      </c>
      <c r="AY6" s="588">
        <v>75</v>
      </c>
      <c r="AZ6" s="150">
        <f>AY6+AX6+AW6+AV6</f>
        <v>266.10000000000002</v>
      </c>
      <c r="BA6" s="598">
        <f>BA7-BA5</f>
        <v>75.5</v>
      </c>
      <c r="BB6" s="598">
        <f>BB7-BB5</f>
        <v>77</v>
      </c>
      <c r="BC6" s="598">
        <f>BC7-BC5</f>
        <v>75</v>
      </c>
      <c r="BD6" s="598">
        <f>BD7-BD5</f>
        <v>75.899999999999977</v>
      </c>
      <c r="BE6" s="148">
        <f>SUM(BA6:BD6)</f>
        <v>303.39999999999998</v>
      </c>
      <c r="BF6" s="598">
        <f>BF7-BF5</f>
        <v>84</v>
      </c>
      <c r="BG6" s="598">
        <f>BG7-BG5</f>
        <v>78</v>
      </c>
      <c r="BH6" s="595">
        <f>BH7-BH5</f>
        <v>80</v>
      </c>
      <c r="BI6" s="595">
        <f>BI7-BI5</f>
        <v>92</v>
      </c>
      <c r="BJ6" s="148">
        <f>SUM(BF6:BI6)</f>
        <v>334</v>
      </c>
      <c r="BK6" s="598">
        <v>80</v>
      </c>
      <c r="BL6" s="598">
        <v>80</v>
      </c>
      <c r="BM6" s="598">
        <v>80</v>
      </c>
      <c r="BN6" s="598">
        <f>BO6-SUM(BK6:BM6)</f>
        <v>72.983976764067847</v>
      </c>
      <c r="BO6" s="148">
        <f>'CF Market'!M333+'CF Market'!M339</f>
        <v>312.98397676406785</v>
      </c>
      <c r="BP6" s="598"/>
      <c r="BQ6" s="598"/>
      <c r="BR6" s="598"/>
      <c r="BS6" s="598"/>
      <c r="BT6" s="148">
        <f>'CF Market'!N333+'CF Market'!N339</f>
        <v>306.36700958407869</v>
      </c>
      <c r="BU6" s="598"/>
      <c r="BV6" s="598"/>
      <c r="BW6" s="598"/>
      <c r="BX6" s="598"/>
      <c r="BY6" s="148">
        <f>'CF Market'!O333+'CF Market'!O339</f>
        <v>391.31374734776938</v>
      </c>
      <c r="BZ6" s="598"/>
      <c r="CA6" s="598"/>
      <c r="CB6" s="598"/>
      <c r="CC6" s="598"/>
      <c r="CD6" s="148">
        <f>'CF Market'!P333+'CF Market'!P339</f>
        <v>394.87173214523546</v>
      </c>
      <c r="CE6" s="598"/>
      <c r="CF6" s="598"/>
      <c r="CG6" s="598"/>
      <c r="CH6" s="598"/>
      <c r="CI6" s="148">
        <f>'CF Market'!Q333+'CF Market'!Q339</f>
        <v>386.97429750233078</v>
      </c>
      <c r="CJ6" s="598"/>
      <c r="CK6" s="598"/>
      <c r="CL6" s="598"/>
      <c r="CM6" s="598"/>
      <c r="CN6" s="148">
        <f>'CF Market'!R333+'CF Market'!R339</f>
        <v>379.23481155228416</v>
      </c>
      <c r="CO6" s="598"/>
      <c r="CP6" s="598"/>
      <c r="CQ6" s="598"/>
      <c r="CR6" s="598"/>
      <c r="CS6" s="148">
        <f>'CF Market'!S333+'CF Market'!S339</f>
        <v>371.6501153212385</v>
      </c>
      <c r="CT6" s="598"/>
      <c r="CU6" s="598"/>
      <c r="CV6" s="598"/>
      <c r="CW6" s="598"/>
      <c r="CX6" s="148">
        <f>'CF Market'!T333+'CF Market'!T339</f>
        <v>140.96625711448712</v>
      </c>
      <c r="CY6" s="598"/>
      <c r="CZ6" s="598"/>
      <c r="DA6" s="598"/>
      <c r="DB6" s="598"/>
      <c r="DC6" s="148">
        <f>'CF Market'!U333+'CF Market'!U339</f>
        <v>93.147931329787824</v>
      </c>
      <c r="DD6" s="598"/>
      <c r="DE6" s="598"/>
      <c r="DF6" s="598"/>
      <c r="DG6" s="598"/>
      <c r="DH6" s="148">
        <f>'CF Market'!V333+'CF Market'!V339</f>
        <v>89.148392246333486</v>
      </c>
      <c r="DI6" s="598"/>
      <c r="DJ6" s="598"/>
      <c r="DK6" s="598"/>
      <c r="DL6" s="598"/>
      <c r="DM6" s="148">
        <f>'CF Market'!W333+'CF Market'!W339</f>
        <v>9.8829665612451159</v>
      </c>
      <c r="DN6" s="598"/>
      <c r="DO6" s="598"/>
      <c r="DP6" s="598"/>
      <c r="DQ6" s="598"/>
      <c r="DR6" s="148">
        <f>'CF Market'!X333+'CF Market'!X339</f>
        <v>0</v>
      </c>
      <c r="DS6" s="598"/>
      <c r="DT6" s="598"/>
      <c r="DU6" s="598"/>
      <c r="DV6" s="598"/>
      <c r="DW6" s="148">
        <f>'CF Market'!Y333+'CF Market'!Y339</f>
        <v>0</v>
      </c>
    </row>
    <row r="7" spans="1:127" ht="13.5" thickBot="1">
      <c r="B7" s="142" t="s">
        <v>279</v>
      </c>
      <c r="C7" s="590">
        <f t="shared" ref="C7:AR7" si="0">C5+C6</f>
        <v>0</v>
      </c>
      <c r="D7" s="590">
        <f t="shared" si="0"/>
        <v>0</v>
      </c>
      <c r="E7" s="590">
        <f t="shared" si="0"/>
        <v>0</v>
      </c>
      <c r="F7" s="590">
        <f t="shared" si="0"/>
        <v>0</v>
      </c>
      <c r="G7" s="160">
        <f>G5+G6</f>
        <v>0</v>
      </c>
      <c r="H7" s="590">
        <f t="shared" si="0"/>
        <v>0</v>
      </c>
      <c r="I7" s="590">
        <f t="shared" si="0"/>
        <v>0</v>
      </c>
      <c r="J7" s="590">
        <f t="shared" si="0"/>
        <v>0</v>
      </c>
      <c r="K7" s="590">
        <f t="shared" si="0"/>
        <v>0</v>
      </c>
      <c r="L7" s="160">
        <f>L5+L6</f>
        <v>0</v>
      </c>
      <c r="M7" s="590">
        <f t="shared" si="0"/>
        <v>0</v>
      </c>
      <c r="N7" s="590">
        <f t="shared" si="0"/>
        <v>0</v>
      </c>
      <c r="O7" s="590">
        <f t="shared" si="0"/>
        <v>0</v>
      </c>
      <c r="P7" s="590">
        <f t="shared" si="0"/>
        <v>0</v>
      </c>
      <c r="Q7" s="160">
        <f>Q5+Q6</f>
        <v>0</v>
      </c>
      <c r="R7" s="590">
        <f t="shared" si="0"/>
        <v>0</v>
      </c>
      <c r="S7" s="590">
        <f t="shared" si="0"/>
        <v>0</v>
      </c>
      <c r="T7" s="590">
        <f t="shared" si="0"/>
        <v>0</v>
      </c>
      <c r="U7" s="590">
        <f t="shared" si="0"/>
        <v>0</v>
      </c>
      <c r="V7" s="160">
        <f>V5+V6</f>
        <v>0</v>
      </c>
      <c r="W7" s="590">
        <f t="shared" si="0"/>
        <v>0</v>
      </c>
      <c r="X7" s="590">
        <f t="shared" si="0"/>
        <v>0</v>
      </c>
      <c r="Y7" s="590">
        <f t="shared" si="0"/>
        <v>0</v>
      </c>
      <c r="Z7" s="590">
        <f t="shared" si="0"/>
        <v>0</v>
      </c>
      <c r="AA7" s="160">
        <f>AA5+AA6</f>
        <v>0</v>
      </c>
      <c r="AB7" s="590">
        <f t="shared" si="0"/>
        <v>0</v>
      </c>
      <c r="AC7" s="590">
        <f t="shared" si="0"/>
        <v>0</v>
      </c>
      <c r="AD7" s="590">
        <f t="shared" si="0"/>
        <v>0</v>
      </c>
      <c r="AE7" s="590">
        <f t="shared" si="0"/>
        <v>0</v>
      </c>
      <c r="AF7" s="160">
        <f t="shared" si="0"/>
        <v>0</v>
      </c>
      <c r="AG7" s="590">
        <f t="shared" si="0"/>
        <v>18.448</v>
      </c>
      <c r="AH7" s="590">
        <f t="shared" si="0"/>
        <v>45.533999999999999</v>
      </c>
      <c r="AI7" s="590">
        <f t="shared" si="0"/>
        <v>49.161000000000001</v>
      </c>
      <c r="AJ7" s="590">
        <f t="shared" si="0"/>
        <v>58.5</v>
      </c>
      <c r="AK7" s="160">
        <f t="shared" si="0"/>
        <v>171.643</v>
      </c>
      <c r="AL7" s="590">
        <f t="shared" si="0"/>
        <v>61.8</v>
      </c>
      <c r="AM7" s="590">
        <f t="shared" si="0"/>
        <v>99</v>
      </c>
      <c r="AN7" s="590">
        <f t="shared" si="0"/>
        <v>101.1</v>
      </c>
      <c r="AO7" s="590">
        <f t="shared" si="0"/>
        <v>109.5</v>
      </c>
      <c r="AP7" s="160">
        <f t="shared" si="0"/>
        <v>371.4</v>
      </c>
      <c r="AQ7" s="590">
        <f t="shared" si="0"/>
        <v>99.5</v>
      </c>
      <c r="AR7" s="590">
        <f t="shared" si="0"/>
        <v>113.01900000000001</v>
      </c>
      <c r="AS7" s="590">
        <f>AS5+AS6</f>
        <v>126.79899999999999</v>
      </c>
      <c r="AT7" s="593">
        <f>AT6+AT5</f>
        <v>124.34199999999998</v>
      </c>
      <c r="AU7" s="160">
        <f t="shared" ref="AU7:AZ7" si="1">AU5+AU6</f>
        <v>463.65999999999997</v>
      </c>
      <c r="AV7" s="590">
        <f t="shared" si="1"/>
        <v>130.19999999999999</v>
      </c>
      <c r="AW7" s="590">
        <v>154.9</v>
      </c>
      <c r="AX7" s="590">
        <v>166</v>
      </c>
      <c r="AY7" s="590">
        <f t="shared" si="1"/>
        <v>180</v>
      </c>
      <c r="AZ7" s="160">
        <f t="shared" si="1"/>
        <v>631.12900000000002</v>
      </c>
      <c r="BA7" s="590">
        <f>IS!W84</f>
        <v>170.5</v>
      </c>
      <c r="BB7" s="590">
        <f>IS!X84</f>
        <v>180</v>
      </c>
      <c r="BC7" s="590">
        <f>IS!Y84</f>
        <v>176</v>
      </c>
      <c r="BD7" s="590">
        <f>IS!Z84</f>
        <v>176.89999999999998</v>
      </c>
      <c r="BE7" s="160">
        <f>BE5+BE6</f>
        <v>703.4</v>
      </c>
      <c r="BF7" s="590">
        <f>IS!AB84</f>
        <v>186</v>
      </c>
      <c r="BG7" s="590">
        <f>IS!AC84</f>
        <v>190</v>
      </c>
      <c r="BH7" s="590">
        <f>IS!AD84</f>
        <v>213</v>
      </c>
      <c r="BI7" s="590">
        <f>IS!AE84</f>
        <v>256</v>
      </c>
      <c r="BJ7" s="160">
        <f>BJ5+BJ6</f>
        <v>845</v>
      </c>
      <c r="BK7" s="590">
        <f t="shared" ref="BK7:BN7" si="2">BK5+BK6</f>
        <v>230</v>
      </c>
      <c r="BL7" s="590">
        <f t="shared" si="2"/>
        <v>235</v>
      </c>
      <c r="BM7" s="590">
        <f t="shared" si="2"/>
        <v>240</v>
      </c>
      <c r="BN7" s="590">
        <f t="shared" si="2"/>
        <v>244.21632786806776</v>
      </c>
      <c r="BO7" s="160">
        <f>BO5+BO6</f>
        <v>949.21632786806776</v>
      </c>
      <c r="BP7" s="590"/>
      <c r="BQ7" s="590"/>
      <c r="BR7" s="590"/>
      <c r="BS7" s="590"/>
      <c r="BT7" s="160">
        <f>BT5+BT6</f>
        <v>980.27101305607869</v>
      </c>
      <c r="BU7" s="590"/>
      <c r="BV7" s="590"/>
      <c r="BW7" s="590"/>
      <c r="BX7" s="590"/>
      <c r="BY7" s="160">
        <f>BY5+BY6</f>
        <v>1110.9818322149695</v>
      </c>
      <c r="BZ7" s="590"/>
      <c r="CA7" s="590"/>
      <c r="CB7" s="590"/>
      <c r="CC7" s="590"/>
      <c r="CD7" s="160">
        <f>CD5+CD6</f>
        <v>1156.4902249580355</v>
      </c>
      <c r="CE7" s="590"/>
      <c r="CF7" s="590"/>
      <c r="CG7" s="590"/>
      <c r="CH7" s="590"/>
      <c r="CI7" s="160">
        <f>CI5+CI6</f>
        <v>1148.5927903151307</v>
      </c>
      <c r="CJ7" s="590"/>
      <c r="CK7" s="590"/>
      <c r="CL7" s="590"/>
      <c r="CM7" s="590"/>
      <c r="CN7" s="160">
        <f>CN5+CN6</f>
        <v>1140.8533043650841</v>
      </c>
      <c r="CO7" s="590"/>
      <c r="CP7" s="590"/>
      <c r="CQ7" s="590"/>
      <c r="CR7" s="590"/>
      <c r="CS7" s="160">
        <f>CS5+CS6</f>
        <v>1133.2686081340385</v>
      </c>
      <c r="CT7" s="590"/>
      <c r="CU7" s="590"/>
      <c r="CV7" s="590"/>
      <c r="CW7" s="590"/>
      <c r="CX7" s="160">
        <f>CX5+CX6</f>
        <v>549.58741477528724</v>
      </c>
      <c r="CY7" s="590"/>
      <c r="CZ7" s="590"/>
      <c r="DA7" s="590"/>
      <c r="DB7" s="590"/>
      <c r="DC7" s="160">
        <f>DC5+DC6</f>
        <v>309.22508799858781</v>
      </c>
      <c r="DD7" s="590"/>
      <c r="DE7" s="590"/>
      <c r="DF7" s="590"/>
      <c r="DG7" s="590"/>
      <c r="DH7" s="160">
        <f>DH5+DH6</f>
        <v>305.22554891513346</v>
      </c>
      <c r="DI7" s="590"/>
      <c r="DJ7" s="590"/>
      <c r="DK7" s="590"/>
      <c r="DL7" s="590"/>
      <c r="DM7" s="160">
        <f>DM5+DM6</f>
        <v>53.740211231645119</v>
      </c>
      <c r="DN7" s="590"/>
      <c r="DO7" s="590"/>
      <c r="DP7" s="590"/>
      <c r="DQ7" s="590"/>
      <c r="DR7" s="160">
        <f>DR5+DR6</f>
        <v>8.7714489340799986</v>
      </c>
      <c r="DS7" s="590"/>
      <c r="DT7" s="590"/>
      <c r="DU7" s="590"/>
      <c r="DV7" s="590"/>
      <c r="DW7" s="160">
        <f>DW5+DW6</f>
        <v>0</v>
      </c>
    </row>
    <row r="8" spans="1:127" ht="13.5" thickBot="1">
      <c r="B8" s="142"/>
      <c r="C8" s="590"/>
      <c r="D8" s="590"/>
      <c r="E8" s="590"/>
      <c r="F8" s="590"/>
      <c r="G8" s="160"/>
      <c r="H8" s="590"/>
      <c r="I8" s="590"/>
      <c r="J8" s="590"/>
      <c r="K8" s="590"/>
      <c r="L8" s="160"/>
      <c r="M8" s="590"/>
      <c r="N8" s="590"/>
      <c r="O8" s="590"/>
      <c r="P8" s="590"/>
      <c r="Q8" s="160"/>
      <c r="R8" s="590"/>
      <c r="S8" s="590"/>
      <c r="T8" s="590"/>
      <c r="U8" s="590"/>
      <c r="V8" s="160"/>
      <c r="W8" s="590"/>
      <c r="X8" s="590"/>
      <c r="Y8" s="590"/>
      <c r="Z8" s="590"/>
      <c r="AA8" s="160"/>
      <c r="AB8" s="590"/>
      <c r="AC8" s="590"/>
      <c r="AD8" s="590"/>
      <c r="AE8" s="590"/>
      <c r="AF8" s="160"/>
      <c r="AG8" s="590"/>
      <c r="AH8" s="590"/>
      <c r="AI8" s="590"/>
      <c r="AJ8" s="590"/>
      <c r="AK8" s="160"/>
      <c r="AL8" s="590"/>
      <c r="AM8" s="590"/>
      <c r="AN8" s="590"/>
      <c r="AO8" s="590"/>
      <c r="AP8" s="160"/>
      <c r="AQ8" s="590"/>
      <c r="AR8" s="590"/>
      <c r="AS8" s="590"/>
      <c r="AT8" s="593"/>
      <c r="AU8" s="160"/>
      <c r="AV8" s="590"/>
      <c r="AW8" s="590"/>
      <c r="AX8" s="590"/>
      <c r="AY8" s="593"/>
      <c r="AZ8" s="160"/>
      <c r="BA8" s="590"/>
      <c r="BB8" s="590"/>
      <c r="BC8" s="590"/>
      <c r="BD8" s="590"/>
      <c r="BE8" s="160"/>
      <c r="BF8" s="590"/>
      <c r="BG8" s="590"/>
      <c r="BH8" s="161" t="s">
        <v>280</v>
      </c>
      <c r="BI8" s="162"/>
      <c r="BJ8" s="163" t="s">
        <v>670</v>
      </c>
      <c r="BK8" s="590"/>
      <c r="BL8" s="590"/>
      <c r="BM8" s="590"/>
      <c r="BN8" s="590"/>
      <c r="BO8" s="160"/>
      <c r="BP8" s="590"/>
      <c r="BQ8" s="590"/>
      <c r="BR8" s="590"/>
      <c r="BS8" s="590"/>
      <c r="BT8" s="160"/>
      <c r="BU8" s="590"/>
      <c r="BV8" s="590"/>
      <c r="BW8" s="590"/>
      <c r="BX8" s="590"/>
      <c r="BY8" s="160"/>
      <c r="BZ8" s="590"/>
      <c r="CA8" s="590"/>
      <c r="CB8" s="590"/>
      <c r="CC8" s="590"/>
      <c r="CD8" s="160"/>
      <c r="CE8" s="590"/>
      <c r="CF8" s="590"/>
      <c r="CG8" s="590"/>
      <c r="CH8" s="590"/>
      <c r="CI8" s="160"/>
      <c r="CJ8" s="590"/>
      <c r="CK8" s="590"/>
      <c r="CL8" s="590"/>
      <c r="CM8" s="590"/>
      <c r="CN8" s="160"/>
      <c r="CO8" s="590"/>
      <c r="CP8" s="590"/>
      <c r="CQ8" s="590"/>
      <c r="CR8" s="590"/>
      <c r="CS8" s="160"/>
      <c r="CT8" s="590"/>
      <c r="CU8" s="590"/>
      <c r="CV8" s="590"/>
      <c r="CW8" s="590"/>
      <c r="CX8" s="160"/>
      <c r="CY8" s="590"/>
      <c r="CZ8" s="590"/>
      <c r="DA8" s="590"/>
      <c r="DB8" s="590"/>
      <c r="DC8" s="160"/>
      <c r="DD8" s="590"/>
      <c r="DE8" s="590"/>
      <c r="DF8" s="590"/>
      <c r="DG8" s="590"/>
      <c r="DH8" s="160"/>
      <c r="DI8" s="590"/>
      <c r="DJ8" s="590"/>
      <c r="DK8" s="590"/>
      <c r="DL8" s="590"/>
      <c r="DM8" s="160"/>
      <c r="DN8" s="590"/>
      <c r="DO8" s="590"/>
      <c r="DP8" s="590"/>
      <c r="DQ8" s="590"/>
      <c r="DR8" s="160"/>
      <c r="DS8" s="590"/>
      <c r="DT8" s="590"/>
      <c r="DU8" s="590"/>
      <c r="DV8" s="590"/>
      <c r="DW8" s="160"/>
    </row>
    <row r="9" spans="1:127" s="164" customFormat="1">
      <c r="B9" s="164" t="s">
        <v>281</v>
      </c>
      <c r="C9" s="591" t="s">
        <v>227</v>
      </c>
      <c r="D9" s="591" t="str">
        <f>IF(C7=0,"NM",D7/C7-1)</f>
        <v>NM</v>
      </c>
      <c r="E9" s="591" t="str">
        <f>IF(D7=0,"NM",E7/D7-1)</f>
        <v>NM</v>
      </c>
      <c r="F9" s="591" t="str">
        <f>IF(E7=0,"NM",F7/E7-1)</f>
        <v>NM</v>
      </c>
      <c r="G9" s="165" t="s">
        <v>227</v>
      </c>
      <c r="H9" s="591" t="str">
        <f>IF(F7=0,"NM",H7/F7-1)</f>
        <v>NM</v>
      </c>
      <c r="I9" s="591" t="str">
        <f>IF(H7=0,"NM",I7/H7-1)</f>
        <v>NM</v>
      </c>
      <c r="J9" s="591" t="str">
        <f>IF(I7=0,"NM",J7/I7-1)</f>
        <v>NM</v>
      </c>
      <c r="K9" s="591" t="str">
        <f>IF(J7=0,"NM",K7/J7-1)</f>
        <v>NM</v>
      </c>
      <c r="L9" s="165" t="s">
        <v>227</v>
      </c>
      <c r="M9" s="591" t="str">
        <f>IF(K7=0,"NM",M7/K7-1)</f>
        <v>NM</v>
      </c>
      <c r="N9" s="591" t="str">
        <f>IF(M7=0,"NM",N7/M7-1)</f>
        <v>NM</v>
      </c>
      <c r="O9" s="591" t="str">
        <f>IF(N7=0,"NM",O7/N7-1)</f>
        <v>NM</v>
      </c>
      <c r="P9" s="591" t="str">
        <f>IF(O7=0,"NM",P7/O7-1)</f>
        <v>NM</v>
      </c>
      <c r="Q9" s="165" t="s">
        <v>227</v>
      </c>
      <c r="R9" s="591" t="str">
        <f>IF(P7=0,"NM",R7/P7-1)</f>
        <v>NM</v>
      </c>
      <c r="S9" s="591" t="str">
        <f>IF(R7=0,"NM",S7/R7-1)</f>
        <v>NM</v>
      </c>
      <c r="T9" s="591" t="str">
        <f>IF(S7=0,"NM",T7/S7-1)</f>
        <v>NM</v>
      </c>
      <c r="U9" s="591" t="str">
        <f>IF(T7=0,"NM",U7/T7-1)</f>
        <v>NM</v>
      </c>
      <c r="V9" s="165" t="s">
        <v>227</v>
      </c>
      <c r="W9" s="591" t="str">
        <f>IF(U7=0,"NM",W7/U7-1)</f>
        <v>NM</v>
      </c>
      <c r="X9" s="591" t="str">
        <f>IF(W7=0,"NM",X7/W7-1)</f>
        <v>NM</v>
      </c>
      <c r="Y9" s="591" t="str">
        <f>IF(X7=0,"NM",Y7/X7-1)</f>
        <v>NM</v>
      </c>
      <c r="Z9" s="591" t="str">
        <f>IF(Y7=0,"NM",Z7/Y7-1)</f>
        <v>NM</v>
      </c>
      <c r="AA9" s="165" t="s">
        <v>227</v>
      </c>
      <c r="AB9" s="591" t="str">
        <f>IF(Z7=0,"NM",AB7/Z7-1)</f>
        <v>NM</v>
      </c>
      <c r="AC9" s="591" t="str">
        <f>IF(AB7=0,"NM",AC7/AB7-1)</f>
        <v>NM</v>
      </c>
      <c r="AD9" s="591" t="str">
        <f>IF(AC7=0,"NM",AD7/AC7-1)</f>
        <v>NM</v>
      </c>
      <c r="AE9" s="591" t="str">
        <f>IF(AD7=0,"NM",AE7/AD7-1)</f>
        <v>NM</v>
      </c>
      <c r="AF9" s="165" t="s">
        <v>227</v>
      </c>
      <c r="AG9" s="591" t="str">
        <f>IF(AE7=0,"NM",AG7/AE7-1)</f>
        <v>NM</v>
      </c>
      <c r="AH9" s="591">
        <f>IF(AG7=0,"NM",AH7/AG7-1)</f>
        <v>1.4682350390286207</v>
      </c>
      <c r="AI9" s="591">
        <f>IF(AH7=0,"NM",AI7/AH7-1)</f>
        <v>7.9654763473448575E-2</v>
      </c>
      <c r="AJ9" s="591">
        <f>IF(AI7=0,"NM",AJ7/AI7-1)</f>
        <v>0.18996765728931475</v>
      </c>
      <c r="AK9" s="165" t="s">
        <v>227</v>
      </c>
      <c r="AL9" s="591">
        <f>IF(AJ7=0,"NM",AL7/AJ7-1)</f>
        <v>5.6410256410256432E-2</v>
      </c>
      <c r="AM9" s="591">
        <f>IF(AL7=0,"NM",AM7/AL7-1)</f>
        <v>0.60194174757281571</v>
      </c>
      <c r="AN9" s="591">
        <f>IF(AM7=0,"NM",AN7/AM7-1)</f>
        <v>2.1212121212121238E-2</v>
      </c>
      <c r="AO9" s="591">
        <f>IF(AN7=0,"NM",AO7/AN7-1)</f>
        <v>8.308605341246289E-2</v>
      </c>
      <c r="AP9" s="165" t="s">
        <v>227</v>
      </c>
      <c r="AQ9" s="591">
        <f>IF(AO7=0,"NM",AQ7/AO7-1)</f>
        <v>-9.1324200913242004E-2</v>
      </c>
      <c r="AR9" s="591">
        <f>IF(AQ7=0,"NM",AR7/AQ7-1)</f>
        <v>0.13586934673366846</v>
      </c>
      <c r="AS9" s="591">
        <f>IF(AR7=0,"NM",AS7/AR7-1)</f>
        <v>0.12192640175545688</v>
      </c>
      <c r="AT9" s="591">
        <f>IF(AS7=0,"NM",AT7/AS7-1)</f>
        <v>-1.9377124425271508E-2</v>
      </c>
      <c r="AU9" s="165" t="s">
        <v>227</v>
      </c>
      <c r="AV9" s="591">
        <f>IF(AT7=0,"NM",AV7/AT7-1)</f>
        <v>4.7111997555130181E-2</v>
      </c>
      <c r="AW9" s="591">
        <f>IF(AV7=0,"NM",AW7/AV7-1)</f>
        <v>0.18970814132104463</v>
      </c>
      <c r="AX9" s="591">
        <f>IF(AW7=0,"NM",AX7/AW7-1)</f>
        <v>7.1659134925758483E-2</v>
      </c>
      <c r="AY9" s="591">
        <f>IF(AX7=0,"NM",AY7/AX7-1)</f>
        <v>8.43373493975903E-2</v>
      </c>
      <c r="AZ9" s="165" t="s">
        <v>227</v>
      </c>
      <c r="BA9" s="591">
        <f>IF(AY7=0,"NM",BA7/AY7-1)</f>
        <v>-5.2777777777777812E-2</v>
      </c>
      <c r="BB9" s="591">
        <f>IF(BA7=0,"NM",BB7/BA7-1)</f>
        <v>5.5718475073313734E-2</v>
      </c>
      <c r="BC9" s="591">
        <f>IF(BB7=0,"NM",BC7/BB7-1)</f>
        <v>-2.2222222222222254E-2</v>
      </c>
      <c r="BD9" s="591">
        <f>IF(BC7=0,"NM",BD7/BC7-1)</f>
        <v>5.1136363636361537E-3</v>
      </c>
      <c r="BE9" s="165" t="s">
        <v>227</v>
      </c>
      <c r="BF9" s="591">
        <f>IF(BD7=0,"NM",BF7/BD7-1)</f>
        <v>5.1441492368569985E-2</v>
      </c>
      <c r="BG9" s="591">
        <f>IF(BF7=0,"NM",BG7/BF7-1)</f>
        <v>2.1505376344086002E-2</v>
      </c>
      <c r="BH9" s="591">
        <f>IF(BG7=0,"NM",BH7/BG7-1)</f>
        <v>0.1210526315789473</v>
      </c>
      <c r="BI9" s="591">
        <f>IF(BH7=0,"NM",BI7/BH7-1)</f>
        <v>0.2018779342723005</v>
      </c>
      <c r="BJ9" s="165" t="s">
        <v>227</v>
      </c>
      <c r="BK9" s="591">
        <f>IF(BI7=0,"NM",BK7/BI7-1)</f>
        <v>-0.1015625</v>
      </c>
      <c r="BL9" s="591">
        <f>IF(BK7=0,"NM",BL7/BK7-1)</f>
        <v>2.1739130434782705E-2</v>
      </c>
      <c r="BM9" s="591">
        <f>IF(BL7=0,"NM",BM7/BL7-1)</f>
        <v>2.1276595744680771E-2</v>
      </c>
      <c r="BN9" s="591">
        <f>IF(BM7=0,"NM",BN7/BM7-1)</f>
        <v>1.7568032783615628E-2</v>
      </c>
      <c r="BO9" s="165" t="s">
        <v>227</v>
      </c>
      <c r="BP9" s="591"/>
      <c r="BQ9" s="591"/>
      <c r="BR9" s="591"/>
      <c r="BS9" s="591"/>
      <c r="BT9" s="165" t="s">
        <v>227</v>
      </c>
      <c r="BU9" s="591"/>
      <c r="BV9" s="591"/>
      <c r="BW9" s="591"/>
      <c r="BX9" s="591"/>
      <c r="BY9" s="165" t="s">
        <v>227</v>
      </c>
      <c r="BZ9" s="591"/>
      <c r="CA9" s="591"/>
      <c r="CB9" s="591"/>
      <c r="CC9" s="591"/>
      <c r="CD9" s="165" t="s">
        <v>227</v>
      </c>
      <c r="CE9" s="591"/>
      <c r="CF9" s="591"/>
      <c r="CG9" s="591"/>
      <c r="CH9" s="591"/>
      <c r="CI9" s="165" t="s">
        <v>227</v>
      </c>
      <c r="CJ9" s="591"/>
      <c r="CK9" s="591"/>
      <c r="CL9" s="591"/>
      <c r="CM9" s="591"/>
      <c r="CN9" s="165" t="s">
        <v>227</v>
      </c>
      <c r="CO9" s="591"/>
      <c r="CP9" s="591"/>
      <c r="CQ9" s="591"/>
      <c r="CR9" s="591"/>
      <c r="CS9" s="165" t="s">
        <v>227</v>
      </c>
      <c r="CT9" s="591"/>
      <c r="CU9" s="591"/>
      <c r="CV9" s="591"/>
      <c r="CW9" s="591"/>
      <c r="CX9" s="165" t="s">
        <v>227</v>
      </c>
      <c r="CY9" s="591"/>
      <c r="CZ9" s="591"/>
      <c r="DA9" s="591"/>
      <c r="DB9" s="591"/>
      <c r="DC9" s="165" t="s">
        <v>227</v>
      </c>
      <c r="DD9" s="591"/>
      <c r="DE9" s="591"/>
      <c r="DF9" s="591"/>
      <c r="DG9" s="591"/>
      <c r="DH9" s="165" t="s">
        <v>227</v>
      </c>
      <c r="DI9" s="591"/>
      <c r="DJ9" s="591"/>
      <c r="DK9" s="591"/>
      <c r="DL9" s="591"/>
      <c r="DM9" s="165" t="s">
        <v>227</v>
      </c>
      <c r="DN9" s="591"/>
      <c r="DO9" s="591"/>
      <c r="DP9" s="591"/>
      <c r="DQ9" s="591"/>
      <c r="DR9" s="165" t="s">
        <v>227</v>
      </c>
      <c r="DS9" s="591"/>
      <c r="DT9" s="591"/>
      <c r="DU9" s="591"/>
      <c r="DV9" s="591"/>
      <c r="DW9" s="165" t="s">
        <v>227</v>
      </c>
    </row>
    <row r="10" spans="1:127" s="167" customFormat="1">
      <c r="A10" s="166"/>
      <c r="B10" s="164" t="s">
        <v>282</v>
      </c>
      <c r="C10" s="591" t="s">
        <v>227</v>
      </c>
      <c r="D10" s="591" t="s">
        <v>227</v>
      </c>
      <c r="E10" s="591" t="s">
        <v>283</v>
      </c>
      <c r="F10" s="591" t="s">
        <v>227</v>
      </c>
      <c r="G10" s="165" t="s">
        <v>227</v>
      </c>
      <c r="H10" s="591" t="str">
        <f t="shared" ref="H10:AM10" si="3">IF(C7=0,"NM",H7/C7-1)</f>
        <v>NM</v>
      </c>
      <c r="I10" s="591" t="str">
        <f t="shared" si="3"/>
        <v>NM</v>
      </c>
      <c r="J10" s="591" t="str">
        <f t="shared" si="3"/>
        <v>NM</v>
      </c>
      <c r="K10" s="591" t="str">
        <f t="shared" si="3"/>
        <v>NM</v>
      </c>
      <c r="L10" s="165" t="str">
        <f t="shared" si="3"/>
        <v>NM</v>
      </c>
      <c r="M10" s="591" t="str">
        <f t="shared" si="3"/>
        <v>NM</v>
      </c>
      <c r="N10" s="591" t="str">
        <f t="shared" si="3"/>
        <v>NM</v>
      </c>
      <c r="O10" s="591" t="str">
        <f t="shared" si="3"/>
        <v>NM</v>
      </c>
      <c r="P10" s="591" t="str">
        <f t="shared" si="3"/>
        <v>NM</v>
      </c>
      <c r="Q10" s="165" t="str">
        <f t="shared" si="3"/>
        <v>NM</v>
      </c>
      <c r="R10" s="591" t="str">
        <f t="shared" si="3"/>
        <v>NM</v>
      </c>
      <c r="S10" s="591" t="str">
        <f t="shared" si="3"/>
        <v>NM</v>
      </c>
      <c r="T10" s="591" t="str">
        <f t="shared" si="3"/>
        <v>NM</v>
      </c>
      <c r="U10" s="591" t="str">
        <f t="shared" si="3"/>
        <v>NM</v>
      </c>
      <c r="V10" s="165" t="str">
        <f t="shared" si="3"/>
        <v>NM</v>
      </c>
      <c r="W10" s="591" t="str">
        <f t="shared" si="3"/>
        <v>NM</v>
      </c>
      <c r="X10" s="591" t="str">
        <f t="shared" si="3"/>
        <v>NM</v>
      </c>
      <c r="Y10" s="591" t="str">
        <f t="shared" si="3"/>
        <v>NM</v>
      </c>
      <c r="Z10" s="591" t="str">
        <f t="shared" si="3"/>
        <v>NM</v>
      </c>
      <c r="AA10" s="165" t="str">
        <f t="shared" si="3"/>
        <v>NM</v>
      </c>
      <c r="AB10" s="591" t="str">
        <f t="shared" si="3"/>
        <v>NM</v>
      </c>
      <c r="AC10" s="591" t="str">
        <f t="shared" si="3"/>
        <v>NM</v>
      </c>
      <c r="AD10" s="591" t="str">
        <f t="shared" si="3"/>
        <v>NM</v>
      </c>
      <c r="AE10" s="591" t="str">
        <f t="shared" si="3"/>
        <v>NM</v>
      </c>
      <c r="AF10" s="165" t="str">
        <f t="shared" si="3"/>
        <v>NM</v>
      </c>
      <c r="AG10" s="591" t="str">
        <f t="shared" si="3"/>
        <v>NM</v>
      </c>
      <c r="AH10" s="591" t="str">
        <f t="shared" si="3"/>
        <v>NM</v>
      </c>
      <c r="AI10" s="591" t="str">
        <f t="shared" si="3"/>
        <v>NM</v>
      </c>
      <c r="AJ10" s="591" t="str">
        <f t="shared" si="3"/>
        <v>NM</v>
      </c>
      <c r="AK10" s="165" t="str">
        <f t="shared" si="3"/>
        <v>NM</v>
      </c>
      <c r="AL10" s="591">
        <f t="shared" si="3"/>
        <v>2.3499566348655678</v>
      </c>
      <c r="AM10" s="591">
        <f t="shared" si="3"/>
        <v>1.1741994992752667</v>
      </c>
      <c r="AN10" s="591">
        <f t="shared" ref="AN10:BJ10" si="4">IF(AI7=0,"NM",AN7/AI7-1)</f>
        <v>1.0565082077256358</v>
      </c>
      <c r="AO10" s="591">
        <f t="shared" si="4"/>
        <v>0.87179487179487181</v>
      </c>
      <c r="AP10" s="165">
        <f t="shared" si="4"/>
        <v>1.1637934550200124</v>
      </c>
      <c r="AQ10" s="591">
        <f t="shared" si="4"/>
        <v>0.61003236245954695</v>
      </c>
      <c r="AR10" s="591">
        <f t="shared" si="4"/>
        <v>0.14160606060606074</v>
      </c>
      <c r="AS10" s="591">
        <f t="shared" si="4"/>
        <v>0.25419386745796246</v>
      </c>
      <c r="AT10" s="591">
        <f t="shared" si="4"/>
        <v>0.13554337899543367</v>
      </c>
      <c r="AU10" s="165">
        <f t="shared" si="4"/>
        <v>0.24841141626278951</v>
      </c>
      <c r="AV10" s="591">
        <f t="shared" si="4"/>
        <v>0.30854271356783913</v>
      </c>
      <c r="AW10" s="591">
        <f t="shared" si="4"/>
        <v>0.37056601102469489</v>
      </c>
      <c r="AX10" s="591">
        <f t="shared" si="4"/>
        <v>0.30915858957878228</v>
      </c>
      <c r="AY10" s="591">
        <f t="shared" si="4"/>
        <v>0.4476202731176917</v>
      </c>
      <c r="AZ10" s="165">
        <f t="shared" si="4"/>
        <v>0.36118923349005749</v>
      </c>
      <c r="BA10" s="591">
        <f t="shared" si="4"/>
        <v>0.30952380952380953</v>
      </c>
      <c r="BB10" s="591">
        <f t="shared" si="4"/>
        <v>0.16204002582311161</v>
      </c>
      <c r="BC10" s="591">
        <f t="shared" si="4"/>
        <v>6.024096385542177E-2</v>
      </c>
      <c r="BD10" s="591">
        <f t="shared" si="4"/>
        <v>-1.7222222222222361E-2</v>
      </c>
      <c r="BE10" s="165">
        <f t="shared" si="4"/>
        <v>0.11451066263790755</v>
      </c>
      <c r="BF10" s="591">
        <f t="shared" si="4"/>
        <v>9.0909090909090828E-2</v>
      </c>
      <c r="BG10" s="591">
        <f t="shared" si="4"/>
        <v>5.555555555555558E-2</v>
      </c>
      <c r="BH10" s="591">
        <f t="shared" si="4"/>
        <v>0.21022727272727271</v>
      </c>
      <c r="BI10" s="591">
        <f t="shared" si="4"/>
        <v>0.44714527981910712</v>
      </c>
      <c r="BJ10" s="165">
        <f t="shared" si="4"/>
        <v>0.20130793289735571</v>
      </c>
      <c r="BK10" s="591">
        <f t="shared" ref="BK10" si="5">IF(BF7=0,"NM",BK7/BF7-1)</f>
        <v>0.23655913978494625</v>
      </c>
      <c r="BL10" s="591">
        <f t="shared" ref="BL10" si="6">IF(BG7=0,"NM",BL7/BG7-1)</f>
        <v>0.23684210526315796</v>
      </c>
      <c r="BM10" s="591">
        <f t="shared" ref="BM10" si="7">IF(BH7=0,"NM",BM7/BH7-1)</f>
        <v>0.12676056338028174</v>
      </c>
      <c r="BN10" s="591">
        <f t="shared" ref="BN10" si="8">IF(BI7=0,"NM",BN7/BI7-1)</f>
        <v>-4.6029969265360293E-2</v>
      </c>
      <c r="BO10" s="165">
        <f>IF(BJ7=0,"NM",BO7/BJ7-1)</f>
        <v>0.12333293238824594</v>
      </c>
      <c r="BP10" s="591"/>
      <c r="BQ10" s="591"/>
      <c r="BR10" s="591"/>
      <c r="BS10" s="591"/>
      <c r="BT10" s="165">
        <f>IF(BO7=0,"NM",BT7/BO7-1)</f>
        <v>3.2716130429150336E-2</v>
      </c>
      <c r="BU10" s="591"/>
      <c r="BV10" s="591"/>
      <c r="BW10" s="591"/>
      <c r="BX10" s="591"/>
      <c r="BY10" s="165">
        <f>IF(BT7=0,"NM",BY7/BT7-1)</f>
        <v>0.13334151211039957</v>
      </c>
      <c r="BZ10" s="591"/>
      <c r="CA10" s="591"/>
      <c r="CB10" s="591"/>
      <c r="CC10" s="591"/>
      <c r="CD10" s="165">
        <f>IF(BY7=0,"NM",CD7/BY7-1)</f>
        <v>4.0962319475860154E-2</v>
      </c>
      <c r="CE10" s="591"/>
      <c r="CF10" s="591"/>
      <c r="CG10" s="591"/>
      <c r="CH10" s="591"/>
      <c r="CI10" s="165">
        <f>IF(CD7=0,"NM",CI7/CD7-1)</f>
        <v>-6.8287949802526837E-3</v>
      </c>
      <c r="CJ10" s="591"/>
      <c r="CK10" s="591"/>
      <c r="CL10" s="591"/>
      <c r="CM10" s="591"/>
      <c r="CN10" s="165">
        <f>IF(CI7=0,"NM",CN7/CI7-1)</f>
        <v>-6.7382330929686152E-3</v>
      </c>
      <c r="CO10" s="591"/>
      <c r="CP10" s="591"/>
      <c r="CQ10" s="591"/>
      <c r="CR10" s="591"/>
      <c r="CS10" s="165">
        <f>IF(CN7=0,"NM",CS7/CN7-1)</f>
        <v>-6.6482659970614755E-3</v>
      </c>
      <c r="CT10" s="591"/>
      <c r="CU10" s="591"/>
      <c r="CV10" s="591"/>
      <c r="CW10" s="591"/>
      <c r="CX10" s="165">
        <f>IF(CS7=0,"NM",CX7/CS7-1)</f>
        <v>-0.51504223197340671</v>
      </c>
      <c r="CY10" s="591"/>
      <c r="CZ10" s="591"/>
      <c r="DA10" s="591"/>
      <c r="DB10" s="591"/>
      <c r="DC10" s="165">
        <f>IF(CX7=0,"NM",DC7/CX7-1)</f>
        <v>-0.43735049296021034</v>
      </c>
      <c r="DD10" s="591"/>
      <c r="DE10" s="591"/>
      <c r="DF10" s="591"/>
      <c r="DG10" s="591"/>
      <c r="DH10" s="165">
        <f>IF(DC7=0,"NM",DH7/DC7-1)</f>
        <v>-1.2934070483545668E-2</v>
      </c>
      <c r="DI10" s="591"/>
      <c r="DJ10" s="591"/>
      <c r="DK10" s="591"/>
      <c r="DL10" s="591"/>
      <c r="DM10" s="165">
        <f>IF(DH7=0,"NM",DM7/DH7-1)</f>
        <v>-0.82393278864546382</v>
      </c>
      <c r="DN10" s="591"/>
      <c r="DO10" s="591"/>
      <c r="DP10" s="591"/>
      <c r="DQ10" s="591"/>
      <c r="DR10" s="165">
        <f>IF(DM7=0,"NM",DR7/DM7-1)</f>
        <v>-0.83678052741045239</v>
      </c>
      <c r="DS10" s="591"/>
      <c r="DT10" s="591"/>
      <c r="DU10" s="591"/>
      <c r="DV10" s="591"/>
      <c r="DW10" s="165">
        <f>IF(DR7=0,"NM",DW7/DR7-1)</f>
        <v>-1</v>
      </c>
    </row>
    <row r="11" spans="1:127" s="167" customFormat="1">
      <c r="A11" s="166"/>
      <c r="B11" s="164"/>
      <c r="C11" s="591"/>
      <c r="D11" s="591"/>
      <c r="E11" s="591"/>
      <c r="F11" s="591"/>
      <c r="G11" s="165"/>
      <c r="H11" s="591"/>
      <c r="I11" s="591"/>
      <c r="J11" s="591"/>
      <c r="K11" s="591"/>
      <c r="L11" s="165"/>
      <c r="M11" s="591"/>
      <c r="N11" s="591"/>
      <c r="O11" s="591"/>
      <c r="P11" s="591"/>
      <c r="Q11" s="165"/>
      <c r="R11" s="591"/>
      <c r="S11" s="591"/>
      <c r="T11" s="591"/>
      <c r="U11" s="591"/>
      <c r="V11" s="165"/>
      <c r="W11" s="591"/>
      <c r="X11" s="591"/>
      <c r="Y11" s="591"/>
      <c r="Z11" s="591"/>
      <c r="AA11" s="165"/>
      <c r="AB11" s="591"/>
      <c r="AC11" s="591"/>
      <c r="AD11" s="591"/>
      <c r="AE11" s="591"/>
      <c r="AF11" s="165"/>
      <c r="AG11" s="591"/>
      <c r="AH11" s="591"/>
      <c r="AI11" s="591"/>
      <c r="AJ11" s="591"/>
      <c r="AK11" s="165"/>
      <c r="AL11" s="591"/>
      <c r="AM11" s="591"/>
      <c r="AN11" s="591"/>
      <c r="AO11" s="591"/>
      <c r="AP11" s="165"/>
      <c r="AQ11" s="591"/>
      <c r="AR11" s="591"/>
      <c r="AS11" s="591"/>
      <c r="AT11" s="591"/>
      <c r="AU11" s="165"/>
      <c r="AV11" s="591"/>
      <c r="AW11" s="591"/>
      <c r="AX11" s="591"/>
      <c r="AY11" s="591"/>
      <c r="AZ11" s="165"/>
      <c r="BA11" s="591"/>
      <c r="BB11" s="591"/>
      <c r="BC11" s="591"/>
      <c r="BD11" s="591"/>
      <c r="BE11" s="165"/>
      <c r="BF11" s="591"/>
      <c r="BG11" s="591"/>
      <c r="BH11" s="591"/>
      <c r="BI11" s="591"/>
      <c r="BJ11" s="165"/>
      <c r="BK11" s="591"/>
      <c r="BL11" s="591"/>
      <c r="BM11" s="591"/>
      <c r="BN11" s="591"/>
      <c r="BO11" s="165"/>
      <c r="BP11" s="591"/>
      <c r="BQ11" s="591"/>
      <c r="BR11" s="591"/>
      <c r="BS11" s="591"/>
      <c r="BT11" s="165"/>
      <c r="BU11" s="591"/>
      <c r="BV11" s="591"/>
      <c r="BW11" s="591"/>
      <c r="BX11" s="591"/>
      <c r="BY11" s="165"/>
      <c r="BZ11" s="591"/>
      <c r="CA11" s="591"/>
      <c r="CB11" s="591"/>
      <c r="CC11" s="591"/>
      <c r="CD11" s="165"/>
      <c r="CE11" s="591"/>
      <c r="CF11" s="591"/>
      <c r="CG11" s="591"/>
      <c r="CH11" s="591"/>
      <c r="CI11" s="165"/>
      <c r="CJ11" s="591"/>
      <c r="CK11" s="591"/>
      <c r="CL11" s="591"/>
      <c r="CM11" s="591"/>
      <c r="CN11" s="165"/>
      <c r="CO11" s="591"/>
      <c r="CP11" s="591"/>
      <c r="CQ11" s="591"/>
      <c r="CR11" s="591"/>
      <c r="CS11" s="165"/>
      <c r="CT11" s="591"/>
      <c r="CU11" s="591"/>
      <c r="CV11" s="591"/>
      <c r="CW11" s="591"/>
      <c r="CX11" s="165"/>
      <c r="CY11" s="591"/>
      <c r="CZ11" s="591"/>
      <c r="DA11" s="591"/>
      <c r="DB11" s="591"/>
      <c r="DC11" s="165"/>
      <c r="DD11" s="591"/>
      <c r="DE11" s="591"/>
      <c r="DF11" s="591"/>
      <c r="DG11" s="591"/>
      <c r="DH11" s="165"/>
      <c r="DI11" s="591"/>
      <c r="DJ11" s="591"/>
      <c r="DK11" s="591"/>
      <c r="DL11" s="591"/>
      <c r="DM11" s="165"/>
      <c r="DN11" s="591"/>
      <c r="DO11" s="591"/>
      <c r="DP11" s="591"/>
      <c r="DQ11" s="591"/>
      <c r="DR11" s="165"/>
      <c r="DS11" s="591"/>
      <c r="DT11" s="591"/>
      <c r="DU11" s="591"/>
      <c r="DV11" s="591"/>
      <c r="DW11" s="165"/>
    </row>
    <row r="12" spans="1:127" s="167" customFormat="1">
      <c r="A12" s="166"/>
      <c r="B12" s="145" t="s">
        <v>664</v>
      </c>
      <c r="C12" s="591"/>
      <c r="D12" s="591"/>
      <c r="E12" s="591"/>
      <c r="F12" s="591"/>
      <c r="G12" s="165"/>
      <c r="H12" s="591"/>
      <c r="I12" s="591"/>
      <c r="J12" s="591"/>
      <c r="K12" s="591"/>
      <c r="L12" s="165"/>
      <c r="M12" s="591"/>
      <c r="N12" s="591"/>
      <c r="O12" s="591"/>
      <c r="P12" s="591"/>
      <c r="Q12" s="165"/>
      <c r="R12" s="591"/>
      <c r="S12" s="591"/>
      <c r="T12" s="591"/>
      <c r="U12" s="591"/>
      <c r="V12" s="165"/>
      <c r="W12" s="591"/>
      <c r="X12" s="591"/>
      <c r="Y12" s="591"/>
      <c r="Z12" s="591"/>
      <c r="AA12" s="165"/>
      <c r="AB12" s="591"/>
      <c r="AC12" s="591"/>
      <c r="AD12" s="591"/>
      <c r="AE12" s="591"/>
      <c r="AF12" s="165"/>
      <c r="AG12" s="591"/>
      <c r="AH12" s="591"/>
      <c r="AI12" s="591"/>
      <c r="AJ12" s="591"/>
      <c r="AK12" s="165"/>
      <c r="AL12" s="591"/>
      <c r="AM12" s="591"/>
      <c r="AN12" s="591"/>
      <c r="AO12" s="591"/>
      <c r="AP12" s="165"/>
      <c r="AQ12" s="591"/>
      <c r="AR12" s="591"/>
      <c r="AS12" s="591"/>
      <c r="AT12" s="591"/>
      <c r="AU12" s="165"/>
      <c r="AV12" s="591"/>
      <c r="AW12" s="591"/>
      <c r="AX12" s="591"/>
      <c r="AY12" s="591"/>
      <c r="AZ12" s="165"/>
      <c r="BA12" s="591"/>
      <c r="BB12" s="591"/>
      <c r="BC12" s="591"/>
      <c r="BD12" s="591"/>
      <c r="BE12" s="165"/>
      <c r="BF12" s="591"/>
      <c r="BG12" s="591"/>
      <c r="BH12" s="591"/>
      <c r="BI12" s="591"/>
      <c r="BJ12" s="706">
        <f>'CF Market'!L328</f>
        <v>0</v>
      </c>
      <c r="BK12" s="746"/>
      <c r="BL12" s="746"/>
      <c r="BM12" s="746"/>
      <c r="BN12" s="746"/>
      <c r="BO12" s="706">
        <f>'CF Market'!M328</f>
        <v>0</v>
      </c>
      <c r="BP12" s="747"/>
      <c r="BQ12" s="747"/>
      <c r="BR12" s="747"/>
      <c r="BS12" s="747"/>
      <c r="BT12" s="706">
        <f>'CF Market'!N328</f>
        <v>0</v>
      </c>
      <c r="BU12" s="747"/>
      <c r="BV12" s="747"/>
      <c r="BW12" s="747"/>
      <c r="BX12" s="747"/>
      <c r="BY12" s="706">
        <f>'CF Market'!O328</f>
        <v>0</v>
      </c>
      <c r="BZ12" s="747"/>
      <c r="CA12" s="747"/>
      <c r="CB12" s="747"/>
      <c r="CC12" s="747"/>
      <c r="CD12" s="706">
        <f>'CF Market'!P328</f>
        <v>0</v>
      </c>
      <c r="CE12" s="747"/>
      <c r="CF12" s="747"/>
      <c r="CG12" s="747"/>
      <c r="CH12" s="747"/>
      <c r="CI12" s="706">
        <f>'CF Market'!Q328</f>
        <v>0</v>
      </c>
      <c r="CJ12" s="747"/>
      <c r="CK12" s="747"/>
      <c r="CL12" s="747"/>
      <c r="CM12" s="747"/>
      <c r="CN12" s="706">
        <f>'CF Market'!R328</f>
        <v>0</v>
      </c>
      <c r="CO12" s="747"/>
      <c r="CP12" s="747"/>
      <c r="CQ12" s="747"/>
      <c r="CR12" s="747"/>
      <c r="CS12" s="706">
        <f>'CF Market'!S328</f>
        <v>0</v>
      </c>
      <c r="CT12" s="747"/>
      <c r="CU12" s="747"/>
      <c r="CV12" s="747"/>
      <c r="CW12" s="747"/>
      <c r="CX12" s="706">
        <f>'CF Market'!T328</f>
        <v>388.29706866720011</v>
      </c>
      <c r="CY12" s="747"/>
      <c r="CZ12" s="747"/>
      <c r="DA12" s="747"/>
      <c r="DB12" s="747"/>
      <c r="DC12" s="706">
        <f>'CF Market'!U328</f>
        <v>529.49600272800012</v>
      </c>
      <c r="DD12" s="747"/>
      <c r="DE12" s="747"/>
      <c r="DF12" s="747"/>
      <c r="DG12" s="747"/>
      <c r="DH12" s="706">
        <f>'CF Market'!V328</f>
        <v>529.49600272800012</v>
      </c>
      <c r="DI12" s="747"/>
      <c r="DJ12" s="747"/>
      <c r="DK12" s="747"/>
      <c r="DL12" s="747"/>
      <c r="DM12" s="706">
        <f>'CF Market'!W328</f>
        <v>741.29440381920017</v>
      </c>
      <c r="DN12" s="747"/>
      <c r="DO12" s="747"/>
      <c r="DP12" s="747"/>
      <c r="DQ12" s="747"/>
      <c r="DR12" s="706">
        <f>'CF Market'!X328</f>
        <v>741.29440381920017</v>
      </c>
      <c r="DS12" s="747"/>
      <c r="DT12" s="747"/>
      <c r="DU12" s="747"/>
      <c r="DV12" s="747"/>
      <c r="DW12" s="706">
        <f>'CF Market'!Y328</f>
        <v>837.7803420940802</v>
      </c>
    </row>
    <row r="13" spans="1:127" s="167" customFormat="1">
      <c r="A13" s="166"/>
      <c r="B13" s="153" t="s">
        <v>665</v>
      </c>
      <c r="C13" s="591"/>
      <c r="D13" s="591"/>
      <c r="E13" s="591"/>
      <c r="F13" s="591"/>
      <c r="G13" s="165"/>
      <c r="H13" s="591"/>
      <c r="I13" s="591"/>
      <c r="J13" s="591"/>
      <c r="K13" s="591"/>
      <c r="L13" s="165"/>
      <c r="M13" s="591"/>
      <c r="N13" s="591"/>
      <c r="O13" s="591"/>
      <c r="P13" s="591"/>
      <c r="Q13" s="165"/>
      <c r="R13" s="591"/>
      <c r="S13" s="591"/>
      <c r="T13" s="591"/>
      <c r="U13" s="591"/>
      <c r="V13" s="165"/>
      <c r="W13" s="591"/>
      <c r="X13" s="591"/>
      <c r="Y13" s="591"/>
      <c r="Z13" s="591"/>
      <c r="AA13" s="165"/>
      <c r="AB13" s="591"/>
      <c r="AC13" s="591"/>
      <c r="AD13" s="591"/>
      <c r="AE13" s="591"/>
      <c r="AF13" s="165"/>
      <c r="AG13" s="591"/>
      <c r="AH13" s="591"/>
      <c r="AI13" s="591"/>
      <c r="AJ13" s="591"/>
      <c r="AK13" s="165"/>
      <c r="AL13" s="591"/>
      <c r="AM13" s="591"/>
      <c r="AN13" s="591"/>
      <c r="AO13" s="591"/>
      <c r="AP13" s="165"/>
      <c r="AQ13" s="591"/>
      <c r="AR13" s="591"/>
      <c r="AS13" s="591"/>
      <c r="AT13" s="591"/>
      <c r="AU13" s="165"/>
      <c r="AV13" s="591"/>
      <c r="AW13" s="591"/>
      <c r="AX13" s="591"/>
      <c r="AY13" s="591"/>
      <c r="AZ13" s="165"/>
      <c r="BA13" s="591"/>
      <c r="BB13" s="591"/>
      <c r="BC13" s="591"/>
      <c r="BD13" s="591"/>
      <c r="BE13" s="165"/>
      <c r="BF13" s="591"/>
      <c r="BG13" s="591"/>
      <c r="BH13" s="591"/>
      <c r="BI13" s="591"/>
      <c r="BJ13" s="706">
        <f>'CF Market'!L334+'CF Market'!L340</f>
        <v>0</v>
      </c>
      <c r="BK13" s="746"/>
      <c r="BL13" s="746"/>
      <c r="BM13" s="746"/>
      <c r="BN13" s="746"/>
      <c r="BO13" s="706">
        <f>'CF Market'!M334+'CF Market'!M340</f>
        <v>0</v>
      </c>
      <c r="BP13" s="747"/>
      <c r="BQ13" s="747"/>
      <c r="BR13" s="747"/>
      <c r="BS13" s="747"/>
      <c r="BT13" s="706">
        <f>'CF Market'!N334+'CF Market'!N340</f>
        <v>0</v>
      </c>
      <c r="BU13" s="747"/>
      <c r="BV13" s="747"/>
      <c r="BW13" s="747"/>
      <c r="BX13" s="747"/>
      <c r="BY13" s="706">
        <f>'CF Market'!O334+'CF Market'!O340</f>
        <v>0</v>
      </c>
      <c r="BZ13" s="747"/>
      <c r="CA13" s="747"/>
      <c r="CB13" s="747"/>
      <c r="CC13" s="747"/>
      <c r="CD13" s="706">
        <f>'CF Market'!P334+'CF Market'!P340</f>
        <v>0</v>
      </c>
      <c r="CE13" s="747"/>
      <c r="CF13" s="747"/>
      <c r="CG13" s="747"/>
      <c r="CH13" s="747"/>
      <c r="CI13" s="706">
        <f>'CF Market'!Q334+'CF Market'!Q340</f>
        <v>0</v>
      </c>
      <c r="CJ13" s="747"/>
      <c r="CK13" s="747"/>
      <c r="CL13" s="747"/>
      <c r="CM13" s="747"/>
      <c r="CN13" s="706">
        <f>'CF Market'!R334+'CF Market'!R340</f>
        <v>0</v>
      </c>
      <c r="CO13" s="747"/>
      <c r="CP13" s="747"/>
      <c r="CQ13" s="747"/>
      <c r="CR13" s="747"/>
      <c r="CS13" s="706">
        <f>'CF Market'!S334+'CF Market'!S340</f>
        <v>0</v>
      </c>
      <c r="CT13" s="747"/>
      <c r="CU13" s="747"/>
      <c r="CV13" s="747"/>
      <c r="CW13" s="747"/>
      <c r="CX13" s="706">
        <f>'CF Market'!T334+'CF Market'!T340</f>
        <v>223.25085590032657</v>
      </c>
      <c r="CY13" s="747"/>
      <c r="CZ13" s="747"/>
      <c r="DA13" s="747"/>
      <c r="DB13" s="747"/>
      <c r="DC13" s="706">
        <f>'CF Market'!U334+'CF Market'!U340</f>
        <v>258.20356802722148</v>
      </c>
      <c r="DD13" s="747"/>
      <c r="DE13" s="747"/>
      <c r="DF13" s="747"/>
      <c r="DG13" s="747"/>
      <c r="DH13" s="706">
        <f>'CF Market'!V334+'CF Market'!V340</f>
        <v>254.74876103216394</v>
      </c>
      <c r="DI13" s="747"/>
      <c r="DJ13" s="747"/>
      <c r="DK13" s="747"/>
      <c r="DL13" s="747"/>
      <c r="DM13" s="706">
        <f>'CF Market'!W334+'CF Market'!W340</f>
        <v>327.13624365168243</v>
      </c>
      <c r="DN13" s="747"/>
      <c r="DO13" s="747"/>
      <c r="DP13" s="747"/>
      <c r="DQ13" s="747"/>
      <c r="DR13" s="706">
        <f>'CF Market'!X334+'CF Market'!X340</f>
        <v>328.34176456266493</v>
      </c>
      <c r="DS13" s="747"/>
      <c r="DT13" s="747"/>
      <c r="DU13" s="747"/>
      <c r="DV13" s="747"/>
      <c r="DW13" s="706">
        <f>'CF Market'!Y334+'CF Market'!Y340</f>
        <v>321.77492927141162</v>
      </c>
    </row>
    <row r="14" spans="1:127" s="167" customFormat="1">
      <c r="A14" s="166"/>
      <c r="B14" s="142" t="s">
        <v>666</v>
      </c>
      <c r="C14" s="591"/>
      <c r="D14" s="591"/>
      <c r="E14" s="591"/>
      <c r="F14" s="591"/>
      <c r="G14" s="165"/>
      <c r="H14" s="591"/>
      <c r="I14" s="591"/>
      <c r="J14" s="591"/>
      <c r="K14" s="591"/>
      <c r="L14" s="165"/>
      <c r="M14" s="591"/>
      <c r="N14" s="591"/>
      <c r="O14" s="591"/>
      <c r="P14" s="591"/>
      <c r="Q14" s="165"/>
      <c r="R14" s="591"/>
      <c r="S14" s="591"/>
      <c r="T14" s="591"/>
      <c r="U14" s="591"/>
      <c r="V14" s="165"/>
      <c r="W14" s="591"/>
      <c r="X14" s="591"/>
      <c r="Y14" s="591"/>
      <c r="Z14" s="591"/>
      <c r="AA14" s="165"/>
      <c r="AB14" s="591"/>
      <c r="AC14" s="591"/>
      <c r="AD14" s="591"/>
      <c r="AE14" s="591"/>
      <c r="AF14" s="165"/>
      <c r="AG14" s="591"/>
      <c r="AH14" s="591"/>
      <c r="AI14" s="591"/>
      <c r="AJ14" s="591"/>
      <c r="AK14" s="165"/>
      <c r="AL14" s="591"/>
      <c r="AM14" s="591"/>
      <c r="AN14" s="591"/>
      <c r="AO14" s="591"/>
      <c r="AP14" s="165"/>
      <c r="AQ14" s="591"/>
      <c r="AR14" s="591"/>
      <c r="AS14" s="591"/>
      <c r="AT14" s="591"/>
      <c r="AU14" s="165"/>
      <c r="AV14" s="591"/>
      <c r="AW14" s="591"/>
      <c r="AX14" s="591"/>
      <c r="AY14" s="591"/>
      <c r="AZ14" s="165"/>
      <c r="BA14" s="591"/>
      <c r="BB14" s="591"/>
      <c r="BC14" s="591"/>
      <c r="BD14" s="591"/>
      <c r="BE14" s="165"/>
      <c r="BF14" s="591"/>
      <c r="BG14" s="591"/>
      <c r="BH14" s="591"/>
      <c r="BI14" s="591"/>
      <c r="BJ14" s="160">
        <f>BJ12+BJ13</f>
        <v>0</v>
      </c>
      <c r="BK14" s="591"/>
      <c r="BL14" s="591"/>
      <c r="BM14" s="591"/>
      <c r="BN14" s="591"/>
      <c r="BO14" s="160">
        <f>BO12+BO13</f>
        <v>0</v>
      </c>
      <c r="BP14" s="591"/>
      <c r="BQ14" s="591"/>
      <c r="BR14" s="591"/>
      <c r="BS14" s="591"/>
      <c r="BT14" s="160">
        <f>BT12+BT13</f>
        <v>0</v>
      </c>
      <c r="BU14" s="591"/>
      <c r="BV14" s="591"/>
      <c r="BW14" s="591"/>
      <c r="BX14" s="591"/>
      <c r="BY14" s="160">
        <f>BY12+BY13</f>
        <v>0</v>
      </c>
      <c r="BZ14" s="591"/>
      <c r="CA14" s="591"/>
      <c r="CB14" s="591"/>
      <c r="CC14" s="591"/>
      <c r="CD14" s="160">
        <f>CD12+CD13</f>
        <v>0</v>
      </c>
      <c r="CE14" s="591"/>
      <c r="CF14" s="591"/>
      <c r="CG14" s="591"/>
      <c r="CH14" s="591"/>
      <c r="CI14" s="160">
        <f>CI12+CI13</f>
        <v>0</v>
      </c>
      <c r="CJ14" s="591"/>
      <c r="CK14" s="591"/>
      <c r="CL14" s="591"/>
      <c r="CM14" s="591"/>
      <c r="CN14" s="160">
        <f>CN12+CN13</f>
        <v>0</v>
      </c>
      <c r="CO14" s="591"/>
      <c r="CP14" s="591"/>
      <c r="CQ14" s="591"/>
      <c r="CR14" s="591"/>
      <c r="CS14" s="160">
        <f>CS12+CS13</f>
        <v>0</v>
      </c>
      <c r="CT14" s="591"/>
      <c r="CU14" s="591"/>
      <c r="CV14" s="591"/>
      <c r="CW14" s="591"/>
      <c r="CX14" s="160">
        <f>CX12+CX13</f>
        <v>611.54792456752671</v>
      </c>
      <c r="CY14" s="591"/>
      <c r="CZ14" s="591"/>
      <c r="DA14" s="591"/>
      <c r="DB14" s="591"/>
      <c r="DC14" s="160">
        <f>DC12+DC13</f>
        <v>787.69957075522166</v>
      </c>
      <c r="DD14" s="591"/>
      <c r="DE14" s="591"/>
      <c r="DF14" s="591"/>
      <c r="DG14" s="591"/>
      <c r="DH14" s="160">
        <f>DH12+DH13</f>
        <v>784.24476376016401</v>
      </c>
      <c r="DI14" s="591"/>
      <c r="DJ14" s="591"/>
      <c r="DK14" s="591"/>
      <c r="DL14" s="591"/>
      <c r="DM14" s="160">
        <f>DM12+DM13</f>
        <v>1068.4306474708826</v>
      </c>
      <c r="DN14" s="591"/>
      <c r="DO14" s="591"/>
      <c r="DP14" s="591"/>
      <c r="DQ14" s="591"/>
      <c r="DR14" s="160">
        <f>DR12+DR13</f>
        <v>1069.636168381865</v>
      </c>
      <c r="DS14" s="591"/>
      <c r="DT14" s="591"/>
      <c r="DU14" s="591"/>
      <c r="DV14" s="591"/>
      <c r="DW14" s="160">
        <f>DW12+DW13</f>
        <v>1159.5552713654918</v>
      </c>
    </row>
    <row r="15" spans="1:127" s="167" customFormat="1">
      <c r="A15" s="166"/>
      <c r="B15" s="142"/>
      <c r="C15" s="590"/>
      <c r="D15" s="590"/>
      <c r="E15" s="590"/>
      <c r="F15" s="590"/>
      <c r="G15" s="160"/>
      <c r="H15" s="590"/>
      <c r="I15" s="590"/>
      <c r="J15" s="590"/>
      <c r="K15" s="590"/>
      <c r="L15" s="160"/>
      <c r="M15" s="590"/>
      <c r="N15" s="590"/>
      <c r="O15" s="590"/>
      <c r="P15" s="590"/>
      <c r="Q15" s="160"/>
      <c r="R15" s="590"/>
      <c r="S15" s="590"/>
      <c r="T15" s="590"/>
      <c r="U15" s="590"/>
      <c r="V15" s="160"/>
      <c r="W15" s="590"/>
      <c r="X15" s="590"/>
      <c r="Y15" s="590"/>
      <c r="Z15" s="590"/>
      <c r="AA15" s="160"/>
      <c r="AB15" s="590"/>
      <c r="AC15" s="590"/>
      <c r="AD15" s="590"/>
      <c r="AE15" s="590"/>
      <c r="AF15" s="160"/>
      <c r="AG15" s="590"/>
      <c r="AH15" s="590"/>
      <c r="AI15" s="590"/>
      <c r="AJ15" s="590"/>
      <c r="AK15" s="160"/>
      <c r="AL15" s="590"/>
      <c r="AM15" s="590"/>
      <c r="AN15" s="590"/>
      <c r="AO15" s="590"/>
      <c r="AP15" s="160"/>
      <c r="AQ15" s="590"/>
      <c r="AR15" s="590"/>
      <c r="AS15" s="590"/>
      <c r="AT15" s="593"/>
      <c r="AU15" s="160"/>
      <c r="AV15" s="590"/>
      <c r="AW15" s="590"/>
      <c r="AX15" s="590"/>
      <c r="AY15" s="593"/>
      <c r="AZ15" s="160"/>
      <c r="BA15" s="590"/>
      <c r="BB15" s="590"/>
      <c r="BC15" s="590"/>
      <c r="BD15" s="590"/>
      <c r="BE15" s="160"/>
      <c r="BF15" s="590"/>
      <c r="BG15" s="590"/>
      <c r="BH15" s="590"/>
      <c r="BI15" s="590"/>
      <c r="BJ15" s="160"/>
      <c r="BK15" s="590"/>
      <c r="BL15" s="590"/>
      <c r="BM15" s="590"/>
      <c r="BN15" s="590"/>
      <c r="BO15" s="160"/>
      <c r="BP15" s="590"/>
      <c r="BQ15" s="590"/>
      <c r="BR15" s="590"/>
      <c r="BS15" s="590"/>
      <c r="BT15" s="160"/>
      <c r="BU15" s="590"/>
      <c r="BV15" s="590"/>
      <c r="BW15" s="590"/>
      <c r="BX15" s="590"/>
      <c r="BY15" s="160"/>
      <c r="BZ15" s="590"/>
      <c r="CA15" s="590"/>
      <c r="CB15" s="590"/>
      <c r="CC15" s="590"/>
      <c r="CD15" s="160"/>
      <c r="CE15" s="590"/>
      <c r="CF15" s="590"/>
      <c r="CG15" s="590"/>
      <c r="CH15" s="590"/>
      <c r="CI15" s="160"/>
      <c r="CJ15" s="590"/>
      <c r="CK15" s="590"/>
      <c r="CL15" s="590"/>
      <c r="CM15" s="590"/>
      <c r="CN15" s="160"/>
      <c r="CO15" s="590"/>
      <c r="CP15" s="590"/>
      <c r="CQ15" s="590"/>
      <c r="CR15" s="590"/>
      <c r="CS15" s="160"/>
      <c r="CT15" s="590"/>
      <c r="CU15" s="590"/>
      <c r="CV15" s="590"/>
      <c r="CW15" s="590"/>
      <c r="CX15" s="160"/>
      <c r="CY15" s="590"/>
      <c r="CZ15" s="590"/>
      <c r="DA15" s="590"/>
      <c r="DB15" s="590"/>
      <c r="DC15" s="160"/>
      <c r="DD15" s="590"/>
      <c r="DE15" s="590"/>
      <c r="DF15" s="590"/>
      <c r="DG15" s="590"/>
      <c r="DH15" s="160"/>
      <c r="DI15" s="590"/>
      <c r="DJ15" s="590"/>
      <c r="DK15" s="590"/>
      <c r="DL15" s="590"/>
      <c r="DM15" s="160"/>
      <c r="DN15" s="590"/>
      <c r="DO15" s="590"/>
      <c r="DP15" s="590"/>
      <c r="DQ15" s="590"/>
      <c r="DR15" s="160"/>
      <c r="DS15" s="590"/>
      <c r="DT15" s="590"/>
      <c r="DU15" s="590"/>
      <c r="DV15" s="590"/>
      <c r="DW15" s="160"/>
    </row>
    <row r="16" spans="1:127" s="167" customFormat="1">
      <c r="A16" s="166"/>
      <c r="B16" s="164" t="s">
        <v>281</v>
      </c>
      <c r="C16" s="591" t="s">
        <v>227</v>
      </c>
      <c r="D16" s="591" t="e">
        <f>IF(C10=0,"NM",D10/C10-1)</f>
        <v>#VALUE!</v>
      </c>
      <c r="E16" s="591" t="e">
        <f>IF(D10=0,"NM",E10/D10-1)</f>
        <v>#VALUE!</v>
      </c>
      <c r="F16" s="591" t="e">
        <f>IF(E10=0,"NM",F10/E10-1)</f>
        <v>#VALUE!</v>
      </c>
      <c r="G16" s="165" t="s">
        <v>227</v>
      </c>
      <c r="H16" s="591" t="e">
        <f>IF(F10=0,"NM",H10/F10-1)</f>
        <v>#VALUE!</v>
      </c>
      <c r="I16" s="591" t="e">
        <f>IF(H10=0,"NM",I10/H10-1)</f>
        <v>#VALUE!</v>
      </c>
      <c r="J16" s="591" t="e">
        <f>IF(I10=0,"NM",J10/I10-1)</f>
        <v>#VALUE!</v>
      </c>
      <c r="K16" s="591" t="e">
        <f>IF(J10=0,"NM",K10/J10-1)</f>
        <v>#VALUE!</v>
      </c>
      <c r="L16" s="165" t="s">
        <v>227</v>
      </c>
      <c r="M16" s="591" t="e">
        <f>IF(K10=0,"NM",M10/K10-1)</f>
        <v>#VALUE!</v>
      </c>
      <c r="N16" s="591" t="e">
        <f>IF(M10=0,"NM",N10/M10-1)</f>
        <v>#VALUE!</v>
      </c>
      <c r="O16" s="591" t="e">
        <f>IF(N10=0,"NM",O10/N10-1)</f>
        <v>#VALUE!</v>
      </c>
      <c r="P16" s="591" t="e">
        <f>IF(O10=0,"NM",P10/O10-1)</f>
        <v>#VALUE!</v>
      </c>
      <c r="Q16" s="165" t="s">
        <v>227</v>
      </c>
      <c r="R16" s="591" t="e">
        <f>IF(P10=0,"NM",R10/P10-1)</f>
        <v>#VALUE!</v>
      </c>
      <c r="S16" s="591" t="e">
        <f>IF(R10=0,"NM",S10/R10-1)</f>
        <v>#VALUE!</v>
      </c>
      <c r="T16" s="591" t="e">
        <f>IF(S10=0,"NM",T10/S10-1)</f>
        <v>#VALUE!</v>
      </c>
      <c r="U16" s="591" t="e">
        <f>IF(T10=0,"NM",U10/T10-1)</f>
        <v>#VALUE!</v>
      </c>
      <c r="V16" s="165" t="s">
        <v>227</v>
      </c>
      <c r="W16" s="591" t="e">
        <f>IF(U10=0,"NM",W10/U10-1)</f>
        <v>#VALUE!</v>
      </c>
      <c r="X16" s="591" t="e">
        <f>IF(W10=0,"NM",X10/W10-1)</f>
        <v>#VALUE!</v>
      </c>
      <c r="Y16" s="591" t="e">
        <f>IF(X10=0,"NM",Y10/X10-1)</f>
        <v>#VALUE!</v>
      </c>
      <c r="Z16" s="591" t="e">
        <f>IF(Y10=0,"NM",Z10/Y10-1)</f>
        <v>#VALUE!</v>
      </c>
      <c r="AA16" s="165" t="s">
        <v>227</v>
      </c>
      <c r="AB16" s="591" t="e">
        <f>IF(Z10=0,"NM",AB10/Z10-1)</f>
        <v>#VALUE!</v>
      </c>
      <c r="AC16" s="591" t="e">
        <f>IF(AB10=0,"NM",AC10/AB10-1)</f>
        <v>#VALUE!</v>
      </c>
      <c r="AD16" s="591" t="e">
        <f>IF(AC10=0,"NM",AD10/AC10-1)</f>
        <v>#VALUE!</v>
      </c>
      <c r="AE16" s="591" t="e">
        <f>IF(AD10=0,"NM",AE10/AD10-1)</f>
        <v>#VALUE!</v>
      </c>
      <c r="AF16" s="165"/>
      <c r="AG16" s="591"/>
      <c r="AH16" s="591"/>
      <c r="AI16" s="591"/>
      <c r="AJ16" s="591"/>
      <c r="AK16" s="165"/>
      <c r="AL16" s="591"/>
      <c r="AM16" s="591"/>
      <c r="AN16" s="591"/>
      <c r="AO16" s="591"/>
      <c r="AP16" s="165"/>
      <c r="AQ16" s="591"/>
      <c r="AR16" s="591"/>
      <c r="AS16" s="591"/>
      <c r="AT16" s="591"/>
      <c r="AU16" s="165"/>
      <c r="AV16" s="591"/>
      <c r="AW16" s="591"/>
      <c r="AX16" s="591"/>
      <c r="AY16" s="591"/>
      <c r="AZ16" s="165"/>
      <c r="BA16" s="591"/>
      <c r="BB16" s="591"/>
      <c r="BC16" s="591"/>
      <c r="BD16" s="591"/>
      <c r="BE16" s="165"/>
      <c r="BF16" s="591"/>
      <c r="BG16" s="591"/>
      <c r="BH16" s="591"/>
      <c r="BI16" s="591"/>
      <c r="BJ16" s="165" t="s">
        <v>227</v>
      </c>
      <c r="BK16" s="591"/>
      <c r="BL16" s="591"/>
      <c r="BM16" s="591"/>
      <c r="BN16" s="591"/>
      <c r="BO16" s="165" t="s">
        <v>227</v>
      </c>
      <c r="BP16" s="591"/>
      <c r="BQ16" s="591"/>
      <c r="BR16" s="591"/>
      <c r="BS16" s="591"/>
      <c r="BT16" s="165" t="s">
        <v>227</v>
      </c>
      <c r="BU16" s="591"/>
      <c r="BV16" s="591"/>
      <c r="BW16" s="591"/>
      <c r="BX16" s="591"/>
      <c r="BY16" s="165" t="s">
        <v>227</v>
      </c>
      <c r="BZ16" s="591"/>
      <c r="CA16" s="591"/>
      <c r="CB16" s="591"/>
      <c r="CC16" s="591"/>
      <c r="CD16" s="165" t="s">
        <v>227</v>
      </c>
      <c r="CE16" s="591"/>
      <c r="CF16" s="591"/>
      <c r="CG16" s="591"/>
      <c r="CH16" s="591"/>
      <c r="CI16" s="165" t="s">
        <v>227</v>
      </c>
      <c r="CJ16" s="591"/>
      <c r="CK16" s="591"/>
      <c r="CL16" s="591"/>
      <c r="CM16" s="591"/>
      <c r="CN16" s="165" t="s">
        <v>227</v>
      </c>
      <c r="CO16" s="591"/>
      <c r="CP16" s="591"/>
      <c r="CQ16" s="591"/>
      <c r="CR16" s="591"/>
      <c r="CS16" s="165" t="s">
        <v>227</v>
      </c>
      <c r="CT16" s="591"/>
      <c r="CU16" s="591"/>
      <c r="CV16" s="591"/>
      <c r="CW16" s="591"/>
      <c r="CX16" s="165" t="s">
        <v>227</v>
      </c>
      <c r="CY16" s="591"/>
      <c r="CZ16" s="591"/>
      <c r="DA16" s="591"/>
      <c r="DB16" s="591"/>
      <c r="DC16" s="165" t="s">
        <v>227</v>
      </c>
      <c r="DD16" s="591"/>
      <c r="DE16" s="591"/>
      <c r="DF16" s="591"/>
      <c r="DG16" s="591"/>
      <c r="DH16" s="165" t="s">
        <v>227</v>
      </c>
      <c r="DI16" s="591"/>
      <c r="DJ16" s="591"/>
      <c r="DK16" s="591"/>
      <c r="DL16" s="591"/>
      <c r="DM16" s="165" t="s">
        <v>227</v>
      </c>
      <c r="DN16" s="591"/>
      <c r="DO16" s="591"/>
      <c r="DP16" s="591"/>
      <c r="DQ16" s="591"/>
      <c r="DR16" s="165" t="s">
        <v>227</v>
      </c>
      <c r="DS16" s="591"/>
      <c r="DT16" s="591"/>
      <c r="DU16" s="591"/>
      <c r="DV16" s="591"/>
      <c r="DW16" s="165" t="s">
        <v>227</v>
      </c>
    </row>
    <row r="17" spans="1:127" s="167" customFormat="1">
      <c r="A17" s="166"/>
      <c r="B17" s="164" t="s">
        <v>282</v>
      </c>
      <c r="C17" s="591" t="s">
        <v>227</v>
      </c>
      <c r="D17" s="591" t="s">
        <v>227</v>
      </c>
      <c r="E17" s="591" t="s">
        <v>283</v>
      </c>
      <c r="F17" s="591" t="s">
        <v>227</v>
      </c>
      <c r="G17" s="165" t="s">
        <v>227</v>
      </c>
      <c r="H17" s="591" t="e">
        <f>IF(C10=0,"NM",H10/C10-1)</f>
        <v>#VALUE!</v>
      </c>
      <c r="I17" s="591" t="e">
        <f t="shared" ref="I17:AE17" si="9">IF(D10=0,"NM",I10/D10-1)</f>
        <v>#VALUE!</v>
      </c>
      <c r="J17" s="591" t="e">
        <f t="shared" si="9"/>
        <v>#VALUE!</v>
      </c>
      <c r="K17" s="591" t="e">
        <f t="shared" si="9"/>
        <v>#VALUE!</v>
      </c>
      <c r="L17" s="165" t="e">
        <f t="shared" si="9"/>
        <v>#VALUE!</v>
      </c>
      <c r="M17" s="591" t="e">
        <f t="shared" si="9"/>
        <v>#VALUE!</v>
      </c>
      <c r="N17" s="591" t="e">
        <f t="shared" si="9"/>
        <v>#VALUE!</v>
      </c>
      <c r="O17" s="591" t="e">
        <f t="shared" si="9"/>
        <v>#VALUE!</v>
      </c>
      <c r="P17" s="591" t="e">
        <f t="shared" si="9"/>
        <v>#VALUE!</v>
      </c>
      <c r="Q17" s="165" t="e">
        <f t="shared" si="9"/>
        <v>#VALUE!</v>
      </c>
      <c r="R17" s="591" t="e">
        <f t="shared" si="9"/>
        <v>#VALUE!</v>
      </c>
      <c r="S17" s="591" t="e">
        <f t="shared" si="9"/>
        <v>#VALUE!</v>
      </c>
      <c r="T17" s="591" t="e">
        <f t="shared" si="9"/>
        <v>#VALUE!</v>
      </c>
      <c r="U17" s="591" t="e">
        <f t="shared" si="9"/>
        <v>#VALUE!</v>
      </c>
      <c r="V17" s="165" t="e">
        <f t="shared" si="9"/>
        <v>#VALUE!</v>
      </c>
      <c r="W17" s="591" t="e">
        <f t="shared" si="9"/>
        <v>#VALUE!</v>
      </c>
      <c r="X17" s="591" t="e">
        <f t="shared" si="9"/>
        <v>#VALUE!</v>
      </c>
      <c r="Y17" s="591" t="e">
        <f t="shared" si="9"/>
        <v>#VALUE!</v>
      </c>
      <c r="Z17" s="591" t="e">
        <f t="shared" si="9"/>
        <v>#VALUE!</v>
      </c>
      <c r="AA17" s="165" t="e">
        <f t="shared" si="9"/>
        <v>#VALUE!</v>
      </c>
      <c r="AB17" s="591" t="e">
        <f t="shared" si="9"/>
        <v>#VALUE!</v>
      </c>
      <c r="AC17" s="591" t="e">
        <f t="shared" si="9"/>
        <v>#VALUE!</v>
      </c>
      <c r="AD17" s="591" t="e">
        <f t="shared" si="9"/>
        <v>#VALUE!</v>
      </c>
      <c r="AE17" s="591" t="e">
        <f t="shared" si="9"/>
        <v>#VALUE!</v>
      </c>
      <c r="AF17" s="165"/>
      <c r="AG17" s="591"/>
      <c r="AH17" s="591"/>
      <c r="AI17" s="591"/>
      <c r="AJ17" s="591"/>
      <c r="AK17" s="165"/>
      <c r="AL17" s="591"/>
      <c r="AM17" s="591"/>
      <c r="AN17" s="591"/>
      <c r="AO17" s="591"/>
      <c r="AP17" s="165"/>
      <c r="AQ17" s="591"/>
      <c r="AR17" s="591"/>
      <c r="AS17" s="591"/>
      <c r="AT17" s="591"/>
      <c r="AU17" s="165"/>
      <c r="AV17" s="591"/>
      <c r="AW17" s="591"/>
      <c r="AX17" s="591"/>
      <c r="AY17" s="591"/>
      <c r="AZ17" s="165"/>
      <c r="BA17" s="591"/>
      <c r="BB17" s="591"/>
      <c r="BC17" s="591"/>
      <c r="BD17" s="591"/>
      <c r="BE17" s="165"/>
      <c r="BF17" s="591"/>
      <c r="BG17" s="591"/>
      <c r="BH17" s="591"/>
      <c r="BI17" s="591"/>
      <c r="BJ17" s="165" t="str">
        <f>IF(BE14=0,"NM",BJ14/BE14-1)</f>
        <v>NM</v>
      </c>
      <c r="BK17" s="591"/>
      <c r="BL17" s="591"/>
      <c r="BM17" s="591"/>
      <c r="BN17" s="591"/>
      <c r="BO17" s="165" t="str">
        <f>IF(BJ14=0,"NM",BO14/BJ14-1)</f>
        <v>NM</v>
      </c>
      <c r="BP17" s="591"/>
      <c r="BQ17" s="591"/>
      <c r="BR17" s="591"/>
      <c r="BS17" s="591"/>
      <c r="BT17" s="165" t="str">
        <f>IF(BO14=0,"NM",BT14/BO14-1)</f>
        <v>NM</v>
      </c>
      <c r="BU17" s="591"/>
      <c r="BV17" s="591"/>
      <c r="BW17" s="591"/>
      <c r="BX17" s="591"/>
      <c r="BY17" s="165" t="str">
        <f>IF(BT14=0,"NM",BY14/BT14-1)</f>
        <v>NM</v>
      </c>
      <c r="BZ17" s="591"/>
      <c r="CA17" s="591"/>
      <c r="CB17" s="591"/>
      <c r="CC17" s="591"/>
      <c r="CD17" s="165" t="str">
        <f>IF(BY14=0,"NM",CD14/BY14-1)</f>
        <v>NM</v>
      </c>
      <c r="CE17" s="591"/>
      <c r="CF17" s="591"/>
      <c r="CG17" s="591"/>
      <c r="CH17" s="591"/>
      <c r="CI17" s="165" t="str">
        <f>IF(CD14=0,"NM",CI14/CD14-1)</f>
        <v>NM</v>
      </c>
      <c r="CJ17" s="591"/>
      <c r="CK17" s="591"/>
      <c r="CL17" s="591"/>
      <c r="CM17" s="591"/>
      <c r="CN17" s="165" t="str">
        <f>IF(CI14=0,"NM",CN14/CI14-1)</f>
        <v>NM</v>
      </c>
      <c r="CO17" s="591"/>
      <c r="CP17" s="591"/>
      <c r="CQ17" s="591"/>
      <c r="CR17" s="591"/>
      <c r="CS17" s="165" t="str">
        <f>IF(CN14=0,"NM",CS14/CN14-1)</f>
        <v>NM</v>
      </c>
      <c r="CT17" s="591"/>
      <c r="CU17" s="591"/>
      <c r="CV17" s="591"/>
      <c r="CW17" s="591"/>
      <c r="CX17" s="165" t="str">
        <f>IF(CS14=0,"NM",CX14/CS14-1)</f>
        <v>NM</v>
      </c>
      <c r="CY17" s="591"/>
      <c r="CZ17" s="591"/>
      <c r="DA17" s="591"/>
      <c r="DB17" s="591"/>
      <c r="DC17" s="165">
        <f>IF(CX14=0,"NM",DC14/CX14-1)</f>
        <v>0.28804225983150133</v>
      </c>
      <c r="DD17" s="591"/>
      <c r="DE17" s="591"/>
      <c r="DF17" s="591"/>
      <c r="DG17" s="591"/>
      <c r="DH17" s="165">
        <f>IF(DC14=0,"NM",DH14/DC14-1)</f>
        <v>-4.3859450015255597E-3</v>
      </c>
      <c r="DI17" s="591"/>
      <c r="DJ17" s="591"/>
      <c r="DK17" s="591"/>
      <c r="DL17" s="591"/>
      <c r="DM17" s="165">
        <f>IF(DH14=0,"NM",DM14/DH14-1)</f>
        <v>0.36236886345042607</v>
      </c>
      <c r="DN17" s="591"/>
      <c r="DO17" s="591"/>
      <c r="DP17" s="591"/>
      <c r="DQ17" s="591"/>
      <c r="DR17" s="165">
        <f>IF(DM14=0,"NM",DR14/DM14-1)</f>
        <v>1.1283099318013523E-3</v>
      </c>
      <c r="DS17" s="591"/>
      <c r="DT17" s="591"/>
      <c r="DU17" s="591"/>
      <c r="DV17" s="591"/>
      <c r="DW17" s="165">
        <f>IF(DR14=0,"NM",DW14/DR14-1)</f>
        <v>8.4065129472627564E-2</v>
      </c>
    </row>
    <row r="18" spans="1:127">
      <c r="A18" s="149"/>
      <c r="C18" s="592"/>
      <c r="D18" s="592"/>
      <c r="E18" s="592"/>
      <c r="F18" s="592"/>
      <c r="G18" s="156"/>
      <c r="H18" s="592"/>
      <c r="I18" s="592"/>
      <c r="J18" s="592"/>
      <c r="K18" s="592"/>
      <c r="L18" s="156"/>
      <c r="M18" s="592"/>
      <c r="N18" s="592"/>
      <c r="O18" s="592"/>
      <c r="P18" s="592"/>
      <c r="Q18" s="156"/>
      <c r="R18" s="592"/>
      <c r="S18" s="592"/>
      <c r="T18" s="592"/>
      <c r="U18" s="592"/>
      <c r="V18" s="156"/>
      <c r="W18" s="592"/>
      <c r="X18" s="592"/>
      <c r="Y18" s="592"/>
      <c r="Z18" s="592"/>
      <c r="AA18" s="156"/>
      <c r="AB18" s="592"/>
      <c r="AC18" s="592"/>
      <c r="AD18" s="592"/>
      <c r="AE18" s="592"/>
      <c r="AF18" s="156"/>
      <c r="AG18" s="592"/>
      <c r="AH18" s="592"/>
      <c r="AI18" s="592"/>
      <c r="AJ18" s="592"/>
      <c r="AK18" s="156"/>
      <c r="AL18" s="592"/>
      <c r="AM18" s="592"/>
      <c r="AN18" s="592"/>
      <c r="AO18" s="592"/>
      <c r="AP18" s="156"/>
      <c r="AQ18" s="592"/>
      <c r="AR18" s="592"/>
      <c r="AS18" s="592"/>
      <c r="AT18" s="592"/>
      <c r="AU18" s="156"/>
      <c r="AV18" s="592"/>
      <c r="AW18" s="592"/>
      <c r="AX18" s="592"/>
      <c r="AY18" s="592"/>
      <c r="AZ18" s="156"/>
      <c r="BA18" s="592"/>
      <c r="BB18" s="592"/>
      <c r="BC18" s="592"/>
      <c r="BD18" s="592"/>
      <c r="BE18" s="156"/>
      <c r="BF18" s="592"/>
      <c r="BG18" s="592"/>
      <c r="BH18" s="592"/>
      <c r="BI18" s="599"/>
      <c r="BJ18" s="156"/>
      <c r="BK18" s="592"/>
      <c r="BL18" s="592"/>
      <c r="BM18" s="592"/>
      <c r="BN18" s="592"/>
      <c r="BO18" s="156"/>
      <c r="BP18" s="592"/>
      <c r="BQ18" s="592"/>
      <c r="BR18" s="592"/>
      <c r="BS18" s="592"/>
      <c r="BT18" s="156"/>
      <c r="BU18" s="592"/>
      <c r="BV18" s="592"/>
      <c r="BW18" s="592"/>
      <c r="BX18" s="592"/>
      <c r="BY18" s="156"/>
      <c r="BZ18" s="592"/>
      <c r="CA18" s="592"/>
      <c r="CB18" s="592"/>
      <c r="CC18" s="592"/>
      <c r="CD18" s="156"/>
      <c r="CE18" s="592"/>
      <c r="CF18" s="592"/>
      <c r="CG18" s="592"/>
      <c r="CH18" s="592"/>
      <c r="CI18" s="156"/>
      <c r="CJ18" s="592"/>
      <c r="CK18" s="592"/>
      <c r="CL18" s="592"/>
      <c r="CM18" s="592"/>
      <c r="CN18" s="156"/>
      <c r="CO18" s="592"/>
      <c r="CP18" s="592"/>
      <c r="CQ18" s="592"/>
      <c r="CR18" s="592"/>
      <c r="CS18" s="156"/>
      <c r="CT18" s="592"/>
      <c r="CU18" s="592"/>
      <c r="CV18" s="592"/>
      <c r="CW18" s="592"/>
      <c r="CX18" s="156"/>
      <c r="CY18" s="592"/>
      <c r="CZ18" s="592"/>
      <c r="DA18" s="592"/>
      <c r="DB18" s="592"/>
      <c r="DC18" s="156"/>
      <c r="DD18" s="592"/>
      <c r="DE18" s="592"/>
      <c r="DF18" s="592"/>
      <c r="DG18" s="592"/>
      <c r="DH18" s="156"/>
      <c r="DI18" s="592"/>
      <c r="DJ18" s="592"/>
      <c r="DK18" s="592"/>
      <c r="DL18" s="592"/>
      <c r="DM18" s="156"/>
      <c r="DN18" s="592"/>
      <c r="DO18" s="592"/>
      <c r="DP18" s="592"/>
      <c r="DQ18" s="592"/>
      <c r="DR18" s="156"/>
      <c r="DS18" s="592"/>
      <c r="DT18" s="592"/>
      <c r="DU18" s="592"/>
      <c r="DV18" s="592"/>
      <c r="DW18" s="156"/>
    </row>
    <row r="19" spans="1:127" outlineLevel="1">
      <c r="A19" s="149"/>
      <c r="B19" s="149" t="s">
        <v>284</v>
      </c>
      <c r="C19" s="588">
        <v>0</v>
      </c>
      <c r="D19" s="588">
        <v>0</v>
      </c>
      <c r="E19" s="588">
        <v>0</v>
      </c>
      <c r="F19" s="588">
        <v>0</v>
      </c>
      <c r="G19" s="158">
        <f>SUM(C19:F19)</f>
        <v>0</v>
      </c>
      <c r="H19" s="588">
        <v>0</v>
      </c>
      <c r="I19" s="588">
        <v>0</v>
      </c>
      <c r="J19" s="588">
        <v>0</v>
      </c>
      <c r="K19" s="588">
        <v>0</v>
      </c>
      <c r="L19" s="158">
        <f>SUM(H19:K19)</f>
        <v>0</v>
      </c>
      <c r="M19" s="588">
        <v>0</v>
      </c>
      <c r="N19" s="588">
        <v>0</v>
      </c>
      <c r="O19" s="588">
        <v>0</v>
      </c>
      <c r="P19" s="588">
        <v>0</v>
      </c>
      <c r="Q19" s="158">
        <f>SUM(M19:P19)</f>
        <v>0</v>
      </c>
      <c r="R19" s="588">
        <v>0</v>
      </c>
      <c r="S19" s="588">
        <v>0</v>
      </c>
      <c r="T19" s="588">
        <v>0</v>
      </c>
      <c r="U19" s="588">
        <v>0</v>
      </c>
      <c r="V19" s="158">
        <f>SUM(R19:U19)</f>
        <v>0</v>
      </c>
      <c r="W19" s="588">
        <v>0</v>
      </c>
      <c r="X19" s="588">
        <v>0</v>
      </c>
      <c r="Y19" s="588">
        <v>0</v>
      </c>
      <c r="Z19" s="588">
        <v>0</v>
      </c>
      <c r="AA19" s="158">
        <f>SUM(W19:Z19)</f>
        <v>0</v>
      </c>
      <c r="AB19" s="588">
        <v>0</v>
      </c>
      <c r="AC19" s="588">
        <v>74.534999999999997</v>
      </c>
      <c r="AD19" s="588">
        <v>419.59500000000003</v>
      </c>
      <c r="AE19" s="588">
        <v>456.75900000000001</v>
      </c>
      <c r="AF19" s="158">
        <f>SUM(AB19:AE19)</f>
        <v>950.88900000000001</v>
      </c>
      <c r="AG19" s="588">
        <v>356.92700000000002</v>
      </c>
      <c r="AH19" s="588">
        <v>327.73899999999998</v>
      </c>
      <c r="AI19" s="588">
        <v>254.34</v>
      </c>
      <c r="AJ19" s="588">
        <v>222.809</v>
      </c>
      <c r="AK19" s="158">
        <f>SUM(AG19:AJ19)</f>
        <v>1161.8150000000001</v>
      </c>
      <c r="AL19" s="589">
        <f>267.381-AL7</f>
        <v>205.58099999999996</v>
      </c>
      <c r="AM19" s="589">
        <f>254.789-AM7</f>
        <v>155.78899999999999</v>
      </c>
      <c r="AN19" s="588">
        <v>85.552999999999997</v>
      </c>
      <c r="AO19" s="588">
        <v>19.321999999999999</v>
      </c>
      <c r="AP19" s="158">
        <f>SUM(AL19:AO19)</f>
        <v>466.24499999999995</v>
      </c>
      <c r="AQ19" s="589">
        <f>103.461-AQ7</f>
        <v>3.9609999999999985</v>
      </c>
      <c r="AR19" s="588">
        <v>9.3000000000000007</v>
      </c>
      <c r="AS19" s="588">
        <v>10.3</v>
      </c>
      <c r="AT19" s="588">
        <v>0.6</v>
      </c>
      <c r="AU19" s="158">
        <f>SUM(AQ19:AT19)</f>
        <v>24.161000000000001</v>
      </c>
      <c r="AV19" s="587">
        <f>138.509-130.2-AV50-AV51</f>
        <v>0.67499999999999771</v>
      </c>
      <c r="AW19" s="587">
        <v>5.4880000000000004</v>
      </c>
      <c r="AX19" s="588">
        <v>0</v>
      </c>
      <c r="AY19" s="588">
        <v>0</v>
      </c>
      <c r="AZ19" s="158">
        <f>SUM(AV19:AY19)</f>
        <v>6.1629999999999985</v>
      </c>
      <c r="BA19" s="599">
        <v>0</v>
      </c>
      <c r="BB19" s="599">
        <v>0</v>
      </c>
      <c r="BC19" s="599">
        <v>0</v>
      </c>
      <c r="BD19" s="599">
        <v>0</v>
      </c>
      <c r="BE19" s="158">
        <f>SUM(BA19:BD19)</f>
        <v>0</v>
      </c>
      <c r="BF19" s="599"/>
      <c r="BG19" s="599"/>
      <c r="BH19" s="599"/>
      <c r="BI19" s="599"/>
      <c r="BJ19" s="158">
        <f>SUM(BF19:BI19)</f>
        <v>0</v>
      </c>
      <c r="BK19" s="599"/>
      <c r="BL19" s="599"/>
      <c r="BM19" s="599"/>
      <c r="BN19" s="599"/>
      <c r="BO19" s="158">
        <f>SUM(BK19:BN19)</f>
        <v>0</v>
      </c>
      <c r="BP19" s="599"/>
      <c r="BQ19" s="599"/>
      <c r="BR19" s="599"/>
      <c r="BS19" s="599"/>
      <c r="BT19" s="158">
        <f>SUM(BP19:BS19)</f>
        <v>0</v>
      </c>
      <c r="BU19" s="599"/>
      <c r="BV19" s="599"/>
      <c r="BW19" s="599"/>
      <c r="BX19" s="599"/>
      <c r="BY19" s="158">
        <f>SUM(BU19:BX19)</f>
        <v>0</v>
      </c>
      <c r="BZ19" s="599"/>
      <c r="CA19" s="599"/>
      <c r="CB19" s="599"/>
      <c r="CC19" s="599"/>
      <c r="CD19" s="158">
        <f>SUM(BZ19:CC19)</f>
        <v>0</v>
      </c>
      <c r="CE19" s="599"/>
      <c r="CF19" s="599"/>
      <c r="CG19" s="599"/>
      <c r="CH19" s="599"/>
      <c r="CI19" s="158">
        <f>SUM(CE19:CH19)</f>
        <v>0</v>
      </c>
      <c r="CJ19" s="599"/>
      <c r="CK19" s="599"/>
      <c r="CL19" s="599"/>
      <c r="CM19" s="599"/>
      <c r="CN19" s="158">
        <f>SUM(CJ19:CM19)</f>
        <v>0</v>
      </c>
      <c r="CO19" s="599"/>
      <c r="CP19" s="599"/>
      <c r="CQ19" s="599"/>
      <c r="CR19" s="599"/>
      <c r="CS19" s="158">
        <f>SUM(CO19:CR19)</f>
        <v>0</v>
      </c>
      <c r="CT19" s="599"/>
      <c r="CU19" s="599"/>
      <c r="CV19" s="599"/>
      <c r="CW19" s="599"/>
      <c r="CX19" s="158">
        <f>SUM(CT19:CW19)</f>
        <v>0</v>
      </c>
      <c r="CY19" s="599"/>
      <c r="CZ19" s="599"/>
      <c r="DA19" s="599"/>
      <c r="DB19" s="599"/>
      <c r="DC19" s="158">
        <f>SUM(CY19:DB19)</f>
        <v>0</v>
      </c>
      <c r="DD19" s="599"/>
      <c r="DE19" s="599"/>
      <c r="DF19" s="599"/>
      <c r="DG19" s="599"/>
      <c r="DH19" s="158">
        <f>SUM(DD19:DG19)</f>
        <v>0</v>
      </c>
      <c r="DI19" s="599"/>
      <c r="DJ19" s="599"/>
      <c r="DK19" s="599"/>
      <c r="DL19" s="599"/>
      <c r="DM19" s="158">
        <f>SUM(DI19:DL19)</f>
        <v>0</v>
      </c>
      <c r="DN19" s="599"/>
      <c r="DO19" s="599"/>
      <c r="DP19" s="599"/>
      <c r="DQ19" s="599"/>
      <c r="DR19" s="158">
        <f>SUM(DN19:DQ19)</f>
        <v>0</v>
      </c>
      <c r="DS19" s="599"/>
      <c r="DT19" s="599"/>
      <c r="DU19" s="599"/>
      <c r="DV19" s="599"/>
      <c r="DW19" s="158">
        <f>SUM(DS19:DV19)</f>
        <v>0</v>
      </c>
    </row>
    <row r="20" spans="1:127" outlineLevel="1">
      <c r="A20" s="149"/>
      <c r="B20" s="149" t="s">
        <v>285</v>
      </c>
      <c r="C20" s="588">
        <v>0</v>
      </c>
      <c r="D20" s="588">
        <v>0</v>
      </c>
      <c r="E20" s="588">
        <v>0</v>
      </c>
      <c r="F20" s="588">
        <v>0</v>
      </c>
      <c r="G20" s="158">
        <f>SUM(C20:F20)</f>
        <v>0</v>
      </c>
      <c r="H20" s="588">
        <v>0</v>
      </c>
      <c r="I20" s="588">
        <v>0</v>
      </c>
      <c r="J20" s="588">
        <v>0</v>
      </c>
      <c r="K20" s="588">
        <v>0</v>
      </c>
      <c r="L20" s="158">
        <f>SUM(H20:K20)</f>
        <v>0</v>
      </c>
      <c r="M20" s="588">
        <v>0</v>
      </c>
      <c r="N20" s="588">
        <v>0</v>
      </c>
      <c r="O20" s="588">
        <v>0</v>
      </c>
      <c r="P20" s="588">
        <v>0</v>
      </c>
      <c r="Q20" s="158">
        <f>SUM(M20:P20)</f>
        <v>0</v>
      </c>
      <c r="R20" s="588">
        <v>0</v>
      </c>
      <c r="S20" s="588">
        <v>0</v>
      </c>
      <c r="T20" s="588">
        <v>0</v>
      </c>
      <c r="U20" s="588">
        <v>0</v>
      </c>
      <c r="V20" s="158">
        <f>SUM(R20:U20)</f>
        <v>0</v>
      </c>
      <c r="W20" s="588">
        <v>0</v>
      </c>
      <c r="X20" s="588">
        <v>0</v>
      </c>
      <c r="Y20" s="588">
        <v>0</v>
      </c>
      <c r="Z20" s="588">
        <v>0</v>
      </c>
      <c r="AA20" s="158">
        <f>SUM(W20:Z20)</f>
        <v>0</v>
      </c>
      <c r="AB20" s="588">
        <v>0</v>
      </c>
      <c r="AC20" s="588">
        <v>0</v>
      </c>
      <c r="AD20" s="588">
        <v>0</v>
      </c>
      <c r="AE20" s="588">
        <v>72</v>
      </c>
      <c r="AF20" s="158">
        <f>SUM(AB20:AE20)</f>
        <v>72</v>
      </c>
      <c r="AG20" s="588">
        <v>132</v>
      </c>
      <c r="AH20" s="588">
        <v>102</v>
      </c>
      <c r="AI20" s="588">
        <v>71</v>
      </c>
      <c r="AJ20" s="588">
        <v>138</v>
      </c>
      <c r="AK20" s="158">
        <f>SUM(AG20:AJ20)</f>
        <v>443</v>
      </c>
      <c r="AL20" s="588">
        <v>162</v>
      </c>
      <c r="AM20" s="588">
        <v>172</v>
      </c>
      <c r="AN20" s="588">
        <v>76</v>
      </c>
      <c r="AO20" s="588">
        <v>0</v>
      </c>
      <c r="AP20" s="158">
        <f>SUM(AL20:AO20)</f>
        <v>410</v>
      </c>
      <c r="AQ20" s="588">
        <v>0</v>
      </c>
      <c r="AR20" s="588">
        <v>0</v>
      </c>
      <c r="AS20" s="588">
        <v>0</v>
      </c>
      <c r="AT20" s="588">
        <v>0</v>
      </c>
      <c r="AU20" s="158">
        <f>SUM(AQ20:AT20)</f>
        <v>0</v>
      </c>
      <c r="AV20" s="587">
        <v>0</v>
      </c>
      <c r="AW20" s="587">
        <v>0</v>
      </c>
      <c r="AX20" s="588">
        <v>0</v>
      </c>
      <c r="AY20" s="588">
        <v>0</v>
      </c>
      <c r="AZ20" s="158">
        <f>SUM(AV20:AY20)</f>
        <v>0</v>
      </c>
      <c r="BA20" s="599">
        <v>0</v>
      </c>
      <c r="BB20" s="599">
        <v>0</v>
      </c>
      <c r="BC20" s="599">
        <v>0</v>
      </c>
      <c r="BD20" s="599">
        <v>0</v>
      </c>
      <c r="BE20" s="158">
        <f>SUM(BA20:BD20)</f>
        <v>0</v>
      </c>
      <c r="BF20" s="599"/>
      <c r="BG20" s="599"/>
      <c r="BH20" s="599"/>
      <c r="BI20" s="599"/>
      <c r="BJ20" s="158">
        <f>SUM(BF20:BI20)</f>
        <v>0</v>
      </c>
      <c r="BK20" s="599"/>
      <c r="BL20" s="599"/>
      <c r="BM20" s="599"/>
      <c r="BN20" s="599"/>
      <c r="BO20" s="158">
        <f>SUM(BK20:BN20)</f>
        <v>0</v>
      </c>
      <c r="BP20" s="599"/>
      <c r="BQ20" s="599"/>
      <c r="BR20" s="599"/>
      <c r="BS20" s="599"/>
      <c r="BT20" s="158">
        <f>SUM(BP20:BS20)</f>
        <v>0</v>
      </c>
      <c r="BU20" s="599"/>
      <c r="BV20" s="599"/>
      <c r="BW20" s="599"/>
      <c r="BX20" s="599"/>
      <c r="BY20" s="158">
        <f>SUM(BU20:BX20)</f>
        <v>0</v>
      </c>
      <c r="BZ20" s="599"/>
      <c r="CA20" s="599"/>
      <c r="CB20" s="599"/>
      <c r="CC20" s="599"/>
      <c r="CD20" s="158">
        <f>SUM(BZ20:CC20)</f>
        <v>0</v>
      </c>
      <c r="CE20" s="599"/>
      <c r="CF20" s="599"/>
      <c r="CG20" s="599"/>
      <c r="CH20" s="599"/>
      <c r="CI20" s="158">
        <f>SUM(CE20:CH20)</f>
        <v>0</v>
      </c>
      <c r="CJ20" s="599"/>
      <c r="CK20" s="599"/>
      <c r="CL20" s="599"/>
      <c r="CM20" s="599"/>
      <c r="CN20" s="158">
        <f>SUM(CJ20:CM20)</f>
        <v>0</v>
      </c>
      <c r="CO20" s="599"/>
      <c r="CP20" s="599"/>
      <c r="CQ20" s="599"/>
      <c r="CR20" s="599"/>
      <c r="CS20" s="158">
        <f>SUM(CO20:CR20)</f>
        <v>0</v>
      </c>
      <c r="CT20" s="599"/>
      <c r="CU20" s="599"/>
      <c r="CV20" s="599"/>
      <c r="CW20" s="599"/>
      <c r="CX20" s="158">
        <f>SUM(CT20:CW20)</f>
        <v>0</v>
      </c>
      <c r="CY20" s="599"/>
      <c r="CZ20" s="599"/>
      <c r="DA20" s="599"/>
      <c r="DB20" s="599"/>
      <c r="DC20" s="158">
        <f>SUM(CY20:DB20)</f>
        <v>0</v>
      </c>
      <c r="DD20" s="599"/>
      <c r="DE20" s="599"/>
      <c r="DF20" s="599"/>
      <c r="DG20" s="599"/>
      <c r="DH20" s="158">
        <f>SUM(DD20:DG20)</f>
        <v>0</v>
      </c>
      <c r="DI20" s="599"/>
      <c r="DJ20" s="599"/>
      <c r="DK20" s="599"/>
      <c r="DL20" s="599"/>
      <c r="DM20" s="158">
        <f>SUM(DI20:DL20)</f>
        <v>0</v>
      </c>
      <c r="DN20" s="599"/>
      <c r="DO20" s="599"/>
      <c r="DP20" s="599"/>
      <c r="DQ20" s="599"/>
      <c r="DR20" s="158">
        <f>SUM(DN20:DQ20)</f>
        <v>0</v>
      </c>
      <c r="DS20" s="599"/>
      <c r="DT20" s="599"/>
      <c r="DU20" s="599"/>
      <c r="DV20" s="599"/>
      <c r="DW20" s="158">
        <f>SUM(DS20:DV20)</f>
        <v>0</v>
      </c>
    </row>
    <row r="21" spans="1:127" outlineLevel="1">
      <c r="A21" s="149"/>
      <c r="B21" s="149"/>
      <c r="C21" s="592"/>
      <c r="D21" s="592"/>
      <c r="E21" s="592"/>
      <c r="F21" s="592"/>
      <c r="G21" s="155"/>
      <c r="H21" s="592"/>
      <c r="I21" s="592"/>
      <c r="J21" s="592"/>
      <c r="K21" s="592"/>
      <c r="L21" s="155"/>
      <c r="M21" s="592"/>
      <c r="N21" s="592"/>
      <c r="O21" s="592"/>
      <c r="P21" s="592"/>
      <c r="Q21" s="155"/>
      <c r="R21" s="592"/>
      <c r="S21" s="592"/>
      <c r="T21" s="592"/>
      <c r="U21" s="592"/>
      <c r="V21" s="155"/>
      <c r="W21" s="592"/>
      <c r="X21" s="592"/>
      <c r="Y21" s="592"/>
      <c r="Z21" s="592"/>
      <c r="AA21" s="155"/>
      <c r="AB21" s="592"/>
      <c r="AC21" s="592"/>
      <c r="AD21" s="592"/>
      <c r="AE21" s="592"/>
      <c r="AF21" s="155"/>
      <c r="AG21" s="592"/>
      <c r="AH21" s="592"/>
      <c r="AI21" s="592"/>
      <c r="AJ21" s="592"/>
      <c r="AK21" s="155"/>
      <c r="AL21" s="592"/>
      <c r="AM21" s="592"/>
      <c r="AN21" s="592"/>
      <c r="AO21" s="592"/>
      <c r="AP21" s="155"/>
      <c r="AQ21" s="592"/>
      <c r="AR21" s="592"/>
      <c r="AS21" s="592"/>
      <c r="AT21" s="601"/>
      <c r="AU21" s="155"/>
      <c r="AV21" s="592"/>
      <c r="AW21" s="592"/>
      <c r="AX21" s="592"/>
      <c r="AY21" s="592"/>
      <c r="AZ21" s="155"/>
      <c r="BA21" s="592"/>
      <c r="BB21" s="592"/>
      <c r="BC21" s="592"/>
      <c r="BD21" s="592"/>
      <c r="BE21" s="155"/>
      <c r="BF21" s="592"/>
      <c r="BG21" s="592"/>
      <c r="BH21" s="592"/>
      <c r="BI21" s="592"/>
      <c r="BJ21" s="155"/>
      <c r="BK21" s="592"/>
      <c r="BL21" s="592"/>
      <c r="BM21" s="592"/>
      <c r="BN21" s="592"/>
      <c r="BO21" s="155"/>
      <c r="BP21" s="592"/>
      <c r="BQ21" s="592"/>
      <c r="BR21" s="592"/>
      <c r="BS21" s="592"/>
      <c r="BT21" s="155"/>
      <c r="BU21" s="592"/>
      <c r="BV21" s="592"/>
      <c r="BW21" s="592"/>
      <c r="BX21" s="592"/>
      <c r="BY21" s="155"/>
      <c r="BZ21" s="592"/>
      <c r="CA21" s="592"/>
      <c r="CB21" s="592"/>
      <c r="CC21" s="592"/>
      <c r="CD21" s="155"/>
      <c r="CE21" s="592"/>
      <c r="CF21" s="592"/>
      <c r="CG21" s="592"/>
      <c r="CH21" s="592"/>
      <c r="CI21" s="155"/>
      <c r="CJ21" s="592"/>
      <c r="CK21" s="592"/>
      <c r="CL21" s="592"/>
      <c r="CM21" s="592"/>
      <c r="CN21" s="155"/>
      <c r="CO21" s="592"/>
      <c r="CP21" s="592"/>
      <c r="CQ21" s="592"/>
      <c r="CR21" s="592"/>
      <c r="CS21" s="155"/>
      <c r="CT21" s="592"/>
      <c r="CU21" s="592"/>
      <c r="CV21" s="592"/>
      <c r="CW21" s="592"/>
      <c r="CX21" s="155"/>
      <c r="CY21" s="592"/>
      <c r="CZ21" s="592"/>
      <c r="DA21" s="592"/>
      <c r="DB21" s="592"/>
      <c r="DC21" s="155"/>
      <c r="DD21" s="592"/>
      <c r="DE21" s="592"/>
      <c r="DF21" s="592"/>
      <c r="DG21" s="592"/>
      <c r="DH21" s="155"/>
      <c r="DI21" s="592"/>
      <c r="DJ21" s="592"/>
      <c r="DK21" s="592"/>
      <c r="DL21" s="592"/>
      <c r="DM21" s="155"/>
      <c r="DN21" s="592"/>
      <c r="DO21" s="592"/>
      <c r="DP21" s="592"/>
      <c r="DQ21" s="592"/>
      <c r="DR21" s="155"/>
      <c r="DS21" s="592"/>
      <c r="DT21" s="592"/>
      <c r="DU21" s="592"/>
      <c r="DV21" s="592"/>
      <c r="DW21" s="155"/>
    </row>
    <row r="22" spans="1:127" outlineLevel="1">
      <c r="A22" s="149"/>
      <c r="B22" s="149" t="s">
        <v>286</v>
      </c>
      <c r="C22" s="588">
        <v>0</v>
      </c>
      <c r="D22" s="588">
        <v>0</v>
      </c>
      <c r="E22" s="588">
        <v>0</v>
      </c>
      <c r="F22" s="588">
        <v>0</v>
      </c>
      <c r="G22" s="158">
        <f>SUM(C22:F22)</f>
        <v>0</v>
      </c>
      <c r="H22" s="588">
        <v>0</v>
      </c>
      <c r="I22" s="588">
        <v>0</v>
      </c>
      <c r="J22" s="588">
        <v>0</v>
      </c>
      <c r="K22" s="588">
        <v>0</v>
      </c>
      <c r="L22" s="158">
        <f>SUM(H22:K22)</f>
        <v>0</v>
      </c>
      <c r="M22" s="588">
        <v>0</v>
      </c>
      <c r="N22" s="588">
        <v>0</v>
      </c>
      <c r="O22" s="588">
        <v>0</v>
      </c>
      <c r="P22" s="588">
        <v>0</v>
      </c>
      <c r="Q22" s="158">
        <f>SUM(M22:P22)</f>
        <v>0</v>
      </c>
      <c r="R22" s="588">
        <v>0</v>
      </c>
      <c r="S22" s="588">
        <v>0</v>
      </c>
      <c r="T22" s="588">
        <v>0</v>
      </c>
      <c r="U22" s="588">
        <v>0</v>
      </c>
      <c r="V22" s="158">
        <f>SUM(R22:U22)</f>
        <v>0</v>
      </c>
      <c r="W22" s="588">
        <v>0</v>
      </c>
      <c r="X22" s="588">
        <v>0</v>
      </c>
      <c r="Y22" s="588">
        <v>0</v>
      </c>
      <c r="Z22" s="588">
        <v>0</v>
      </c>
      <c r="AA22" s="158">
        <f>SUM(W22:Z22)</f>
        <v>0</v>
      </c>
      <c r="AB22" s="588">
        <v>0</v>
      </c>
      <c r="AC22" s="588">
        <v>0</v>
      </c>
      <c r="AD22" s="588">
        <v>0</v>
      </c>
      <c r="AE22" s="588">
        <f>25.405-AE50</f>
        <v>20.315000000000001</v>
      </c>
      <c r="AF22" s="158">
        <f>SUM(AB22:AE22)</f>
        <v>20.315000000000001</v>
      </c>
      <c r="AG22" s="588">
        <v>32.884</v>
      </c>
      <c r="AH22" s="588">
        <v>27.97</v>
      </c>
      <c r="AI22" s="588">
        <v>19.957000000000001</v>
      </c>
      <c r="AJ22" s="588">
        <f>36.8</f>
        <v>36.799999999999997</v>
      </c>
      <c r="AK22" s="158">
        <f>SUM(AG22:AJ22)</f>
        <v>117.611</v>
      </c>
      <c r="AL22" s="588">
        <v>39</v>
      </c>
      <c r="AM22" s="588">
        <v>44.1</v>
      </c>
      <c r="AN22" s="588">
        <v>21</v>
      </c>
      <c r="AO22" s="588">
        <v>26.387</v>
      </c>
      <c r="AP22" s="158">
        <f>SUM(AL22:AO22)</f>
        <v>130.48699999999999</v>
      </c>
      <c r="AQ22" s="588">
        <v>0</v>
      </c>
      <c r="AR22" s="588">
        <v>0</v>
      </c>
      <c r="AS22" s="588">
        <v>0</v>
      </c>
      <c r="AT22" s="588">
        <v>0</v>
      </c>
      <c r="AU22" s="158">
        <f>SUM(AQ22:AT22)</f>
        <v>0</v>
      </c>
      <c r="AV22" s="587">
        <v>0</v>
      </c>
      <c r="AW22" s="587">
        <v>0</v>
      </c>
      <c r="AX22" s="588">
        <v>0</v>
      </c>
      <c r="AY22" s="588">
        <v>0</v>
      </c>
      <c r="AZ22" s="158">
        <f>SUM(AV22:AY22)</f>
        <v>0</v>
      </c>
      <c r="BA22" s="599">
        <v>0</v>
      </c>
      <c r="BB22" s="599">
        <v>0</v>
      </c>
      <c r="BC22" s="599">
        <v>0</v>
      </c>
      <c r="BD22" s="599">
        <v>0</v>
      </c>
      <c r="BE22" s="158">
        <f>SUM(BA22:BD22)</f>
        <v>0</v>
      </c>
      <c r="BF22" s="599"/>
      <c r="BG22" s="599"/>
      <c r="BH22" s="599"/>
      <c r="BI22" s="599"/>
      <c r="BJ22" s="158">
        <f>SUM(BF22:BI22)</f>
        <v>0</v>
      </c>
      <c r="BK22" s="599"/>
      <c r="BL22" s="599"/>
      <c r="BM22" s="599"/>
      <c r="BN22" s="599"/>
      <c r="BO22" s="158">
        <f>SUM(BK22:BN22)</f>
        <v>0</v>
      </c>
      <c r="BP22" s="599"/>
      <c r="BQ22" s="599"/>
      <c r="BR22" s="599"/>
      <c r="BS22" s="599"/>
      <c r="BT22" s="158">
        <f>SUM(BP22:BS22)</f>
        <v>0</v>
      </c>
      <c r="BU22" s="599"/>
      <c r="BV22" s="599"/>
      <c r="BW22" s="599"/>
      <c r="BX22" s="599"/>
      <c r="BY22" s="158">
        <f>SUM(BU22:BX22)</f>
        <v>0</v>
      </c>
      <c r="BZ22" s="599"/>
      <c r="CA22" s="599"/>
      <c r="CB22" s="599"/>
      <c r="CC22" s="599"/>
      <c r="CD22" s="158">
        <f>SUM(BZ22:CC22)</f>
        <v>0</v>
      </c>
      <c r="CE22" s="599"/>
      <c r="CF22" s="599"/>
      <c r="CG22" s="599"/>
      <c r="CH22" s="599"/>
      <c r="CI22" s="158">
        <f>SUM(CE22:CH22)</f>
        <v>0</v>
      </c>
      <c r="CJ22" s="599"/>
      <c r="CK22" s="599"/>
      <c r="CL22" s="599"/>
      <c r="CM22" s="599"/>
      <c r="CN22" s="158">
        <f>SUM(CJ22:CM22)</f>
        <v>0</v>
      </c>
      <c r="CO22" s="599"/>
      <c r="CP22" s="599"/>
      <c r="CQ22" s="599"/>
      <c r="CR22" s="599"/>
      <c r="CS22" s="158">
        <f>SUM(CO22:CR22)</f>
        <v>0</v>
      </c>
      <c r="CT22" s="599"/>
      <c r="CU22" s="599"/>
      <c r="CV22" s="599"/>
      <c r="CW22" s="599"/>
      <c r="CX22" s="158">
        <f>SUM(CT22:CW22)</f>
        <v>0</v>
      </c>
      <c r="CY22" s="599"/>
      <c r="CZ22" s="599"/>
      <c r="DA22" s="599"/>
      <c r="DB22" s="599"/>
      <c r="DC22" s="158">
        <f>SUM(CY22:DB22)</f>
        <v>0</v>
      </c>
      <c r="DD22" s="599"/>
      <c r="DE22" s="599"/>
      <c r="DF22" s="599"/>
      <c r="DG22" s="599"/>
      <c r="DH22" s="158">
        <f>SUM(DD22:DG22)</f>
        <v>0</v>
      </c>
      <c r="DI22" s="599"/>
      <c r="DJ22" s="599"/>
      <c r="DK22" s="599"/>
      <c r="DL22" s="599"/>
      <c r="DM22" s="158">
        <f>SUM(DI22:DL22)</f>
        <v>0</v>
      </c>
      <c r="DN22" s="599"/>
      <c r="DO22" s="599"/>
      <c r="DP22" s="599"/>
      <c r="DQ22" s="599"/>
      <c r="DR22" s="158">
        <f>SUM(DN22:DQ22)</f>
        <v>0</v>
      </c>
      <c r="DS22" s="599"/>
      <c r="DT22" s="599"/>
      <c r="DU22" s="599"/>
      <c r="DV22" s="599"/>
      <c r="DW22" s="158">
        <f>SUM(DS22:DV22)</f>
        <v>0</v>
      </c>
    </row>
    <row r="23" spans="1:127" outlineLevel="1">
      <c r="A23" s="149"/>
      <c r="B23" s="142" t="s">
        <v>287</v>
      </c>
      <c r="C23" s="593">
        <f t="shared" ref="C23:BD23" si="10">C19+C22</f>
        <v>0</v>
      </c>
      <c r="D23" s="593">
        <f t="shared" si="10"/>
        <v>0</v>
      </c>
      <c r="E23" s="593">
        <f t="shared" si="10"/>
        <v>0</v>
      </c>
      <c r="F23" s="593">
        <f t="shared" si="10"/>
        <v>0</v>
      </c>
      <c r="G23" s="168">
        <f t="shared" si="10"/>
        <v>0</v>
      </c>
      <c r="H23" s="593">
        <f t="shared" si="10"/>
        <v>0</v>
      </c>
      <c r="I23" s="593">
        <f t="shared" si="10"/>
        <v>0</v>
      </c>
      <c r="J23" s="593">
        <f t="shared" si="10"/>
        <v>0</v>
      </c>
      <c r="K23" s="593">
        <f t="shared" si="10"/>
        <v>0</v>
      </c>
      <c r="L23" s="168">
        <f t="shared" si="10"/>
        <v>0</v>
      </c>
      <c r="M23" s="593">
        <f t="shared" si="10"/>
        <v>0</v>
      </c>
      <c r="N23" s="593">
        <f t="shared" si="10"/>
        <v>0</v>
      </c>
      <c r="O23" s="593">
        <f t="shared" si="10"/>
        <v>0</v>
      </c>
      <c r="P23" s="593">
        <f t="shared" si="10"/>
        <v>0</v>
      </c>
      <c r="Q23" s="168">
        <f t="shared" si="10"/>
        <v>0</v>
      </c>
      <c r="R23" s="593">
        <f t="shared" si="10"/>
        <v>0</v>
      </c>
      <c r="S23" s="593">
        <f t="shared" si="10"/>
        <v>0</v>
      </c>
      <c r="T23" s="593">
        <f t="shared" si="10"/>
        <v>0</v>
      </c>
      <c r="U23" s="593">
        <f t="shared" si="10"/>
        <v>0</v>
      </c>
      <c r="V23" s="168">
        <f t="shared" si="10"/>
        <v>0</v>
      </c>
      <c r="W23" s="593">
        <f t="shared" si="10"/>
        <v>0</v>
      </c>
      <c r="X23" s="593">
        <f t="shared" si="10"/>
        <v>0</v>
      </c>
      <c r="Y23" s="593">
        <f t="shared" si="10"/>
        <v>0</v>
      </c>
      <c r="Z23" s="593">
        <f t="shared" si="10"/>
        <v>0</v>
      </c>
      <c r="AA23" s="168">
        <f t="shared" si="10"/>
        <v>0</v>
      </c>
      <c r="AB23" s="593">
        <f t="shared" si="10"/>
        <v>0</v>
      </c>
      <c r="AC23" s="593">
        <f t="shared" si="10"/>
        <v>74.534999999999997</v>
      </c>
      <c r="AD23" s="593">
        <f t="shared" si="10"/>
        <v>419.59500000000003</v>
      </c>
      <c r="AE23" s="593">
        <f t="shared" si="10"/>
        <v>477.07400000000001</v>
      </c>
      <c r="AF23" s="168">
        <f t="shared" si="10"/>
        <v>971.20400000000006</v>
      </c>
      <c r="AG23" s="593">
        <f t="shared" si="10"/>
        <v>389.81100000000004</v>
      </c>
      <c r="AH23" s="593">
        <f t="shared" si="10"/>
        <v>355.70899999999995</v>
      </c>
      <c r="AI23" s="593">
        <f t="shared" si="10"/>
        <v>274.29700000000003</v>
      </c>
      <c r="AJ23" s="593">
        <f t="shared" si="10"/>
        <v>259.60899999999998</v>
      </c>
      <c r="AK23" s="168">
        <f t="shared" si="10"/>
        <v>1279.4260000000002</v>
      </c>
      <c r="AL23" s="593">
        <f t="shared" si="10"/>
        <v>244.58099999999996</v>
      </c>
      <c r="AM23" s="593">
        <f t="shared" si="10"/>
        <v>199.88899999999998</v>
      </c>
      <c r="AN23" s="593">
        <f t="shared" si="10"/>
        <v>106.553</v>
      </c>
      <c r="AO23" s="593">
        <f t="shared" si="10"/>
        <v>45.709000000000003</v>
      </c>
      <c r="AP23" s="168">
        <f t="shared" si="10"/>
        <v>596.73199999999997</v>
      </c>
      <c r="AQ23" s="593">
        <f t="shared" si="10"/>
        <v>3.9609999999999985</v>
      </c>
      <c r="AR23" s="593">
        <f t="shared" si="10"/>
        <v>9.3000000000000007</v>
      </c>
      <c r="AS23" s="593">
        <f t="shared" si="10"/>
        <v>10.3</v>
      </c>
      <c r="AT23" s="593">
        <f t="shared" si="10"/>
        <v>0.6</v>
      </c>
      <c r="AU23" s="168">
        <f t="shared" si="10"/>
        <v>24.161000000000001</v>
      </c>
      <c r="AV23" s="593">
        <f t="shared" si="10"/>
        <v>0.67499999999999771</v>
      </c>
      <c r="AW23" s="593">
        <f>AW22+AW19</f>
        <v>5.4880000000000004</v>
      </c>
      <c r="AX23" s="593">
        <f t="shared" si="10"/>
        <v>0</v>
      </c>
      <c r="AY23" s="593">
        <f t="shared" si="10"/>
        <v>0</v>
      </c>
      <c r="AZ23" s="168">
        <f t="shared" si="10"/>
        <v>6.1629999999999985</v>
      </c>
      <c r="BA23" s="593">
        <f t="shared" si="10"/>
        <v>0</v>
      </c>
      <c r="BB23" s="593">
        <f t="shared" si="10"/>
        <v>0</v>
      </c>
      <c r="BC23" s="593">
        <f t="shared" si="10"/>
        <v>0</v>
      </c>
      <c r="BD23" s="593">
        <f t="shared" si="10"/>
        <v>0</v>
      </c>
      <c r="BE23" s="168">
        <f>BE19+BE22</f>
        <v>0</v>
      </c>
      <c r="BF23" s="593"/>
      <c r="BG23" s="593"/>
      <c r="BH23" s="593"/>
      <c r="BI23" s="593"/>
      <c r="BJ23" s="168">
        <f>BJ19+BJ22</f>
        <v>0</v>
      </c>
      <c r="BK23" s="593"/>
      <c r="BL23" s="593"/>
      <c r="BM23" s="593"/>
      <c r="BN23" s="593"/>
      <c r="BO23" s="168">
        <f>BO19+BO22</f>
        <v>0</v>
      </c>
      <c r="BP23" s="593"/>
      <c r="BQ23" s="593"/>
      <c r="BR23" s="593"/>
      <c r="BS23" s="593"/>
      <c r="BT23" s="168">
        <f>BT19+BT22</f>
        <v>0</v>
      </c>
      <c r="BU23" s="593"/>
      <c r="BV23" s="593"/>
      <c r="BW23" s="593"/>
      <c r="BX23" s="593"/>
      <c r="BY23" s="168">
        <f>BY19+BY22</f>
        <v>0</v>
      </c>
      <c r="BZ23" s="593"/>
      <c r="CA23" s="593"/>
      <c r="CB23" s="593"/>
      <c r="CC23" s="593"/>
      <c r="CD23" s="168">
        <f>CD19+CD22</f>
        <v>0</v>
      </c>
      <c r="CE23" s="593"/>
      <c r="CF23" s="593"/>
      <c r="CG23" s="593"/>
      <c r="CH23" s="593"/>
      <c r="CI23" s="168">
        <f>CI19+CI22</f>
        <v>0</v>
      </c>
      <c r="CJ23" s="593"/>
      <c r="CK23" s="593"/>
      <c r="CL23" s="593"/>
      <c r="CM23" s="593"/>
      <c r="CN23" s="168">
        <f>CN19+CN22</f>
        <v>0</v>
      </c>
      <c r="CO23" s="593"/>
      <c r="CP23" s="593"/>
      <c r="CQ23" s="593"/>
      <c r="CR23" s="593"/>
      <c r="CS23" s="168">
        <f>CS19+CS22</f>
        <v>0</v>
      </c>
      <c r="CT23" s="593"/>
      <c r="CU23" s="593"/>
      <c r="CV23" s="593"/>
      <c r="CW23" s="593"/>
      <c r="CX23" s="168">
        <f>CX19+CX22</f>
        <v>0</v>
      </c>
      <c r="CY23" s="593"/>
      <c r="CZ23" s="593"/>
      <c r="DA23" s="593"/>
      <c r="DB23" s="593"/>
      <c r="DC23" s="168">
        <f>DC19+DC22</f>
        <v>0</v>
      </c>
      <c r="DD23" s="593"/>
      <c r="DE23" s="593"/>
      <c r="DF23" s="593"/>
      <c r="DG23" s="593"/>
      <c r="DH23" s="168">
        <f>DH19+DH22</f>
        <v>0</v>
      </c>
      <c r="DI23" s="593"/>
      <c r="DJ23" s="593"/>
      <c r="DK23" s="593"/>
      <c r="DL23" s="593"/>
      <c r="DM23" s="168">
        <f>DM19+DM22</f>
        <v>0</v>
      </c>
      <c r="DN23" s="593"/>
      <c r="DO23" s="593"/>
      <c r="DP23" s="593"/>
      <c r="DQ23" s="593"/>
      <c r="DR23" s="168">
        <f>DR19+DR22</f>
        <v>0</v>
      </c>
      <c r="DS23" s="593"/>
      <c r="DT23" s="593"/>
      <c r="DU23" s="593"/>
      <c r="DV23" s="593"/>
      <c r="DW23" s="168">
        <f>DW19+DW22</f>
        <v>0</v>
      </c>
    </row>
    <row r="24" spans="1:127" s="164" customFormat="1" outlineLevel="1">
      <c r="B24" s="164" t="s">
        <v>281</v>
      </c>
      <c r="C24" s="591" t="s">
        <v>227</v>
      </c>
      <c r="D24" s="591" t="str">
        <f>IF(C23=0,"NM",D23/C23-1)</f>
        <v>NM</v>
      </c>
      <c r="E24" s="591" t="str">
        <f>IF(D23=0,"NM",E23/D23-1)</f>
        <v>NM</v>
      </c>
      <c r="F24" s="591" t="str">
        <f>IF(E23=0,"NM",F23/E23-1)</f>
        <v>NM</v>
      </c>
      <c r="G24" s="165" t="s">
        <v>227</v>
      </c>
      <c r="H24" s="591" t="str">
        <f>IF(F23=0,"NM",H23/F23-1)</f>
        <v>NM</v>
      </c>
      <c r="I24" s="591" t="str">
        <f>IF(H23=0,"NM",I23/H23-1)</f>
        <v>NM</v>
      </c>
      <c r="J24" s="591" t="str">
        <f>IF(I23=0,"NM",J23/I23-1)</f>
        <v>NM</v>
      </c>
      <c r="K24" s="591" t="str">
        <f>IF(J23=0,"NM",K23/J23-1)</f>
        <v>NM</v>
      </c>
      <c r="L24" s="165" t="s">
        <v>227</v>
      </c>
      <c r="M24" s="591" t="str">
        <f>IF(K23=0,"NM",M23/K23-1)</f>
        <v>NM</v>
      </c>
      <c r="N24" s="591" t="str">
        <f>IF(M23=0,"NM",N23/M23-1)</f>
        <v>NM</v>
      </c>
      <c r="O24" s="591" t="str">
        <f>IF(N23=0,"NM",O23/N23-1)</f>
        <v>NM</v>
      </c>
      <c r="P24" s="591" t="str">
        <f>IF(O23=0,"NM",P23/O23-1)</f>
        <v>NM</v>
      </c>
      <c r="Q24" s="165" t="s">
        <v>227</v>
      </c>
      <c r="R24" s="591" t="str">
        <f>IF(P23=0,"NM",R23/P23-1)</f>
        <v>NM</v>
      </c>
      <c r="S24" s="591" t="str">
        <f>IF(R23=0,"NM",S23/R23-1)</f>
        <v>NM</v>
      </c>
      <c r="T24" s="591" t="str">
        <f>IF(S23=0,"NM",T23/S23-1)</f>
        <v>NM</v>
      </c>
      <c r="U24" s="591" t="str">
        <f>IF(T23=0,"NM",U23/T23-1)</f>
        <v>NM</v>
      </c>
      <c r="V24" s="165" t="s">
        <v>227</v>
      </c>
      <c r="W24" s="591" t="str">
        <f>IF(U23=0,"NM",W23/U23-1)</f>
        <v>NM</v>
      </c>
      <c r="X24" s="591" t="str">
        <f>IF(W23=0,"NM",X23/W23-1)</f>
        <v>NM</v>
      </c>
      <c r="Y24" s="591" t="str">
        <f>IF(X23=0,"NM",Y23/X23-1)</f>
        <v>NM</v>
      </c>
      <c r="Z24" s="591" t="str">
        <f>IF(Y23=0,"NM",Z23/Y23-1)</f>
        <v>NM</v>
      </c>
      <c r="AA24" s="165" t="s">
        <v>227</v>
      </c>
      <c r="AB24" s="591" t="str">
        <f>IF(Z23=0,"NM",AB23/Z23-1)</f>
        <v>NM</v>
      </c>
      <c r="AC24" s="591" t="str">
        <f>IF(AB23=0,"NM",AC23/AB23-1)</f>
        <v>NM</v>
      </c>
      <c r="AD24" s="591">
        <f>IF(AC23=0,"NM",AD23/AC23-1)</f>
        <v>4.6295029180921725</v>
      </c>
      <c r="AE24" s="591">
        <f>IF(AD23=0,"NM",AE23/AD23-1)</f>
        <v>0.13698685637340757</v>
      </c>
      <c r="AF24" s="165" t="s">
        <v>227</v>
      </c>
      <c r="AG24" s="591">
        <f>IF(AE23=0,"NM",AG23/AE23-1)</f>
        <v>-0.18291292336199405</v>
      </c>
      <c r="AH24" s="591">
        <f>IF(AG23=0,"NM",AH23/AG23-1)</f>
        <v>-8.748342145296073E-2</v>
      </c>
      <c r="AI24" s="591">
        <f>IF(AH23=0,"NM",AI23/AH23-1)</f>
        <v>-0.22887247722154891</v>
      </c>
      <c r="AJ24" s="591">
        <f>IF(AI23=0,"NM",AJ23/AI23-1)</f>
        <v>-5.3547796731280517E-2</v>
      </c>
      <c r="AK24" s="165" t="s">
        <v>227</v>
      </c>
      <c r="AL24" s="591">
        <f>IF(AJ23=0,"NM",AL23/AJ23-1)</f>
        <v>-5.7887053222345997E-2</v>
      </c>
      <c r="AM24" s="591">
        <f>IF(AL23=0,"NM",AM23/AL23-1)</f>
        <v>-0.18272883012171826</v>
      </c>
      <c r="AN24" s="591">
        <f>IF(AM23=0,"NM",AN23/AM23-1)</f>
        <v>-0.46693915122893204</v>
      </c>
      <c r="AO24" s="591">
        <f>IF(AN23=0,"NM",AO23/AN23-1)</f>
        <v>-0.57102099424699437</v>
      </c>
      <c r="AP24" s="165" t="s">
        <v>227</v>
      </c>
      <c r="AQ24" s="591">
        <f>IF(AO23=0,"NM",AQ23/AO23-1)</f>
        <v>-0.91334310529654994</v>
      </c>
      <c r="AR24" s="591">
        <f>IF(AQ23=0,"NM",AR23/AQ23-1)</f>
        <v>1.3478919464781631</v>
      </c>
      <c r="AS24" s="591">
        <f>IF(AR23=0,"NM",AS23/AR23-1)</f>
        <v>0.10752688172043001</v>
      </c>
      <c r="AT24" s="591">
        <f>IF(AS23=0,"NM",AT23/AS23-1)</f>
        <v>-0.94174757281553401</v>
      </c>
      <c r="AU24" s="165" t="s">
        <v>227</v>
      </c>
      <c r="AV24" s="591">
        <f>IF(AT23=0,"NM",AV23/AT23-1)</f>
        <v>0.12499999999999623</v>
      </c>
      <c r="AW24" s="591">
        <f>IF(AV23=0,"NM",AW23/AV23-1)</f>
        <v>7.1303703703703984</v>
      </c>
      <c r="AX24" s="591">
        <f>IF(AW23=0,"NM",AX23/AW23-1)</f>
        <v>-1</v>
      </c>
      <c r="AY24" s="591" t="str">
        <f>IF(AX23=0,"NM",AY23/AX23-1)</f>
        <v>NM</v>
      </c>
      <c r="AZ24" s="165" t="s">
        <v>227</v>
      </c>
      <c r="BA24" s="591" t="str">
        <f>IF(AY23=0,"NM",BA23/AY23-1)</f>
        <v>NM</v>
      </c>
      <c r="BB24" s="591" t="str">
        <f>IF(BA23=0,"NM",BB23/BA23-1)</f>
        <v>NM</v>
      </c>
      <c r="BC24" s="591" t="str">
        <f>IF(BB23=0,"NM",BC23/BB23-1)</f>
        <v>NM</v>
      </c>
      <c r="BD24" s="591" t="str">
        <f>IF(BC23=0,"NM",BD23/BC23-1)</f>
        <v>NM</v>
      </c>
      <c r="BE24" s="165" t="s">
        <v>227</v>
      </c>
      <c r="BF24" s="591"/>
      <c r="BG24" s="591"/>
      <c r="BH24" s="591"/>
      <c r="BI24" s="591"/>
      <c r="BJ24" s="165" t="s">
        <v>227</v>
      </c>
      <c r="BK24" s="591"/>
      <c r="BL24" s="591"/>
      <c r="BM24" s="591"/>
      <c r="BN24" s="591"/>
      <c r="BO24" s="165" t="s">
        <v>227</v>
      </c>
      <c r="BP24" s="591"/>
      <c r="BQ24" s="591"/>
      <c r="BR24" s="591"/>
      <c r="BS24" s="591"/>
      <c r="BT24" s="165" t="s">
        <v>227</v>
      </c>
      <c r="BU24" s="591"/>
      <c r="BV24" s="591"/>
      <c r="BW24" s="591"/>
      <c r="BX24" s="591"/>
      <c r="BY24" s="165" t="s">
        <v>227</v>
      </c>
      <c r="BZ24" s="591"/>
      <c r="CA24" s="591"/>
      <c r="CB24" s="591"/>
      <c r="CC24" s="591"/>
      <c r="CD24" s="165" t="s">
        <v>227</v>
      </c>
      <c r="CE24" s="591"/>
      <c r="CF24" s="591"/>
      <c r="CG24" s="591"/>
      <c r="CH24" s="591"/>
      <c r="CI24" s="165" t="s">
        <v>227</v>
      </c>
      <c r="CJ24" s="591"/>
      <c r="CK24" s="591"/>
      <c r="CL24" s="591"/>
      <c r="CM24" s="591"/>
      <c r="CN24" s="165" t="s">
        <v>227</v>
      </c>
      <c r="CO24" s="591"/>
      <c r="CP24" s="591"/>
      <c r="CQ24" s="591"/>
      <c r="CR24" s="591"/>
      <c r="CS24" s="165" t="s">
        <v>227</v>
      </c>
      <c r="CT24" s="591"/>
      <c r="CU24" s="591"/>
      <c r="CV24" s="591"/>
      <c r="CW24" s="591"/>
      <c r="CX24" s="165" t="s">
        <v>227</v>
      </c>
      <c r="CY24" s="591"/>
      <c r="CZ24" s="591"/>
      <c r="DA24" s="591"/>
      <c r="DB24" s="591"/>
      <c r="DC24" s="165" t="s">
        <v>227</v>
      </c>
      <c r="DD24" s="591"/>
      <c r="DE24" s="591"/>
      <c r="DF24" s="591"/>
      <c r="DG24" s="591"/>
      <c r="DH24" s="165" t="s">
        <v>227</v>
      </c>
      <c r="DI24" s="591"/>
      <c r="DJ24" s="591"/>
      <c r="DK24" s="591"/>
      <c r="DL24" s="591"/>
      <c r="DM24" s="165" t="s">
        <v>227</v>
      </c>
      <c r="DN24" s="591"/>
      <c r="DO24" s="591"/>
      <c r="DP24" s="591"/>
      <c r="DQ24" s="591"/>
      <c r="DR24" s="165" t="s">
        <v>227</v>
      </c>
      <c r="DS24" s="591"/>
      <c r="DT24" s="591"/>
      <c r="DU24" s="591"/>
      <c r="DV24" s="591"/>
      <c r="DW24" s="165" t="s">
        <v>227</v>
      </c>
    </row>
    <row r="25" spans="1:127" s="167" customFormat="1" outlineLevel="1">
      <c r="B25" s="164" t="s">
        <v>282</v>
      </c>
      <c r="C25" s="591" t="s">
        <v>227</v>
      </c>
      <c r="D25" s="591" t="s">
        <v>227</v>
      </c>
      <c r="E25" s="591" t="s">
        <v>283</v>
      </c>
      <c r="F25" s="591" t="s">
        <v>227</v>
      </c>
      <c r="G25" s="165" t="s">
        <v>227</v>
      </c>
      <c r="H25" s="591" t="str">
        <f t="shared" ref="H25:BE25" si="11">IF(C23=0,"NM",H23/C23-1)</f>
        <v>NM</v>
      </c>
      <c r="I25" s="591" t="str">
        <f t="shared" si="11"/>
        <v>NM</v>
      </c>
      <c r="J25" s="591" t="str">
        <f t="shared" si="11"/>
        <v>NM</v>
      </c>
      <c r="K25" s="591" t="str">
        <f t="shared" si="11"/>
        <v>NM</v>
      </c>
      <c r="L25" s="165" t="str">
        <f t="shared" si="11"/>
        <v>NM</v>
      </c>
      <c r="M25" s="591" t="str">
        <f t="shared" si="11"/>
        <v>NM</v>
      </c>
      <c r="N25" s="591" t="str">
        <f t="shared" si="11"/>
        <v>NM</v>
      </c>
      <c r="O25" s="591" t="str">
        <f t="shared" si="11"/>
        <v>NM</v>
      </c>
      <c r="P25" s="591" t="str">
        <f t="shared" si="11"/>
        <v>NM</v>
      </c>
      <c r="Q25" s="165" t="str">
        <f t="shared" si="11"/>
        <v>NM</v>
      </c>
      <c r="R25" s="591" t="str">
        <f t="shared" si="11"/>
        <v>NM</v>
      </c>
      <c r="S25" s="591" t="str">
        <f t="shared" si="11"/>
        <v>NM</v>
      </c>
      <c r="T25" s="591" t="str">
        <f t="shared" si="11"/>
        <v>NM</v>
      </c>
      <c r="U25" s="591" t="str">
        <f t="shared" si="11"/>
        <v>NM</v>
      </c>
      <c r="V25" s="165" t="str">
        <f t="shared" si="11"/>
        <v>NM</v>
      </c>
      <c r="W25" s="591" t="str">
        <f t="shared" si="11"/>
        <v>NM</v>
      </c>
      <c r="X25" s="591" t="str">
        <f t="shared" si="11"/>
        <v>NM</v>
      </c>
      <c r="Y25" s="591" t="str">
        <f t="shared" si="11"/>
        <v>NM</v>
      </c>
      <c r="Z25" s="591" t="str">
        <f t="shared" si="11"/>
        <v>NM</v>
      </c>
      <c r="AA25" s="165" t="str">
        <f t="shared" si="11"/>
        <v>NM</v>
      </c>
      <c r="AB25" s="591" t="str">
        <f t="shared" si="11"/>
        <v>NM</v>
      </c>
      <c r="AC25" s="591" t="str">
        <f t="shared" si="11"/>
        <v>NM</v>
      </c>
      <c r="AD25" s="591" t="str">
        <f t="shared" si="11"/>
        <v>NM</v>
      </c>
      <c r="AE25" s="591" t="str">
        <f t="shared" si="11"/>
        <v>NM</v>
      </c>
      <c r="AF25" s="165" t="str">
        <f t="shared" si="11"/>
        <v>NM</v>
      </c>
      <c r="AG25" s="591" t="str">
        <f t="shared" si="11"/>
        <v>NM</v>
      </c>
      <c r="AH25" s="591">
        <f t="shared" si="11"/>
        <v>3.7723753941101492</v>
      </c>
      <c r="AI25" s="591">
        <f t="shared" si="11"/>
        <v>-0.34628153338338152</v>
      </c>
      <c r="AJ25" s="591">
        <f t="shared" si="11"/>
        <v>-0.45583075162343789</v>
      </c>
      <c r="AK25" s="165">
        <f t="shared" si="11"/>
        <v>0.31736071927216125</v>
      </c>
      <c r="AL25" s="591">
        <f t="shared" si="11"/>
        <v>-0.37256516619592583</v>
      </c>
      <c r="AM25" s="591">
        <f t="shared" si="11"/>
        <v>-0.4380547020176605</v>
      </c>
      <c r="AN25" s="591">
        <f t="shared" si="11"/>
        <v>-0.61154150428185505</v>
      </c>
      <c r="AO25" s="591">
        <f t="shared" si="11"/>
        <v>-0.82393137371970926</v>
      </c>
      <c r="AP25" s="165">
        <f t="shared" si="11"/>
        <v>-0.53359397104639117</v>
      </c>
      <c r="AQ25" s="591">
        <f t="shared" si="11"/>
        <v>-0.98380495623126896</v>
      </c>
      <c r="AR25" s="591">
        <f t="shared" si="11"/>
        <v>-0.95347417816888369</v>
      </c>
      <c r="AS25" s="591">
        <f t="shared" si="11"/>
        <v>-0.90333449081677664</v>
      </c>
      <c r="AT25" s="591">
        <f t="shared" si="11"/>
        <v>-0.98687348224638471</v>
      </c>
      <c r="AU25" s="165">
        <f t="shared" si="11"/>
        <v>-0.95951113732797977</v>
      </c>
      <c r="AV25" s="591">
        <f>IF(AQ23=0,"NM",AV23/AQ23-1)</f>
        <v>-0.82958848775561778</v>
      </c>
      <c r="AW25" s="591">
        <f t="shared" si="11"/>
        <v>-0.40989247311827959</v>
      </c>
      <c r="AX25" s="591">
        <f t="shared" si="11"/>
        <v>-1</v>
      </c>
      <c r="AY25" s="591">
        <f t="shared" si="11"/>
        <v>-1</v>
      </c>
      <c r="AZ25" s="165">
        <f t="shared" si="11"/>
        <v>-0.74491949836513394</v>
      </c>
      <c r="BA25" s="591">
        <f>IF(AV23=0,"NM",BA23/AV23-1)</f>
        <v>-1</v>
      </c>
      <c r="BB25" s="591">
        <f t="shared" ref="BB25" si="12">IF(AW23=0,"NM",BB23/AW23-1)</f>
        <v>-1</v>
      </c>
      <c r="BC25" s="591" t="str">
        <f t="shared" ref="BC25" si="13">IF(AX23=0,"NM",BC23/AX23-1)</f>
        <v>NM</v>
      </c>
      <c r="BD25" s="591" t="str">
        <f t="shared" ref="BD25" si="14">IF(AY23=0,"NM",BD23/AY23-1)</f>
        <v>NM</v>
      </c>
      <c r="BE25" s="165">
        <f t="shared" si="11"/>
        <v>-1</v>
      </c>
      <c r="BF25" s="591"/>
      <c r="BG25" s="591"/>
      <c r="BH25" s="591"/>
      <c r="BI25" s="591"/>
      <c r="BJ25" s="165" t="str">
        <f>IF(BE23=0,"NM",BJ23/BE23-1)</f>
        <v>NM</v>
      </c>
      <c r="BK25" s="591"/>
      <c r="BL25" s="591"/>
      <c r="BM25" s="591"/>
      <c r="BN25" s="591"/>
      <c r="BO25" s="165" t="str">
        <f>IF(BJ23=0,"NM",BO23/BJ23-1)</f>
        <v>NM</v>
      </c>
      <c r="BP25" s="591"/>
      <c r="BQ25" s="591"/>
      <c r="BR25" s="591"/>
      <c r="BS25" s="591"/>
      <c r="BT25" s="165" t="str">
        <f>IF(BO23=0,"NM",BT23/BO23-1)</f>
        <v>NM</v>
      </c>
      <c r="BU25" s="591"/>
      <c r="BV25" s="591"/>
      <c r="BW25" s="591"/>
      <c r="BX25" s="591"/>
      <c r="BY25" s="165" t="str">
        <f>IF(BT23=0,"NM",BY23/BT23-1)</f>
        <v>NM</v>
      </c>
      <c r="BZ25" s="591"/>
      <c r="CA25" s="591"/>
      <c r="CB25" s="591"/>
      <c r="CC25" s="591"/>
      <c r="CD25" s="165" t="str">
        <f>IF(BY23=0,"NM",CD23/BY23-1)</f>
        <v>NM</v>
      </c>
      <c r="CE25" s="591"/>
      <c r="CF25" s="591"/>
      <c r="CG25" s="591"/>
      <c r="CH25" s="591"/>
      <c r="CI25" s="165" t="str">
        <f>IF(CD23=0,"NM",CI23/CD23-1)</f>
        <v>NM</v>
      </c>
      <c r="CJ25" s="591"/>
      <c r="CK25" s="591"/>
      <c r="CL25" s="591"/>
      <c r="CM25" s="591"/>
      <c r="CN25" s="165" t="str">
        <f>IF(CI23=0,"NM",CN23/CI23-1)</f>
        <v>NM</v>
      </c>
      <c r="CO25" s="591"/>
      <c r="CP25" s="591"/>
      <c r="CQ25" s="591"/>
      <c r="CR25" s="591"/>
      <c r="CS25" s="165" t="str">
        <f>IF(CN23=0,"NM",CS23/CN23-1)</f>
        <v>NM</v>
      </c>
      <c r="CT25" s="591"/>
      <c r="CU25" s="591"/>
      <c r="CV25" s="591"/>
      <c r="CW25" s="591"/>
      <c r="CX25" s="165" t="str">
        <f>IF(CS23=0,"NM",CX23/CS23-1)</f>
        <v>NM</v>
      </c>
      <c r="CY25" s="591"/>
      <c r="CZ25" s="591"/>
      <c r="DA25" s="591"/>
      <c r="DB25" s="591"/>
      <c r="DC25" s="165" t="str">
        <f>IF(CX23=0,"NM",DC23/CX23-1)</f>
        <v>NM</v>
      </c>
      <c r="DD25" s="591"/>
      <c r="DE25" s="591"/>
      <c r="DF25" s="591"/>
      <c r="DG25" s="591"/>
      <c r="DH25" s="165" t="str">
        <f>IF(DC23=0,"NM",DH23/DC23-1)</f>
        <v>NM</v>
      </c>
      <c r="DI25" s="591"/>
      <c r="DJ25" s="591"/>
      <c r="DK25" s="591"/>
      <c r="DL25" s="591"/>
      <c r="DM25" s="165" t="str">
        <f>IF(DH23=0,"NM",DM23/DH23-1)</f>
        <v>NM</v>
      </c>
      <c r="DN25" s="591"/>
      <c r="DO25" s="591"/>
      <c r="DP25" s="591"/>
      <c r="DQ25" s="591"/>
      <c r="DR25" s="165" t="str">
        <f>IF(DM23=0,"NM",DR23/DM23-1)</f>
        <v>NM</v>
      </c>
      <c r="DS25" s="591"/>
      <c r="DT25" s="591"/>
      <c r="DU25" s="591"/>
      <c r="DV25" s="591"/>
      <c r="DW25" s="165" t="str">
        <f>IF(DR23=0,"NM",DW23/DR23-1)</f>
        <v>NM</v>
      </c>
    </row>
    <row r="26" spans="1:127" outlineLevel="1">
      <c r="C26" s="592"/>
      <c r="D26" s="592"/>
      <c r="E26" s="592"/>
      <c r="F26" s="592"/>
      <c r="G26" s="156"/>
      <c r="H26" s="592"/>
      <c r="I26" s="592"/>
      <c r="J26" s="592"/>
      <c r="K26" s="592"/>
      <c r="L26" s="156"/>
      <c r="M26" s="592"/>
      <c r="N26" s="592"/>
      <c r="O26" s="592"/>
      <c r="P26" s="592"/>
      <c r="Q26" s="156"/>
      <c r="R26" s="592"/>
      <c r="S26" s="592"/>
      <c r="T26" s="592"/>
      <c r="U26" s="592"/>
      <c r="V26" s="156"/>
      <c r="W26" s="592"/>
      <c r="X26" s="592"/>
      <c r="Y26" s="592"/>
      <c r="Z26" s="592"/>
      <c r="AA26" s="156"/>
      <c r="AB26" s="592"/>
      <c r="AC26" s="592"/>
      <c r="AD26" s="592"/>
      <c r="AE26" s="592"/>
      <c r="AF26" s="156"/>
      <c r="AG26" s="592"/>
      <c r="AH26" s="592"/>
      <c r="AI26" s="592"/>
      <c r="AJ26" s="592"/>
      <c r="AK26" s="156"/>
      <c r="AL26" s="592"/>
      <c r="AM26" s="592"/>
      <c r="AN26" s="592"/>
      <c r="AO26" s="592"/>
      <c r="AP26" s="156"/>
      <c r="AQ26" s="592"/>
      <c r="AR26" s="592"/>
      <c r="AS26" s="592"/>
      <c r="AT26" s="592"/>
      <c r="AU26" s="156"/>
      <c r="AV26" s="592"/>
      <c r="AW26" s="592"/>
      <c r="AX26" s="592"/>
      <c r="AY26" s="592"/>
      <c r="AZ26" s="156"/>
      <c r="BA26" s="592"/>
      <c r="BB26" s="592"/>
      <c r="BC26" s="592"/>
      <c r="BD26" s="592"/>
      <c r="BE26" s="156"/>
      <c r="BF26" s="592"/>
      <c r="BG26" s="592"/>
      <c r="BH26" s="592"/>
      <c r="BI26" s="592"/>
      <c r="BJ26" s="156"/>
      <c r="BK26" s="592"/>
      <c r="BL26" s="592"/>
      <c r="BM26" s="592"/>
      <c r="BN26" s="592"/>
      <c r="BO26" s="156"/>
      <c r="BP26" s="592"/>
      <c r="BQ26" s="592"/>
      <c r="BR26" s="592"/>
      <c r="BS26" s="592"/>
      <c r="BT26" s="156"/>
      <c r="BU26" s="592"/>
      <c r="BV26" s="592"/>
      <c r="BW26" s="592"/>
      <c r="BX26" s="592"/>
      <c r="BY26" s="156"/>
      <c r="BZ26" s="592"/>
      <c r="CA26" s="592"/>
      <c r="CB26" s="592"/>
      <c r="CC26" s="592"/>
      <c r="CD26" s="156"/>
      <c r="CE26" s="592"/>
      <c r="CF26" s="592"/>
      <c r="CG26" s="592"/>
      <c r="CH26" s="592"/>
      <c r="CI26" s="156"/>
      <c r="CJ26" s="592"/>
      <c r="CK26" s="592"/>
      <c r="CL26" s="592"/>
      <c r="CM26" s="592"/>
      <c r="CN26" s="156"/>
      <c r="CO26" s="592"/>
      <c r="CP26" s="592"/>
      <c r="CQ26" s="592"/>
      <c r="CR26" s="592"/>
      <c r="CS26" s="156"/>
      <c r="CT26" s="592"/>
      <c r="CU26" s="592"/>
      <c r="CV26" s="592"/>
      <c r="CW26" s="592"/>
      <c r="CX26" s="156"/>
      <c r="CY26" s="592"/>
      <c r="CZ26" s="592"/>
      <c r="DA26" s="592"/>
      <c r="DB26" s="592"/>
      <c r="DC26" s="156"/>
      <c r="DD26" s="592"/>
      <c r="DE26" s="592"/>
      <c r="DF26" s="592"/>
      <c r="DG26" s="592"/>
      <c r="DH26" s="156"/>
      <c r="DI26" s="592"/>
      <c r="DJ26" s="592"/>
      <c r="DK26" s="592"/>
      <c r="DL26" s="592"/>
      <c r="DM26" s="156"/>
      <c r="DN26" s="592"/>
      <c r="DO26" s="592"/>
      <c r="DP26" s="592"/>
      <c r="DQ26" s="592"/>
      <c r="DR26" s="156"/>
      <c r="DS26" s="592"/>
      <c r="DT26" s="592"/>
      <c r="DU26" s="592"/>
      <c r="DV26" s="592"/>
      <c r="DW26" s="156"/>
    </row>
    <row r="27" spans="1:127">
      <c r="A27" s="149"/>
      <c r="B27" s="145" t="s">
        <v>291</v>
      </c>
      <c r="C27" s="595">
        <v>0</v>
      </c>
      <c r="D27" s="595">
        <v>0</v>
      </c>
      <c r="E27" s="595">
        <v>0</v>
      </c>
      <c r="F27" s="595">
        <v>0</v>
      </c>
      <c r="G27" s="158">
        <f>SUM(C27:F27)</f>
        <v>0</v>
      </c>
      <c r="H27" s="595">
        <v>0</v>
      </c>
      <c r="I27" s="595">
        <v>0</v>
      </c>
      <c r="J27" s="595">
        <v>0</v>
      </c>
      <c r="K27" s="595">
        <v>0</v>
      </c>
      <c r="L27" s="158">
        <f>SUM(H27:K27)</f>
        <v>0</v>
      </c>
      <c r="M27" s="595">
        <v>0</v>
      </c>
      <c r="N27" s="595">
        <v>0</v>
      </c>
      <c r="O27" s="595">
        <v>0</v>
      </c>
      <c r="P27" s="595">
        <v>0</v>
      </c>
      <c r="Q27" s="158">
        <f>SUM(M27:P27)</f>
        <v>0</v>
      </c>
      <c r="R27" s="595">
        <v>0</v>
      </c>
      <c r="S27" s="595">
        <v>0</v>
      </c>
      <c r="T27" s="595">
        <v>0</v>
      </c>
      <c r="U27" s="595">
        <v>0</v>
      </c>
      <c r="V27" s="158">
        <f>SUM(R27:U27)</f>
        <v>0</v>
      </c>
      <c r="W27" s="595">
        <v>0</v>
      </c>
      <c r="X27" s="595">
        <v>0</v>
      </c>
      <c r="Y27" s="595">
        <v>0</v>
      </c>
      <c r="Z27" s="595">
        <v>0</v>
      </c>
      <c r="AA27" s="158">
        <f>SUM(W27:Z27)</f>
        <v>0</v>
      </c>
      <c r="AB27" s="595">
        <v>0</v>
      </c>
      <c r="AC27" s="595">
        <v>0</v>
      </c>
      <c r="AD27" s="595">
        <v>0</v>
      </c>
      <c r="AE27" s="595">
        <v>0</v>
      </c>
      <c r="AF27" s="158">
        <f>SUM(AB27:AE27)</f>
        <v>0</v>
      </c>
      <c r="AG27" s="595">
        <v>0</v>
      </c>
      <c r="AH27" s="595">
        <v>0</v>
      </c>
      <c r="AI27" s="595">
        <v>0</v>
      </c>
      <c r="AJ27" s="595">
        <v>0</v>
      </c>
      <c r="AK27" s="158">
        <f>SUM(AG27:AJ27)</f>
        <v>0</v>
      </c>
      <c r="AL27" s="595">
        <v>0</v>
      </c>
      <c r="AM27" s="595">
        <v>0</v>
      </c>
      <c r="AN27" s="595">
        <v>0</v>
      </c>
      <c r="AO27" s="595">
        <v>0</v>
      </c>
      <c r="AP27" s="158">
        <f>SUM(AL27:AO27)</f>
        <v>0</v>
      </c>
      <c r="AQ27" s="595">
        <v>0</v>
      </c>
      <c r="AR27" s="595">
        <v>0</v>
      </c>
      <c r="AS27" s="595">
        <v>0</v>
      </c>
      <c r="AT27" s="595">
        <v>0</v>
      </c>
      <c r="AU27" s="158">
        <f>SUM(AQ27:AT27)</f>
        <v>0</v>
      </c>
      <c r="AV27" s="587">
        <v>0</v>
      </c>
      <c r="AW27" s="588">
        <v>0</v>
      </c>
      <c r="AX27" s="588">
        <v>130.80000000000001</v>
      </c>
      <c r="AY27" s="588">
        <v>220</v>
      </c>
      <c r="AZ27" s="603">
        <f>AY27+AX27+AW27+AV27</f>
        <v>350.8</v>
      </c>
      <c r="BA27" s="595">
        <f>223.1-BA28</f>
        <v>214.1</v>
      </c>
      <c r="BB27" s="595">
        <v>229.4</v>
      </c>
      <c r="BC27" s="595">
        <v>211</v>
      </c>
      <c r="BD27" s="595">
        <v>248</v>
      </c>
      <c r="BE27" s="158">
        <f>SUM(BA27:BD27)</f>
        <v>902.5</v>
      </c>
      <c r="BF27" s="595">
        <v>264</v>
      </c>
      <c r="BG27" s="595">
        <v>288</v>
      </c>
      <c r="BH27" s="595">
        <v>293</v>
      </c>
      <c r="BI27" s="595">
        <v>308</v>
      </c>
      <c r="BJ27" s="158">
        <f>SUM(BF27:BI27)</f>
        <v>1153</v>
      </c>
      <c r="BK27" s="599">
        <v>300</v>
      </c>
      <c r="BL27" s="599">
        <v>295</v>
      </c>
      <c r="BM27" s="599">
        <v>290</v>
      </c>
      <c r="BN27" s="599">
        <f>BO27-SUM(BK27:BM27)</f>
        <v>287.59082899750001</v>
      </c>
      <c r="BO27" s="158">
        <f>'CF Market'!M329</f>
        <v>1172.5908289975</v>
      </c>
      <c r="BP27" s="599"/>
      <c r="BQ27" s="599"/>
      <c r="BR27" s="599"/>
      <c r="BS27" s="599"/>
      <c r="BT27" s="158">
        <f>'CF Market'!N329</f>
        <v>986.48237632174994</v>
      </c>
      <c r="BU27" s="599"/>
      <c r="BV27" s="599"/>
      <c r="BW27" s="599"/>
      <c r="BX27" s="599"/>
      <c r="BY27" s="158">
        <f>'CF Market'!O329</f>
        <v>754.65363902912497</v>
      </c>
      <c r="BZ27" s="599"/>
      <c r="CA27" s="599"/>
      <c r="CB27" s="599"/>
      <c r="CC27" s="599"/>
      <c r="CD27" s="158">
        <f>'CF Market'!P329</f>
        <v>524.1696159899376</v>
      </c>
      <c r="CE27" s="599"/>
      <c r="CF27" s="599"/>
      <c r="CG27" s="599"/>
      <c r="CH27" s="599"/>
      <c r="CI27" s="158">
        <f>'CF Market'!Q329</f>
        <v>438.24237519528123</v>
      </c>
      <c r="CJ27" s="599"/>
      <c r="CK27" s="599"/>
      <c r="CL27" s="599"/>
      <c r="CM27" s="599"/>
      <c r="CN27" s="158">
        <f>'CF Market'!R329</f>
        <v>365.96398407301564</v>
      </c>
      <c r="CO27" s="599"/>
      <c r="CP27" s="599"/>
      <c r="CQ27" s="599"/>
      <c r="CR27" s="599"/>
      <c r="CS27" s="158">
        <f>'CF Market'!S329</f>
        <v>221.6089089665</v>
      </c>
      <c r="CT27" s="599"/>
      <c r="CU27" s="599"/>
      <c r="CV27" s="599"/>
      <c r="CW27" s="599"/>
      <c r="CX27" s="158">
        <f>'CF Market'!T329</f>
        <v>161.36571041249999</v>
      </c>
      <c r="CY27" s="599"/>
      <c r="CZ27" s="599"/>
      <c r="DA27" s="599"/>
      <c r="DB27" s="599"/>
      <c r="DC27" s="158">
        <f>'CF Market'!U329</f>
        <v>80.682855206249997</v>
      </c>
      <c r="DD27" s="599"/>
      <c r="DE27" s="599"/>
      <c r="DF27" s="599"/>
      <c r="DG27" s="599"/>
      <c r="DH27" s="158">
        <f>'CF Market'!V329</f>
        <v>29.314770724937496</v>
      </c>
      <c r="DI27" s="599"/>
      <c r="DJ27" s="599"/>
      <c r="DK27" s="599"/>
      <c r="DL27" s="599"/>
      <c r="DM27" s="158">
        <f>'CF Market'!W329</f>
        <v>14.657385362468748</v>
      </c>
      <c r="DN27" s="599"/>
      <c r="DO27" s="599"/>
      <c r="DP27" s="599"/>
      <c r="DQ27" s="599"/>
      <c r="DR27" s="158">
        <f>'CF Market'!X329</f>
        <v>0</v>
      </c>
      <c r="DS27" s="599"/>
      <c r="DT27" s="599"/>
      <c r="DU27" s="599"/>
      <c r="DV27" s="599"/>
      <c r="DW27" s="158">
        <f>'CF Market'!Y329</f>
        <v>0</v>
      </c>
    </row>
    <row r="28" spans="1:127">
      <c r="A28" s="149"/>
      <c r="B28" s="153" t="s">
        <v>292</v>
      </c>
      <c r="C28" s="595">
        <v>0</v>
      </c>
      <c r="D28" s="595">
        <v>0</v>
      </c>
      <c r="E28" s="595">
        <v>0</v>
      </c>
      <c r="F28" s="595">
        <v>0</v>
      </c>
      <c r="G28" s="158">
        <f>SUM(C28:F28)</f>
        <v>0</v>
      </c>
      <c r="H28" s="595">
        <v>0</v>
      </c>
      <c r="I28" s="595">
        <v>0</v>
      </c>
      <c r="J28" s="595">
        <v>0</v>
      </c>
      <c r="K28" s="595">
        <v>0</v>
      </c>
      <c r="L28" s="158">
        <f>SUM(H28:K28)</f>
        <v>0</v>
      </c>
      <c r="M28" s="595">
        <v>0</v>
      </c>
      <c r="N28" s="595">
        <v>0</v>
      </c>
      <c r="O28" s="595">
        <v>0</v>
      </c>
      <c r="P28" s="595">
        <v>0</v>
      </c>
      <c r="Q28" s="158">
        <f>SUM(M28:P28)</f>
        <v>0</v>
      </c>
      <c r="R28" s="595">
        <v>0</v>
      </c>
      <c r="S28" s="595">
        <v>0</v>
      </c>
      <c r="T28" s="595">
        <v>0</v>
      </c>
      <c r="U28" s="595">
        <v>0</v>
      </c>
      <c r="V28" s="158">
        <f>SUM(R28:U28)</f>
        <v>0</v>
      </c>
      <c r="W28" s="595">
        <v>0</v>
      </c>
      <c r="X28" s="595">
        <v>0</v>
      </c>
      <c r="Y28" s="595">
        <v>0</v>
      </c>
      <c r="Z28" s="595">
        <v>0</v>
      </c>
      <c r="AA28" s="158">
        <f>SUM(W28:Z28)</f>
        <v>0</v>
      </c>
      <c r="AB28" s="595">
        <v>0</v>
      </c>
      <c r="AC28" s="595">
        <v>0</v>
      </c>
      <c r="AD28" s="595">
        <v>0</v>
      </c>
      <c r="AE28" s="595">
        <v>0</v>
      </c>
      <c r="AF28" s="158">
        <f>SUM(AB28:AE28)</f>
        <v>0</v>
      </c>
      <c r="AG28" s="595">
        <v>0</v>
      </c>
      <c r="AH28" s="595">
        <v>0</v>
      </c>
      <c r="AI28" s="595">
        <v>0</v>
      </c>
      <c r="AJ28" s="595">
        <v>0</v>
      </c>
      <c r="AK28" s="158">
        <f>SUM(AG28:AJ28)</f>
        <v>0</v>
      </c>
      <c r="AL28" s="595">
        <v>0</v>
      </c>
      <c r="AM28" s="595">
        <v>0</v>
      </c>
      <c r="AN28" s="595">
        <v>0</v>
      </c>
      <c r="AO28" s="595">
        <v>0</v>
      </c>
      <c r="AP28" s="158">
        <f>SUM(AL28:AO28)</f>
        <v>0</v>
      </c>
      <c r="AQ28" s="595">
        <v>0</v>
      </c>
      <c r="AR28" s="595">
        <v>0</v>
      </c>
      <c r="AS28" s="595">
        <v>0</v>
      </c>
      <c r="AT28" s="595">
        <v>0</v>
      </c>
      <c r="AU28" s="158">
        <f>SUM(AQ28:AT28)</f>
        <v>0</v>
      </c>
      <c r="AV28" s="587">
        <v>0</v>
      </c>
      <c r="AW28" s="588">
        <v>0</v>
      </c>
      <c r="AX28" s="588">
        <v>0</v>
      </c>
      <c r="AY28" s="588">
        <f>AZ28-AX28-AW28-AV28</f>
        <v>0</v>
      </c>
      <c r="AZ28" s="150">
        <f>'CF Market'!J335</f>
        <v>0</v>
      </c>
      <c r="BA28" s="595">
        <v>9</v>
      </c>
      <c r="BB28" s="598">
        <f>BB29-BB27</f>
        <v>16.251000000000005</v>
      </c>
      <c r="BC28" s="598">
        <f>BC29-BC27</f>
        <v>22.689000000000021</v>
      </c>
      <c r="BD28" s="598">
        <f>BD29-BD27</f>
        <v>28.981999999999971</v>
      </c>
      <c r="BE28" s="150">
        <f>SUM(BA28:BD28)</f>
        <v>76.921999999999997</v>
      </c>
      <c r="BF28" s="598">
        <f>BF29-BF27</f>
        <v>30.622000000000014</v>
      </c>
      <c r="BG28" s="598">
        <f>BG29-BG27</f>
        <v>35.988000000000056</v>
      </c>
      <c r="BH28" s="598">
        <f>BH29-BH27</f>
        <v>43.642000000000053</v>
      </c>
      <c r="BI28" s="598">
        <f>BI29-BI27</f>
        <v>57.227999999999952</v>
      </c>
      <c r="BJ28" s="158">
        <f>SUM(BF28:BI28)</f>
        <v>167.48000000000008</v>
      </c>
      <c r="BK28" s="598">
        <v>60</v>
      </c>
      <c r="BL28" s="598">
        <v>75</v>
      </c>
      <c r="BM28" s="598">
        <v>90</v>
      </c>
      <c r="BN28" s="598">
        <f>BO28-SUM(BK28:BM28)</f>
        <v>96.158662499999991</v>
      </c>
      <c r="BO28" s="150">
        <f>'CF Market'!M335+'CF Market'!M341</f>
        <v>321.15866249999999</v>
      </c>
      <c r="BP28" s="593"/>
      <c r="BQ28" s="593"/>
      <c r="BR28" s="593"/>
      <c r="BS28" s="593"/>
      <c r="BT28" s="150">
        <f>'CF Market'!N335+'CF Market'!N341</f>
        <v>478.03138256250008</v>
      </c>
      <c r="BU28" s="593"/>
      <c r="BV28" s="593"/>
      <c r="BW28" s="593"/>
      <c r="BX28" s="593"/>
      <c r="BY28" s="150">
        <f>'CF Market'!O335+'CF Market'!O341</f>
        <v>519.64710707812492</v>
      </c>
      <c r="BZ28" s="593"/>
      <c r="CA28" s="593"/>
      <c r="CB28" s="593"/>
      <c r="CC28" s="593"/>
      <c r="CD28" s="150">
        <f>'CF Market'!P335+'CF Market'!P341</f>
        <v>681.69129718218755</v>
      </c>
      <c r="CE28" s="593"/>
      <c r="CF28" s="593"/>
      <c r="CG28" s="593"/>
      <c r="CH28" s="593"/>
      <c r="CI28" s="150">
        <f>'CF Market'!Q335+'CF Market'!Q341</f>
        <v>616.25918053362295</v>
      </c>
      <c r="CJ28" s="593"/>
      <c r="CK28" s="593"/>
      <c r="CL28" s="593"/>
      <c r="CM28" s="593"/>
      <c r="CN28" s="150">
        <f>'CF Market'!R335+'CF Market'!R341</f>
        <v>533.71622693904783</v>
      </c>
      <c r="CO28" s="593"/>
      <c r="CP28" s="593"/>
      <c r="CQ28" s="593"/>
      <c r="CR28" s="593"/>
      <c r="CS28" s="150">
        <f>'CF Market'!S335+'CF Market'!S341</f>
        <v>398.97084132333214</v>
      </c>
      <c r="CT28" s="593"/>
      <c r="CU28" s="593"/>
      <c r="CV28" s="593"/>
      <c r="CW28" s="593"/>
      <c r="CX28" s="150">
        <f>'CF Market'!T335+'CF Market'!T341</f>
        <v>227.3770950864689</v>
      </c>
      <c r="CY28" s="593"/>
      <c r="CZ28" s="593"/>
      <c r="DA28" s="593"/>
      <c r="DB28" s="593"/>
      <c r="DC28" s="150">
        <f>'CF Market'!U335+'CF Market'!U341</f>
        <v>131.43194128140442</v>
      </c>
      <c r="DD28" s="593"/>
      <c r="DE28" s="593"/>
      <c r="DF28" s="593"/>
      <c r="DG28" s="593"/>
      <c r="DH28" s="150">
        <f>'CF Market'!V335+'CF Market'!V341</f>
        <v>81.563777732580178</v>
      </c>
      <c r="DI28" s="593"/>
      <c r="DJ28" s="593"/>
      <c r="DK28" s="593"/>
      <c r="DL28" s="593"/>
      <c r="DM28" s="150">
        <f>'CF Market'!W335+'CF Market'!W341</f>
        <v>37.538254322081755</v>
      </c>
      <c r="DN28" s="593"/>
      <c r="DO28" s="593"/>
      <c r="DP28" s="593"/>
      <c r="DQ28" s="593"/>
      <c r="DR28" s="150">
        <f>'CF Market'!X335+'CF Market'!X341</f>
        <v>17.921059831157176</v>
      </c>
      <c r="DS28" s="593"/>
      <c r="DT28" s="593"/>
      <c r="DU28" s="593"/>
      <c r="DV28" s="593"/>
      <c r="DW28" s="150">
        <f>'CF Market'!Y335+'CF Market'!Y341</f>
        <v>1.487066666840702</v>
      </c>
    </row>
    <row r="29" spans="1:127" ht="13.5" thickBot="1">
      <c r="B29" s="142" t="s">
        <v>293</v>
      </c>
      <c r="C29" s="593">
        <f t="shared" ref="C29:AU29" si="15">C27+C28</f>
        <v>0</v>
      </c>
      <c r="D29" s="593">
        <f t="shared" si="15"/>
        <v>0</v>
      </c>
      <c r="E29" s="593">
        <f t="shared" si="15"/>
        <v>0</v>
      </c>
      <c r="F29" s="593">
        <f t="shared" si="15"/>
        <v>0</v>
      </c>
      <c r="G29" s="168">
        <f t="shared" si="15"/>
        <v>0</v>
      </c>
      <c r="H29" s="593">
        <f t="shared" si="15"/>
        <v>0</v>
      </c>
      <c r="I29" s="593">
        <f>I27+I28</f>
        <v>0</v>
      </c>
      <c r="J29" s="593">
        <f t="shared" si="15"/>
        <v>0</v>
      </c>
      <c r="K29" s="593">
        <f t="shared" si="15"/>
        <v>0</v>
      </c>
      <c r="L29" s="168">
        <f t="shared" si="15"/>
        <v>0</v>
      </c>
      <c r="M29" s="593">
        <f t="shared" si="15"/>
        <v>0</v>
      </c>
      <c r="N29" s="593">
        <f t="shared" si="15"/>
        <v>0</v>
      </c>
      <c r="O29" s="593">
        <f t="shared" si="15"/>
        <v>0</v>
      </c>
      <c r="P29" s="593">
        <f t="shared" si="15"/>
        <v>0</v>
      </c>
      <c r="Q29" s="168">
        <f t="shared" si="15"/>
        <v>0</v>
      </c>
      <c r="R29" s="593">
        <f t="shared" si="15"/>
        <v>0</v>
      </c>
      <c r="S29" s="593">
        <f t="shared" si="15"/>
        <v>0</v>
      </c>
      <c r="T29" s="593">
        <f t="shared" si="15"/>
        <v>0</v>
      </c>
      <c r="U29" s="593">
        <f t="shared" si="15"/>
        <v>0</v>
      </c>
      <c r="V29" s="168">
        <f t="shared" si="15"/>
        <v>0</v>
      </c>
      <c r="W29" s="593">
        <f t="shared" si="15"/>
        <v>0</v>
      </c>
      <c r="X29" s="593">
        <f t="shared" si="15"/>
        <v>0</v>
      </c>
      <c r="Y29" s="593">
        <f t="shared" si="15"/>
        <v>0</v>
      </c>
      <c r="Z29" s="593">
        <f t="shared" si="15"/>
        <v>0</v>
      </c>
      <c r="AA29" s="168">
        <f t="shared" si="15"/>
        <v>0</v>
      </c>
      <c r="AB29" s="593">
        <f t="shared" si="15"/>
        <v>0</v>
      </c>
      <c r="AC29" s="593">
        <f t="shared" si="15"/>
        <v>0</v>
      </c>
      <c r="AD29" s="593">
        <f t="shared" si="15"/>
        <v>0</v>
      </c>
      <c r="AE29" s="593">
        <f t="shared" si="15"/>
        <v>0</v>
      </c>
      <c r="AF29" s="168">
        <f t="shared" si="15"/>
        <v>0</v>
      </c>
      <c r="AG29" s="593">
        <f t="shared" si="15"/>
        <v>0</v>
      </c>
      <c r="AH29" s="593">
        <f t="shared" si="15"/>
        <v>0</v>
      </c>
      <c r="AI29" s="593">
        <f t="shared" si="15"/>
        <v>0</v>
      </c>
      <c r="AJ29" s="593">
        <f t="shared" si="15"/>
        <v>0</v>
      </c>
      <c r="AK29" s="168">
        <f t="shared" si="15"/>
        <v>0</v>
      </c>
      <c r="AL29" s="593">
        <f t="shared" si="15"/>
        <v>0</v>
      </c>
      <c r="AM29" s="593">
        <f t="shared" si="15"/>
        <v>0</v>
      </c>
      <c r="AN29" s="593">
        <f t="shared" si="15"/>
        <v>0</v>
      </c>
      <c r="AO29" s="593">
        <f t="shared" si="15"/>
        <v>0</v>
      </c>
      <c r="AP29" s="168">
        <f t="shared" si="15"/>
        <v>0</v>
      </c>
      <c r="AQ29" s="593">
        <f t="shared" si="15"/>
        <v>0</v>
      </c>
      <c r="AR29" s="593">
        <f t="shared" si="15"/>
        <v>0</v>
      </c>
      <c r="AS29" s="593">
        <f t="shared" si="15"/>
        <v>0</v>
      </c>
      <c r="AT29" s="593">
        <f>AT27+AT28</f>
        <v>0</v>
      </c>
      <c r="AU29" s="168">
        <f t="shared" si="15"/>
        <v>0</v>
      </c>
      <c r="AV29" s="593">
        <f t="shared" ref="AV29:AZ29" si="16">AV27+AV28</f>
        <v>0</v>
      </c>
      <c r="AW29" s="593">
        <f t="shared" si="16"/>
        <v>0</v>
      </c>
      <c r="AX29" s="593">
        <f t="shared" si="16"/>
        <v>130.80000000000001</v>
      </c>
      <c r="AY29" s="593">
        <f t="shared" si="16"/>
        <v>220</v>
      </c>
      <c r="AZ29" s="168">
        <f t="shared" si="16"/>
        <v>350.8</v>
      </c>
      <c r="BA29" s="593">
        <f>394.41-BA7</f>
        <v>223.91000000000003</v>
      </c>
      <c r="BB29" s="593">
        <f>425.651-BB7</f>
        <v>245.65100000000001</v>
      </c>
      <c r="BC29" s="593">
        <f>IS!Y86</f>
        <v>233.68900000000002</v>
      </c>
      <c r="BD29" s="593">
        <f>IS!Z86</f>
        <v>276.98199999999997</v>
      </c>
      <c r="BE29" s="168">
        <f>BE27+BE28</f>
        <v>979.42200000000003</v>
      </c>
      <c r="BF29" s="593">
        <f>IS!AB86</f>
        <v>294.62200000000001</v>
      </c>
      <c r="BG29" s="593">
        <f>IS!AC86</f>
        <v>323.98800000000006</v>
      </c>
      <c r="BH29" s="593">
        <f>IS!AD86</f>
        <v>336.64200000000005</v>
      </c>
      <c r="BI29" s="593">
        <f>IS!AE86</f>
        <v>365.22799999999995</v>
      </c>
      <c r="BJ29" s="168">
        <f>BJ27+BJ28</f>
        <v>1320.48</v>
      </c>
      <c r="BK29" s="593">
        <f t="shared" ref="BK29:BN29" si="17">SUM(BK27:BK28)</f>
        <v>360</v>
      </c>
      <c r="BL29" s="593">
        <f t="shared" si="17"/>
        <v>370</v>
      </c>
      <c r="BM29" s="593">
        <f t="shared" si="17"/>
        <v>380</v>
      </c>
      <c r="BN29" s="593">
        <f t="shared" si="17"/>
        <v>383.7494914975</v>
      </c>
      <c r="BO29" s="168">
        <f>BO27+BO28</f>
        <v>1493.7494914975</v>
      </c>
      <c r="BP29" s="593"/>
      <c r="BQ29" s="593"/>
      <c r="BR29" s="593"/>
      <c r="BS29" s="593"/>
      <c r="BT29" s="168">
        <f>BT27+BT28</f>
        <v>1464.5137588842499</v>
      </c>
      <c r="BU29" s="593"/>
      <c r="BV29" s="593"/>
      <c r="BW29" s="593"/>
      <c r="BX29" s="593"/>
      <c r="BY29" s="168">
        <f>BY27+BY28</f>
        <v>1274.3007461072498</v>
      </c>
      <c r="BZ29" s="593"/>
      <c r="CA29" s="593"/>
      <c r="CB29" s="593"/>
      <c r="CC29" s="593"/>
      <c r="CD29" s="168">
        <f>CD27+CD28</f>
        <v>1205.860913172125</v>
      </c>
      <c r="CE29" s="593"/>
      <c r="CF29" s="593"/>
      <c r="CG29" s="593"/>
      <c r="CH29" s="593"/>
      <c r="CI29" s="168">
        <f>CI27+CI28</f>
        <v>1054.5015557289041</v>
      </c>
      <c r="CJ29" s="593"/>
      <c r="CK29" s="593"/>
      <c r="CL29" s="593"/>
      <c r="CM29" s="593"/>
      <c r="CN29" s="168">
        <f>CN27+CN28</f>
        <v>899.68021101206341</v>
      </c>
      <c r="CO29" s="593"/>
      <c r="CP29" s="593"/>
      <c r="CQ29" s="593"/>
      <c r="CR29" s="593"/>
      <c r="CS29" s="168">
        <f>CS27+CS28</f>
        <v>620.57975028983219</v>
      </c>
      <c r="CT29" s="593"/>
      <c r="CU29" s="593"/>
      <c r="CV29" s="593"/>
      <c r="CW29" s="593"/>
      <c r="CX29" s="168">
        <f>CX27+CX28</f>
        <v>388.74280549896889</v>
      </c>
      <c r="CY29" s="593"/>
      <c r="CZ29" s="593"/>
      <c r="DA29" s="593"/>
      <c r="DB29" s="593"/>
      <c r="DC29" s="168">
        <f>DC27+DC28</f>
        <v>212.11479648765442</v>
      </c>
      <c r="DD29" s="593"/>
      <c r="DE29" s="593"/>
      <c r="DF29" s="593"/>
      <c r="DG29" s="593"/>
      <c r="DH29" s="168">
        <f>DH27+DH28</f>
        <v>110.87854845751767</v>
      </c>
      <c r="DI29" s="593"/>
      <c r="DJ29" s="593"/>
      <c r="DK29" s="593"/>
      <c r="DL29" s="593"/>
      <c r="DM29" s="168">
        <f>DM27+DM28</f>
        <v>52.1956396845505</v>
      </c>
      <c r="DN29" s="593"/>
      <c r="DO29" s="593"/>
      <c r="DP29" s="593"/>
      <c r="DQ29" s="593"/>
      <c r="DR29" s="168">
        <f>DR27+DR28</f>
        <v>17.921059831157176</v>
      </c>
      <c r="DS29" s="593"/>
      <c r="DT29" s="593"/>
      <c r="DU29" s="593"/>
      <c r="DV29" s="593"/>
      <c r="DW29" s="168">
        <f>DW27+DW28</f>
        <v>1.487066666840702</v>
      </c>
    </row>
    <row r="30" spans="1:127" ht="13.5" thickBot="1">
      <c r="B30" s="142"/>
      <c r="C30" s="593"/>
      <c r="D30" s="593"/>
      <c r="E30" s="593"/>
      <c r="F30" s="593"/>
      <c r="G30" s="168"/>
      <c r="H30" s="593"/>
      <c r="I30" s="593"/>
      <c r="J30" s="593"/>
      <c r="K30" s="593"/>
      <c r="L30" s="168"/>
      <c r="M30" s="593"/>
      <c r="N30" s="593"/>
      <c r="O30" s="593"/>
      <c r="P30" s="593"/>
      <c r="Q30" s="168"/>
      <c r="R30" s="593"/>
      <c r="S30" s="593"/>
      <c r="T30" s="593"/>
      <c r="U30" s="593"/>
      <c r="V30" s="168"/>
      <c r="W30" s="593"/>
      <c r="X30" s="593"/>
      <c r="Y30" s="593"/>
      <c r="Z30" s="593"/>
      <c r="AA30" s="168"/>
      <c r="AB30" s="593"/>
      <c r="AC30" s="593"/>
      <c r="AD30" s="593"/>
      <c r="AE30" s="593"/>
      <c r="AF30" s="168"/>
      <c r="AG30" s="593"/>
      <c r="AH30" s="593"/>
      <c r="AI30" s="593"/>
      <c r="AJ30" s="593"/>
      <c r="AK30" s="168"/>
      <c r="AL30" s="593"/>
      <c r="AM30" s="593"/>
      <c r="AN30" s="593"/>
      <c r="AO30" s="593"/>
      <c r="AP30" s="168"/>
      <c r="AQ30" s="593"/>
      <c r="AR30" s="593"/>
      <c r="AS30" s="593"/>
      <c r="AT30" s="593"/>
      <c r="AU30" s="168"/>
      <c r="AV30" s="593"/>
      <c r="AW30" s="593"/>
      <c r="AX30" s="593"/>
      <c r="AY30" s="593"/>
      <c r="AZ30" s="168"/>
      <c r="BA30" s="593"/>
      <c r="BB30" s="593"/>
      <c r="BC30" s="593"/>
      <c r="BD30" s="593"/>
      <c r="BE30" s="168"/>
      <c r="BF30" s="593"/>
      <c r="BG30" s="593"/>
      <c r="BH30" s="161" t="s">
        <v>280</v>
      </c>
      <c r="BI30" s="162"/>
      <c r="BJ30" s="163" t="s">
        <v>671</v>
      </c>
      <c r="BK30" s="593"/>
      <c r="BL30" s="593"/>
      <c r="BM30" s="593"/>
      <c r="BN30" s="593"/>
      <c r="BO30" s="168"/>
      <c r="BP30" s="593"/>
      <c r="BQ30" s="593"/>
      <c r="BR30" s="593"/>
      <c r="BS30" s="593"/>
      <c r="BT30" s="168"/>
      <c r="BU30" s="593"/>
      <c r="BV30" s="593"/>
      <c r="BW30" s="593"/>
      <c r="BX30" s="593"/>
      <c r="BY30" s="168"/>
      <c r="BZ30" s="593"/>
      <c r="CA30" s="593"/>
      <c r="CB30" s="593"/>
      <c r="CC30" s="593"/>
      <c r="CD30" s="168"/>
      <c r="CE30" s="593"/>
      <c r="CF30" s="593"/>
      <c r="CG30" s="593"/>
      <c r="CH30" s="593"/>
      <c r="CI30" s="168"/>
      <c r="CJ30" s="593"/>
      <c r="CK30" s="593"/>
      <c r="CL30" s="593"/>
      <c r="CM30" s="593"/>
      <c r="CN30" s="168"/>
      <c r="CO30" s="593"/>
      <c r="CP30" s="593"/>
      <c r="CQ30" s="593"/>
      <c r="CR30" s="593"/>
      <c r="CS30" s="168"/>
      <c r="CT30" s="593"/>
      <c r="CU30" s="593"/>
      <c r="CV30" s="593"/>
      <c r="CW30" s="593"/>
      <c r="CX30" s="168"/>
      <c r="CY30" s="593"/>
      <c r="CZ30" s="593"/>
      <c r="DA30" s="593"/>
      <c r="DB30" s="593"/>
      <c r="DC30" s="168"/>
      <c r="DD30" s="593"/>
      <c r="DE30" s="593"/>
      <c r="DF30" s="593"/>
      <c r="DG30" s="593"/>
      <c r="DH30" s="168"/>
      <c r="DI30" s="593"/>
      <c r="DJ30" s="593"/>
      <c r="DK30" s="593"/>
      <c r="DL30" s="593"/>
      <c r="DM30" s="168"/>
      <c r="DN30" s="593"/>
      <c r="DO30" s="593"/>
      <c r="DP30" s="593"/>
      <c r="DQ30" s="593"/>
      <c r="DR30" s="168"/>
      <c r="DS30" s="593"/>
      <c r="DT30" s="593"/>
      <c r="DU30" s="593"/>
      <c r="DV30" s="593"/>
      <c r="DW30" s="168"/>
    </row>
    <row r="31" spans="1:127" s="164" customFormat="1">
      <c r="B31" s="164" t="s">
        <v>281</v>
      </c>
      <c r="C31" s="591" t="s">
        <v>227</v>
      </c>
      <c r="D31" s="591" t="str">
        <f>IF(C29=0,"NM",D29/C29-1)</f>
        <v>NM</v>
      </c>
      <c r="E31" s="591" t="str">
        <f>IF(D29=0,"NM",E29/D29-1)</f>
        <v>NM</v>
      </c>
      <c r="F31" s="591" t="str">
        <f>IF(E29=0,"NM",F29/E29-1)</f>
        <v>NM</v>
      </c>
      <c r="G31" s="165" t="s">
        <v>227</v>
      </c>
      <c r="H31" s="591" t="str">
        <f>IF(F29=0,"NM",H29/F29-1)</f>
        <v>NM</v>
      </c>
      <c r="I31" s="591" t="str">
        <f>IF(H29=0,"NM",I29/H29-1)</f>
        <v>NM</v>
      </c>
      <c r="J31" s="591" t="str">
        <f>IF(I29=0,"NM",J29/I29-1)</f>
        <v>NM</v>
      </c>
      <c r="K31" s="591" t="str">
        <f>IF(J29=0,"NM",K29/J29-1)</f>
        <v>NM</v>
      </c>
      <c r="L31" s="165" t="s">
        <v>227</v>
      </c>
      <c r="M31" s="591" t="str">
        <f>IF(K29=0,"NM",M29/K29-1)</f>
        <v>NM</v>
      </c>
      <c r="N31" s="591" t="str">
        <f>IF(M29=0,"NM",N29/M29-1)</f>
        <v>NM</v>
      </c>
      <c r="O31" s="591" t="str">
        <f>IF(N29=0,"NM",O29/N29-1)</f>
        <v>NM</v>
      </c>
      <c r="P31" s="591" t="str">
        <f>IF(O29=0,"NM",P29/O29-1)</f>
        <v>NM</v>
      </c>
      <c r="Q31" s="165" t="s">
        <v>227</v>
      </c>
      <c r="R31" s="591" t="str">
        <f>IF(P29=0,"NM",R29/P29-1)</f>
        <v>NM</v>
      </c>
      <c r="S31" s="591" t="str">
        <f>IF(R29=0,"NM",S29/R29-1)</f>
        <v>NM</v>
      </c>
      <c r="T31" s="591" t="str">
        <f>IF(S29=0,"NM",T29/S29-1)</f>
        <v>NM</v>
      </c>
      <c r="U31" s="591" t="str">
        <f>IF(T29=0,"NM",U29/T29-1)</f>
        <v>NM</v>
      </c>
      <c r="V31" s="165" t="s">
        <v>227</v>
      </c>
      <c r="W31" s="591" t="str">
        <f>IF(U29=0,"NM",W29/U29-1)</f>
        <v>NM</v>
      </c>
      <c r="X31" s="591" t="str">
        <f>IF(W29=0,"NM",X29/W29-1)</f>
        <v>NM</v>
      </c>
      <c r="Y31" s="591" t="str">
        <f>IF(X29=0,"NM",Y29/X29-1)</f>
        <v>NM</v>
      </c>
      <c r="Z31" s="591" t="str">
        <f>IF(Y29=0,"NM",Z29/Y29-1)</f>
        <v>NM</v>
      </c>
      <c r="AA31" s="165" t="s">
        <v>227</v>
      </c>
      <c r="AB31" s="591" t="str">
        <f>IF(Z29=0,"NM",AB29/Z29-1)</f>
        <v>NM</v>
      </c>
      <c r="AC31" s="591" t="str">
        <f>IF(AB29=0,"NM",AC29/AB29-1)</f>
        <v>NM</v>
      </c>
      <c r="AD31" s="591" t="str">
        <f>IF(AC29=0,"NM",AD29/AC29-1)</f>
        <v>NM</v>
      </c>
      <c r="AE31" s="591" t="str">
        <f>IF(AD29=0,"NM",AE29/AD29-1)</f>
        <v>NM</v>
      </c>
      <c r="AF31" s="165" t="s">
        <v>227</v>
      </c>
      <c r="AG31" s="591" t="str">
        <f>IF(AE29=0,"NM",AG29/AE29-1)</f>
        <v>NM</v>
      </c>
      <c r="AH31" s="591" t="str">
        <f>IF(AG29=0,"NM",AH29/AG29-1)</f>
        <v>NM</v>
      </c>
      <c r="AI31" s="591" t="str">
        <f>IF(AH29=0,"NM",AI29/AH29-1)</f>
        <v>NM</v>
      </c>
      <c r="AJ31" s="591" t="str">
        <f>IF(AI29=0,"NM",AJ29/AI29-1)</f>
        <v>NM</v>
      </c>
      <c r="AK31" s="165" t="s">
        <v>227</v>
      </c>
      <c r="AL31" s="591" t="str">
        <f>IF(AJ29=0,"NM",AL29/AJ29-1)</f>
        <v>NM</v>
      </c>
      <c r="AM31" s="591" t="str">
        <f>IF(AL29=0,"NM",AM29/AL29-1)</f>
        <v>NM</v>
      </c>
      <c r="AN31" s="591" t="str">
        <f>IF(AM29=0,"NM",AN29/AM29-1)</f>
        <v>NM</v>
      </c>
      <c r="AO31" s="591" t="str">
        <f>IF(AN29=0,"NM",AO29/AN29-1)</f>
        <v>NM</v>
      </c>
      <c r="AP31" s="165" t="s">
        <v>227</v>
      </c>
      <c r="AQ31" s="591" t="str">
        <f>IF(AO29=0,"NM",AQ29/AO29-1)</f>
        <v>NM</v>
      </c>
      <c r="AR31" s="591" t="str">
        <f>IF(AQ29=0,"NM",AR29/AQ29-1)</f>
        <v>NM</v>
      </c>
      <c r="AS31" s="591" t="str">
        <f>IF(AR29=0,"NM",AS29/AR29-1)</f>
        <v>NM</v>
      </c>
      <c r="AT31" s="591" t="str">
        <f>IF(AS29=0,"NM",AT29/AS29-1)</f>
        <v>NM</v>
      </c>
      <c r="AU31" s="165" t="s">
        <v>227</v>
      </c>
      <c r="AV31" s="591" t="str">
        <f>IF(AT29=0,"NM",AV29/AT29-1)</f>
        <v>NM</v>
      </c>
      <c r="AW31" s="591" t="str">
        <f>IF(AV29=0,"NM",AW29/AV29-1)</f>
        <v>NM</v>
      </c>
      <c r="AX31" s="591" t="str">
        <f>IF(AW29=0,"NM",AX29/AW29-1)</f>
        <v>NM</v>
      </c>
      <c r="AY31" s="591">
        <f>IF(AX29=0,"NM",AY29/AX29-1)</f>
        <v>0.68195718654434234</v>
      </c>
      <c r="AZ31" s="165" t="s">
        <v>227</v>
      </c>
      <c r="BA31" s="591">
        <f>IF(AY29=0,"NM",BA29/AY29-1)</f>
        <v>1.7772727272727495E-2</v>
      </c>
      <c r="BB31" s="591">
        <f>IF(BA29=0,"NM",BB29/BA29-1)</f>
        <v>9.709704792103957E-2</v>
      </c>
      <c r="BC31" s="591">
        <f>IF(BB29=0,"NM",BC29/BB29-1)</f>
        <v>-4.8695099958884658E-2</v>
      </c>
      <c r="BD31" s="591">
        <f>IF(BC29=0,"NM",BD29/BC29-1)</f>
        <v>0.18525904086200007</v>
      </c>
      <c r="BE31" s="165" t="s">
        <v>227</v>
      </c>
      <c r="BF31" s="591">
        <f>IF(BD29=0,"NM",BF29/BD29-1)</f>
        <v>6.3686448938920392E-2</v>
      </c>
      <c r="BG31" s="591">
        <f>IF(BF29=0,"NM",BG29/BF29-1)</f>
        <v>9.9673479916638996E-2</v>
      </c>
      <c r="BH31" s="591">
        <f>IF(BG29=0,"NM",BH29/BG29-1)</f>
        <v>3.9057002111189343E-2</v>
      </c>
      <c r="BI31" s="591">
        <f>IF(BH29=0,"NM",BI29/BH29-1)</f>
        <v>8.4915132395838588E-2</v>
      </c>
      <c r="BJ31" s="165" t="s">
        <v>227</v>
      </c>
      <c r="BK31" s="591">
        <f>IF(BI29=0,"NM",BK29/BI29-1)</f>
        <v>-1.4314346107089149E-2</v>
      </c>
      <c r="BL31" s="591">
        <f>IF(BK29=0,"NM",BL29/BK29-1)</f>
        <v>2.7777777777777679E-2</v>
      </c>
      <c r="BM31" s="591">
        <f>IF(BL29=0,"NM",BM29/BL29-1)</f>
        <v>2.7027027027026973E-2</v>
      </c>
      <c r="BN31" s="591">
        <f>IF(BM29=0,"NM",BN29/BM29-1)</f>
        <v>9.8670828881579631E-3</v>
      </c>
      <c r="BO31" s="165" t="s">
        <v>227</v>
      </c>
      <c r="BP31" s="591"/>
      <c r="BQ31" s="591"/>
      <c r="BR31" s="591"/>
      <c r="BS31" s="591"/>
      <c r="BT31" s="165" t="s">
        <v>227</v>
      </c>
      <c r="BU31" s="591"/>
      <c r="BV31" s="591"/>
      <c r="BW31" s="591"/>
      <c r="BX31" s="591"/>
      <c r="BY31" s="165" t="s">
        <v>227</v>
      </c>
      <c r="BZ31" s="591"/>
      <c r="CA31" s="591"/>
      <c r="CB31" s="591"/>
      <c r="CC31" s="591"/>
      <c r="CD31" s="165" t="s">
        <v>227</v>
      </c>
      <c r="CE31" s="591"/>
      <c r="CF31" s="591"/>
      <c r="CG31" s="591"/>
      <c r="CH31" s="591"/>
      <c r="CI31" s="165" t="s">
        <v>227</v>
      </c>
      <c r="CJ31" s="591"/>
      <c r="CK31" s="591"/>
      <c r="CL31" s="591"/>
      <c r="CM31" s="591"/>
      <c r="CN31" s="165" t="s">
        <v>227</v>
      </c>
      <c r="CO31" s="591"/>
      <c r="CP31" s="591"/>
      <c r="CQ31" s="591"/>
      <c r="CR31" s="591"/>
      <c r="CS31" s="165" t="s">
        <v>227</v>
      </c>
      <c r="CT31" s="591"/>
      <c r="CU31" s="591"/>
      <c r="CV31" s="591"/>
      <c r="CW31" s="591"/>
      <c r="CX31" s="165" t="s">
        <v>227</v>
      </c>
      <c r="CY31" s="591"/>
      <c r="CZ31" s="591"/>
      <c r="DA31" s="591"/>
      <c r="DB31" s="591"/>
      <c r="DC31" s="165" t="s">
        <v>227</v>
      </c>
      <c r="DD31" s="591"/>
      <c r="DE31" s="591"/>
      <c r="DF31" s="591"/>
      <c r="DG31" s="591"/>
      <c r="DH31" s="165" t="s">
        <v>227</v>
      </c>
      <c r="DI31" s="591"/>
      <c r="DJ31" s="591"/>
      <c r="DK31" s="591"/>
      <c r="DL31" s="591"/>
      <c r="DM31" s="165" t="s">
        <v>227</v>
      </c>
      <c r="DN31" s="591"/>
      <c r="DO31" s="591"/>
      <c r="DP31" s="591"/>
      <c r="DQ31" s="591"/>
      <c r="DR31" s="165" t="s">
        <v>227</v>
      </c>
      <c r="DS31" s="591"/>
      <c r="DT31" s="591"/>
      <c r="DU31" s="591"/>
      <c r="DV31" s="591"/>
      <c r="DW31" s="165" t="s">
        <v>227</v>
      </c>
    </row>
    <row r="32" spans="1:127" s="167" customFormat="1">
      <c r="B32" s="164" t="s">
        <v>282</v>
      </c>
      <c r="C32" s="591" t="s">
        <v>227</v>
      </c>
      <c r="D32" s="591" t="s">
        <v>227</v>
      </c>
      <c r="E32" s="591" t="s">
        <v>283</v>
      </c>
      <c r="F32" s="591" t="s">
        <v>227</v>
      </c>
      <c r="G32" s="165" t="s">
        <v>227</v>
      </c>
      <c r="H32" s="591" t="str">
        <f t="shared" ref="H32:AZ32" si="18">IF(C29=0,"NM",H29/C29-1)</f>
        <v>NM</v>
      </c>
      <c r="I32" s="591" t="str">
        <f t="shared" si="18"/>
        <v>NM</v>
      </c>
      <c r="J32" s="591" t="str">
        <f t="shared" si="18"/>
        <v>NM</v>
      </c>
      <c r="K32" s="591" t="str">
        <f t="shared" si="18"/>
        <v>NM</v>
      </c>
      <c r="L32" s="165" t="str">
        <f t="shared" si="18"/>
        <v>NM</v>
      </c>
      <c r="M32" s="591" t="str">
        <f t="shared" si="18"/>
        <v>NM</v>
      </c>
      <c r="N32" s="591" t="str">
        <f t="shared" si="18"/>
        <v>NM</v>
      </c>
      <c r="O32" s="591" t="str">
        <f t="shared" si="18"/>
        <v>NM</v>
      </c>
      <c r="P32" s="591" t="str">
        <f t="shared" si="18"/>
        <v>NM</v>
      </c>
      <c r="Q32" s="165" t="str">
        <f t="shared" si="18"/>
        <v>NM</v>
      </c>
      <c r="R32" s="591" t="str">
        <f t="shared" si="18"/>
        <v>NM</v>
      </c>
      <c r="S32" s="591" t="str">
        <f t="shared" si="18"/>
        <v>NM</v>
      </c>
      <c r="T32" s="591" t="str">
        <f t="shared" si="18"/>
        <v>NM</v>
      </c>
      <c r="U32" s="591" t="str">
        <f t="shared" si="18"/>
        <v>NM</v>
      </c>
      <c r="V32" s="165" t="str">
        <f t="shared" si="18"/>
        <v>NM</v>
      </c>
      <c r="W32" s="591" t="str">
        <f t="shared" si="18"/>
        <v>NM</v>
      </c>
      <c r="X32" s="591" t="str">
        <f t="shared" si="18"/>
        <v>NM</v>
      </c>
      <c r="Y32" s="591" t="str">
        <f t="shared" si="18"/>
        <v>NM</v>
      </c>
      <c r="Z32" s="591" t="str">
        <f t="shared" si="18"/>
        <v>NM</v>
      </c>
      <c r="AA32" s="165" t="str">
        <f t="shared" si="18"/>
        <v>NM</v>
      </c>
      <c r="AB32" s="591" t="str">
        <f t="shared" si="18"/>
        <v>NM</v>
      </c>
      <c r="AC32" s="591" t="str">
        <f t="shared" si="18"/>
        <v>NM</v>
      </c>
      <c r="AD32" s="591" t="str">
        <f t="shared" si="18"/>
        <v>NM</v>
      </c>
      <c r="AE32" s="591" t="str">
        <f t="shared" si="18"/>
        <v>NM</v>
      </c>
      <c r="AF32" s="165" t="str">
        <f t="shared" si="18"/>
        <v>NM</v>
      </c>
      <c r="AG32" s="591" t="str">
        <f t="shared" si="18"/>
        <v>NM</v>
      </c>
      <c r="AH32" s="591" t="str">
        <f t="shared" si="18"/>
        <v>NM</v>
      </c>
      <c r="AI32" s="591" t="str">
        <f t="shared" si="18"/>
        <v>NM</v>
      </c>
      <c r="AJ32" s="591" t="str">
        <f t="shared" si="18"/>
        <v>NM</v>
      </c>
      <c r="AK32" s="165" t="str">
        <f t="shared" si="18"/>
        <v>NM</v>
      </c>
      <c r="AL32" s="591" t="str">
        <f t="shared" si="18"/>
        <v>NM</v>
      </c>
      <c r="AM32" s="591" t="str">
        <f t="shared" si="18"/>
        <v>NM</v>
      </c>
      <c r="AN32" s="591" t="str">
        <f t="shared" si="18"/>
        <v>NM</v>
      </c>
      <c r="AO32" s="591" t="str">
        <f t="shared" si="18"/>
        <v>NM</v>
      </c>
      <c r="AP32" s="165" t="str">
        <f t="shared" si="18"/>
        <v>NM</v>
      </c>
      <c r="AQ32" s="591" t="str">
        <f t="shared" si="18"/>
        <v>NM</v>
      </c>
      <c r="AR32" s="591" t="str">
        <f t="shared" si="18"/>
        <v>NM</v>
      </c>
      <c r="AS32" s="591" t="str">
        <f t="shared" si="18"/>
        <v>NM</v>
      </c>
      <c r="AT32" s="591" t="str">
        <f t="shared" si="18"/>
        <v>NM</v>
      </c>
      <c r="AU32" s="165" t="str">
        <f t="shared" si="18"/>
        <v>NM</v>
      </c>
      <c r="AV32" s="591" t="str">
        <f t="shared" si="18"/>
        <v>NM</v>
      </c>
      <c r="AW32" s="591" t="str">
        <f t="shared" si="18"/>
        <v>NM</v>
      </c>
      <c r="AX32" s="591" t="str">
        <f t="shared" si="18"/>
        <v>NM</v>
      </c>
      <c r="AY32" s="591" t="str">
        <f t="shared" si="18"/>
        <v>NM</v>
      </c>
      <c r="AZ32" s="165" t="str">
        <f t="shared" si="18"/>
        <v>NM</v>
      </c>
      <c r="BA32" s="591" t="str">
        <f t="shared" ref="BA32" si="19">IF(AV29=0,"NM",BA29/AV29-1)</f>
        <v>NM</v>
      </c>
      <c r="BB32" s="591" t="str">
        <f t="shared" ref="BB32" si="20">IF(AW29=0,"NM",BB29/AW29-1)</f>
        <v>NM</v>
      </c>
      <c r="BC32" s="591">
        <f t="shared" ref="BC32" si="21">IF(AX29=0,"NM",BC29/AX29-1)</f>
        <v>0.78661314984709474</v>
      </c>
      <c r="BD32" s="591">
        <f t="shared" ref="BD32" si="22">IF(AY29=0,"NM",BD29/AY29-1)</f>
        <v>0.25900909090909074</v>
      </c>
      <c r="BE32" s="165">
        <f>IF(AZ29=0,"NM",BE29/AZ29-1)</f>
        <v>1.7919669327251997</v>
      </c>
      <c r="BF32" s="591">
        <f t="shared" ref="BF32" si="23">IF(BA29=0,"NM",BF29/BA29-1)</f>
        <v>0.3158054575499083</v>
      </c>
      <c r="BG32" s="591">
        <f t="shared" ref="BG32" si="24">IF(BB29=0,"NM",BG29/BB29-1)</f>
        <v>0.31889550622631302</v>
      </c>
      <c r="BH32" s="591">
        <f t="shared" ref="BH32" si="25">IF(BC29=0,"NM",BH29/BC29-1)</f>
        <v>0.4405556102341146</v>
      </c>
      <c r="BI32" s="591">
        <f t="shared" ref="BI32" si="26">IF(BD29=0,"NM",BI29/BD29-1)</f>
        <v>0.31859832046847814</v>
      </c>
      <c r="BJ32" s="165">
        <f>IF(BE29=0,"NM",BJ29/BE29-1)</f>
        <v>0.34822374829236025</v>
      </c>
      <c r="BK32" s="591">
        <f t="shared" ref="BK32" si="27">IF(BF29=0,"NM",BK29/BF29-1)</f>
        <v>0.22190467785840839</v>
      </c>
      <c r="BL32" s="591">
        <f t="shared" ref="BL32" si="28">IF(BG29=0,"NM",BL29/BG29-1)</f>
        <v>0.14201760559033039</v>
      </c>
      <c r="BM32" s="591">
        <f t="shared" ref="BM32" si="29">IF(BH29=0,"NM",BM29/BH29-1)</f>
        <v>0.12879557512134543</v>
      </c>
      <c r="BN32" s="591">
        <f t="shared" ref="BN32" si="30">IF(BI29=0,"NM",BN29/BI29-1)</f>
        <v>5.0712134604959269E-2</v>
      </c>
      <c r="BO32" s="165">
        <f>IF(BJ29=0,"NM",BO29/BJ29-1)</f>
        <v>0.13121705099471392</v>
      </c>
      <c r="BP32" s="591"/>
      <c r="BQ32" s="591"/>
      <c r="BR32" s="591"/>
      <c r="BS32" s="591"/>
      <c r="BT32" s="165">
        <f>IF(BO29=0,"NM",BT29/BO29-1)</f>
        <v>-1.9572045232257085E-2</v>
      </c>
      <c r="BU32" s="591"/>
      <c r="BV32" s="591"/>
      <c r="BW32" s="591"/>
      <c r="BX32" s="591"/>
      <c r="BY32" s="165">
        <f>IF(BT29=0,"NM",BY29/BT29-1)</f>
        <v>-0.12988134227015746</v>
      </c>
      <c r="BZ32" s="591"/>
      <c r="CA32" s="591"/>
      <c r="CB32" s="591"/>
      <c r="CC32" s="591"/>
      <c r="CD32" s="165">
        <f>IF(BY29=0,"NM",CD29/BY29-1)</f>
        <v>-5.3707755523329626E-2</v>
      </c>
      <c r="CE32" s="591"/>
      <c r="CF32" s="591"/>
      <c r="CG32" s="591"/>
      <c r="CH32" s="591"/>
      <c r="CI32" s="165">
        <f>IF(CD29=0,"NM",CI29/CD29-1)</f>
        <v>-0.12551974758436824</v>
      </c>
      <c r="CJ32" s="591"/>
      <c r="CK32" s="591"/>
      <c r="CL32" s="591"/>
      <c r="CM32" s="591"/>
      <c r="CN32" s="165">
        <f>IF(CI29=0,"NM",CN29/CI29-1)</f>
        <v>-0.14681945595596912</v>
      </c>
      <c r="CO32" s="591"/>
      <c r="CP32" s="591"/>
      <c r="CQ32" s="591"/>
      <c r="CR32" s="591"/>
      <c r="CS32" s="165">
        <f>IF(CN29=0,"NM",CS29/CN29-1)</f>
        <v>-0.31022185139347125</v>
      </c>
      <c r="CT32" s="591"/>
      <c r="CU32" s="591"/>
      <c r="CV32" s="591"/>
      <c r="CW32" s="591"/>
      <c r="CX32" s="165">
        <f>IF(CS29=0,"NM",CX29/CS29-1)</f>
        <v>-0.3735812273645529</v>
      </c>
      <c r="CY32" s="591"/>
      <c r="CZ32" s="591"/>
      <c r="DA32" s="591"/>
      <c r="DB32" s="591"/>
      <c r="DC32" s="165">
        <f>IF(CX29=0,"NM",DC29/CX29-1)</f>
        <v>-0.45435698490832388</v>
      </c>
      <c r="DD32" s="591"/>
      <c r="DE32" s="591"/>
      <c r="DF32" s="591"/>
      <c r="DG32" s="591"/>
      <c r="DH32" s="165">
        <f>IF(DC29=0,"NM",DH29/DC29-1)</f>
        <v>-0.47727103298061968</v>
      </c>
      <c r="DI32" s="591"/>
      <c r="DJ32" s="591"/>
      <c r="DK32" s="591"/>
      <c r="DL32" s="591"/>
      <c r="DM32" s="165">
        <f>IF(DH29=0,"NM",DM29/DH29-1)</f>
        <v>-0.52925394126575442</v>
      </c>
      <c r="DN32" s="591"/>
      <c r="DO32" s="591"/>
      <c r="DP32" s="591"/>
      <c r="DQ32" s="591"/>
      <c r="DR32" s="165">
        <f>IF(DM29=0,"NM",DR29/DM29-1)</f>
        <v>-0.65665599771427519</v>
      </c>
      <c r="DS32" s="591"/>
      <c r="DT32" s="591"/>
      <c r="DU32" s="591"/>
      <c r="DV32" s="591"/>
      <c r="DW32" s="165">
        <f>IF(DR29=0,"NM",DW29/DR29-1)</f>
        <v>-0.91702127659574462</v>
      </c>
    </row>
    <row r="33" spans="2:127" s="167" customFormat="1">
      <c r="B33" s="164"/>
      <c r="C33" s="591"/>
      <c r="D33" s="591"/>
      <c r="E33" s="591"/>
      <c r="F33" s="591"/>
      <c r="G33" s="165"/>
      <c r="H33" s="591"/>
      <c r="I33" s="591"/>
      <c r="J33" s="591"/>
      <c r="K33" s="591"/>
      <c r="L33" s="165"/>
      <c r="M33" s="591"/>
      <c r="N33" s="591"/>
      <c r="O33" s="591"/>
      <c r="P33" s="591"/>
      <c r="Q33" s="165"/>
      <c r="R33" s="591"/>
      <c r="S33" s="591"/>
      <c r="T33" s="591"/>
      <c r="U33" s="591"/>
      <c r="V33" s="165"/>
      <c r="W33" s="591"/>
      <c r="X33" s="591"/>
      <c r="Y33" s="591"/>
      <c r="Z33" s="591"/>
      <c r="AA33" s="165"/>
      <c r="AB33" s="591"/>
      <c r="AC33" s="591"/>
      <c r="AD33" s="591"/>
      <c r="AE33" s="591"/>
      <c r="AF33" s="165"/>
      <c r="AG33" s="591"/>
      <c r="AH33" s="591"/>
      <c r="AI33" s="591"/>
      <c r="AJ33" s="591"/>
      <c r="AK33" s="165"/>
      <c r="AL33" s="591"/>
      <c r="AM33" s="591"/>
      <c r="AN33" s="591"/>
      <c r="AO33" s="591"/>
      <c r="AP33" s="165"/>
      <c r="AQ33" s="591"/>
      <c r="AR33" s="591"/>
      <c r="AS33" s="591"/>
      <c r="AT33" s="591"/>
      <c r="AU33" s="165"/>
      <c r="AV33" s="591"/>
      <c r="AW33" s="591"/>
      <c r="AX33" s="591"/>
      <c r="AY33" s="591"/>
      <c r="AZ33" s="165"/>
      <c r="BA33" s="591"/>
      <c r="BB33" s="591"/>
      <c r="BC33" s="591"/>
      <c r="BD33" s="591"/>
      <c r="BE33" s="165"/>
      <c r="BF33" s="591"/>
      <c r="BG33" s="591"/>
      <c r="BH33" s="591"/>
      <c r="BI33" s="591"/>
      <c r="BJ33" s="165"/>
      <c r="BK33" s="591"/>
      <c r="BL33" s="591"/>
      <c r="BM33" s="591"/>
      <c r="BN33" s="591"/>
      <c r="BO33" s="165"/>
      <c r="BP33" s="591"/>
      <c r="BQ33" s="591"/>
      <c r="BR33" s="591"/>
      <c r="BS33" s="591"/>
      <c r="BT33" s="165"/>
      <c r="BU33" s="591"/>
      <c r="BV33" s="591"/>
      <c r="BW33" s="591"/>
      <c r="BX33" s="591"/>
      <c r="BY33" s="165"/>
      <c r="BZ33" s="591"/>
      <c r="CA33" s="591"/>
      <c r="CB33" s="591"/>
      <c r="CC33" s="591"/>
      <c r="CD33" s="165"/>
      <c r="CE33" s="591"/>
      <c r="CF33" s="591"/>
      <c r="CG33" s="591"/>
      <c r="CH33" s="591"/>
      <c r="CI33" s="165"/>
      <c r="CJ33" s="591"/>
      <c r="CK33" s="591"/>
      <c r="CL33" s="591"/>
      <c r="CM33" s="591"/>
      <c r="CN33" s="165"/>
      <c r="CO33" s="591"/>
      <c r="CP33" s="591"/>
      <c r="CQ33" s="591"/>
      <c r="CR33" s="591"/>
      <c r="CS33" s="165"/>
      <c r="CT33" s="591"/>
      <c r="CU33" s="591"/>
      <c r="CV33" s="591"/>
      <c r="CW33" s="591"/>
      <c r="CX33" s="165"/>
      <c r="CY33" s="591"/>
      <c r="CZ33" s="591"/>
      <c r="DA33" s="591"/>
      <c r="DB33" s="591"/>
      <c r="DC33" s="165"/>
      <c r="DD33" s="591"/>
      <c r="DE33" s="591"/>
      <c r="DF33" s="591"/>
      <c r="DG33" s="591"/>
      <c r="DH33" s="165"/>
      <c r="DI33" s="591"/>
      <c r="DJ33" s="591"/>
      <c r="DK33" s="591"/>
      <c r="DL33" s="591"/>
      <c r="DM33" s="165"/>
      <c r="DN33" s="591"/>
      <c r="DO33" s="591"/>
      <c r="DP33" s="591"/>
      <c r="DQ33" s="591"/>
      <c r="DR33" s="165"/>
      <c r="DS33" s="591"/>
      <c r="DT33" s="591"/>
      <c r="DU33" s="591"/>
      <c r="DV33" s="591"/>
      <c r="DW33" s="165"/>
    </row>
    <row r="34" spans="2:127" s="167" customFormat="1">
      <c r="B34" s="145" t="s">
        <v>683</v>
      </c>
      <c r="C34" s="591"/>
      <c r="D34" s="591"/>
      <c r="E34" s="591"/>
      <c r="F34" s="591"/>
      <c r="G34" s="165"/>
      <c r="H34" s="591"/>
      <c r="I34" s="591"/>
      <c r="J34" s="591"/>
      <c r="K34" s="591"/>
      <c r="L34" s="165"/>
      <c r="M34" s="591"/>
      <c r="N34" s="591"/>
      <c r="O34" s="591"/>
      <c r="P34" s="591"/>
      <c r="Q34" s="165"/>
      <c r="R34" s="591"/>
      <c r="S34" s="591"/>
      <c r="T34" s="591"/>
      <c r="U34" s="591"/>
      <c r="V34" s="165"/>
      <c r="W34" s="591"/>
      <c r="X34" s="591"/>
      <c r="Y34" s="591"/>
      <c r="Z34" s="591"/>
      <c r="AA34" s="165"/>
      <c r="AB34" s="591"/>
      <c r="AC34" s="591"/>
      <c r="AD34" s="591"/>
      <c r="AE34" s="591"/>
      <c r="AF34" s="165"/>
      <c r="AG34" s="591"/>
      <c r="AH34" s="591"/>
      <c r="AI34" s="591"/>
      <c r="AJ34" s="591"/>
      <c r="AK34" s="165"/>
      <c r="AL34" s="591"/>
      <c r="AM34" s="591"/>
      <c r="AN34" s="591"/>
      <c r="AO34" s="591"/>
      <c r="AP34" s="165"/>
      <c r="AQ34" s="591"/>
      <c r="AR34" s="591"/>
      <c r="AS34" s="591"/>
      <c r="AT34" s="591"/>
      <c r="AU34" s="165"/>
      <c r="AV34" s="591"/>
      <c r="AW34" s="591"/>
      <c r="AX34" s="591"/>
      <c r="AY34" s="591"/>
      <c r="AZ34" s="165"/>
      <c r="BA34" s="591"/>
      <c r="BB34" s="591"/>
      <c r="BC34" s="591"/>
      <c r="BD34" s="591"/>
      <c r="BE34" s="165"/>
      <c r="BF34" s="591"/>
      <c r="BG34" s="591"/>
      <c r="BH34" s="591"/>
      <c r="BI34" s="591"/>
      <c r="BJ34" s="706">
        <f>'CF Market'!L330</f>
        <v>0</v>
      </c>
      <c r="BK34" s="761">
        <v>10</v>
      </c>
      <c r="BL34" s="761">
        <v>40</v>
      </c>
      <c r="BM34" s="761">
        <v>70</v>
      </c>
      <c r="BN34" s="761">
        <f>BO34-SUM(BK34:BM34)</f>
        <v>84.718853409687483</v>
      </c>
      <c r="BO34" s="706">
        <f>'CF Market'!M330</f>
        <v>204.71885340968748</v>
      </c>
      <c r="BP34" s="591"/>
      <c r="BQ34" s="591"/>
      <c r="BR34" s="591"/>
      <c r="BS34" s="591"/>
      <c r="BT34" s="706">
        <f>'CF Market'!N330</f>
        <v>390.79841139899997</v>
      </c>
      <c r="BU34" s="591"/>
      <c r="BV34" s="591"/>
      <c r="BW34" s="591"/>
      <c r="BX34" s="591"/>
      <c r="BY34" s="706">
        <f>'CF Market'!O330</f>
        <v>308.72194323918745</v>
      </c>
      <c r="BZ34" s="591"/>
      <c r="CA34" s="591"/>
      <c r="CB34" s="591"/>
      <c r="CC34" s="591"/>
      <c r="CD34" s="706">
        <f>'CF Market'!P330</f>
        <v>238.41783713446873</v>
      </c>
      <c r="CE34" s="591"/>
      <c r="CF34" s="591"/>
      <c r="CG34" s="591"/>
      <c r="CH34" s="591"/>
      <c r="CI34" s="706">
        <f>'CF Market'!Q330</f>
        <v>179.28097167079687</v>
      </c>
      <c r="CJ34" s="591"/>
      <c r="CK34" s="591"/>
      <c r="CL34" s="591"/>
      <c r="CM34" s="591"/>
      <c r="CN34" s="706">
        <f>'CF Market'!R330</f>
        <v>149.71253893896093</v>
      </c>
      <c r="CO34" s="591"/>
      <c r="CP34" s="591"/>
      <c r="CQ34" s="591"/>
      <c r="CR34" s="591"/>
      <c r="CS34" s="706">
        <f>'CF Market'!S330</f>
        <v>90.658190031749996</v>
      </c>
      <c r="CT34" s="591"/>
      <c r="CU34" s="591"/>
      <c r="CV34" s="591"/>
      <c r="CW34" s="591"/>
      <c r="CX34" s="706">
        <f>'CF Market'!T330</f>
        <v>66.013245168749989</v>
      </c>
      <c r="CY34" s="591"/>
      <c r="CZ34" s="591"/>
      <c r="DA34" s="591"/>
      <c r="DB34" s="591"/>
      <c r="DC34" s="706">
        <f>'CF Market'!U330</f>
        <v>33.006622584374995</v>
      </c>
      <c r="DD34" s="591"/>
      <c r="DE34" s="591"/>
      <c r="DF34" s="591"/>
      <c r="DG34" s="591"/>
      <c r="DH34" s="706">
        <f>'CF Market'!V330</f>
        <v>11.992406205656248</v>
      </c>
      <c r="DI34" s="591"/>
      <c r="DJ34" s="591"/>
      <c r="DK34" s="591"/>
      <c r="DL34" s="591"/>
      <c r="DM34" s="706">
        <f>'CF Market'!W330</f>
        <v>2.9981015514140621</v>
      </c>
      <c r="DN34" s="591"/>
      <c r="DO34" s="591"/>
      <c r="DP34" s="591"/>
      <c r="DQ34" s="591"/>
      <c r="DR34" s="706">
        <f>'CF Market'!X330</f>
        <v>0</v>
      </c>
      <c r="DS34" s="591"/>
      <c r="DT34" s="591"/>
      <c r="DU34" s="591"/>
      <c r="DV34" s="591"/>
      <c r="DW34" s="706">
        <f>'CF Market'!Y330</f>
        <v>0</v>
      </c>
    </row>
    <row r="35" spans="2:127" s="167" customFormat="1">
      <c r="B35" s="153" t="s">
        <v>684</v>
      </c>
      <c r="C35" s="591"/>
      <c r="D35" s="591"/>
      <c r="E35" s="591"/>
      <c r="F35" s="591"/>
      <c r="G35" s="165"/>
      <c r="H35" s="591"/>
      <c r="I35" s="591"/>
      <c r="J35" s="591"/>
      <c r="K35" s="591"/>
      <c r="L35" s="165"/>
      <c r="M35" s="591"/>
      <c r="N35" s="591"/>
      <c r="O35" s="591"/>
      <c r="P35" s="591"/>
      <c r="Q35" s="165"/>
      <c r="R35" s="591"/>
      <c r="S35" s="591"/>
      <c r="T35" s="591"/>
      <c r="U35" s="591"/>
      <c r="V35" s="165"/>
      <c r="W35" s="591"/>
      <c r="X35" s="591"/>
      <c r="Y35" s="591"/>
      <c r="Z35" s="591"/>
      <c r="AA35" s="165"/>
      <c r="AB35" s="591"/>
      <c r="AC35" s="591"/>
      <c r="AD35" s="591"/>
      <c r="AE35" s="591"/>
      <c r="AF35" s="165"/>
      <c r="AG35" s="591"/>
      <c r="AH35" s="591"/>
      <c r="AI35" s="591"/>
      <c r="AJ35" s="591"/>
      <c r="AK35" s="165"/>
      <c r="AL35" s="591"/>
      <c r="AM35" s="591"/>
      <c r="AN35" s="591"/>
      <c r="AO35" s="591"/>
      <c r="AP35" s="165"/>
      <c r="AQ35" s="591"/>
      <c r="AR35" s="591"/>
      <c r="AS35" s="591"/>
      <c r="AT35" s="591"/>
      <c r="AU35" s="165"/>
      <c r="AV35" s="591"/>
      <c r="AW35" s="591"/>
      <c r="AX35" s="591"/>
      <c r="AY35" s="591"/>
      <c r="AZ35" s="165"/>
      <c r="BA35" s="591"/>
      <c r="BB35" s="591"/>
      <c r="BC35" s="591"/>
      <c r="BD35" s="591"/>
      <c r="BE35" s="165"/>
      <c r="BF35" s="591"/>
      <c r="BG35" s="591"/>
      <c r="BH35" s="591"/>
      <c r="BI35" s="591"/>
      <c r="BJ35" s="706">
        <f>'CF Market'!LL336+'CF Market'!L342</f>
        <v>0</v>
      </c>
      <c r="BK35" s="761">
        <v>0</v>
      </c>
      <c r="BL35" s="761">
        <v>0</v>
      </c>
      <c r="BM35" s="761">
        <v>5</v>
      </c>
      <c r="BN35" s="761">
        <f>BO35-BK35-BL35-BM35</f>
        <v>10</v>
      </c>
      <c r="BO35" s="706">
        <v>15</v>
      </c>
      <c r="BP35" s="591"/>
      <c r="BQ35" s="591"/>
      <c r="BR35" s="591"/>
      <c r="BS35" s="591"/>
      <c r="BT35" s="706">
        <f>'CF Market'!N336+'CF Market'!N342</f>
        <v>94.205986874999994</v>
      </c>
      <c r="BU35" s="591"/>
      <c r="BV35" s="591"/>
      <c r="BW35" s="591"/>
      <c r="BX35" s="591"/>
      <c r="BY35" s="706">
        <f>'CF Market'!O336+'CF Market'!O342</f>
        <v>262.90881737402344</v>
      </c>
      <c r="BZ35" s="591"/>
      <c r="CA35" s="591"/>
      <c r="CB35" s="591"/>
      <c r="CC35" s="591"/>
      <c r="CD35" s="706">
        <f>'CF Market'!P336+'CF Market'!P342</f>
        <v>361.34585357431638</v>
      </c>
      <c r="CE35" s="591"/>
      <c r="CF35" s="591"/>
      <c r="CG35" s="591"/>
      <c r="CH35" s="591"/>
      <c r="CI35" s="706">
        <f>'CF Market'!Q336+'CF Market'!Q342</f>
        <v>359.45146865200553</v>
      </c>
      <c r="CJ35" s="591"/>
      <c r="CK35" s="591"/>
      <c r="CL35" s="591"/>
      <c r="CM35" s="591"/>
      <c r="CN35" s="706">
        <f>'CF Market'!R336+'CF Market'!R342</f>
        <v>315.9675403769163</v>
      </c>
      <c r="CO35" s="591"/>
      <c r="CP35" s="591"/>
      <c r="CQ35" s="591"/>
      <c r="CR35" s="591"/>
      <c r="CS35" s="706">
        <f>'CF Market'!S336+'CF Market'!S342</f>
        <v>200.50313632734793</v>
      </c>
      <c r="CT35" s="591"/>
      <c r="CU35" s="591"/>
      <c r="CV35" s="591"/>
      <c r="CW35" s="591"/>
      <c r="CX35" s="706">
        <f>'CF Market'!T336+'CF Market'!T342</f>
        <v>83.54768527143824</v>
      </c>
      <c r="CY35" s="591"/>
      <c r="CZ35" s="591"/>
      <c r="DA35" s="591"/>
      <c r="DB35" s="591"/>
      <c r="DC35" s="706">
        <f>'CF Market'!U336+'CF Market'!U342</f>
        <v>45.344019742084519</v>
      </c>
      <c r="DD35" s="591"/>
      <c r="DE35" s="591"/>
      <c r="DF35" s="591"/>
      <c r="DG35" s="591"/>
      <c r="DH35" s="706">
        <f>'CF Market'!V336+'CF Market'!V342</f>
        <v>28.139503317740164</v>
      </c>
      <c r="DI35" s="591"/>
      <c r="DJ35" s="591"/>
      <c r="DK35" s="591"/>
      <c r="DL35" s="591"/>
      <c r="DM35" s="706">
        <f>'CF Market'!W336+'CF Market'!W342</f>
        <v>12.950697741118207</v>
      </c>
      <c r="DN35" s="591"/>
      <c r="DO35" s="591"/>
      <c r="DP35" s="591"/>
      <c r="DQ35" s="591"/>
      <c r="DR35" s="706">
        <f>'CF Market'!X336+'CF Market'!X342</f>
        <v>6.182765641749226</v>
      </c>
      <c r="DS35" s="591"/>
      <c r="DT35" s="591"/>
      <c r="DU35" s="591"/>
      <c r="DV35" s="591"/>
      <c r="DW35" s="706">
        <f>'CF Market'!Y336+'CF Market'!Y342</f>
        <v>0.51303800006004219</v>
      </c>
    </row>
    <row r="36" spans="2:127" s="167" customFormat="1">
      <c r="B36" s="142" t="s">
        <v>685</v>
      </c>
      <c r="C36" s="591"/>
      <c r="D36" s="591"/>
      <c r="E36" s="591"/>
      <c r="F36" s="591"/>
      <c r="G36" s="165"/>
      <c r="H36" s="591"/>
      <c r="I36" s="591"/>
      <c r="J36" s="591"/>
      <c r="K36" s="591"/>
      <c r="L36" s="165"/>
      <c r="M36" s="591"/>
      <c r="N36" s="591"/>
      <c r="O36" s="591"/>
      <c r="P36" s="591"/>
      <c r="Q36" s="165"/>
      <c r="R36" s="591"/>
      <c r="S36" s="591"/>
      <c r="T36" s="591"/>
      <c r="U36" s="591"/>
      <c r="V36" s="165"/>
      <c r="W36" s="591"/>
      <c r="X36" s="591"/>
      <c r="Y36" s="591"/>
      <c r="Z36" s="591"/>
      <c r="AA36" s="165"/>
      <c r="AB36" s="591"/>
      <c r="AC36" s="591"/>
      <c r="AD36" s="591"/>
      <c r="AE36" s="591"/>
      <c r="AF36" s="165"/>
      <c r="AG36" s="591"/>
      <c r="AH36" s="591"/>
      <c r="AI36" s="591"/>
      <c r="AJ36" s="591"/>
      <c r="AK36" s="165"/>
      <c r="AL36" s="591"/>
      <c r="AM36" s="591"/>
      <c r="AN36" s="591"/>
      <c r="AO36" s="591"/>
      <c r="AP36" s="165"/>
      <c r="AQ36" s="591"/>
      <c r="AR36" s="591"/>
      <c r="AS36" s="591"/>
      <c r="AT36" s="591"/>
      <c r="AU36" s="165"/>
      <c r="AV36" s="591"/>
      <c r="AW36" s="591"/>
      <c r="AX36" s="591"/>
      <c r="AY36" s="591"/>
      <c r="AZ36" s="165"/>
      <c r="BA36" s="591"/>
      <c r="BB36" s="591"/>
      <c r="BC36" s="591"/>
      <c r="BD36" s="591"/>
      <c r="BE36" s="165"/>
      <c r="BF36" s="591"/>
      <c r="BG36" s="591"/>
      <c r="BH36" s="591"/>
      <c r="BI36" s="591"/>
      <c r="BJ36" s="168">
        <f>BJ34+BJ35</f>
        <v>0</v>
      </c>
      <c r="BK36" s="762">
        <f>SUM(BK34:BK35)</f>
        <v>10</v>
      </c>
      <c r="BL36" s="762">
        <f t="shared" ref="BL36:BN36" si="31">SUM(BL34:BL35)</f>
        <v>40</v>
      </c>
      <c r="BM36" s="762">
        <f t="shared" si="31"/>
        <v>75</v>
      </c>
      <c r="BN36" s="762">
        <f t="shared" si="31"/>
        <v>94.718853409687483</v>
      </c>
      <c r="BO36" s="168">
        <f>BO34+BO35</f>
        <v>219.71885340968748</v>
      </c>
      <c r="BP36" s="591"/>
      <c r="BQ36" s="591"/>
      <c r="BR36" s="591"/>
      <c r="BS36" s="591"/>
      <c r="BT36" s="168">
        <f>BT34+BT35</f>
        <v>485.00439827399998</v>
      </c>
      <c r="BU36" s="591"/>
      <c r="BV36" s="591"/>
      <c r="BW36" s="591"/>
      <c r="BX36" s="591"/>
      <c r="BY36" s="168">
        <f>BY34+BY35</f>
        <v>571.6307606132109</v>
      </c>
      <c r="BZ36" s="591"/>
      <c r="CA36" s="591"/>
      <c r="CB36" s="591"/>
      <c r="CC36" s="591"/>
      <c r="CD36" s="168">
        <f>CD34+CD35</f>
        <v>599.76369070878513</v>
      </c>
      <c r="CE36" s="591"/>
      <c r="CF36" s="591"/>
      <c r="CG36" s="591"/>
      <c r="CH36" s="591"/>
      <c r="CI36" s="168">
        <f>CI34+CI35</f>
        <v>538.7324403228024</v>
      </c>
      <c r="CJ36" s="591"/>
      <c r="CK36" s="591"/>
      <c r="CL36" s="591"/>
      <c r="CM36" s="591"/>
      <c r="CN36" s="168">
        <f>CN34+CN35</f>
        <v>465.68007931587726</v>
      </c>
      <c r="CO36" s="591"/>
      <c r="CP36" s="591"/>
      <c r="CQ36" s="591"/>
      <c r="CR36" s="591"/>
      <c r="CS36" s="168">
        <f>CS34+CS35</f>
        <v>291.16132635909793</v>
      </c>
      <c r="CT36" s="591"/>
      <c r="CU36" s="591"/>
      <c r="CV36" s="591"/>
      <c r="CW36" s="591"/>
      <c r="CX36" s="168">
        <f>CX34+CX35</f>
        <v>149.56093044018823</v>
      </c>
      <c r="CY36" s="591"/>
      <c r="CZ36" s="591"/>
      <c r="DA36" s="591"/>
      <c r="DB36" s="591"/>
      <c r="DC36" s="168">
        <f>DC34+DC35</f>
        <v>78.350642326459507</v>
      </c>
      <c r="DD36" s="591"/>
      <c r="DE36" s="591"/>
      <c r="DF36" s="591"/>
      <c r="DG36" s="591"/>
      <c r="DH36" s="168">
        <f>DH34+DH35</f>
        <v>40.131909523396416</v>
      </c>
      <c r="DI36" s="591"/>
      <c r="DJ36" s="591"/>
      <c r="DK36" s="591"/>
      <c r="DL36" s="591"/>
      <c r="DM36" s="168">
        <f>DM34+DM35</f>
        <v>15.948799292532268</v>
      </c>
      <c r="DN36" s="591"/>
      <c r="DO36" s="591"/>
      <c r="DP36" s="591"/>
      <c r="DQ36" s="591"/>
      <c r="DR36" s="168">
        <f>DR34+DR35</f>
        <v>6.182765641749226</v>
      </c>
      <c r="DS36" s="591"/>
      <c r="DT36" s="591"/>
      <c r="DU36" s="591"/>
      <c r="DV36" s="591"/>
      <c r="DW36" s="168">
        <f>DW34+DW35</f>
        <v>0.51303800006004219</v>
      </c>
    </row>
    <row r="37" spans="2:127" s="167" customFormat="1">
      <c r="B37" s="142"/>
      <c r="C37" s="591"/>
      <c r="D37" s="591"/>
      <c r="E37" s="591"/>
      <c r="F37" s="591"/>
      <c r="G37" s="165"/>
      <c r="H37" s="591"/>
      <c r="I37" s="591"/>
      <c r="J37" s="591"/>
      <c r="K37" s="591"/>
      <c r="L37" s="165"/>
      <c r="M37" s="591"/>
      <c r="N37" s="591"/>
      <c r="O37" s="591"/>
      <c r="P37" s="591"/>
      <c r="Q37" s="165"/>
      <c r="R37" s="591"/>
      <c r="S37" s="591"/>
      <c r="T37" s="591"/>
      <c r="U37" s="591"/>
      <c r="V37" s="165"/>
      <c r="W37" s="591"/>
      <c r="X37" s="591"/>
      <c r="Y37" s="591"/>
      <c r="Z37" s="591"/>
      <c r="AA37" s="165"/>
      <c r="AB37" s="591"/>
      <c r="AC37" s="591"/>
      <c r="AD37" s="591"/>
      <c r="AE37" s="591"/>
      <c r="AF37" s="165"/>
      <c r="AG37" s="591"/>
      <c r="AH37" s="591"/>
      <c r="AI37" s="591"/>
      <c r="AJ37" s="591"/>
      <c r="AK37" s="165"/>
      <c r="AL37" s="591"/>
      <c r="AM37" s="591"/>
      <c r="AN37" s="591"/>
      <c r="AO37" s="591"/>
      <c r="AP37" s="165"/>
      <c r="AQ37" s="591"/>
      <c r="AR37" s="591"/>
      <c r="AS37" s="591"/>
      <c r="AT37" s="591"/>
      <c r="AU37" s="165"/>
      <c r="AV37" s="591"/>
      <c r="AW37" s="591"/>
      <c r="AX37" s="591"/>
      <c r="AY37" s="591"/>
      <c r="AZ37" s="165"/>
      <c r="BA37" s="591"/>
      <c r="BB37" s="591"/>
      <c r="BC37" s="591"/>
      <c r="BD37" s="591"/>
      <c r="BE37" s="165"/>
      <c r="BF37" s="591"/>
      <c r="BG37" s="591"/>
      <c r="BH37" s="591"/>
      <c r="BI37" s="591"/>
      <c r="BJ37" s="165"/>
      <c r="BK37" s="591"/>
      <c r="BL37" s="591"/>
      <c r="BM37" s="591"/>
      <c r="BN37" s="591"/>
      <c r="BO37" s="165"/>
      <c r="BP37" s="591"/>
      <c r="BQ37" s="591"/>
      <c r="BR37" s="591"/>
      <c r="BS37" s="591"/>
      <c r="BT37" s="165"/>
      <c r="BU37" s="591"/>
      <c r="BV37" s="591"/>
      <c r="BW37" s="591"/>
      <c r="BX37" s="591"/>
      <c r="BY37" s="165"/>
      <c r="BZ37" s="591"/>
      <c r="CA37" s="591"/>
      <c r="CB37" s="591"/>
      <c r="CC37" s="591"/>
      <c r="CD37" s="165"/>
      <c r="CE37" s="591"/>
      <c r="CF37" s="591"/>
      <c r="CG37" s="591"/>
      <c r="CH37" s="591"/>
      <c r="CI37" s="165"/>
      <c r="CJ37" s="591"/>
      <c r="CK37" s="591"/>
      <c r="CL37" s="591"/>
      <c r="CM37" s="591"/>
      <c r="CN37" s="165"/>
      <c r="CO37" s="591"/>
      <c r="CP37" s="591"/>
      <c r="CQ37" s="591"/>
      <c r="CR37" s="591"/>
      <c r="CS37" s="165"/>
      <c r="CT37" s="591"/>
      <c r="CU37" s="591"/>
      <c r="CV37" s="591"/>
      <c r="CW37" s="591"/>
      <c r="CX37" s="165"/>
      <c r="CY37" s="591"/>
      <c r="CZ37" s="591"/>
      <c r="DA37" s="591"/>
      <c r="DB37" s="591"/>
      <c r="DC37" s="165"/>
      <c r="DD37" s="591"/>
      <c r="DE37" s="591"/>
      <c r="DF37" s="591"/>
      <c r="DG37" s="591"/>
      <c r="DH37" s="165"/>
      <c r="DI37" s="591"/>
      <c r="DJ37" s="591"/>
      <c r="DK37" s="591"/>
      <c r="DL37" s="591"/>
      <c r="DM37" s="165"/>
      <c r="DN37" s="591"/>
      <c r="DO37" s="591"/>
      <c r="DP37" s="591"/>
      <c r="DQ37" s="591"/>
      <c r="DR37" s="165"/>
      <c r="DS37" s="591"/>
      <c r="DT37" s="591"/>
      <c r="DU37" s="591"/>
      <c r="DV37" s="591"/>
      <c r="DW37" s="165"/>
    </row>
    <row r="38" spans="2:127" s="167" customFormat="1">
      <c r="B38" s="164" t="s">
        <v>281</v>
      </c>
      <c r="C38" s="591"/>
      <c r="D38" s="591"/>
      <c r="E38" s="591"/>
      <c r="F38" s="591"/>
      <c r="G38" s="165"/>
      <c r="H38" s="591"/>
      <c r="I38" s="591"/>
      <c r="J38" s="591"/>
      <c r="K38" s="591"/>
      <c r="L38" s="165"/>
      <c r="M38" s="591"/>
      <c r="N38" s="591"/>
      <c r="O38" s="591"/>
      <c r="P38" s="591"/>
      <c r="Q38" s="165"/>
      <c r="R38" s="591"/>
      <c r="S38" s="591"/>
      <c r="T38" s="591"/>
      <c r="U38" s="591"/>
      <c r="V38" s="165"/>
      <c r="W38" s="591"/>
      <c r="X38" s="591"/>
      <c r="Y38" s="591"/>
      <c r="Z38" s="591"/>
      <c r="AA38" s="165"/>
      <c r="AB38" s="591"/>
      <c r="AC38" s="591"/>
      <c r="AD38" s="591"/>
      <c r="AE38" s="591"/>
      <c r="AF38" s="165"/>
      <c r="AG38" s="591"/>
      <c r="AH38" s="591"/>
      <c r="AI38" s="591"/>
      <c r="AJ38" s="591"/>
      <c r="AK38" s="165"/>
      <c r="AL38" s="591"/>
      <c r="AM38" s="591"/>
      <c r="AN38" s="591"/>
      <c r="AO38" s="591"/>
      <c r="AP38" s="165"/>
      <c r="AQ38" s="591"/>
      <c r="AR38" s="591"/>
      <c r="AS38" s="591"/>
      <c r="AT38" s="591"/>
      <c r="AU38" s="165"/>
      <c r="AV38" s="591"/>
      <c r="AW38" s="591"/>
      <c r="AX38" s="591"/>
      <c r="AY38" s="591"/>
      <c r="AZ38" s="165"/>
      <c r="BA38" s="591"/>
      <c r="BB38" s="591"/>
      <c r="BC38" s="591"/>
      <c r="BD38" s="591"/>
      <c r="BE38" s="165"/>
      <c r="BF38" s="591"/>
      <c r="BG38" s="591"/>
      <c r="BH38" s="591"/>
      <c r="BI38" s="591"/>
      <c r="BJ38" s="165" t="s">
        <v>227</v>
      </c>
      <c r="BK38" s="591"/>
      <c r="BL38" s="591"/>
      <c r="BM38" s="591"/>
      <c r="BN38" s="591"/>
      <c r="BO38" s="165" t="s">
        <v>227</v>
      </c>
      <c r="BP38" s="591"/>
      <c r="BQ38" s="591"/>
      <c r="BR38" s="591"/>
      <c r="BS38" s="591"/>
      <c r="BT38" s="165" t="s">
        <v>227</v>
      </c>
      <c r="BU38" s="591"/>
      <c r="BV38" s="591"/>
      <c r="BW38" s="591"/>
      <c r="BX38" s="591"/>
      <c r="BY38" s="165" t="s">
        <v>227</v>
      </c>
      <c r="BZ38" s="591"/>
      <c r="CA38" s="591"/>
      <c r="CB38" s="591"/>
      <c r="CC38" s="591"/>
      <c r="CD38" s="165" t="s">
        <v>227</v>
      </c>
      <c r="CE38" s="591"/>
      <c r="CF38" s="591"/>
      <c r="CG38" s="591"/>
      <c r="CH38" s="591"/>
      <c r="CI38" s="165" t="s">
        <v>227</v>
      </c>
      <c r="CJ38" s="591"/>
      <c r="CK38" s="591"/>
      <c r="CL38" s="591"/>
      <c r="CM38" s="591"/>
      <c r="CN38" s="165" t="s">
        <v>227</v>
      </c>
      <c r="CO38" s="591"/>
      <c r="CP38" s="591"/>
      <c r="CQ38" s="591"/>
      <c r="CR38" s="591"/>
      <c r="CS38" s="165" t="s">
        <v>227</v>
      </c>
      <c r="CT38" s="591"/>
      <c r="CU38" s="591"/>
      <c r="CV38" s="591"/>
      <c r="CW38" s="591"/>
      <c r="CX38" s="165" t="s">
        <v>227</v>
      </c>
      <c r="CY38" s="591"/>
      <c r="CZ38" s="591"/>
      <c r="DA38" s="591"/>
      <c r="DB38" s="591"/>
      <c r="DC38" s="165" t="s">
        <v>227</v>
      </c>
      <c r="DD38" s="591"/>
      <c r="DE38" s="591"/>
      <c r="DF38" s="591"/>
      <c r="DG38" s="591"/>
      <c r="DH38" s="165" t="s">
        <v>227</v>
      </c>
      <c r="DI38" s="591"/>
      <c r="DJ38" s="591"/>
      <c r="DK38" s="591"/>
      <c r="DL38" s="591"/>
      <c r="DM38" s="165" t="s">
        <v>227</v>
      </c>
      <c r="DN38" s="591"/>
      <c r="DO38" s="591"/>
      <c r="DP38" s="591"/>
      <c r="DQ38" s="591"/>
      <c r="DR38" s="165" t="s">
        <v>227</v>
      </c>
      <c r="DS38" s="591"/>
      <c r="DT38" s="591"/>
      <c r="DU38" s="591"/>
      <c r="DV38" s="591"/>
      <c r="DW38" s="165" t="s">
        <v>227</v>
      </c>
    </row>
    <row r="39" spans="2:127" s="167" customFormat="1">
      <c r="B39" s="164" t="s">
        <v>282</v>
      </c>
      <c r="C39" s="591"/>
      <c r="D39" s="591"/>
      <c r="E39" s="591"/>
      <c r="F39" s="591"/>
      <c r="G39" s="165"/>
      <c r="H39" s="591"/>
      <c r="I39" s="591"/>
      <c r="J39" s="591"/>
      <c r="K39" s="591"/>
      <c r="L39" s="165"/>
      <c r="M39" s="591"/>
      <c r="N39" s="591"/>
      <c r="O39" s="591"/>
      <c r="P39" s="591"/>
      <c r="Q39" s="165"/>
      <c r="R39" s="591"/>
      <c r="S39" s="591"/>
      <c r="T39" s="591"/>
      <c r="U39" s="591"/>
      <c r="V39" s="165"/>
      <c r="W39" s="591"/>
      <c r="X39" s="591"/>
      <c r="Y39" s="591"/>
      <c r="Z39" s="591"/>
      <c r="AA39" s="165"/>
      <c r="AB39" s="591"/>
      <c r="AC39" s="591"/>
      <c r="AD39" s="591"/>
      <c r="AE39" s="591"/>
      <c r="AF39" s="165"/>
      <c r="AG39" s="591"/>
      <c r="AH39" s="591"/>
      <c r="AI39" s="591"/>
      <c r="AJ39" s="591"/>
      <c r="AK39" s="165"/>
      <c r="AL39" s="591"/>
      <c r="AM39" s="591"/>
      <c r="AN39" s="591"/>
      <c r="AO39" s="591"/>
      <c r="AP39" s="165"/>
      <c r="AQ39" s="591"/>
      <c r="AR39" s="591"/>
      <c r="AS39" s="591"/>
      <c r="AT39" s="591"/>
      <c r="AU39" s="165"/>
      <c r="AV39" s="591"/>
      <c r="AW39" s="591"/>
      <c r="AX39" s="591"/>
      <c r="AY39" s="591"/>
      <c r="AZ39" s="165"/>
      <c r="BA39" s="591"/>
      <c r="BB39" s="591"/>
      <c r="BC39" s="591"/>
      <c r="BD39" s="591"/>
      <c r="BE39" s="165"/>
      <c r="BF39" s="591"/>
      <c r="BG39" s="591"/>
      <c r="BH39" s="591"/>
      <c r="BI39" s="591"/>
      <c r="BJ39" s="165" t="str">
        <f>IF(BE36=0,"NM",BJ36/BE36-1)</f>
        <v>NM</v>
      </c>
      <c r="BK39" s="591"/>
      <c r="BL39" s="591"/>
      <c r="BM39" s="591"/>
      <c r="BN39" s="591"/>
      <c r="BO39" s="165" t="str">
        <f>IF(BJ36=0,"NM",BO36/BJ36-1)</f>
        <v>NM</v>
      </c>
      <c r="BP39" s="591"/>
      <c r="BQ39" s="591"/>
      <c r="BR39" s="591"/>
      <c r="BS39" s="591"/>
      <c r="BT39" s="165">
        <f>IF(BO36=0,"NM",BT36/BO36-1)</f>
        <v>1.2073863519106456</v>
      </c>
      <c r="BU39" s="591"/>
      <c r="BV39" s="591"/>
      <c r="BW39" s="591"/>
      <c r="BX39" s="591"/>
      <c r="BY39" s="165">
        <f>IF(BT36=0,"NM",BY36/BT36-1)</f>
        <v>0.17860943663086526</v>
      </c>
      <c r="BZ39" s="591"/>
      <c r="CA39" s="591"/>
      <c r="CB39" s="591"/>
      <c r="CC39" s="591"/>
      <c r="CD39" s="165">
        <f>IF(BY36=0,"NM",CD36/BY36-1)</f>
        <v>4.9215213795343882E-2</v>
      </c>
      <c r="CE39" s="591"/>
      <c r="CF39" s="591"/>
      <c r="CG39" s="591"/>
      <c r="CH39" s="591"/>
      <c r="CI39" s="165">
        <f>IF(CD36=0,"NM",CI36/CD36-1)</f>
        <v>-0.1017588282375973</v>
      </c>
      <c r="CJ39" s="591"/>
      <c r="CK39" s="591"/>
      <c r="CL39" s="591"/>
      <c r="CM39" s="591"/>
      <c r="CN39" s="165">
        <f>IF(CI36=0,"NM",CN36/CI36-1)</f>
        <v>-0.13560044938662497</v>
      </c>
      <c r="CO39" s="591"/>
      <c r="CP39" s="591"/>
      <c r="CQ39" s="591"/>
      <c r="CR39" s="591"/>
      <c r="CS39" s="165">
        <f>IF(CN36=0,"NM",CS36/CN36-1)</f>
        <v>-0.37476104456338755</v>
      </c>
      <c r="CT39" s="591"/>
      <c r="CU39" s="591"/>
      <c r="CV39" s="591"/>
      <c r="CW39" s="591"/>
      <c r="CX39" s="165">
        <f>IF(CS36=0,"NM",CX36/CS36-1)</f>
        <v>-0.48632968426675494</v>
      </c>
      <c r="CY39" s="591"/>
      <c r="CZ39" s="591"/>
      <c r="DA39" s="591"/>
      <c r="DB39" s="591"/>
      <c r="DC39" s="165">
        <f>IF(CX36=0,"NM",DC36/CX36-1)</f>
        <v>-0.47612894560191865</v>
      </c>
      <c r="DD39" s="591"/>
      <c r="DE39" s="591"/>
      <c r="DF39" s="591"/>
      <c r="DG39" s="591"/>
      <c r="DH39" s="165">
        <f>IF(DC36=0,"NM",DH36/DC36-1)</f>
        <v>-0.48779093148744213</v>
      </c>
      <c r="DI39" s="591"/>
      <c r="DJ39" s="591"/>
      <c r="DK39" s="591"/>
      <c r="DL39" s="591"/>
      <c r="DM39" s="165">
        <f>IF(DH36=0,"NM",DM36/DH36-1)</f>
        <v>-0.60259056989963788</v>
      </c>
      <c r="DN39" s="591"/>
      <c r="DO39" s="591"/>
      <c r="DP39" s="591"/>
      <c r="DQ39" s="591"/>
      <c r="DR39" s="165">
        <f>IF(DM36=0,"NM",DR36/DM36-1)</f>
        <v>-0.61233660739312257</v>
      </c>
      <c r="DS39" s="591"/>
      <c r="DT39" s="591"/>
      <c r="DU39" s="591"/>
      <c r="DV39" s="591"/>
      <c r="DW39" s="165">
        <f>IF(DR36=0,"NM",DW36/DR36-1)</f>
        <v>-0.91702127659574462</v>
      </c>
    </row>
    <row r="40" spans="2:127" s="167" customFormat="1">
      <c r="B40" s="164"/>
      <c r="C40" s="591"/>
      <c r="D40" s="591"/>
      <c r="E40" s="591"/>
      <c r="F40" s="591"/>
      <c r="G40" s="165"/>
      <c r="H40" s="591"/>
      <c r="I40" s="591"/>
      <c r="J40" s="591"/>
      <c r="K40" s="591"/>
      <c r="L40" s="165"/>
      <c r="M40" s="591"/>
      <c r="N40" s="591"/>
      <c r="O40" s="591"/>
      <c r="P40" s="591"/>
      <c r="Q40" s="165"/>
      <c r="R40" s="591"/>
      <c r="S40" s="591"/>
      <c r="T40" s="591"/>
      <c r="U40" s="591"/>
      <c r="V40" s="165"/>
      <c r="W40" s="591"/>
      <c r="X40" s="591"/>
      <c r="Y40" s="591"/>
      <c r="Z40" s="591"/>
      <c r="AA40" s="165"/>
      <c r="AB40" s="591"/>
      <c r="AC40" s="591"/>
      <c r="AD40" s="591"/>
      <c r="AE40" s="591"/>
      <c r="AF40" s="165"/>
      <c r="AG40" s="591"/>
      <c r="AH40" s="591"/>
      <c r="AI40" s="591"/>
      <c r="AJ40" s="591"/>
      <c r="AK40" s="165"/>
      <c r="AL40" s="591"/>
      <c r="AM40" s="591"/>
      <c r="AN40" s="591"/>
      <c r="AO40" s="591"/>
      <c r="AP40" s="165"/>
      <c r="AQ40" s="591"/>
      <c r="AR40" s="591"/>
      <c r="AS40" s="591"/>
      <c r="AT40" s="591"/>
      <c r="AU40" s="165"/>
      <c r="AV40" s="591"/>
      <c r="AW40" s="591"/>
      <c r="AX40" s="591"/>
      <c r="AY40" s="591"/>
      <c r="AZ40" s="165"/>
      <c r="BA40" s="591"/>
      <c r="BB40" s="591"/>
      <c r="BC40" s="591"/>
      <c r="BD40" s="591"/>
      <c r="BE40" s="165"/>
      <c r="BF40" s="591"/>
      <c r="BG40" s="591"/>
      <c r="BH40" s="591"/>
      <c r="BI40" s="591"/>
      <c r="BJ40" s="165"/>
      <c r="BK40" s="591"/>
      <c r="BL40" s="591"/>
      <c r="BM40" s="591"/>
      <c r="BN40" s="591"/>
      <c r="BO40" s="165"/>
      <c r="BP40" s="591"/>
      <c r="BQ40" s="591"/>
      <c r="BR40" s="591"/>
      <c r="BS40" s="591"/>
      <c r="BT40" s="165"/>
      <c r="BU40" s="591"/>
      <c r="BV40" s="591"/>
      <c r="BW40" s="591"/>
      <c r="BX40" s="591"/>
      <c r="BY40" s="165"/>
      <c r="BZ40" s="591"/>
      <c r="CA40" s="591"/>
      <c r="CB40" s="591"/>
      <c r="CC40" s="591"/>
      <c r="CD40" s="165"/>
      <c r="CE40" s="591"/>
      <c r="CF40" s="591"/>
      <c r="CG40" s="591"/>
      <c r="CH40" s="591"/>
      <c r="CI40" s="165"/>
      <c r="CJ40" s="591"/>
      <c r="CK40" s="591"/>
      <c r="CL40" s="591"/>
      <c r="CM40" s="591"/>
      <c r="CN40" s="165"/>
      <c r="CO40" s="591"/>
      <c r="CP40" s="591"/>
      <c r="CQ40" s="591"/>
      <c r="CR40" s="591"/>
      <c r="CS40" s="165"/>
      <c r="CT40" s="591"/>
      <c r="CU40" s="591"/>
      <c r="CV40" s="591"/>
      <c r="CW40" s="591"/>
      <c r="CX40" s="165"/>
      <c r="CY40" s="591"/>
      <c r="CZ40" s="591"/>
      <c r="DA40" s="591"/>
      <c r="DB40" s="591"/>
      <c r="DC40" s="165"/>
      <c r="DD40" s="591"/>
      <c r="DE40" s="591"/>
      <c r="DF40" s="591"/>
      <c r="DG40" s="591"/>
      <c r="DH40" s="165"/>
      <c r="DI40" s="591"/>
      <c r="DJ40" s="591"/>
      <c r="DK40" s="591"/>
      <c r="DL40" s="591"/>
      <c r="DM40" s="165"/>
      <c r="DN40" s="591"/>
      <c r="DO40" s="591"/>
      <c r="DP40" s="591"/>
      <c r="DQ40" s="591"/>
      <c r="DR40" s="165"/>
      <c r="DS40" s="591"/>
      <c r="DT40" s="591"/>
      <c r="DU40" s="591"/>
      <c r="DV40" s="591"/>
      <c r="DW40" s="165"/>
    </row>
    <row r="41" spans="2:127" s="167" customFormat="1">
      <c r="B41" s="145" t="s">
        <v>636</v>
      </c>
      <c r="C41" s="591"/>
      <c r="D41" s="591"/>
      <c r="E41" s="591"/>
      <c r="F41" s="591"/>
      <c r="G41" s="165"/>
      <c r="H41" s="591"/>
      <c r="I41" s="591"/>
      <c r="J41" s="591"/>
      <c r="K41" s="591"/>
      <c r="L41" s="165"/>
      <c r="M41" s="591"/>
      <c r="N41" s="591"/>
      <c r="O41" s="591"/>
      <c r="P41" s="591"/>
      <c r="Q41" s="165"/>
      <c r="R41" s="591"/>
      <c r="S41" s="591"/>
      <c r="T41" s="591"/>
      <c r="U41" s="591"/>
      <c r="V41" s="165"/>
      <c r="W41" s="591"/>
      <c r="X41" s="591"/>
      <c r="Y41" s="591"/>
      <c r="Z41" s="591"/>
      <c r="AA41" s="165"/>
      <c r="AB41" s="591"/>
      <c r="AC41" s="591"/>
      <c r="AD41" s="591"/>
      <c r="AE41" s="591"/>
      <c r="AF41" s="165"/>
      <c r="AG41" s="591"/>
      <c r="AH41" s="591"/>
      <c r="AI41" s="591"/>
      <c r="AJ41" s="591"/>
      <c r="AK41" s="165"/>
      <c r="AL41" s="591"/>
      <c r="AM41" s="591"/>
      <c r="AN41" s="591"/>
      <c r="AO41" s="591"/>
      <c r="AP41" s="165"/>
      <c r="AQ41" s="591"/>
      <c r="AR41" s="591"/>
      <c r="AS41" s="591"/>
      <c r="AT41" s="591"/>
      <c r="AU41" s="165"/>
      <c r="AV41" s="591"/>
      <c r="AW41" s="591"/>
      <c r="AX41" s="591"/>
      <c r="AY41" s="591"/>
      <c r="AZ41" s="165"/>
      <c r="BA41" s="591"/>
      <c r="BB41" s="591"/>
      <c r="BC41" s="591"/>
      <c r="BD41" s="591"/>
      <c r="BE41" s="165"/>
      <c r="BF41" s="591"/>
      <c r="BG41" s="591"/>
      <c r="BH41" s="591"/>
      <c r="BI41" s="591"/>
      <c r="BJ41" s="706">
        <f>'CF Market'!L331</f>
        <v>0</v>
      </c>
      <c r="BK41" s="591"/>
      <c r="BL41" s="591"/>
      <c r="BM41" s="591"/>
      <c r="BN41" s="591"/>
      <c r="BO41" s="706">
        <f>'CF Market'!M331</f>
        <v>0</v>
      </c>
      <c r="BP41" s="591"/>
      <c r="BQ41" s="591"/>
      <c r="BR41" s="591"/>
      <c r="BS41" s="591"/>
      <c r="BT41" s="706">
        <f>'CF Market'!N331</f>
        <v>0</v>
      </c>
      <c r="BU41" s="591"/>
      <c r="BV41" s="591"/>
      <c r="BW41" s="591"/>
      <c r="BX41" s="591"/>
      <c r="BY41" s="706">
        <f>'CF Market'!O331</f>
        <v>1075.9316350998774</v>
      </c>
      <c r="BZ41" s="591"/>
      <c r="CA41" s="591"/>
      <c r="CB41" s="591"/>
      <c r="CC41" s="591"/>
      <c r="CD41" s="706">
        <f>'CF Market'!P331</f>
        <v>2289.5733547439272</v>
      </c>
      <c r="CE41" s="591"/>
      <c r="CF41" s="591"/>
      <c r="CG41" s="591"/>
      <c r="CH41" s="591"/>
      <c r="CI41" s="706">
        <f>'CF Market'!Q331</f>
        <v>3097.3571597510499</v>
      </c>
      <c r="CJ41" s="591"/>
      <c r="CK41" s="591"/>
      <c r="CL41" s="591"/>
      <c r="CM41" s="591"/>
      <c r="CN41" s="706">
        <f>'CF Market'!R331</f>
        <v>3280.7838454285943</v>
      </c>
      <c r="CO41" s="591"/>
      <c r="CP41" s="591"/>
      <c r="CQ41" s="591"/>
      <c r="CR41" s="591"/>
      <c r="CS41" s="706">
        <f>'CF Market'!S331</f>
        <v>3481.3098711421762</v>
      </c>
      <c r="CT41" s="591"/>
      <c r="CU41" s="591"/>
      <c r="CV41" s="591"/>
      <c r="CW41" s="591"/>
      <c r="CX41" s="706">
        <f>'CF Market'!T331</f>
        <v>4130.9495424565066</v>
      </c>
      <c r="CY41" s="591"/>
      <c r="CZ41" s="591"/>
      <c r="DA41" s="591"/>
      <c r="DB41" s="591"/>
      <c r="DC41" s="706">
        <f>'CF Market'!U331</f>
        <v>5573.750560105791</v>
      </c>
      <c r="DD41" s="591"/>
      <c r="DE41" s="591"/>
      <c r="DF41" s="591"/>
      <c r="DG41" s="591"/>
      <c r="DH41" s="706">
        <f>'CF Market'!V331</f>
        <v>5692.2278670825581</v>
      </c>
      <c r="DI41" s="591"/>
      <c r="DJ41" s="591"/>
      <c r="DK41" s="591"/>
      <c r="DL41" s="591"/>
      <c r="DM41" s="706">
        <f>'CF Market'!W331</f>
        <v>5810.4634574352694</v>
      </c>
      <c r="DN41" s="591"/>
      <c r="DO41" s="591"/>
      <c r="DP41" s="591"/>
      <c r="DQ41" s="591"/>
      <c r="DR41" s="706">
        <f>'CF Market'!X331</f>
        <v>5927.4823910532805</v>
      </c>
      <c r="DS41" s="591"/>
      <c r="DT41" s="591"/>
      <c r="DU41" s="591"/>
      <c r="DV41" s="591"/>
      <c r="DW41" s="706">
        <f>'CF Market'!Y331</f>
        <v>5974.0102805461465</v>
      </c>
    </row>
    <row r="42" spans="2:127" s="167" customFormat="1">
      <c r="B42" s="153" t="s">
        <v>637</v>
      </c>
      <c r="C42" s="591"/>
      <c r="D42" s="591"/>
      <c r="E42" s="591"/>
      <c r="F42" s="591"/>
      <c r="G42" s="165"/>
      <c r="H42" s="591"/>
      <c r="I42" s="591"/>
      <c r="J42" s="591"/>
      <c r="K42" s="591"/>
      <c r="L42" s="165"/>
      <c r="M42" s="591"/>
      <c r="N42" s="591"/>
      <c r="O42" s="591"/>
      <c r="P42" s="591"/>
      <c r="Q42" s="165"/>
      <c r="R42" s="591"/>
      <c r="S42" s="591"/>
      <c r="T42" s="591"/>
      <c r="U42" s="591"/>
      <c r="V42" s="165"/>
      <c r="W42" s="591"/>
      <c r="X42" s="591"/>
      <c r="Y42" s="591"/>
      <c r="Z42" s="591"/>
      <c r="AA42" s="165"/>
      <c r="AB42" s="591"/>
      <c r="AC42" s="591"/>
      <c r="AD42" s="591"/>
      <c r="AE42" s="591"/>
      <c r="AF42" s="165"/>
      <c r="AG42" s="591"/>
      <c r="AH42" s="591"/>
      <c r="AI42" s="591"/>
      <c r="AJ42" s="591"/>
      <c r="AK42" s="165"/>
      <c r="AL42" s="591"/>
      <c r="AM42" s="591"/>
      <c r="AN42" s="591"/>
      <c r="AO42" s="591"/>
      <c r="AP42" s="165"/>
      <c r="AQ42" s="591"/>
      <c r="AR42" s="591"/>
      <c r="AS42" s="591"/>
      <c r="AT42" s="591"/>
      <c r="AU42" s="165"/>
      <c r="AV42" s="591"/>
      <c r="AW42" s="591"/>
      <c r="AX42" s="591"/>
      <c r="AY42" s="591"/>
      <c r="AZ42" s="165"/>
      <c r="BA42" s="591"/>
      <c r="BB42" s="591"/>
      <c r="BC42" s="591"/>
      <c r="BD42" s="591"/>
      <c r="BE42" s="165"/>
      <c r="BF42" s="591"/>
      <c r="BG42" s="591"/>
      <c r="BH42" s="591"/>
      <c r="BI42" s="591"/>
      <c r="BJ42" s="706">
        <f>'CF Market'!L337+'CF Market'!L343</f>
        <v>0</v>
      </c>
      <c r="BK42" s="591"/>
      <c r="BL42" s="591"/>
      <c r="BM42" s="591"/>
      <c r="BN42" s="591"/>
      <c r="BO42" s="706">
        <f>'CF Market'!M337+'CF Market'!M343</f>
        <v>0</v>
      </c>
      <c r="BP42" s="591"/>
      <c r="BQ42" s="591"/>
      <c r="BR42" s="591"/>
      <c r="BS42" s="591"/>
      <c r="BT42" s="706">
        <f>'CF Market'!N337+'CF Market'!N343</f>
        <v>0</v>
      </c>
      <c r="BU42" s="591"/>
      <c r="BV42" s="591"/>
      <c r="BW42" s="591"/>
      <c r="BX42" s="591"/>
      <c r="BY42" s="706">
        <f>'CF Market'!O337+'CF Market'!O343</f>
        <v>0</v>
      </c>
      <c r="BZ42" s="591"/>
      <c r="CA42" s="591"/>
      <c r="CB42" s="591"/>
      <c r="CC42" s="591"/>
      <c r="CD42" s="706">
        <f>'CF Market'!P337+'CF Market'!P343</f>
        <v>100.36644717427103</v>
      </c>
      <c r="CE42" s="591"/>
      <c r="CF42" s="591"/>
      <c r="CG42" s="591"/>
      <c r="CH42" s="591"/>
      <c r="CI42" s="706">
        <f>'CF Market'!Q337+'CF Market'!Q343</f>
        <v>340.94737901765518</v>
      </c>
      <c r="CJ42" s="591"/>
      <c r="CK42" s="591"/>
      <c r="CL42" s="591"/>
      <c r="CM42" s="591"/>
      <c r="CN42" s="706">
        <f>'CF Market'!R337+'CF Market'!R343</f>
        <v>762.51307547572037</v>
      </c>
      <c r="CO42" s="591"/>
      <c r="CP42" s="591"/>
      <c r="CQ42" s="591"/>
      <c r="CR42" s="591"/>
      <c r="CS42" s="706">
        <f>'CF Market'!S337+'CF Market'!S343</f>
        <v>1180.7848864104521</v>
      </c>
      <c r="CT42" s="591"/>
      <c r="CU42" s="591"/>
      <c r="CV42" s="591"/>
      <c r="CW42" s="591"/>
      <c r="CX42" s="706">
        <f>'CF Market'!T337+'CF Market'!T343</f>
        <v>1537.0720605889082</v>
      </c>
      <c r="CY42" s="591"/>
      <c r="CZ42" s="591"/>
      <c r="DA42" s="591"/>
      <c r="DB42" s="591"/>
      <c r="DC42" s="706">
        <f>'CF Market'!U337+'CF Market'!U343</f>
        <v>1916.3253047670887</v>
      </c>
      <c r="DD42" s="591"/>
      <c r="DE42" s="591"/>
      <c r="DF42" s="591"/>
      <c r="DG42" s="591"/>
      <c r="DH42" s="706">
        <f>'CF Market'!V337+'CF Market'!V343</f>
        <v>2068.1616827823395</v>
      </c>
      <c r="DI42" s="591"/>
      <c r="DJ42" s="591"/>
      <c r="DK42" s="591"/>
      <c r="DL42" s="591"/>
      <c r="DM42" s="706">
        <f>'CF Market'!W337+'CF Market'!W343</f>
        <v>2102.9745931555349</v>
      </c>
      <c r="DN42" s="591"/>
      <c r="DO42" s="591"/>
      <c r="DP42" s="591"/>
      <c r="DQ42" s="591"/>
      <c r="DR42" s="706">
        <f>'CF Market'!X337+'CF Market'!X343</f>
        <v>2084.9185363961951</v>
      </c>
      <c r="DS42" s="591"/>
      <c r="DT42" s="591"/>
      <c r="DU42" s="591"/>
      <c r="DV42" s="591"/>
      <c r="DW42" s="706">
        <f>'CF Market'!Y337+'CF Market'!Y343</f>
        <v>2062.3376393897474</v>
      </c>
    </row>
    <row r="43" spans="2:127" s="167" customFormat="1">
      <c r="B43" s="142" t="s">
        <v>673</v>
      </c>
      <c r="C43" s="591"/>
      <c r="D43" s="591"/>
      <c r="E43" s="591"/>
      <c r="F43" s="591"/>
      <c r="G43" s="165"/>
      <c r="H43" s="591"/>
      <c r="I43" s="591"/>
      <c r="J43" s="591"/>
      <c r="K43" s="591"/>
      <c r="L43" s="165"/>
      <c r="M43" s="591"/>
      <c r="N43" s="591"/>
      <c r="O43" s="591"/>
      <c r="P43" s="591"/>
      <c r="Q43" s="165"/>
      <c r="R43" s="591"/>
      <c r="S43" s="591"/>
      <c r="T43" s="591"/>
      <c r="U43" s="591"/>
      <c r="V43" s="165"/>
      <c r="W43" s="591"/>
      <c r="X43" s="591"/>
      <c r="Y43" s="591"/>
      <c r="Z43" s="591"/>
      <c r="AA43" s="165"/>
      <c r="AB43" s="591"/>
      <c r="AC43" s="591"/>
      <c r="AD43" s="591"/>
      <c r="AE43" s="591"/>
      <c r="AF43" s="165"/>
      <c r="AG43" s="591"/>
      <c r="AH43" s="591"/>
      <c r="AI43" s="591"/>
      <c r="AJ43" s="591"/>
      <c r="AK43" s="165"/>
      <c r="AL43" s="591"/>
      <c r="AM43" s="591"/>
      <c r="AN43" s="591"/>
      <c r="AO43" s="591"/>
      <c r="AP43" s="165"/>
      <c r="AQ43" s="591"/>
      <c r="AR43" s="591"/>
      <c r="AS43" s="591"/>
      <c r="AT43" s="591"/>
      <c r="AU43" s="165"/>
      <c r="AV43" s="591"/>
      <c r="AW43" s="591"/>
      <c r="AX43" s="591"/>
      <c r="AY43" s="591"/>
      <c r="AZ43" s="165"/>
      <c r="BA43" s="591"/>
      <c r="BB43" s="591"/>
      <c r="BC43" s="591"/>
      <c r="BD43" s="591"/>
      <c r="BE43" s="165"/>
      <c r="BF43" s="591"/>
      <c r="BG43" s="591"/>
      <c r="BH43" s="591"/>
      <c r="BI43" s="591"/>
      <c r="BJ43" s="168">
        <f>BJ41+BJ42</f>
        <v>0</v>
      </c>
      <c r="BK43" s="591"/>
      <c r="BL43" s="591"/>
      <c r="BM43" s="591"/>
      <c r="BN43" s="591"/>
      <c r="BO43" s="168">
        <f>BO41+BO42</f>
        <v>0</v>
      </c>
      <c r="BP43" s="591"/>
      <c r="BQ43" s="591"/>
      <c r="BR43" s="591"/>
      <c r="BS43" s="591"/>
      <c r="BT43" s="168">
        <f>BT41+BT42</f>
        <v>0</v>
      </c>
      <c r="BU43" s="591"/>
      <c r="BV43" s="591"/>
      <c r="BW43" s="591"/>
      <c r="BX43" s="591"/>
      <c r="BY43" s="168">
        <f>(BY41+BY42)</f>
        <v>1075.9316350998774</v>
      </c>
      <c r="BZ43" s="168">
        <f t="shared" ref="BZ43:DW43" si="32">(BZ41+BZ42)</f>
        <v>0</v>
      </c>
      <c r="CA43" s="168">
        <f t="shared" si="32"/>
        <v>0</v>
      </c>
      <c r="CB43" s="168">
        <f t="shared" si="32"/>
        <v>0</v>
      </c>
      <c r="CC43" s="168">
        <f t="shared" si="32"/>
        <v>0</v>
      </c>
      <c r="CD43" s="168">
        <f t="shared" si="32"/>
        <v>2389.9398019181981</v>
      </c>
      <c r="CE43" s="168">
        <f t="shared" si="32"/>
        <v>0</v>
      </c>
      <c r="CF43" s="168">
        <f t="shared" si="32"/>
        <v>0</v>
      </c>
      <c r="CG43" s="168">
        <f t="shared" si="32"/>
        <v>0</v>
      </c>
      <c r="CH43" s="168">
        <f t="shared" si="32"/>
        <v>0</v>
      </c>
      <c r="CI43" s="168">
        <f t="shared" si="32"/>
        <v>3438.3045387687052</v>
      </c>
      <c r="CJ43" s="168">
        <f t="shared" si="32"/>
        <v>0</v>
      </c>
      <c r="CK43" s="168">
        <f t="shared" si="32"/>
        <v>0</v>
      </c>
      <c r="CL43" s="168">
        <f t="shared" si="32"/>
        <v>0</v>
      </c>
      <c r="CM43" s="168">
        <f t="shared" si="32"/>
        <v>0</v>
      </c>
      <c r="CN43" s="168">
        <f t="shared" si="32"/>
        <v>4043.2969209043149</v>
      </c>
      <c r="CO43" s="168">
        <f t="shared" si="32"/>
        <v>0</v>
      </c>
      <c r="CP43" s="168">
        <f t="shared" si="32"/>
        <v>0</v>
      </c>
      <c r="CQ43" s="168">
        <f t="shared" si="32"/>
        <v>0</v>
      </c>
      <c r="CR43" s="168">
        <f t="shared" si="32"/>
        <v>0</v>
      </c>
      <c r="CS43" s="168">
        <f t="shared" si="32"/>
        <v>4662.0947575526279</v>
      </c>
      <c r="CT43" s="168">
        <f t="shared" si="32"/>
        <v>0</v>
      </c>
      <c r="CU43" s="168">
        <f t="shared" si="32"/>
        <v>0</v>
      </c>
      <c r="CV43" s="168">
        <f t="shared" si="32"/>
        <v>0</v>
      </c>
      <c r="CW43" s="168">
        <f t="shared" si="32"/>
        <v>0</v>
      </c>
      <c r="CX43" s="168">
        <f t="shared" si="32"/>
        <v>5668.0216030454148</v>
      </c>
      <c r="CY43" s="168">
        <f t="shared" si="32"/>
        <v>0</v>
      </c>
      <c r="CZ43" s="168">
        <f t="shared" si="32"/>
        <v>0</v>
      </c>
      <c r="DA43" s="168">
        <f t="shared" si="32"/>
        <v>0</v>
      </c>
      <c r="DB43" s="168">
        <f t="shared" si="32"/>
        <v>0</v>
      </c>
      <c r="DC43" s="168">
        <f t="shared" si="32"/>
        <v>7490.0758648728797</v>
      </c>
      <c r="DD43" s="168">
        <f t="shared" si="32"/>
        <v>0</v>
      </c>
      <c r="DE43" s="168">
        <f t="shared" si="32"/>
        <v>0</v>
      </c>
      <c r="DF43" s="168">
        <f t="shared" si="32"/>
        <v>0</v>
      </c>
      <c r="DG43" s="168">
        <f t="shared" si="32"/>
        <v>0</v>
      </c>
      <c r="DH43" s="168">
        <f t="shared" si="32"/>
        <v>7760.3895498648981</v>
      </c>
      <c r="DI43" s="168">
        <f t="shared" si="32"/>
        <v>0</v>
      </c>
      <c r="DJ43" s="168">
        <f t="shared" si="32"/>
        <v>0</v>
      </c>
      <c r="DK43" s="168">
        <f t="shared" si="32"/>
        <v>0</v>
      </c>
      <c r="DL43" s="168">
        <f t="shared" si="32"/>
        <v>0</v>
      </c>
      <c r="DM43" s="168">
        <f t="shared" si="32"/>
        <v>7913.4380505908048</v>
      </c>
      <c r="DN43" s="168">
        <f t="shared" si="32"/>
        <v>0</v>
      </c>
      <c r="DO43" s="168">
        <f t="shared" si="32"/>
        <v>0</v>
      </c>
      <c r="DP43" s="168">
        <f t="shared" si="32"/>
        <v>0</v>
      </c>
      <c r="DQ43" s="168">
        <f t="shared" si="32"/>
        <v>0</v>
      </c>
      <c r="DR43" s="168">
        <f t="shared" si="32"/>
        <v>8012.4009274494756</v>
      </c>
      <c r="DS43" s="168">
        <f t="shared" si="32"/>
        <v>0</v>
      </c>
      <c r="DT43" s="168">
        <f t="shared" si="32"/>
        <v>0</v>
      </c>
      <c r="DU43" s="168">
        <f t="shared" si="32"/>
        <v>0</v>
      </c>
      <c r="DV43" s="168">
        <f t="shared" si="32"/>
        <v>0</v>
      </c>
      <c r="DW43" s="168">
        <f t="shared" si="32"/>
        <v>8036.3479199358935</v>
      </c>
    </row>
    <row r="44" spans="2:127" s="167" customFormat="1">
      <c r="B44" s="142"/>
      <c r="C44" s="591"/>
      <c r="D44" s="591"/>
      <c r="E44" s="591"/>
      <c r="F44" s="591"/>
      <c r="G44" s="165"/>
      <c r="H44" s="591"/>
      <c r="I44" s="591"/>
      <c r="J44" s="591"/>
      <c r="K44" s="591"/>
      <c r="L44" s="165"/>
      <c r="M44" s="591"/>
      <c r="N44" s="591"/>
      <c r="O44" s="591"/>
      <c r="P44" s="591"/>
      <c r="Q44" s="165"/>
      <c r="R44" s="591"/>
      <c r="S44" s="591"/>
      <c r="T44" s="591"/>
      <c r="U44" s="591"/>
      <c r="V44" s="165"/>
      <c r="W44" s="591"/>
      <c r="X44" s="591"/>
      <c r="Y44" s="591"/>
      <c r="Z44" s="591"/>
      <c r="AA44" s="165"/>
      <c r="AB44" s="591"/>
      <c r="AC44" s="591"/>
      <c r="AD44" s="591"/>
      <c r="AE44" s="591"/>
      <c r="AF44" s="165"/>
      <c r="AG44" s="591"/>
      <c r="AH44" s="591"/>
      <c r="AI44" s="591"/>
      <c r="AJ44" s="591"/>
      <c r="AK44" s="165"/>
      <c r="AL44" s="591"/>
      <c r="AM44" s="591"/>
      <c r="AN44" s="591"/>
      <c r="AO44" s="591"/>
      <c r="AP44" s="165"/>
      <c r="AQ44" s="591"/>
      <c r="AR44" s="591"/>
      <c r="AS44" s="591"/>
      <c r="AT44" s="591"/>
      <c r="AU44" s="165"/>
      <c r="AV44" s="591"/>
      <c r="AW44" s="591"/>
      <c r="AX44" s="591"/>
      <c r="AY44" s="591"/>
      <c r="AZ44" s="165"/>
      <c r="BA44" s="591"/>
      <c r="BB44" s="591"/>
      <c r="BC44" s="591"/>
      <c r="BD44" s="591"/>
      <c r="BE44" s="165"/>
      <c r="BF44" s="591"/>
      <c r="BG44" s="591"/>
      <c r="BH44" s="591"/>
      <c r="BI44" s="591"/>
      <c r="BJ44" s="165"/>
      <c r="BK44" s="591"/>
      <c r="BL44" s="591"/>
      <c r="BM44" s="591"/>
      <c r="BN44" s="591"/>
      <c r="BO44" s="165"/>
      <c r="BP44" s="591"/>
      <c r="BQ44" s="591"/>
      <c r="BR44" s="591"/>
      <c r="BS44" s="591"/>
      <c r="BT44" s="165"/>
      <c r="BU44" s="591"/>
      <c r="BV44" s="591"/>
      <c r="BW44" s="591"/>
      <c r="BX44" s="591"/>
      <c r="BY44" s="165"/>
      <c r="BZ44" s="591"/>
      <c r="CA44" s="591"/>
      <c r="CB44" s="591"/>
      <c r="CC44" s="591"/>
      <c r="CD44" s="165"/>
      <c r="CE44" s="591"/>
      <c r="CF44" s="591"/>
      <c r="CG44" s="591"/>
      <c r="CH44" s="591"/>
      <c r="CI44" s="165"/>
      <c r="CJ44" s="591"/>
      <c r="CK44" s="591"/>
      <c r="CL44" s="591"/>
      <c r="CM44" s="591"/>
      <c r="CN44" s="165"/>
      <c r="CO44" s="591"/>
      <c r="CP44" s="591"/>
      <c r="CQ44" s="591"/>
      <c r="CR44" s="591"/>
      <c r="CS44" s="165"/>
      <c r="CT44" s="591"/>
      <c r="CU44" s="591"/>
      <c r="CV44" s="591"/>
      <c r="CW44" s="591"/>
      <c r="CX44" s="165"/>
      <c r="CY44" s="591"/>
      <c r="CZ44" s="591"/>
      <c r="DA44" s="591"/>
      <c r="DB44" s="591"/>
      <c r="DC44" s="165"/>
      <c r="DD44" s="591"/>
      <c r="DE44" s="591"/>
      <c r="DF44" s="591"/>
      <c r="DG44" s="591"/>
      <c r="DH44" s="165"/>
      <c r="DI44" s="591"/>
      <c r="DJ44" s="591"/>
      <c r="DK44" s="591"/>
      <c r="DL44" s="591"/>
      <c r="DM44" s="165"/>
      <c r="DN44" s="591"/>
      <c r="DO44" s="591"/>
      <c r="DP44" s="591"/>
      <c r="DQ44" s="591"/>
      <c r="DR44" s="165"/>
      <c r="DS44" s="591"/>
      <c r="DT44" s="591"/>
      <c r="DU44" s="591"/>
      <c r="DV44" s="591"/>
      <c r="DW44" s="165"/>
    </row>
    <row r="45" spans="2:127" s="167" customFormat="1">
      <c r="B45" s="164" t="s">
        <v>281</v>
      </c>
      <c r="C45" s="591"/>
      <c r="D45" s="591"/>
      <c r="E45" s="591"/>
      <c r="F45" s="591"/>
      <c r="G45" s="165"/>
      <c r="H45" s="591"/>
      <c r="I45" s="591"/>
      <c r="J45" s="591"/>
      <c r="K45" s="591"/>
      <c r="L45" s="165"/>
      <c r="M45" s="591"/>
      <c r="N45" s="591"/>
      <c r="O45" s="591"/>
      <c r="P45" s="591"/>
      <c r="Q45" s="165"/>
      <c r="R45" s="591"/>
      <c r="S45" s="591"/>
      <c r="T45" s="591"/>
      <c r="U45" s="591"/>
      <c r="V45" s="165"/>
      <c r="W45" s="591"/>
      <c r="X45" s="591"/>
      <c r="Y45" s="591"/>
      <c r="Z45" s="591"/>
      <c r="AA45" s="165"/>
      <c r="AB45" s="591"/>
      <c r="AC45" s="591"/>
      <c r="AD45" s="591"/>
      <c r="AE45" s="591"/>
      <c r="AF45" s="165"/>
      <c r="AG45" s="591"/>
      <c r="AH45" s="591"/>
      <c r="AI45" s="591"/>
      <c r="AJ45" s="591"/>
      <c r="AK45" s="165"/>
      <c r="AL45" s="591"/>
      <c r="AM45" s="591"/>
      <c r="AN45" s="591"/>
      <c r="AO45" s="591"/>
      <c r="AP45" s="165"/>
      <c r="AQ45" s="591"/>
      <c r="AR45" s="591"/>
      <c r="AS45" s="591"/>
      <c r="AT45" s="591"/>
      <c r="AU45" s="165"/>
      <c r="AV45" s="591"/>
      <c r="AW45" s="591"/>
      <c r="AX45" s="591"/>
      <c r="AY45" s="591"/>
      <c r="AZ45" s="165"/>
      <c r="BA45" s="591"/>
      <c r="BB45" s="591"/>
      <c r="BC45" s="591"/>
      <c r="BD45" s="591"/>
      <c r="BE45" s="165"/>
      <c r="BF45" s="591"/>
      <c r="BG45" s="591"/>
      <c r="BH45" s="591"/>
      <c r="BI45" s="591"/>
      <c r="BJ45" s="165" t="s">
        <v>227</v>
      </c>
      <c r="BK45" s="591"/>
      <c r="BL45" s="591"/>
      <c r="BM45" s="591"/>
      <c r="BN45" s="591"/>
      <c r="BO45" s="165" t="s">
        <v>227</v>
      </c>
      <c r="BP45" s="591"/>
      <c r="BQ45" s="591"/>
      <c r="BR45" s="591"/>
      <c r="BS45" s="591"/>
      <c r="BT45" s="165" t="s">
        <v>227</v>
      </c>
      <c r="BU45" s="591"/>
      <c r="BV45" s="591"/>
      <c r="BW45" s="591"/>
      <c r="BX45" s="591"/>
      <c r="BY45" s="165" t="s">
        <v>227</v>
      </c>
      <c r="BZ45" s="591"/>
      <c r="CA45" s="591"/>
      <c r="CB45" s="591"/>
      <c r="CC45" s="591"/>
      <c r="CD45" s="165" t="s">
        <v>227</v>
      </c>
      <c r="CE45" s="591"/>
      <c r="CF45" s="591"/>
      <c r="CG45" s="591"/>
      <c r="CH45" s="591"/>
      <c r="CI45" s="165" t="s">
        <v>227</v>
      </c>
      <c r="CJ45" s="591"/>
      <c r="CK45" s="591"/>
      <c r="CL45" s="591"/>
      <c r="CM45" s="591"/>
      <c r="CN45" s="165" t="s">
        <v>227</v>
      </c>
      <c r="CO45" s="591"/>
      <c r="CP45" s="591"/>
      <c r="CQ45" s="591"/>
      <c r="CR45" s="591"/>
      <c r="CS45" s="165" t="s">
        <v>227</v>
      </c>
      <c r="CT45" s="591"/>
      <c r="CU45" s="591"/>
      <c r="CV45" s="591"/>
      <c r="CW45" s="591"/>
      <c r="CX45" s="165" t="s">
        <v>227</v>
      </c>
      <c r="CY45" s="591"/>
      <c r="CZ45" s="591"/>
      <c r="DA45" s="591"/>
      <c r="DB45" s="591"/>
      <c r="DC45" s="165" t="s">
        <v>227</v>
      </c>
      <c r="DD45" s="591"/>
      <c r="DE45" s="591"/>
      <c r="DF45" s="591"/>
      <c r="DG45" s="591"/>
      <c r="DH45" s="165" t="s">
        <v>227</v>
      </c>
      <c r="DI45" s="591"/>
      <c r="DJ45" s="591"/>
      <c r="DK45" s="591"/>
      <c r="DL45" s="591"/>
      <c r="DM45" s="165" t="s">
        <v>227</v>
      </c>
      <c r="DN45" s="591"/>
      <c r="DO45" s="591"/>
      <c r="DP45" s="591"/>
      <c r="DQ45" s="591"/>
      <c r="DR45" s="165" t="s">
        <v>227</v>
      </c>
      <c r="DS45" s="591"/>
      <c r="DT45" s="591"/>
      <c r="DU45" s="591"/>
      <c r="DV45" s="591"/>
      <c r="DW45" s="165" t="s">
        <v>227</v>
      </c>
    </row>
    <row r="46" spans="2:127" s="167" customFormat="1">
      <c r="B46" s="164" t="s">
        <v>282</v>
      </c>
      <c r="C46" s="591"/>
      <c r="D46" s="591"/>
      <c r="E46" s="591"/>
      <c r="F46" s="591"/>
      <c r="G46" s="165"/>
      <c r="H46" s="591"/>
      <c r="I46" s="591"/>
      <c r="J46" s="591"/>
      <c r="K46" s="591"/>
      <c r="L46" s="165"/>
      <c r="M46" s="591"/>
      <c r="N46" s="591"/>
      <c r="O46" s="591"/>
      <c r="P46" s="591"/>
      <c r="Q46" s="165"/>
      <c r="R46" s="591"/>
      <c r="S46" s="591"/>
      <c r="T46" s="591"/>
      <c r="U46" s="591"/>
      <c r="V46" s="165"/>
      <c r="W46" s="591"/>
      <c r="X46" s="591"/>
      <c r="Y46" s="591"/>
      <c r="Z46" s="591"/>
      <c r="AA46" s="165"/>
      <c r="AB46" s="591"/>
      <c r="AC46" s="591"/>
      <c r="AD46" s="591"/>
      <c r="AE46" s="591"/>
      <c r="AF46" s="165"/>
      <c r="AG46" s="591"/>
      <c r="AH46" s="591"/>
      <c r="AI46" s="591"/>
      <c r="AJ46" s="591"/>
      <c r="AK46" s="165"/>
      <c r="AL46" s="591"/>
      <c r="AM46" s="591"/>
      <c r="AN46" s="591"/>
      <c r="AO46" s="591"/>
      <c r="AP46" s="165"/>
      <c r="AQ46" s="591"/>
      <c r="AR46" s="591"/>
      <c r="AS46" s="591"/>
      <c r="AT46" s="591"/>
      <c r="AU46" s="165"/>
      <c r="AV46" s="591"/>
      <c r="AW46" s="591"/>
      <c r="AX46" s="591"/>
      <c r="AY46" s="591"/>
      <c r="AZ46" s="165"/>
      <c r="BA46" s="591"/>
      <c r="BB46" s="591"/>
      <c r="BC46" s="591"/>
      <c r="BD46" s="591"/>
      <c r="BE46" s="165"/>
      <c r="BF46" s="591"/>
      <c r="BG46" s="591"/>
      <c r="BH46" s="591"/>
      <c r="BI46" s="591"/>
      <c r="BJ46" s="165" t="str">
        <f>IF(BE43=0,"NM",BJ43/BE43-1)</f>
        <v>NM</v>
      </c>
      <c r="BK46" s="591"/>
      <c r="BL46" s="591"/>
      <c r="BM46" s="591"/>
      <c r="BN46" s="591"/>
      <c r="BO46" s="165" t="str">
        <f>IF(BJ43=0,"NM",BO43/BJ43-1)</f>
        <v>NM</v>
      </c>
      <c r="BP46" s="591"/>
      <c r="BQ46" s="591"/>
      <c r="BR46" s="591"/>
      <c r="BS46" s="591"/>
      <c r="BT46" s="165" t="str">
        <f>IF(BO43=0,"NM",BT43/BO43-1)</f>
        <v>NM</v>
      </c>
      <c r="BU46" s="591"/>
      <c r="BV46" s="591"/>
      <c r="BW46" s="591"/>
      <c r="BX46" s="591"/>
      <c r="BY46" s="165" t="str">
        <f>IF(BT43=0,"NM",BY43/BT43-1)</f>
        <v>NM</v>
      </c>
      <c r="BZ46" s="591"/>
      <c r="CA46" s="591"/>
      <c r="CB46" s="591"/>
      <c r="CC46" s="591"/>
      <c r="CD46" s="165">
        <f>IF(BY43=0,"NM",CD43/BY43-1)</f>
        <v>1.2212747761583782</v>
      </c>
      <c r="CE46" s="591"/>
      <c r="CF46" s="591"/>
      <c r="CG46" s="591"/>
      <c r="CH46" s="591"/>
      <c r="CI46" s="165">
        <f>IF(CD43=0,"NM",CI43/CD43-1)</f>
        <v>0.43865738208513672</v>
      </c>
      <c r="CJ46" s="591"/>
      <c r="CK46" s="591"/>
      <c r="CL46" s="591"/>
      <c r="CM46" s="591"/>
      <c r="CN46" s="165">
        <f>IF(CI43=0,"NM",CN43/CI43-1)</f>
        <v>0.17595660166631544</v>
      </c>
      <c r="CO46" s="591"/>
      <c r="CP46" s="591"/>
      <c r="CQ46" s="591"/>
      <c r="CR46" s="591"/>
      <c r="CS46" s="165">
        <f>IF(CN43=0,"NM",CS43/CN43-1)</f>
        <v>0.15304288771103014</v>
      </c>
      <c r="CT46" s="591"/>
      <c r="CU46" s="591"/>
      <c r="CV46" s="591"/>
      <c r="CW46" s="591"/>
      <c r="CX46" s="165">
        <f>IF(CS43=0,"NM",CX43/CS43-1)</f>
        <v>0.21576713855143725</v>
      </c>
      <c r="CY46" s="591"/>
      <c r="CZ46" s="591"/>
      <c r="DA46" s="591"/>
      <c r="DB46" s="591"/>
      <c r="DC46" s="165">
        <f>IF(CX43=0,"NM",DC43/CX43-1)</f>
        <v>0.3214621237238191</v>
      </c>
      <c r="DD46" s="591"/>
      <c r="DE46" s="591"/>
      <c r="DF46" s="591"/>
      <c r="DG46" s="591"/>
      <c r="DH46" s="165">
        <f>IF(DC43=0,"NM",DH43/DC43-1)</f>
        <v>3.6089579046821418E-2</v>
      </c>
      <c r="DI46" s="591"/>
      <c r="DJ46" s="591"/>
      <c r="DK46" s="591"/>
      <c r="DL46" s="591"/>
      <c r="DM46" s="165">
        <f>IF(DH43=0,"NM",DM43/DH43-1)</f>
        <v>1.9721754912235268E-2</v>
      </c>
      <c r="DN46" s="591"/>
      <c r="DO46" s="591"/>
      <c r="DP46" s="591"/>
      <c r="DQ46" s="591"/>
      <c r="DR46" s="165">
        <f>IF(DM43=0,"NM",DR43/DM43-1)</f>
        <v>1.2505674047866178E-2</v>
      </c>
      <c r="DS46" s="591"/>
      <c r="DT46" s="591"/>
      <c r="DU46" s="591"/>
      <c r="DV46" s="591"/>
      <c r="DW46" s="165">
        <f>IF(DR43=0,"NM",DW43/DR43-1)</f>
        <v>2.9887411655074025E-3</v>
      </c>
    </row>
    <row r="47" spans="2:127" s="167" customFormat="1">
      <c r="B47" s="164"/>
      <c r="C47" s="591"/>
      <c r="D47" s="591"/>
      <c r="E47" s="591"/>
      <c r="F47" s="591"/>
      <c r="G47" s="165"/>
      <c r="H47" s="591"/>
      <c r="I47" s="591"/>
      <c r="J47" s="591"/>
      <c r="K47" s="591"/>
      <c r="L47" s="165"/>
      <c r="M47" s="591"/>
      <c r="N47" s="591"/>
      <c r="O47" s="591"/>
      <c r="P47" s="591"/>
      <c r="Q47" s="165"/>
      <c r="R47" s="591"/>
      <c r="S47" s="591"/>
      <c r="T47" s="591"/>
      <c r="U47" s="591"/>
      <c r="V47" s="165"/>
      <c r="W47" s="591"/>
      <c r="X47" s="591"/>
      <c r="Y47" s="591"/>
      <c r="Z47" s="591"/>
      <c r="AA47" s="165"/>
      <c r="AB47" s="591"/>
      <c r="AC47" s="591"/>
      <c r="AD47" s="591"/>
      <c r="AE47" s="591"/>
      <c r="AF47" s="165"/>
      <c r="AG47" s="591"/>
      <c r="AH47" s="591"/>
      <c r="AI47" s="591"/>
      <c r="AJ47" s="591"/>
      <c r="AK47" s="165"/>
      <c r="AL47" s="591"/>
      <c r="AM47" s="591"/>
      <c r="AN47" s="591"/>
      <c r="AO47" s="591"/>
      <c r="AP47" s="165"/>
      <c r="AQ47" s="591"/>
      <c r="AR47" s="591"/>
      <c r="AS47" s="591"/>
      <c r="AT47" s="591"/>
      <c r="AU47" s="165"/>
      <c r="AV47" s="591"/>
      <c r="AW47" s="591"/>
      <c r="AX47" s="591"/>
      <c r="AY47" s="591"/>
      <c r="AZ47" s="165"/>
      <c r="BA47" s="591"/>
      <c r="BB47" s="591"/>
      <c r="BC47" s="591"/>
      <c r="BD47" s="591"/>
      <c r="BE47" s="165"/>
      <c r="BF47" s="591"/>
      <c r="BG47" s="591"/>
      <c r="BH47" s="591"/>
      <c r="BI47" s="591"/>
      <c r="BJ47" s="165"/>
      <c r="BK47" s="591"/>
      <c r="BL47" s="591"/>
      <c r="BM47" s="591"/>
      <c r="BN47" s="591"/>
      <c r="BO47" s="165"/>
      <c r="BP47" s="591"/>
      <c r="BQ47" s="591"/>
      <c r="BR47" s="591"/>
      <c r="BS47" s="591"/>
      <c r="BT47" s="165"/>
      <c r="BU47" s="591"/>
      <c r="BV47" s="591"/>
      <c r="BW47" s="591"/>
      <c r="BX47" s="591"/>
      <c r="BY47" s="165"/>
      <c r="BZ47" s="591"/>
      <c r="CA47" s="591"/>
      <c r="CB47" s="591"/>
      <c r="CC47" s="591"/>
      <c r="CD47" s="165"/>
      <c r="CE47" s="591"/>
      <c r="CF47" s="591"/>
      <c r="CG47" s="591"/>
      <c r="CH47" s="591"/>
      <c r="CI47" s="165"/>
      <c r="CJ47" s="591"/>
      <c r="CK47" s="591"/>
      <c r="CL47" s="591"/>
      <c r="CM47" s="591"/>
      <c r="CN47" s="165"/>
      <c r="CO47" s="591"/>
      <c r="CP47" s="591"/>
      <c r="CQ47" s="591"/>
      <c r="CR47" s="591"/>
      <c r="CS47" s="165"/>
      <c r="CT47" s="591"/>
      <c r="CU47" s="591"/>
      <c r="CV47" s="591"/>
      <c r="CW47" s="591"/>
      <c r="CX47" s="165"/>
      <c r="CY47" s="591"/>
      <c r="CZ47" s="591"/>
      <c r="DA47" s="591"/>
      <c r="DB47" s="591"/>
      <c r="DC47" s="165"/>
      <c r="DD47" s="591"/>
      <c r="DE47" s="591"/>
      <c r="DF47" s="591"/>
      <c r="DG47" s="591"/>
      <c r="DH47" s="165"/>
      <c r="DI47" s="591"/>
      <c r="DJ47" s="591"/>
      <c r="DK47" s="591"/>
      <c r="DL47" s="591"/>
      <c r="DM47" s="165"/>
      <c r="DN47" s="591"/>
      <c r="DO47" s="591"/>
      <c r="DP47" s="591"/>
      <c r="DQ47" s="591"/>
      <c r="DR47" s="165"/>
      <c r="DS47" s="591"/>
      <c r="DT47" s="591"/>
      <c r="DU47" s="591"/>
      <c r="DV47" s="591"/>
      <c r="DW47" s="165"/>
    </row>
    <row r="48" spans="2:127" s="167" customFormat="1">
      <c r="B48" s="164"/>
      <c r="C48" s="591"/>
      <c r="D48" s="591"/>
      <c r="E48" s="591"/>
      <c r="F48" s="591"/>
      <c r="G48" s="165"/>
      <c r="H48" s="591"/>
      <c r="I48" s="591"/>
      <c r="J48" s="591"/>
      <c r="K48" s="591"/>
      <c r="L48" s="165"/>
      <c r="M48" s="591"/>
      <c r="N48" s="591"/>
      <c r="O48" s="591"/>
      <c r="P48" s="591"/>
      <c r="Q48" s="165"/>
      <c r="R48" s="591"/>
      <c r="S48" s="591"/>
      <c r="T48" s="591"/>
      <c r="U48" s="591"/>
      <c r="V48" s="165"/>
      <c r="W48" s="591"/>
      <c r="X48" s="591"/>
      <c r="Y48" s="591"/>
      <c r="Z48" s="591"/>
      <c r="AA48" s="165"/>
      <c r="AB48" s="591"/>
      <c r="AC48" s="591"/>
      <c r="AD48" s="591"/>
      <c r="AE48" s="591"/>
      <c r="AF48" s="165"/>
      <c r="AG48" s="591"/>
      <c r="AH48" s="591"/>
      <c r="AI48" s="591"/>
      <c r="AJ48" s="591"/>
      <c r="AK48" s="165"/>
      <c r="AL48" s="591"/>
      <c r="AM48" s="591"/>
      <c r="AN48" s="591"/>
      <c r="AO48" s="591"/>
      <c r="AP48" s="165"/>
      <c r="AQ48" s="591"/>
      <c r="AR48" s="591"/>
      <c r="AS48" s="591"/>
      <c r="AT48" s="591"/>
      <c r="AU48" s="165"/>
      <c r="AV48" s="591"/>
      <c r="AW48" s="591"/>
      <c r="AX48" s="591"/>
      <c r="AY48" s="591"/>
      <c r="AZ48" s="165"/>
      <c r="BA48" s="591"/>
      <c r="BB48" s="591"/>
      <c r="BC48" s="591"/>
      <c r="BD48" s="591"/>
      <c r="BE48" s="165"/>
      <c r="BF48" s="591"/>
      <c r="BG48" s="591"/>
      <c r="BH48" s="591"/>
      <c r="BI48" s="591"/>
      <c r="BJ48" s="165"/>
      <c r="BK48" s="591"/>
      <c r="BL48" s="591"/>
      <c r="BM48" s="591"/>
      <c r="BN48" s="591"/>
      <c r="BO48" s="165"/>
      <c r="BP48" s="591"/>
      <c r="BQ48" s="591"/>
      <c r="BR48" s="591"/>
      <c r="BS48" s="591"/>
      <c r="BT48" s="165"/>
      <c r="BU48" s="591"/>
      <c r="BV48" s="591"/>
      <c r="BW48" s="591"/>
      <c r="BX48" s="591"/>
      <c r="BY48" s="165"/>
      <c r="BZ48" s="591"/>
      <c r="CA48" s="591"/>
      <c r="CB48" s="591"/>
      <c r="CC48" s="591"/>
      <c r="CD48" s="165"/>
      <c r="CE48" s="591"/>
      <c r="CF48" s="591"/>
      <c r="CG48" s="591"/>
      <c r="CH48" s="591"/>
      <c r="CI48" s="165"/>
      <c r="CJ48" s="591"/>
      <c r="CK48" s="591"/>
      <c r="CL48" s="591"/>
      <c r="CM48" s="591"/>
      <c r="CN48" s="165"/>
      <c r="CO48" s="591"/>
      <c r="CP48" s="591"/>
      <c r="CQ48" s="591"/>
      <c r="CR48" s="591"/>
      <c r="CS48" s="165"/>
      <c r="CT48" s="591"/>
      <c r="CU48" s="591"/>
      <c r="CV48" s="591"/>
      <c r="CW48" s="591"/>
      <c r="CX48" s="165"/>
      <c r="CY48" s="591"/>
      <c r="CZ48" s="591"/>
      <c r="DA48" s="591"/>
      <c r="DB48" s="591"/>
      <c r="DC48" s="165"/>
      <c r="DD48" s="591"/>
      <c r="DE48" s="591"/>
      <c r="DF48" s="591"/>
      <c r="DG48" s="591"/>
      <c r="DH48" s="165"/>
      <c r="DI48" s="591"/>
      <c r="DJ48" s="591"/>
      <c r="DK48" s="591"/>
      <c r="DL48" s="591"/>
      <c r="DM48" s="165"/>
      <c r="DN48" s="591"/>
      <c r="DO48" s="591"/>
      <c r="DP48" s="591"/>
      <c r="DQ48" s="591"/>
      <c r="DR48" s="165"/>
      <c r="DS48" s="591"/>
      <c r="DT48" s="591"/>
      <c r="DU48" s="591"/>
      <c r="DV48" s="591"/>
      <c r="DW48" s="165"/>
    </row>
    <row r="49" spans="2:127">
      <c r="B49" s="145" t="s">
        <v>288</v>
      </c>
      <c r="C49" s="594">
        <f>C7+C23+C29</f>
        <v>0</v>
      </c>
      <c r="D49" s="594">
        <f>D7+D23+D29</f>
        <v>0</v>
      </c>
      <c r="E49" s="594">
        <f>E7+E23+E29</f>
        <v>0</v>
      </c>
      <c r="F49" s="594">
        <f>F7+F23+F29</f>
        <v>0</v>
      </c>
      <c r="G49" s="169">
        <f>SUM(C49:F49)</f>
        <v>0</v>
      </c>
      <c r="H49" s="594">
        <f>H7+H23+H29</f>
        <v>0</v>
      </c>
      <c r="I49" s="594">
        <f>I7+I23+I29</f>
        <v>0</v>
      </c>
      <c r="J49" s="594">
        <f>J7+J23+J29</f>
        <v>0</v>
      </c>
      <c r="K49" s="594">
        <f>K7+K23+K29</f>
        <v>0</v>
      </c>
      <c r="L49" s="169">
        <f>SUM(H49:K49)</f>
        <v>0</v>
      </c>
      <c r="M49" s="594">
        <f>M7+M23+M29</f>
        <v>0</v>
      </c>
      <c r="N49" s="594">
        <f>N7+N23+N29</f>
        <v>0</v>
      </c>
      <c r="O49" s="594">
        <f>O7+O23+O29</f>
        <v>0</v>
      </c>
      <c r="P49" s="594">
        <f>P7+P23+P29</f>
        <v>0</v>
      </c>
      <c r="Q49" s="169">
        <f>SUM(M49:P49)</f>
        <v>0</v>
      </c>
      <c r="R49" s="594">
        <f>R7+R23+R29</f>
        <v>0</v>
      </c>
      <c r="S49" s="594">
        <f>S7+S23+S29</f>
        <v>0</v>
      </c>
      <c r="T49" s="594">
        <f>T7+T23+T29</f>
        <v>0</v>
      </c>
      <c r="U49" s="594">
        <f>U7+U23+U29</f>
        <v>0</v>
      </c>
      <c r="V49" s="169">
        <f>SUM(R49:U49)</f>
        <v>0</v>
      </c>
      <c r="W49" s="594">
        <f>W7+W23+W29</f>
        <v>0</v>
      </c>
      <c r="X49" s="594">
        <f>X7+X23+X29</f>
        <v>0</v>
      </c>
      <c r="Y49" s="594">
        <f>Y7+Y23+Y29</f>
        <v>0</v>
      </c>
      <c r="Z49" s="594">
        <f>Z7+Z23+Z29</f>
        <v>0</v>
      </c>
      <c r="AA49" s="169">
        <f>SUM(W49:Z49)</f>
        <v>0</v>
      </c>
      <c r="AB49" s="594">
        <f>AB7+AB23+AB29</f>
        <v>0</v>
      </c>
      <c r="AC49" s="594">
        <f>AC7+AC23+AC29</f>
        <v>74.534999999999997</v>
      </c>
      <c r="AD49" s="594">
        <f>AD7+AD23+AD29</f>
        <v>419.59500000000003</v>
      </c>
      <c r="AE49" s="594">
        <f>AE7+AE23+AE29</f>
        <v>477.07400000000001</v>
      </c>
      <c r="AF49" s="169">
        <f>SUM(AB49:AE49)</f>
        <v>971.20399999999995</v>
      </c>
      <c r="AG49" s="594">
        <f>AG7+AG23+AG29</f>
        <v>408.25900000000001</v>
      </c>
      <c r="AH49" s="594">
        <f>AH7+AH23+AH29</f>
        <v>401.24299999999994</v>
      </c>
      <c r="AI49" s="594">
        <f>AI7+AI23+AI29</f>
        <v>323.45800000000003</v>
      </c>
      <c r="AJ49" s="594">
        <f>AJ7+AJ23+AJ29</f>
        <v>318.10899999999998</v>
      </c>
      <c r="AK49" s="169">
        <f>SUM(AG49:AJ49)</f>
        <v>1451.069</v>
      </c>
      <c r="AL49" s="594">
        <f>AL7+AL23+AL29</f>
        <v>306.38099999999997</v>
      </c>
      <c r="AM49" s="594">
        <f>AM7+AM23+AM29</f>
        <v>298.88900000000001</v>
      </c>
      <c r="AN49" s="594">
        <f>AN7+AN23+AN29</f>
        <v>207.65299999999999</v>
      </c>
      <c r="AO49" s="594">
        <f>AO7+AO23+AO29</f>
        <v>155.209</v>
      </c>
      <c r="AP49" s="169">
        <f>SUM(AL49:AO49)</f>
        <v>968.13200000000006</v>
      </c>
      <c r="AQ49" s="594">
        <f>AQ7+AQ23+AQ29</f>
        <v>103.461</v>
      </c>
      <c r="AR49" s="594">
        <f>AR7+AR23+AR29</f>
        <v>122.319</v>
      </c>
      <c r="AS49" s="594">
        <f>AS7+AS23+AS29</f>
        <v>137.09899999999999</v>
      </c>
      <c r="AT49" s="594">
        <f>AT7+AT23+AT29</f>
        <v>124.94199999999998</v>
      </c>
      <c r="AU49" s="169">
        <f>SUM(AQ49:AT49)</f>
        <v>487.82100000000003</v>
      </c>
      <c r="AV49" s="594">
        <f>AV7+AV23+AV29</f>
        <v>130.875</v>
      </c>
      <c r="AW49" s="594">
        <f>AW7+AW23+AW29</f>
        <v>160.38800000000001</v>
      </c>
      <c r="AX49" s="594">
        <f>AX7+AX23+AX29</f>
        <v>296.8</v>
      </c>
      <c r="AY49" s="594">
        <f>AY7+AY23+AY29</f>
        <v>400</v>
      </c>
      <c r="AZ49" s="169">
        <f>SUM(AV49:AY49)</f>
        <v>988.0630000000001</v>
      </c>
      <c r="BA49" s="594">
        <f t="shared" ref="BA49:BI49" si="33">BA7+BA23+BA29</f>
        <v>394.41</v>
      </c>
      <c r="BB49" s="594">
        <f t="shared" si="33"/>
        <v>425.65100000000001</v>
      </c>
      <c r="BC49" s="594">
        <f t="shared" si="33"/>
        <v>409.68900000000002</v>
      </c>
      <c r="BD49" s="594">
        <f t="shared" si="33"/>
        <v>453.88199999999995</v>
      </c>
      <c r="BE49" s="169">
        <f t="shared" si="33"/>
        <v>1682.8220000000001</v>
      </c>
      <c r="BF49" s="594">
        <f>BF7+BF29</f>
        <v>480.62200000000001</v>
      </c>
      <c r="BG49" s="594">
        <f>BG7+BG29</f>
        <v>513.98800000000006</v>
      </c>
      <c r="BH49" s="594">
        <f>BH7+BH29</f>
        <v>549.64200000000005</v>
      </c>
      <c r="BI49" s="594">
        <f t="shared" si="33"/>
        <v>621.22799999999995</v>
      </c>
      <c r="BJ49" s="169">
        <f>BJ7+BJ23+BJ29+BJ14+BJ36+BJ43</f>
        <v>2165.48</v>
      </c>
      <c r="BK49" s="594">
        <f>BK7+BK23+BK29+BK36</f>
        <v>600</v>
      </c>
      <c r="BL49" s="594">
        <f t="shared" ref="BL49:BN49" si="34">BL7+BL23+BL29+BL36</f>
        <v>645</v>
      </c>
      <c r="BM49" s="594">
        <f t="shared" si="34"/>
        <v>695</v>
      </c>
      <c r="BN49" s="594">
        <f t="shared" si="34"/>
        <v>722.68467277525519</v>
      </c>
      <c r="BO49" s="169">
        <f>BO7+BO23+BO29+BO14+BO36+BO43</f>
        <v>2662.6846727752554</v>
      </c>
      <c r="BP49" s="592"/>
      <c r="BQ49" s="592"/>
      <c r="BR49" s="592"/>
      <c r="BS49" s="592"/>
      <c r="BT49" s="169">
        <f>BT7+BT23+BT29+BT14+BT36+BT43</f>
        <v>2929.7891702143284</v>
      </c>
      <c r="BU49" s="592"/>
      <c r="BV49" s="592"/>
      <c r="BW49" s="592"/>
      <c r="BX49" s="592"/>
      <c r="BY49" s="169">
        <f>BY7+BY23+BY29+BY14+BY36+BY43</f>
        <v>4032.8449740353076</v>
      </c>
      <c r="BZ49" s="592"/>
      <c r="CA49" s="592"/>
      <c r="CB49" s="592"/>
      <c r="CC49" s="592"/>
      <c r="CD49" s="169">
        <f>CD7+CD23+CD29+CD14+CD36+CD43</f>
        <v>5352.054630757144</v>
      </c>
      <c r="CE49" s="592"/>
      <c r="CF49" s="592"/>
      <c r="CG49" s="592"/>
      <c r="CH49" s="592"/>
      <c r="CI49" s="169">
        <f>CI7+CI23+CI29+CI14+CI36+CI43</f>
        <v>6180.1313251355423</v>
      </c>
      <c r="CJ49" s="592"/>
      <c r="CK49" s="592"/>
      <c r="CL49" s="592"/>
      <c r="CM49" s="592"/>
      <c r="CN49" s="169">
        <f>CN7+CN23+CN29+CN14+CN36+CN43</f>
        <v>6549.5105155973397</v>
      </c>
      <c r="CO49" s="592"/>
      <c r="CP49" s="592"/>
      <c r="CQ49" s="592"/>
      <c r="CR49" s="592"/>
      <c r="CS49" s="169">
        <f>CS7+CS23+CS29+CS14+CS36+CS43</f>
        <v>6707.1044423355961</v>
      </c>
      <c r="CT49" s="592"/>
      <c r="CU49" s="592"/>
      <c r="CV49" s="592"/>
      <c r="CW49" s="592"/>
      <c r="CX49" s="169">
        <f>CX7+CX23+CX29+CX14+CX36+CX43</f>
        <v>7367.4606783273857</v>
      </c>
      <c r="CY49" s="592"/>
      <c r="CZ49" s="592"/>
      <c r="DA49" s="592"/>
      <c r="DB49" s="592"/>
      <c r="DC49" s="169">
        <f>DC7+DC23+DC29+DC14+DC36+DC43</f>
        <v>8877.4659624408032</v>
      </c>
      <c r="DD49" s="592"/>
      <c r="DE49" s="592"/>
      <c r="DF49" s="592"/>
      <c r="DG49" s="592"/>
      <c r="DH49" s="169">
        <f>DH7+DH23+DH29+DH14+DH36+DH43</f>
        <v>9000.8703205211095</v>
      </c>
      <c r="DI49" s="592"/>
      <c r="DJ49" s="592"/>
      <c r="DK49" s="592"/>
      <c r="DL49" s="592"/>
      <c r="DM49" s="169">
        <f>DM7+DM23+DM29+DM14+DM36+DM43</f>
        <v>9103.7533482704148</v>
      </c>
      <c r="DN49" s="592"/>
      <c r="DO49" s="592"/>
      <c r="DP49" s="592"/>
      <c r="DQ49" s="592"/>
      <c r="DR49" s="169">
        <f>DR7+DR23+DR29+DR14+DR36+DR43</f>
        <v>9114.9123702383276</v>
      </c>
      <c r="DS49" s="592"/>
      <c r="DT49" s="592"/>
      <c r="DU49" s="592"/>
      <c r="DV49" s="592"/>
      <c r="DW49" s="169">
        <f>DW7+DW23+DW29+DW14+DW36+DW43</f>
        <v>9197.9032959682863</v>
      </c>
    </row>
    <row r="50" spans="2:127">
      <c r="B50" s="145" t="s">
        <v>212</v>
      </c>
      <c r="C50" s="589">
        <v>9.1790000000000003</v>
      </c>
      <c r="D50" s="589">
        <v>9.0050000000000008</v>
      </c>
      <c r="E50" s="589">
        <v>10.901999999999999</v>
      </c>
      <c r="F50" s="589">
        <f>41.208-E50-D50-C50</f>
        <v>12.121999999999995</v>
      </c>
      <c r="G50" s="158">
        <f>SUM(C50:F50)</f>
        <v>41.207999999999991</v>
      </c>
      <c r="H50" s="598">
        <v>9.7959999999999994</v>
      </c>
      <c r="I50" s="598">
        <v>10.967000000000001</v>
      </c>
      <c r="J50" s="598">
        <f>12.522</f>
        <v>12.522</v>
      </c>
      <c r="K50" s="598">
        <f>14.688</f>
        <v>14.688000000000001</v>
      </c>
      <c r="L50" s="158">
        <f>SUM(H50:K50)</f>
        <v>47.972999999999999</v>
      </c>
      <c r="M50" s="598">
        <v>10.851000000000001</v>
      </c>
      <c r="N50" s="598">
        <v>9.7409999999999997</v>
      </c>
      <c r="O50" s="598">
        <v>7.7629999999999999</v>
      </c>
      <c r="P50" s="598">
        <v>9.1280000000000001</v>
      </c>
      <c r="Q50" s="158">
        <f>SUM(M50:P50)</f>
        <v>37.482999999999997</v>
      </c>
      <c r="R50" s="598">
        <v>6.14</v>
      </c>
      <c r="S50" s="598">
        <v>5.9169999999999998</v>
      </c>
      <c r="T50" s="598">
        <v>7.8339999999999996</v>
      </c>
      <c r="U50" s="598">
        <v>8.4290000000000003</v>
      </c>
      <c r="V50" s="158">
        <f>SUM(R50:U50)</f>
        <v>28.32</v>
      </c>
      <c r="W50" s="598">
        <v>6.407</v>
      </c>
      <c r="X50" s="598">
        <v>7.2619999999999996</v>
      </c>
      <c r="Y50" s="598">
        <v>8.173</v>
      </c>
      <c r="Z50" s="598">
        <v>8.4019999999999992</v>
      </c>
      <c r="AA50" s="158">
        <f>SUM(W50:Z50)</f>
        <v>30.244</v>
      </c>
      <c r="AB50" s="595">
        <v>6.0609999999999999</v>
      </c>
      <c r="AC50" s="595">
        <v>10.01</v>
      </c>
      <c r="AD50" s="595">
        <v>8.5389999999999997</v>
      </c>
      <c r="AE50" s="598">
        <f>29.7-SUM(AB50:AD50)</f>
        <v>5.09</v>
      </c>
      <c r="AF50" s="158">
        <f>SUM(AB50:AE50)</f>
        <v>29.7</v>
      </c>
      <c r="AG50" s="595">
        <f>38.981-AG22</f>
        <v>6.0970000000000013</v>
      </c>
      <c r="AH50" s="595">
        <f>33.48-AH22</f>
        <v>5.509999999999998</v>
      </c>
      <c r="AI50" s="595">
        <f>25.586-AI22</f>
        <v>5.6289999999999978</v>
      </c>
      <c r="AJ50" s="595">
        <f>43.451-AJ22</f>
        <v>6.6510000000000034</v>
      </c>
      <c r="AK50" s="158">
        <f>SUM(AG50:AJ50)</f>
        <v>23.887</v>
      </c>
      <c r="AL50" s="595">
        <f>43.573-AL22</f>
        <v>4.5730000000000004</v>
      </c>
      <c r="AM50" s="595">
        <f>49.12-AM22</f>
        <v>5.019999999999996</v>
      </c>
      <c r="AN50" s="595">
        <v>6.0119999999999996</v>
      </c>
      <c r="AO50" s="595">
        <v>10.5</v>
      </c>
      <c r="AP50" s="158">
        <f>SUM(AL50:AO50)</f>
        <v>26.104999999999997</v>
      </c>
      <c r="AQ50" s="595">
        <v>10.733000000000001</v>
      </c>
      <c r="AR50" s="595">
        <v>13.015000000000001</v>
      </c>
      <c r="AS50" s="595">
        <v>8.3859999999999992</v>
      </c>
      <c r="AT50" s="595">
        <v>8.7850000000000001</v>
      </c>
      <c r="AU50" s="158">
        <f>SUM(AQ50:AT50)</f>
        <v>40.918999999999997</v>
      </c>
      <c r="AV50" s="627">
        <v>6.7919999999999998</v>
      </c>
      <c r="AW50" s="627">
        <v>5.077</v>
      </c>
      <c r="AX50" s="628">
        <v>5.7590000000000003</v>
      </c>
      <c r="AY50" s="628">
        <v>6.3310000000000004</v>
      </c>
      <c r="AZ50" s="158">
        <f>SUM(AV50:AY50)</f>
        <v>23.959</v>
      </c>
      <c r="BA50" s="595">
        <f>IS!W18</f>
        <v>2.7450000000000001</v>
      </c>
      <c r="BB50" s="595">
        <f>IS!X18</f>
        <v>5.7709999999999999</v>
      </c>
      <c r="BC50" s="595">
        <f>IS!Y18</f>
        <v>3.6320000000000001</v>
      </c>
      <c r="BD50" s="599">
        <f>BE50-SUM(BA50:BC50)</f>
        <v>5.3520000000000003</v>
      </c>
      <c r="BE50" s="158">
        <v>17.5</v>
      </c>
      <c r="BF50" s="599">
        <f>IS!AB18</f>
        <v>1.5509999999999999</v>
      </c>
      <c r="BG50" s="599">
        <f>IS!AC18</f>
        <v>2.8610000000000002</v>
      </c>
      <c r="BH50" s="599">
        <f>IS!AD18</f>
        <v>2.2309999999999999</v>
      </c>
      <c r="BI50" s="599">
        <f>IS!AE18</f>
        <v>1.345</v>
      </c>
      <c r="BJ50" s="158">
        <f>SUM(BF50:BI50)</f>
        <v>7.9879999999999995</v>
      </c>
      <c r="BK50" s="599">
        <f>BO50/4</f>
        <v>0</v>
      </c>
      <c r="BL50" s="599">
        <f>BO50/4</f>
        <v>0</v>
      </c>
      <c r="BM50" s="599">
        <f>BO50/4</f>
        <v>0</v>
      </c>
      <c r="BN50" s="599">
        <f>BO50-SUM(BK50:BM50)</f>
        <v>0</v>
      </c>
      <c r="BO50" s="158">
        <v>0</v>
      </c>
      <c r="BP50" s="599"/>
      <c r="BQ50" s="599"/>
      <c r="BR50" s="599"/>
      <c r="BS50" s="599"/>
      <c r="BT50" s="158">
        <f>BO50</f>
        <v>0</v>
      </c>
      <c r="BU50" s="599"/>
      <c r="BV50" s="599"/>
      <c r="BW50" s="599"/>
      <c r="BX50" s="599"/>
      <c r="BY50" s="158">
        <f>BT50</f>
        <v>0</v>
      </c>
      <c r="BZ50" s="599"/>
      <c r="CA50" s="599"/>
      <c r="CB50" s="599"/>
      <c r="CC50" s="599"/>
      <c r="CD50" s="158">
        <f>BY50</f>
        <v>0</v>
      </c>
      <c r="CE50" s="599"/>
      <c r="CF50" s="599"/>
      <c r="CG50" s="599"/>
      <c r="CH50" s="599"/>
      <c r="CI50" s="158">
        <f>CD50</f>
        <v>0</v>
      </c>
      <c r="CJ50" s="599"/>
      <c r="CK50" s="599"/>
      <c r="CL50" s="599"/>
      <c r="CM50" s="599"/>
      <c r="CN50" s="158">
        <f>CI50</f>
        <v>0</v>
      </c>
      <c r="CO50" s="599"/>
      <c r="CP50" s="599"/>
      <c r="CQ50" s="599"/>
      <c r="CR50" s="599"/>
      <c r="CS50" s="158">
        <f>CN50</f>
        <v>0</v>
      </c>
      <c r="CT50" s="599"/>
      <c r="CU50" s="599"/>
      <c r="CV50" s="599"/>
      <c r="CW50" s="599"/>
      <c r="CX50" s="158">
        <f>CS50</f>
        <v>0</v>
      </c>
      <c r="CY50" s="599"/>
      <c r="CZ50" s="599"/>
      <c r="DA50" s="599"/>
      <c r="DB50" s="599"/>
      <c r="DC50" s="158">
        <f>CX50</f>
        <v>0</v>
      </c>
      <c r="DD50" s="599"/>
      <c r="DE50" s="599"/>
      <c r="DF50" s="599"/>
      <c r="DG50" s="599"/>
      <c r="DH50" s="158">
        <f>DC50</f>
        <v>0</v>
      </c>
      <c r="DI50" s="599"/>
      <c r="DJ50" s="599"/>
      <c r="DK50" s="599"/>
      <c r="DL50" s="599"/>
      <c r="DM50" s="158">
        <f>DH50</f>
        <v>0</v>
      </c>
      <c r="DN50" s="599"/>
      <c r="DO50" s="599"/>
      <c r="DP50" s="599"/>
      <c r="DQ50" s="599"/>
      <c r="DR50" s="158">
        <f>DM50</f>
        <v>0</v>
      </c>
      <c r="DS50" s="599"/>
      <c r="DT50" s="599"/>
      <c r="DU50" s="599"/>
      <c r="DV50" s="599"/>
      <c r="DW50" s="158">
        <f>DR50</f>
        <v>0</v>
      </c>
    </row>
    <row r="51" spans="2:127">
      <c r="B51" s="170" t="s">
        <v>289</v>
      </c>
      <c r="C51" s="598">
        <v>29.908000000000001</v>
      </c>
      <c r="D51" s="598">
        <v>20.721</v>
      </c>
      <c r="E51" s="598">
        <v>42.387</v>
      </c>
      <c r="F51" s="598">
        <f>175.148-E51-D51-C51</f>
        <v>82.131999999999991</v>
      </c>
      <c r="G51" s="158">
        <f>SUM(C51:F51)</f>
        <v>175.148</v>
      </c>
      <c r="H51" s="598">
        <v>59.014000000000003</v>
      </c>
      <c r="I51" s="598">
        <f>27.229</f>
        <v>27.228999999999999</v>
      </c>
      <c r="J51" s="598">
        <f>28.492</f>
        <v>28.492000000000001</v>
      </c>
      <c r="K51" s="598">
        <f>36.304</f>
        <v>36.304000000000002</v>
      </c>
      <c r="L51" s="158">
        <f>SUM(H51:K51)</f>
        <v>151.03899999999999</v>
      </c>
      <c r="M51" s="598">
        <v>30.824000000000002</v>
      </c>
      <c r="N51" s="598">
        <v>59.667999999999999</v>
      </c>
      <c r="O51" s="598">
        <v>23.846</v>
      </c>
      <c r="P51" s="598">
        <v>23.683</v>
      </c>
      <c r="Q51" s="158">
        <f>SUM(M51:P51)</f>
        <v>138.02100000000002</v>
      </c>
      <c r="R51" s="598">
        <v>17.838999999999999</v>
      </c>
      <c r="S51" s="598">
        <v>13.147</v>
      </c>
      <c r="T51" s="598">
        <v>17.123000000000001</v>
      </c>
      <c r="U51" s="598">
        <v>25.46</v>
      </c>
      <c r="V51" s="158">
        <f>SUM(R51:U51)</f>
        <v>73.568999999999988</v>
      </c>
      <c r="W51" s="598">
        <v>16.021999999999998</v>
      </c>
      <c r="X51" s="598">
        <v>24.36</v>
      </c>
      <c r="Y51" s="598">
        <v>15.622</v>
      </c>
      <c r="Z51" s="598">
        <f>57.122</f>
        <v>57.122</v>
      </c>
      <c r="AA51" s="158">
        <f>SUM(W51:Z51)</f>
        <v>113.126</v>
      </c>
      <c r="AB51" s="595">
        <f>67.601</f>
        <v>67.600999999999999</v>
      </c>
      <c r="AC51" s="595">
        <v>29.879000000000001</v>
      </c>
      <c r="AD51" s="595">
        <f>231.066</f>
        <v>231.066</v>
      </c>
      <c r="AE51" s="595">
        <v>81.176000000000002</v>
      </c>
      <c r="AF51" s="158">
        <f>SUM(AB51:AE51)</f>
        <v>409.72199999999998</v>
      </c>
      <c r="AG51" s="595">
        <v>24.381</v>
      </c>
      <c r="AH51" s="595">
        <v>11.552</v>
      </c>
      <c r="AI51" s="595">
        <v>6.9189999999999996</v>
      </c>
      <c r="AJ51" s="595">
        <v>9.234</v>
      </c>
      <c r="AK51" s="158">
        <f>SUM(AG51:AJ51)</f>
        <v>52.085999999999999</v>
      </c>
      <c r="AL51" s="595">
        <v>17.414000000000001</v>
      </c>
      <c r="AM51" s="595">
        <v>6.8410000000000002</v>
      </c>
      <c r="AN51" s="595">
        <v>8.0350000000000001</v>
      </c>
      <c r="AO51" s="595">
        <v>0</v>
      </c>
      <c r="AP51" s="158">
        <f>SUM(AL51:AO51)</f>
        <v>32.290000000000006</v>
      </c>
      <c r="AQ51" s="595">
        <v>4.2569999999999997</v>
      </c>
      <c r="AR51" s="595">
        <v>3.0870000000000002</v>
      </c>
      <c r="AS51" s="595">
        <v>33.502000000000002</v>
      </c>
      <c r="AT51" s="595">
        <v>10.829000000000001</v>
      </c>
      <c r="AU51" s="158">
        <f>SUM(AQ51:AT51)</f>
        <v>51.675000000000004</v>
      </c>
      <c r="AV51" s="627">
        <v>0.84199999999999997</v>
      </c>
      <c r="AW51" s="627">
        <v>0.61099999999999999</v>
      </c>
      <c r="AX51" s="628">
        <v>1.546</v>
      </c>
      <c r="AY51" s="628">
        <v>5.0540000000000003</v>
      </c>
      <c r="AZ51" s="158">
        <f>SUM(AV51:AY51)</f>
        <v>8.0530000000000008</v>
      </c>
      <c r="BA51" s="595">
        <f>IS!W17</f>
        <v>0</v>
      </c>
      <c r="BB51" s="595">
        <f>IS!X17</f>
        <v>0.10200000000000009</v>
      </c>
      <c r="BC51" s="595">
        <f>IS!Y17</f>
        <v>0.21600000000000003</v>
      </c>
      <c r="BD51" s="599">
        <v>0</v>
      </c>
      <c r="BE51" s="158">
        <f>SUM(BA51:BD51)</f>
        <v>0.31800000000000012</v>
      </c>
      <c r="BF51" s="599">
        <v>0</v>
      </c>
      <c r="BG51" s="599">
        <v>0</v>
      </c>
      <c r="BH51" s="599">
        <v>0</v>
      </c>
      <c r="BI51" s="599">
        <v>0</v>
      </c>
      <c r="BJ51" s="158">
        <f>SUM(BF51:BI51)</f>
        <v>0</v>
      </c>
      <c r="BK51" s="599">
        <v>0</v>
      </c>
      <c r="BL51" s="599">
        <v>0</v>
      </c>
      <c r="BM51" s="599">
        <v>0</v>
      </c>
      <c r="BN51" s="599">
        <v>0</v>
      </c>
      <c r="BO51" s="158">
        <f>SUM(BK51:BN51)</f>
        <v>0</v>
      </c>
      <c r="BP51" s="599"/>
      <c r="BQ51" s="599"/>
      <c r="BR51" s="599"/>
      <c r="BS51" s="599"/>
      <c r="BT51" s="158">
        <f>SUM(BP51:BS51)</f>
        <v>0</v>
      </c>
      <c r="BU51" s="599"/>
      <c r="BV51" s="599"/>
      <c r="BW51" s="599"/>
      <c r="BX51" s="599"/>
      <c r="BY51" s="158">
        <f>SUM(BU51:BX51)</f>
        <v>0</v>
      </c>
      <c r="BZ51" s="599"/>
      <c r="CA51" s="599"/>
      <c r="CB51" s="599"/>
      <c r="CC51" s="599"/>
      <c r="CD51" s="158">
        <f>SUM(BZ51:CC51)</f>
        <v>0</v>
      </c>
      <c r="CE51" s="599"/>
      <c r="CF51" s="599"/>
      <c r="CG51" s="599"/>
      <c r="CH51" s="599"/>
      <c r="CI51" s="158">
        <f>SUM(CE51:CH51)</f>
        <v>0</v>
      </c>
      <c r="CJ51" s="599"/>
      <c r="CK51" s="599"/>
      <c r="CL51" s="599"/>
      <c r="CM51" s="599"/>
      <c r="CN51" s="158">
        <f>SUM(CJ51:CM51)</f>
        <v>0</v>
      </c>
      <c r="CO51" s="599"/>
      <c r="CP51" s="599"/>
      <c r="CQ51" s="599"/>
      <c r="CR51" s="599"/>
      <c r="CS51" s="158">
        <f>SUM(CO51:CR51)</f>
        <v>0</v>
      </c>
      <c r="CT51" s="599"/>
      <c r="CU51" s="599"/>
      <c r="CV51" s="599"/>
      <c r="CW51" s="599"/>
      <c r="CX51" s="158">
        <f>SUM(CT51:CW51)</f>
        <v>0</v>
      </c>
      <c r="CY51" s="599"/>
      <c r="CZ51" s="599"/>
      <c r="DA51" s="599"/>
      <c r="DB51" s="599"/>
      <c r="DC51" s="158">
        <f>SUM(CY51:DB51)</f>
        <v>0</v>
      </c>
      <c r="DD51" s="599"/>
      <c r="DE51" s="599"/>
      <c r="DF51" s="599"/>
      <c r="DG51" s="599"/>
      <c r="DH51" s="158">
        <f>SUM(DD51:DG51)</f>
        <v>0</v>
      </c>
      <c r="DI51" s="599"/>
      <c r="DJ51" s="599"/>
      <c r="DK51" s="599"/>
      <c r="DL51" s="599"/>
      <c r="DM51" s="158">
        <f>SUM(DI51:DL51)</f>
        <v>0</v>
      </c>
      <c r="DN51" s="599"/>
      <c r="DO51" s="599"/>
      <c r="DP51" s="599"/>
      <c r="DQ51" s="599"/>
      <c r="DR51" s="158">
        <f>SUM(DN51:DQ51)</f>
        <v>0</v>
      </c>
      <c r="DS51" s="599"/>
      <c r="DT51" s="599"/>
      <c r="DU51" s="599"/>
      <c r="DV51" s="599"/>
      <c r="DW51" s="158">
        <f>SUM(DS51:DV51)</f>
        <v>0</v>
      </c>
    </row>
    <row r="52" spans="2:127">
      <c r="B52" s="171" t="s">
        <v>290</v>
      </c>
      <c r="C52" s="597">
        <f t="shared" ref="C52:AP52" si="35">C51+C50+C29+C23+C7</f>
        <v>39.087000000000003</v>
      </c>
      <c r="D52" s="597">
        <f t="shared" si="35"/>
        <v>29.725999999999999</v>
      </c>
      <c r="E52" s="597">
        <f t="shared" si="35"/>
        <v>53.289000000000001</v>
      </c>
      <c r="F52" s="597">
        <f t="shared" si="35"/>
        <v>94.253999999999991</v>
      </c>
      <c r="G52" s="172">
        <f t="shared" si="35"/>
        <v>216.35599999999999</v>
      </c>
      <c r="H52" s="597">
        <f t="shared" si="35"/>
        <v>68.81</v>
      </c>
      <c r="I52" s="597">
        <f t="shared" si="35"/>
        <v>38.195999999999998</v>
      </c>
      <c r="J52" s="597">
        <f t="shared" si="35"/>
        <v>41.014000000000003</v>
      </c>
      <c r="K52" s="597">
        <f t="shared" si="35"/>
        <v>50.992000000000004</v>
      </c>
      <c r="L52" s="172">
        <f t="shared" si="35"/>
        <v>199.012</v>
      </c>
      <c r="M52" s="597">
        <f t="shared" si="35"/>
        <v>41.675000000000004</v>
      </c>
      <c r="N52" s="597">
        <f t="shared" si="35"/>
        <v>69.408999999999992</v>
      </c>
      <c r="O52" s="597">
        <f t="shared" si="35"/>
        <v>31.609000000000002</v>
      </c>
      <c r="P52" s="597">
        <f t="shared" si="35"/>
        <v>32.811</v>
      </c>
      <c r="Q52" s="172">
        <f t="shared" si="35"/>
        <v>175.50400000000002</v>
      </c>
      <c r="R52" s="597">
        <f t="shared" si="35"/>
        <v>23.978999999999999</v>
      </c>
      <c r="S52" s="597">
        <f t="shared" si="35"/>
        <v>19.064</v>
      </c>
      <c r="T52" s="597">
        <f t="shared" si="35"/>
        <v>24.957000000000001</v>
      </c>
      <c r="U52" s="597">
        <f t="shared" si="35"/>
        <v>33.889000000000003</v>
      </c>
      <c r="V52" s="172">
        <f t="shared" si="35"/>
        <v>101.88899999999998</v>
      </c>
      <c r="W52" s="597">
        <f t="shared" si="35"/>
        <v>22.428999999999998</v>
      </c>
      <c r="X52" s="597">
        <f t="shared" si="35"/>
        <v>31.622</v>
      </c>
      <c r="Y52" s="597">
        <f t="shared" si="35"/>
        <v>23.795000000000002</v>
      </c>
      <c r="Z52" s="597">
        <f t="shared" si="35"/>
        <v>65.524000000000001</v>
      </c>
      <c r="AA52" s="172">
        <f t="shared" si="35"/>
        <v>143.37</v>
      </c>
      <c r="AB52" s="597">
        <f t="shared" si="35"/>
        <v>73.662000000000006</v>
      </c>
      <c r="AC52" s="597">
        <f t="shared" si="35"/>
        <v>114.42400000000001</v>
      </c>
      <c r="AD52" s="597">
        <f t="shared" si="35"/>
        <v>659.2</v>
      </c>
      <c r="AE52" s="597">
        <f t="shared" si="35"/>
        <v>563.34</v>
      </c>
      <c r="AF52" s="172">
        <f t="shared" si="35"/>
        <v>1410.626</v>
      </c>
      <c r="AG52" s="597">
        <f t="shared" si="35"/>
        <v>438.73700000000002</v>
      </c>
      <c r="AH52" s="597">
        <f t="shared" si="35"/>
        <v>418.30499999999995</v>
      </c>
      <c r="AI52" s="597">
        <f t="shared" si="35"/>
        <v>336.00600000000003</v>
      </c>
      <c r="AJ52" s="597">
        <f t="shared" si="35"/>
        <v>333.99399999999997</v>
      </c>
      <c r="AK52" s="172">
        <f t="shared" si="35"/>
        <v>1527.0420000000001</v>
      </c>
      <c r="AL52" s="597">
        <f t="shared" si="35"/>
        <v>328.36799999999999</v>
      </c>
      <c r="AM52" s="597">
        <f t="shared" si="35"/>
        <v>310.75</v>
      </c>
      <c r="AN52" s="597">
        <f t="shared" si="35"/>
        <v>221.7</v>
      </c>
      <c r="AO52" s="597">
        <f t="shared" si="35"/>
        <v>165.709</v>
      </c>
      <c r="AP52" s="172">
        <f t="shared" si="35"/>
        <v>1026.527</v>
      </c>
      <c r="AQ52" s="597">
        <f>AQ51+AQ50+AQ29+AQ23+AQ7+AQ98</f>
        <v>118.45099999999999</v>
      </c>
      <c r="AR52" s="597">
        <f>AR51+AR50+AR29+AR23+AR7+AR98</f>
        <v>138.42099999999999</v>
      </c>
      <c r="AS52" s="597">
        <f>AS51+AS50+AS29+AS23+AS7+AS98</f>
        <v>178.98699999999999</v>
      </c>
      <c r="AT52" s="597">
        <f>AT51+AT50+AT29+AT23+AT7+AT98</f>
        <v>144.55599999999998</v>
      </c>
      <c r="AU52" s="172">
        <f t="shared" ref="AU52:BI52" si="36">AU51+AU50+AU29+AU23+AU7</f>
        <v>580.41499999999996</v>
      </c>
      <c r="AV52" s="596">
        <f t="shared" si="36"/>
        <v>138.50899999999999</v>
      </c>
      <c r="AW52" s="597">
        <f t="shared" si="36"/>
        <v>166.07599999999999</v>
      </c>
      <c r="AX52" s="597">
        <f t="shared" si="36"/>
        <v>304.10500000000002</v>
      </c>
      <c r="AY52" s="597">
        <f t="shared" si="36"/>
        <v>411.38499999999999</v>
      </c>
      <c r="AZ52" s="172">
        <f t="shared" si="36"/>
        <v>1020.104</v>
      </c>
      <c r="BA52" s="597">
        <f t="shared" si="36"/>
        <v>397.15500000000003</v>
      </c>
      <c r="BB52" s="597">
        <f t="shared" si="36"/>
        <v>431.524</v>
      </c>
      <c r="BC52" s="597">
        <f t="shared" si="36"/>
        <v>413.53700000000003</v>
      </c>
      <c r="BD52" s="597">
        <f t="shared" si="36"/>
        <v>459.23399999999992</v>
      </c>
      <c r="BE52" s="172">
        <f t="shared" si="36"/>
        <v>1700.6399999999999</v>
      </c>
      <c r="BF52" s="597">
        <f>BF50+BF51+BF49</f>
        <v>482.173</v>
      </c>
      <c r="BG52" s="597">
        <f>BG50+BG51+BG49</f>
        <v>516.84900000000005</v>
      </c>
      <c r="BH52" s="597">
        <f t="shared" si="36"/>
        <v>551.87300000000005</v>
      </c>
      <c r="BI52" s="597">
        <f t="shared" si="36"/>
        <v>622.57299999999998</v>
      </c>
      <c r="BJ52" s="172">
        <f>BJ51+BJ50+BJ29+BJ23+BJ7+BJ43+BJ36+BJ14</f>
        <v>2173.4679999999998</v>
      </c>
      <c r="BK52" s="597">
        <f>BK50+BK51+BK49</f>
        <v>600</v>
      </c>
      <c r="BL52" s="597">
        <f>BL50+BL51+BL49</f>
        <v>645</v>
      </c>
      <c r="BM52" s="597">
        <f>BM50+BM51+BM49</f>
        <v>695</v>
      </c>
      <c r="BN52" s="597">
        <f>BN50+BN51+BN49</f>
        <v>722.68467277525519</v>
      </c>
      <c r="BO52" s="172">
        <f>BO51+BO50+BO29+BO23+BO7+BO43+BO36+BO14</f>
        <v>2662.6846727752554</v>
      </c>
      <c r="BP52" s="597"/>
      <c r="BQ52" s="597"/>
      <c r="BR52" s="597"/>
      <c r="BS52" s="597"/>
      <c r="BT52" s="172">
        <f>BT51+BT50+BT29+BT23+BT7+BT43+BT36+BT14</f>
        <v>2929.7891702143284</v>
      </c>
      <c r="BU52" s="597"/>
      <c r="BV52" s="597"/>
      <c r="BW52" s="597"/>
      <c r="BX52" s="597"/>
      <c r="BY52" s="172">
        <f>BY51+BY50+BY29+BY23+BY7+BY43+BY36+BY14</f>
        <v>4032.8449740353076</v>
      </c>
      <c r="BZ52" s="597"/>
      <c r="CA52" s="597"/>
      <c r="CB52" s="597"/>
      <c r="CC52" s="597"/>
      <c r="CD52" s="172">
        <f>CD51+CD50+CD29+CD23+CD7+CD43+CD36+CD14</f>
        <v>5352.054630757144</v>
      </c>
      <c r="CE52" s="597"/>
      <c r="CF52" s="597"/>
      <c r="CG52" s="597"/>
      <c r="CH52" s="597"/>
      <c r="CI52" s="172">
        <f>CI51+CI50+CI29+CI23+CI7+CI43+CI36+CI14</f>
        <v>6180.1313251355423</v>
      </c>
      <c r="CJ52" s="597"/>
      <c r="CK52" s="597"/>
      <c r="CL52" s="597"/>
      <c r="CM52" s="597"/>
      <c r="CN52" s="172">
        <f>CN51+CN50+CN29+CN23+CN7+CN43+CN36+CN14</f>
        <v>6549.5105155973397</v>
      </c>
      <c r="CO52" s="597"/>
      <c r="CP52" s="597"/>
      <c r="CQ52" s="597"/>
      <c r="CR52" s="597"/>
      <c r="CS52" s="172">
        <f>CS51+CS50+CS29+CS23+CS7+CS43+CS36+CS14</f>
        <v>6707.104442335597</v>
      </c>
      <c r="CT52" s="597"/>
      <c r="CU52" s="597"/>
      <c r="CV52" s="597"/>
      <c r="CW52" s="597"/>
      <c r="CX52" s="172">
        <f>CX51+CX50+CX29+CX23+CX7+CX43+CX36+CX14</f>
        <v>7367.4606783273857</v>
      </c>
      <c r="CY52" s="597"/>
      <c r="CZ52" s="597"/>
      <c r="DA52" s="597"/>
      <c r="DB52" s="597"/>
      <c r="DC52" s="172">
        <f>DC51+DC50+DC29+DC23+DC7+DC43+DC36+DC14</f>
        <v>8877.4659624408032</v>
      </c>
      <c r="DD52" s="597"/>
      <c r="DE52" s="597"/>
      <c r="DF52" s="597"/>
      <c r="DG52" s="597"/>
      <c r="DH52" s="172">
        <f>DH51+DH50+DH29+DH23+DH7+DH43+DH36+DH14</f>
        <v>9000.8703205211095</v>
      </c>
      <c r="DI52" s="597"/>
      <c r="DJ52" s="597"/>
      <c r="DK52" s="597"/>
      <c r="DL52" s="597"/>
      <c r="DM52" s="172">
        <f>DM51+DM50+DM29+DM23+DM7+DM43+DM36+DM14</f>
        <v>9103.7533482704148</v>
      </c>
      <c r="DN52" s="597"/>
      <c r="DO52" s="597"/>
      <c r="DP52" s="597"/>
      <c r="DQ52" s="597"/>
      <c r="DR52" s="172">
        <f>DR51+DR50+DR29+DR23+DR7+DR43+DR36+DR14</f>
        <v>9114.9123702383258</v>
      </c>
      <c r="DS52" s="597"/>
      <c r="DT52" s="597"/>
      <c r="DU52" s="597"/>
      <c r="DV52" s="597"/>
      <c r="DW52" s="172">
        <f>DW51+DW50+DW29+DW23+DW7+DW43+DW36+DW14</f>
        <v>9197.9032959682863</v>
      </c>
    </row>
    <row r="53" spans="2:127">
      <c r="B53" s="164" t="s">
        <v>282</v>
      </c>
      <c r="C53" s="591" t="s">
        <v>227</v>
      </c>
      <c r="D53" s="591" t="s">
        <v>227</v>
      </c>
      <c r="E53" s="591" t="s">
        <v>283</v>
      </c>
      <c r="F53" s="591" t="s">
        <v>227</v>
      </c>
      <c r="G53" s="165" t="s">
        <v>227</v>
      </c>
      <c r="H53" s="591">
        <f t="shared" ref="H53:BJ53" si="37">IF(C52=0,"NM",H52/C52-1)</f>
        <v>0.76043185713920214</v>
      </c>
      <c r="I53" s="591">
        <f t="shared" si="37"/>
        <v>0.28493574648455899</v>
      </c>
      <c r="J53" s="591">
        <f t="shared" si="37"/>
        <v>-0.23034772654769275</v>
      </c>
      <c r="K53" s="591">
        <f t="shared" si="37"/>
        <v>-0.45899378275723035</v>
      </c>
      <c r="L53" s="165">
        <f t="shared" si="37"/>
        <v>-8.0164173861598464E-2</v>
      </c>
      <c r="M53" s="591">
        <f t="shared" si="37"/>
        <v>-0.39434675192559221</v>
      </c>
      <c r="N53" s="591">
        <f t="shared" si="37"/>
        <v>0.81717980940412605</v>
      </c>
      <c r="O53" s="591">
        <f t="shared" si="37"/>
        <v>-0.22931194226361729</v>
      </c>
      <c r="P53" s="591">
        <f t="shared" si="37"/>
        <v>-0.3565461248823345</v>
      </c>
      <c r="Q53" s="165">
        <f t="shared" si="37"/>
        <v>-0.11812353023938249</v>
      </c>
      <c r="R53" s="591">
        <f t="shared" si="37"/>
        <v>-0.42461907618476313</v>
      </c>
      <c r="S53" s="591">
        <f t="shared" si="37"/>
        <v>-0.72533821262372311</v>
      </c>
      <c r="T53" s="591">
        <f t="shared" si="37"/>
        <v>-0.21044639185042235</v>
      </c>
      <c r="U53" s="591">
        <f t="shared" si="37"/>
        <v>3.2854835268659954E-2</v>
      </c>
      <c r="V53" s="165">
        <f t="shared" si="37"/>
        <v>-0.41944912936457301</v>
      </c>
      <c r="W53" s="591">
        <f t="shared" si="37"/>
        <v>-6.4639893239918256E-2</v>
      </c>
      <c r="X53" s="591">
        <f t="shared" si="37"/>
        <v>0.6587284934955937</v>
      </c>
      <c r="Y53" s="591">
        <f t="shared" si="37"/>
        <v>-4.6560083343350489E-2</v>
      </c>
      <c r="Z53" s="591">
        <f t="shared" si="37"/>
        <v>0.93348874265985993</v>
      </c>
      <c r="AA53" s="165">
        <f t="shared" si="37"/>
        <v>0.40711951241056465</v>
      </c>
      <c r="AB53" s="591">
        <f t="shared" si="37"/>
        <v>2.2842302376387718</v>
      </c>
      <c r="AC53" s="591">
        <f t="shared" si="37"/>
        <v>2.6184934539244833</v>
      </c>
      <c r="AD53" s="591">
        <f t="shared" si="37"/>
        <v>26.703299012397562</v>
      </c>
      <c r="AE53" s="591">
        <f t="shared" si="37"/>
        <v>7.5974604724986268</v>
      </c>
      <c r="AF53" s="165">
        <f t="shared" si="37"/>
        <v>8.839059775406291</v>
      </c>
      <c r="AG53" s="591">
        <f t="shared" si="37"/>
        <v>4.9560831907903662</v>
      </c>
      <c r="AH53" s="591">
        <f t="shared" si="37"/>
        <v>2.6557452981891903</v>
      </c>
      <c r="AI53" s="591">
        <f t="shared" si="37"/>
        <v>-0.4902821601941747</v>
      </c>
      <c r="AJ53" s="591">
        <f t="shared" si="37"/>
        <v>-0.40711825895551546</v>
      </c>
      <c r="AK53" s="165">
        <f t="shared" si="37"/>
        <v>8.2527898961170632E-2</v>
      </c>
      <c r="AL53" s="591">
        <f t="shared" si="37"/>
        <v>-0.25156073000453583</v>
      </c>
      <c r="AM53" s="591">
        <f t="shared" si="37"/>
        <v>-0.25712100022710693</v>
      </c>
      <c r="AN53" s="591">
        <f t="shared" si="37"/>
        <v>-0.34019035374368323</v>
      </c>
      <c r="AO53" s="591">
        <f t="shared" si="37"/>
        <v>-0.50385635670101858</v>
      </c>
      <c r="AP53" s="165">
        <f t="shared" si="37"/>
        <v>-0.32776767109221627</v>
      </c>
      <c r="AQ53" s="591">
        <f t="shared" si="37"/>
        <v>-0.63927361984115383</v>
      </c>
      <c r="AR53" s="591">
        <f t="shared" si="37"/>
        <v>-0.55455832662912319</v>
      </c>
      <c r="AS53" s="591">
        <f t="shared" si="37"/>
        <v>-0.19266125394677491</v>
      </c>
      <c r="AT53" s="591">
        <f t="shared" si="37"/>
        <v>-0.12765148543531146</v>
      </c>
      <c r="AU53" s="165">
        <f t="shared" si="37"/>
        <v>-0.43458379565272032</v>
      </c>
      <c r="AV53" s="591">
        <f t="shared" si="37"/>
        <v>0.1693358435133514</v>
      </c>
      <c r="AW53" s="591">
        <f t="shared" si="37"/>
        <v>0.19978904934944852</v>
      </c>
      <c r="AX53" s="591">
        <f t="shared" si="37"/>
        <v>0.69903400805645122</v>
      </c>
      <c r="AY53" s="591">
        <f t="shared" si="37"/>
        <v>1.8458521265115251</v>
      </c>
      <c r="AZ53" s="165">
        <f t="shared" si="37"/>
        <v>0.75754244807594584</v>
      </c>
      <c r="BA53" s="591">
        <f t="shared" ref="BA53" si="38">IF(AV52=0,"NM",BA52/AV52-1)</f>
        <v>1.8673587997891841</v>
      </c>
      <c r="BB53" s="591">
        <f t="shared" ref="BB53" si="39">IF(AW52=0,"NM",BB52/AW52-1)</f>
        <v>1.5983525614778777</v>
      </c>
      <c r="BC53" s="591">
        <f t="shared" ref="BC53" si="40">IF(AX52=0,"NM",BC52/AX52-1)</f>
        <v>0.35984939412374017</v>
      </c>
      <c r="BD53" s="591">
        <f t="shared" ref="BD53" si="41">IF(AY52=0,"NM",BD52/AY52-1)</f>
        <v>0.11631197053854647</v>
      </c>
      <c r="BE53" s="165">
        <f t="shared" si="37"/>
        <v>0.66712413636256684</v>
      </c>
      <c r="BF53" s="591">
        <f t="shared" ref="BF53" si="42">IF(BA52=0,"NM",BF52/BA52-1)</f>
        <v>0.21406755548841128</v>
      </c>
      <c r="BG53" s="591">
        <f t="shared" ref="BG53" si="43">IF(BB52=0,"NM",BG52/BB52-1)</f>
        <v>0.19772944262659786</v>
      </c>
      <c r="BH53" s="591">
        <f t="shared" ref="BH53" si="44">IF(BC52=0,"NM",BH52/BC52-1)</f>
        <v>0.33451903940880734</v>
      </c>
      <c r="BI53" s="591">
        <f t="shared" ref="BI53" si="45">IF(BD52=0,"NM",BI52/BD52-1)</f>
        <v>0.35567706223842332</v>
      </c>
      <c r="BJ53" s="165">
        <f t="shared" si="37"/>
        <v>0.27802944773732241</v>
      </c>
      <c r="BK53" s="591">
        <f t="shared" ref="BK53" si="46">IF(BF52=0,"NM",BK52/BF52-1)</f>
        <v>0.24436664848508727</v>
      </c>
      <c r="BL53" s="591">
        <f t="shared" ref="BL53" si="47">IF(BG52=0,"NM",BL52/BG52-1)</f>
        <v>0.24794669236082489</v>
      </c>
      <c r="BM53" s="591">
        <f t="shared" ref="BM53" si="48">IF(BH52=0,"NM",BM52/BH52-1)</f>
        <v>0.25934771224538977</v>
      </c>
      <c r="BN53" s="591">
        <f t="shared" ref="BN53" si="49">IF(BI52=0,"NM",BN52/BI52-1)</f>
        <v>0.16080310706576606</v>
      </c>
      <c r="BO53" s="165">
        <f>IF(BJ52=0,"NM",BO52/BJ52-1)</f>
        <v>0.2250857490311593</v>
      </c>
      <c r="BP53" s="591"/>
      <c r="BQ53" s="591"/>
      <c r="BR53" s="591"/>
      <c r="BS53" s="591"/>
      <c r="BT53" s="165">
        <f>IF(BO52=0,"NM",BT52/BO52-1)</f>
        <v>0.100313980160736</v>
      </c>
      <c r="BU53" s="591"/>
      <c r="BV53" s="591"/>
      <c r="BW53" s="591"/>
      <c r="BX53" s="591"/>
      <c r="BY53" s="165">
        <f>IF(BT52=0,"NM",BY52/BT52-1)</f>
        <v>0.37649664864461396</v>
      </c>
      <c r="BZ53" s="591"/>
      <c r="CA53" s="591"/>
      <c r="CB53" s="591"/>
      <c r="CC53" s="591"/>
      <c r="CD53" s="165">
        <f>IF(BY52=0,"NM",CD52/BY52-1)</f>
        <v>0.3271163819128462</v>
      </c>
      <c r="CE53" s="591"/>
      <c r="CF53" s="591"/>
      <c r="CG53" s="591"/>
      <c r="CH53" s="591"/>
      <c r="CI53" s="165">
        <f>IF(CD52=0,"NM",CI52/CD52-1)</f>
        <v>0.15472127089652887</v>
      </c>
      <c r="CJ53" s="591"/>
      <c r="CK53" s="591"/>
      <c r="CL53" s="591"/>
      <c r="CM53" s="591"/>
      <c r="CN53" s="165">
        <f>IF(CI52=0,"NM",CN52/CI52-1)</f>
        <v>5.9768825455128294E-2</v>
      </c>
      <c r="CO53" s="591"/>
      <c r="CP53" s="591"/>
      <c r="CQ53" s="591"/>
      <c r="CR53" s="591"/>
      <c r="CS53" s="165">
        <f>IF(CN52=0,"NM",CS52/CN52-1)</f>
        <v>2.406193964616965E-2</v>
      </c>
      <c r="CT53" s="591"/>
      <c r="CU53" s="591"/>
      <c r="CV53" s="591"/>
      <c r="CW53" s="591"/>
      <c r="CX53" s="165">
        <f>IF(CS52=0,"NM",CX52/CS52-1)</f>
        <v>9.8456232740850913E-2</v>
      </c>
      <c r="CY53" s="591"/>
      <c r="CZ53" s="591"/>
      <c r="DA53" s="591"/>
      <c r="DB53" s="591"/>
      <c r="DC53" s="165">
        <f>IF(CX52=0,"NM",DC52/CX52-1)</f>
        <v>0.20495600180878459</v>
      </c>
      <c r="DD53" s="591"/>
      <c r="DE53" s="591"/>
      <c r="DF53" s="591"/>
      <c r="DG53" s="591"/>
      <c r="DH53" s="165">
        <f>IF(DC52=0,"NM",DH52/DC52-1)</f>
        <v>1.3900853982703021E-2</v>
      </c>
      <c r="DI53" s="591"/>
      <c r="DJ53" s="591"/>
      <c r="DK53" s="591"/>
      <c r="DL53" s="591"/>
      <c r="DM53" s="165">
        <f>IF(DH52=0,"NM",DM52/DH52-1)</f>
        <v>1.1430342187548348E-2</v>
      </c>
      <c r="DN53" s="591"/>
      <c r="DO53" s="591"/>
      <c r="DP53" s="591"/>
      <c r="DQ53" s="591"/>
      <c r="DR53" s="165">
        <f>IF(DM52=0,"NM",DR52/DM52-1)</f>
        <v>1.2257605781940129E-3</v>
      </c>
      <c r="DS53" s="591"/>
      <c r="DT53" s="591"/>
      <c r="DU53" s="591"/>
      <c r="DV53" s="591"/>
      <c r="DW53" s="165">
        <f>IF(DR52=0,"NM",DW52/DR52-1)</f>
        <v>9.1049614476754748E-3</v>
      </c>
    </row>
    <row r="54" spans="2:127">
      <c r="DW54" s="147"/>
    </row>
    <row r="55" spans="2:127">
      <c r="AE55" s="154"/>
      <c r="AF55" s="154"/>
      <c r="AG55" s="154"/>
      <c r="AH55" s="154"/>
      <c r="AI55" s="154"/>
      <c r="AJ55" s="154"/>
      <c r="AK55" s="154"/>
      <c r="AL55" s="154"/>
      <c r="AM55" s="154"/>
      <c r="AN55" s="154"/>
      <c r="AO55" s="154"/>
      <c r="AP55" s="154"/>
      <c r="AQ55" s="154"/>
      <c r="BA55" s="147"/>
      <c r="BH55" s="147"/>
      <c r="BK55" s="147"/>
    </row>
    <row r="57" spans="2:127">
      <c r="AE57" s="147"/>
      <c r="AF57" s="147"/>
      <c r="AG57" s="147"/>
      <c r="AH57" s="147"/>
      <c r="AI57" s="147"/>
      <c r="AJ57" s="147"/>
      <c r="AK57" s="147"/>
      <c r="AL57" s="147"/>
      <c r="AM57" s="147"/>
      <c r="AN57" s="147"/>
      <c r="AO57" s="147"/>
      <c r="AP57" s="147"/>
    </row>
    <row r="58" spans="2:127">
      <c r="BI58" s="147"/>
    </row>
    <row r="59" spans="2:127">
      <c r="AU59" s="605"/>
      <c r="AV59" s="605"/>
      <c r="AW59" s="605"/>
      <c r="BB59" s="147"/>
      <c r="BC59" s="147"/>
      <c r="BD59" s="147"/>
    </row>
  </sheetData>
  <pageMargins left="0" right="0" top="0" bottom="0" header="0" footer="0"/>
  <pageSetup paperSize="5" scale="79"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AH113"/>
  <sheetViews>
    <sheetView zoomScale="90" zoomScaleNormal="90" workbookViewId="0">
      <pane xSplit="2" ySplit="2" topLeftCell="E3" activePane="bottomRight" state="frozen"/>
      <selection pane="topRight" activeCell="G1" sqref="G1"/>
      <selection pane="bottomLeft" activeCell="A3" sqref="A3"/>
      <selection pane="bottomRight" activeCell="B2" sqref="B2:T41"/>
    </sheetView>
  </sheetViews>
  <sheetFormatPr defaultRowHeight="11.25" outlineLevelCol="1"/>
  <cols>
    <col min="1" max="1" width="2.33203125" style="51" customWidth="1"/>
    <col min="2" max="2" width="69.5" style="88" bestFit="1" customWidth="1"/>
    <col min="3" max="3" width="11.33203125" style="56" hidden="1" customWidth="1" outlineLevel="1"/>
    <col min="4" max="4" width="11.1640625" style="56" hidden="1" customWidth="1" outlineLevel="1"/>
    <col min="5" max="5" width="12.33203125" style="56" customWidth="1" collapsed="1"/>
    <col min="6" max="6" width="12.5" style="56" customWidth="1"/>
    <col min="7" max="10" width="12.33203125" style="56" bestFit="1" customWidth="1"/>
    <col min="11" max="20" width="12.33203125" style="56" customWidth="1"/>
    <col min="21" max="22" width="9.33203125" style="56"/>
    <col min="23" max="23" width="10.1640625" style="56" bestFit="1" customWidth="1"/>
    <col min="24" max="28" width="9.33203125" style="56"/>
    <col min="29" max="29" width="34.83203125" customWidth="1"/>
    <col min="35" max="256" width="9.33203125" style="56"/>
    <col min="257" max="257" width="2.33203125" style="56" customWidth="1"/>
    <col min="258" max="258" width="48.6640625" style="56" customWidth="1"/>
    <col min="259" max="262" width="10.83203125" style="56" bestFit="1" customWidth="1"/>
    <col min="263" max="271" width="9.33203125" style="56"/>
    <col min="272" max="272" width="65.1640625" style="56" customWidth="1"/>
    <col min="273" max="273" width="9.33203125" style="56"/>
    <col min="274" max="274" width="16.6640625" style="56" customWidth="1"/>
    <col min="275" max="512" width="9.33203125" style="56"/>
    <col min="513" max="513" width="2.33203125" style="56" customWidth="1"/>
    <col min="514" max="514" width="48.6640625" style="56" customWidth="1"/>
    <col min="515" max="518" width="10.83203125" style="56" bestFit="1" customWidth="1"/>
    <col min="519" max="527" width="9.33203125" style="56"/>
    <col min="528" max="528" width="65.1640625" style="56" customWidth="1"/>
    <col min="529" max="529" width="9.33203125" style="56"/>
    <col min="530" max="530" width="16.6640625" style="56" customWidth="1"/>
    <col min="531" max="768" width="9.33203125" style="56"/>
    <col min="769" max="769" width="2.33203125" style="56" customWidth="1"/>
    <col min="770" max="770" width="48.6640625" style="56" customWidth="1"/>
    <col min="771" max="774" width="10.83203125" style="56" bestFit="1" customWidth="1"/>
    <col min="775" max="783" width="9.33203125" style="56"/>
    <col min="784" max="784" width="65.1640625" style="56" customWidth="1"/>
    <col min="785" max="785" width="9.33203125" style="56"/>
    <col min="786" max="786" width="16.6640625" style="56" customWidth="1"/>
    <col min="787" max="1024" width="9.33203125" style="56"/>
    <col min="1025" max="1025" width="2.33203125" style="56" customWidth="1"/>
    <col min="1026" max="1026" width="48.6640625" style="56" customWidth="1"/>
    <col min="1027" max="1030" width="10.83203125" style="56" bestFit="1" customWidth="1"/>
    <col min="1031" max="1039" width="9.33203125" style="56"/>
    <col min="1040" max="1040" width="65.1640625" style="56" customWidth="1"/>
    <col min="1041" max="1041" width="9.33203125" style="56"/>
    <col min="1042" max="1042" width="16.6640625" style="56" customWidth="1"/>
    <col min="1043" max="1280" width="9.33203125" style="56"/>
    <col min="1281" max="1281" width="2.33203125" style="56" customWidth="1"/>
    <col min="1282" max="1282" width="48.6640625" style="56" customWidth="1"/>
    <col min="1283" max="1286" width="10.83203125" style="56" bestFit="1" customWidth="1"/>
    <col min="1287" max="1295" width="9.33203125" style="56"/>
    <col min="1296" max="1296" width="65.1640625" style="56" customWidth="1"/>
    <col min="1297" max="1297" width="9.33203125" style="56"/>
    <col min="1298" max="1298" width="16.6640625" style="56" customWidth="1"/>
    <col min="1299" max="1536" width="9.33203125" style="56"/>
    <col min="1537" max="1537" width="2.33203125" style="56" customWidth="1"/>
    <col min="1538" max="1538" width="48.6640625" style="56" customWidth="1"/>
    <col min="1539" max="1542" width="10.83203125" style="56" bestFit="1" customWidth="1"/>
    <col min="1543" max="1551" width="9.33203125" style="56"/>
    <col min="1552" max="1552" width="65.1640625" style="56" customWidth="1"/>
    <col min="1553" max="1553" width="9.33203125" style="56"/>
    <col min="1554" max="1554" width="16.6640625" style="56" customWidth="1"/>
    <col min="1555" max="1792" width="9.33203125" style="56"/>
    <col min="1793" max="1793" width="2.33203125" style="56" customWidth="1"/>
    <col min="1794" max="1794" width="48.6640625" style="56" customWidth="1"/>
    <col min="1795" max="1798" width="10.83203125" style="56" bestFit="1" customWidth="1"/>
    <col min="1799" max="1807" width="9.33203125" style="56"/>
    <col min="1808" max="1808" width="65.1640625" style="56" customWidth="1"/>
    <col min="1809" max="1809" width="9.33203125" style="56"/>
    <col min="1810" max="1810" width="16.6640625" style="56" customWidth="1"/>
    <col min="1811" max="2048" width="9.33203125" style="56"/>
    <col min="2049" max="2049" width="2.33203125" style="56" customWidth="1"/>
    <col min="2050" max="2050" width="48.6640625" style="56" customWidth="1"/>
    <col min="2051" max="2054" width="10.83203125" style="56" bestFit="1" customWidth="1"/>
    <col min="2055" max="2063" width="9.33203125" style="56"/>
    <col min="2064" max="2064" width="65.1640625" style="56" customWidth="1"/>
    <col min="2065" max="2065" width="9.33203125" style="56"/>
    <col min="2066" max="2066" width="16.6640625" style="56" customWidth="1"/>
    <col min="2067" max="2304" width="9.33203125" style="56"/>
    <col min="2305" max="2305" width="2.33203125" style="56" customWidth="1"/>
    <col min="2306" max="2306" width="48.6640625" style="56" customWidth="1"/>
    <col min="2307" max="2310" width="10.83203125" style="56" bestFit="1" customWidth="1"/>
    <col min="2311" max="2319" width="9.33203125" style="56"/>
    <col min="2320" max="2320" width="65.1640625" style="56" customWidth="1"/>
    <col min="2321" max="2321" width="9.33203125" style="56"/>
    <col min="2322" max="2322" width="16.6640625" style="56" customWidth="1"/>
    <col min="2323" max="2560" width="9.33203125" style="56"/>
    <col min="2561" max="2561" width="2.33203125" style="56" customWidth="1"/>
    <col min="2562" max="2562" width="48.6640625" style="56" customWidth="1"/>
    <col min="2563" max="2566" width="10.83203125" style="56" bestFit="1" customWidth="1"/>
    <col min="2567" max="2575" width="9.33203125" style="56"/>
    <col min="2576" max="2576" width="65.1640625" style="56" customWidth="1"/>
    <col min="2577" max="2577" width="9.33203125" style="56"/>
    <col min="2578" max="2578" width="16.6640625" style="56" customWidth="1"/>
    <col min="2579" max="2816" width="9.33203125" style="56"/>
    <col min="2817" max="2817" width="2.33203125" style="56" customWidth="1"/>
    <col min="2818" max="2818" width="48.6640625" style="56" customWidth="1"/>
    <col min="2819" max="2822" width="10.83203125" style="56" bestFit="1" customWidth="1"/>
    <col min="2823" max="2831" width="9.33203125" style="56"/>
    <col min="2832" max="2832" width="65.1640625" style="56" customWidth="1"/>
    <col min="2833" max="2833" width="9.33203125" style="56"/>
    <col min="2834" max="2834" width="16.6640625" style="56" customWidth="1"/>
    <col min="2835" max="3072" width="9.33203125" style="56"/>
    <col min="3073" max="3073" width="2.33203125" style="56" customWidth="1"/>
    <col min="3074" max="3074" width="48.6640625" style="56" customWidth="1"/>
    <col min="3075" max="3078" width="10.83203125" style="56" bestFit="1" customWidth="1"/>
    <col min="3079" max="3087" width="9.33203125" style="56"/>
    <col min="3088" max="3088" width="65.1640625" style="56" customWidth="1"/>
    <col min="3089" max="3089" width="9.33203125" style="56"/>
    <col min="3090" max="3090" width="16.6640625" style="56" customWidth="1"/>
    <col min="3091" max="3328" width="9.33203125" style="56"/>
    <col min="3329" max="3329" width="2.33203125" style="56" customWidth="1"/>
    <col min="3330" max="3330" width="48.6640625" style="56" customWidth="1"/>
    <col min="3331" max="3334" width="10.83203125" style="56" bestFit="1" customWidth="1"/>
    <col min="3335" max="3343" width="9.33203125" style="56"/>
    <col min="3344" max="3344" width="65.1640625" style="56" customWidth="1"/>
    <col min="3345" max="3345" width="9.33203125" style="56"/>
    <col min="3346" max="3346" width="16.6640625" style="56" customWidth="1"/>
    <col min="3347" max="3584" width="9.33203125" style="56"/>
    <col min="3585" max="3585" width="2.33203125" style="56" customWidth="1"/>
    <col min="3586" max="3586" width="48.6640625" style="56" customWidth="1"/>
    <col min="3587" max="3590" width="10.83203125" style="56" bestFit="1" customWidth="1"/>
    <col min="3591" max="3599" width="9.33203125" style="56"/>
    <col min="3600" max="3600" width="65.1640625" style="56" customWidth="1"/>
    <col min="3601" max="3601" width="9.33203125" style="56"/>
    <col min="3602" max="3602" width="16.6640625" style="56" customWidth="1"/>
    <col min="3603" max="3840" width="9.33203125" style="56"/>
    <col min="3841" max="3841" width="2.33203125" style="56" customWidth="1"/>
    <col min="3842" max="3842" width="48.6640625" style="56" customWidth="1"/>
    <col min="3843" max="3846" width="10.83203125" style="56" bestFit="1" customWidth="1"/>
    <col min="3847" max="3855" width="9.33203125" style="56"/>
    <col min="3856" max="3856" width="65.1640625" style="56" customWidth="1"/>
    <col min="3857" max="3857" width="9.33203125" style="56"/>
    <col min="3858" max="3858" width="16.6640625" style="56" customWidth="1"/>
    <col min="3859" max="4096" width="9.33203125" style="56"/>
    <col min="4097" max="4097" width="2.33203125" style="56" customWidth="1"/>
    <col min="4098" max="4098" width="48.6640625" style="56" customWidth="1"/>
    <col min="4099" max="4102" width="10.83203125" style="56" bestFit="1" customWidth="1"/>
    <col min="4103" max="4111" width="9.33203125" style="56"/>
    <col min="4112" max="4112" width="65.1640625" style="56" customWidth="1"/>
    <col min="4113" max="4113" width="9.33203125" style="56"/>
    <col min="4114" max="4114" width="16.6640625" style="56" customWidth="1"/>
    <col min="4115" max="4352" width="9.33203125" style="56"/>
    <col min="4353" max="4353" width="2.33203125" style="56" customWidth="1"/>
    <col min="4354" max="4354" width="48.6640625" style="56" customWidth="1"/>
    <col min="4355" max="4358" width="10.83203125" style="56" bestFit="1" customWidth="1"/>
    <col min="4359" max="4367" width="9.33203125" style="56"/>
    <col min="4368" max="4368" width="65.1640625" style="56" customWidth="1"/>
    <col min="4369" max="4369" width="9.33203125" style="56"/>
    <col min="4370" max="4370" width="16.6640625" style="56" customWidth="1"/>
    <col min="4371" max="4608" width="9.33203125" style="56"/>
    <col min="4609" max="4609" width="2.33203125" style="56" customWidth="1"/>
    <col min="4610" max="4610" width="48.6640625" style="56" customWidth="1"/>
    <col min="4611" max="4614" width="10.83203125" style="56" bestFit="1" customWidth="1"/>
    <col min="4615" max="4623" width="9.33203125" style="56"/>
    <col min="4624" max="4624" width="65.1640625" style="56" customWidth="1"/>
    <col min="4625" max="4625" width="9.33203125" style="56"/>
    <col min="4626" max="4626" width="16.6640625" style="56" customWidth="1"/>
    <col min="4627" max="4864" width="9.33203125" style="56"/>
    <col min="4865" max="4865" width="2.33203125" style="56" customWidth="1"/>
    <col min="4866" max="4866" width="48.6640625" style="56" customWidth="1"/>
    <col min="4867" max="4870" width="10.83203125" style="56" bestFit="1" customWidth="1"/>
    <col min="4871" max="4879" width="9.33203125" style="56"/>
    <col min="4880" max="4880" width="65.1640625" style="56" customWidth="1"/>
    <col min="4881" max="4881" width="9.33203125" style="56"/>
    <col min="4882" max="4882" width="16.6640625" style="56" customWidth="1"/>
    <col min="4883" max="5120" width="9.33203125" style="56"/>
    <col min="5121" max="5121" width="2.33203125" style="56" customWidth="1"/>
    <col min="5122" max="5122" width="48.6640625" style="56" customWidth="1"/>
    <col min="5123" max="5126" width="10.83203125" style="56" bestFit="1" customWidth="1"/>
    <col min="5127" max="5135" width="9.33203125" style="56"/>
    <col min="5136" max="5136" width="65.1640625" style="56" customWidth="1"/>
    <col min="5137" max="5137" width="9.33203125" style="56"/>
    <col min="5138" max="5138" width="16.6640625" style="56" customWidth="1"/>
    <col min="5139" max="5376" width="9.33203125" style="56"/>
    <col min="5377" max="5377" width="2.33203125" style="56" customWidth="1"/>
    <col min="5378" max="5378" width="48.6640625" style="56" customWidth="1"/>
    <col min="5379" max="5382" width="10.83203125" style="56" bestFit="1" customWidth="1"/>
    <col min="5383" max="5391" width="9.33203125" style="56"/>
    <col min="5392" max="5392" width="65.1640625" style="56" customWidth="1"/>
    <col min="5393" max="5393" width="9.33203125" style="56"/>
    <col min="5394" max="5394" width="16.6640625" style="56" customWidth="1"/>
    <col min="5395" max="5632" width="9.33203125" style="56"/>
    <col min="5633" max="5633" width="2.33203125" style="56" customWidth="1"/>
    <col min="5634" max="5634" width="48.6640625" style="56" customWidth="1"/>
    <col min="5635" max="5638" width="10.83203125" style="56" bestFit="1" customWidth="1"/>
    <col min="5639" max="5647" width="9.33203125" style="56"/>
    <col min="5648" max="5648" width="65.1640625" style="56" customWidth="1"/>
    <col min="5649" max="5649" width="9.33203125" style="56"/>
    <col min="5650" max="5650" width="16.6640625" style="56" customWidth="1"/>
    <col min="5651" max="5888" width="9.33203125" style="56"/>
    <col min="5889" max="5889" width="2.33203125" style="56" customWidth="1"/>
    <col min="5890" max="5890" width="48.6640625" style="56" customWidth="1"/>
    <col min="5891" max="5894" width="10.83203125" style="56" bestFit="1" customWidth="1"/>
    <col min="5895" max="5903" width="9.33203125" style="56"/>
    <col min="5904" max="5904" width="65.1640625" style="56" customWidth="1"/>
    <col min="5905" max="5905" width="9.33203125" style="56"/>
    <col min="5906" max="5906" width="16.6640625" style="56" customWidth="1"/>
    <col min="5907" max="6144" width="9.33203125" style="56"/>
    <col min="6145" max="6145" width="2.33203125" style="56" customWidth="1"/>
    <col min="6146" max="6146" width="48.6640625" style="56" customWidth="1"/>
    <col min="6147" max="6150" width="10.83203125" style="56" bestFit="1" customWidth="1"/>
    <col min="6151" max="6159" width="9.33203125" style="56"/>
    <col min="6160" max="6160" width="65.1640625" style="56" customWidth="1"/>
    <col min="6161" max="6161" width="9.33203125" style="56"/>
    <col min="6162" max="6162" width="16.6640625" style="56" customWidth="1"/>
    <col min="6163" max="6400" width="9.33203125" style="56"/>
    <col min="6401" max="6401" width="2.33203125" style="56" customWidth="1"/>
    <col min="6402" max="6402" width="48.6640625" style="56" customWidth="1"/>
    <col min="6403" max="6406" width="10.83203125" style="56" bestFit="1" customWidth="1"/>
    <col min="6407" max="6415" width="9.33203125" style="56"/>
    <col min="6416" max="6416" width="65.1640625" style="56" customWidth="1"/>
    <col min="6417" max="6417" width="9.33203125" style="56"/>
    <col min="6418" max="6418" width="16.6640625" style="56" customWidth="1"/>
    <col min="6419" max="6656" width="9.33203125" style="56"/>
    <col min="6657" max="6657" width="2.33203125" style="56" customWidth="1"/>
    <col min="6658" max="6658" width="48.6640625" style="56" customWidth="1"/>
    <col min="6659" max="6662" width="10.83203125" style="56" bestFit="1" customWidth="1"/>
    <col min="6663" max="6671" width="9.33203125" style="56"/>
    <col min="6672" max="6672" width="65.1640625" style="56" customWidth="1"/>
    <col min="6673" max="6673" width="9.33203125" style="56"/>
    <col min="6674" max="6674" width="16.6640625" style="56" customWidth="1"/>
    <col min="6675" max="6912" width="9.33203125" style="56"/>
    <col min="6913" max="6913" width="2.33203125" style="56" customWidth="1"/>
    <col min="6914" max="6914" width="48.6640625" style="56" customWidth="1"/>
    <col min="6915" max="6918" width="10.83203125" style="56" bestFit="1" customWidth="1"/>
    <col min="6919" max="6927" width="9.33203125" style="56"/>
    <col min="6928" max="6928" width="65.1640625" style="56" customWidth="1"/>
    <col min="6929" max="6929" width="9.33203125" style="56"/>
    <col min="6930" max="6930" width="16.6640625" style="56" customWidth="1"/>
    <col min="6931" max="7168" width="9.33203125" style="56"/>
    <col min="7169" max="7169" width="2.33203125" style="56" customWidth="1"/>
    <col min="7170" max="7170" width="48.6640625" style="56" customWidth="1"/>
    <col min="7171" max="7174" width="10.83203125" style="56" bestFit="1" customWidth="1"/>
    <col min="7175" max="7183" width="9.33203125" style="56"/>
    <col min="7184" max="7184" width="65.1640625" style="56" customWidth="1"/>
    <col min="7185" max="7185" width="9.33203125" style="56"/>
    <col min="7186" max="7186" width="16.6640625" style="56" customWidth="1"/>
    <col min="7187" max="7424" width="9.33203125" style="56"/>
    <col min="7425" max="7425" width="2.33203125" style="56" customWidth="1"/>
    <col min="7426" max="7426" width="48.6640625" style="56" customWidth="1"/>
    <col min="7427" max="7430" width="10.83203125" style="56" bestFit="1" customWidth="1"/>
    <col min="7431" max="7439" width="9.33203125" style="56"/>
    <col min="7440" max="7440" width="65.1640625" style="56" customWidth="1"/>
    <col min="7441" max="7441" width="9.33203125" style="56"/>
    <col min="7442" max="7442" width="16.6640625" style="56" customWidth="1"/>
    <col min="7443" max="7680" width="9.33203125" style="56"/>
    <col min="7681" max="7681" width="2.33203125" style="56" customWidth="1"/>
    <col min="7682" max="7682" width="48.6640625" style="56" customWidth="1"/>
    <col min="7683" max="7686" width="10.83203125" style="56" bestFit="1" customWidth="1"/>
    <col min="7687" max="7695" width="9.33203125" style="56"/>
    <col min="7696" max="7696" width="65.1640625" style="56" customWidth="1"/>
    <col min="7697" max="7697" width="9.33203125" style="56"/>
    <col min="7698" max="7698" width="16.6640625" style="56" customWidth="1"/>
    <col min="7699" max="7936" width="9.33203125" style="56"/>
    <col min="7937" max="7937" width="2.33203125" style="56" customWidth="1"/>
    <col min="7938" max="7938" width="48.6640625" style="56" customWidth="1"/>
    <col min="7939" max="7942" width="10.83203125" style="56" bestFit="1" customWidth="1"/>
    <col min="7943" max="7951" width="9.33203125" style="56"/>
    <col min="7952" max="7952" width="65.1640625" style="56" customWidth="1"/>
    <col min="7953" max="7953" width="9.33203125" style="56"/>
    <col min="7954" max="7954" width="16.6640625" style="56" customWidth="1"/>
    <col min="7955" max="8192" width="9.33203125" style="56"/>
    <col min="8193" max="8193" width="2.33203125" style="56" customWidth="1"/>
    <col min="8194" max="8194" width="48.6640625" style="56" customWidth="1"/>
    <col min="8195" max="8198" width="10.83203125" style="56" bestFit="1" customWidth="1"/>
    <col min="8199" max="8207" width="9.33203125" style="56"/>
    <col min="8208" max="8208" width="65.1640625" style="56" customWidth="1"/>
    <col min="8209" max="8209" width="9.33203125" style="56"/>
    <col min="8210" max="8210" width="16.6640625" style="56" customWidth="1"/>
    <col min="8211" max="8448" width="9.33203125" style="56"/>
    <col min="8449" max="8449" width="2.33203125" style="56" customWidth="1"/>
    <col min="8450" max="8450" width="48.6640625" style="56" customWidth="1"/>
    <col min="8451" max="8454" width="10.83203125" style="56" bestFit="1" customWidth="1"/>
    <col min="8455" max="8463" width="9.33203125" style="56"/>
    <col min="8464" max="8464" width="65.1640625" style="56" customWidth="1"/>
    <col min="8465" max="8465" width="9.33203125" style="56"/>
    <col min="8466" max="8466" width="16.6640625" style="56" customWidth="1"/>
    <col min="8467" max="8704" width="9.33203125" style="56"/>
    <col min="8705" max="8705" width="2.33203125" style="56" customWidth="1"/>
    <col min="8706" max="8706" width="48.6640625" style="56" customWidth="1"/>
    <col min="8707" max="8710" width="10.83203125" style="56" bestFit="1" customWidth="1"/>
    <col min="8711" max="8719" width="9.33203125" style="56"/>
    <col min="8720" max="8720" width="65.1640625" style="56" customWidth="1"/>
    <col min="8721" max="8721" width="9.33203125" style="56"/>
    <col min="8722" max="8722" width="16.6640625" style="56" customWidth="1"/>
    <col min="8723" max="8960" width="9.33203125" style="56"/>
    <col min="8961" max="8961" width="2.33203125" style="56" customWidth="1"/>
    <col min="8962" max="8962" width="48.6640625" style="56" customWidth="1"/>
    <col min="8963" max="8966" width="10.83203125" style="56" bestFit="1" customWidth="1"/>
    <col min="8967" max="8975" width="9.33203125" style="56"/>
    <col min="8976" max="8976" width="65.1640625" style="56" customWidth="1"/>
    <col min="8977" max="8977" width="9.33203125" style="56"/>
    <col min="8978" max="8978" width="16.6640625" style="56" customWidth="1"/>
    <col min="8979" max="9216" width="9.33203125" style="56"/>
    <col min="9217" max="9217" width="2.33203125" style="56" customWidth="1"/>
    <col min="9218" max="9218" width="48.6640625" style="56" customWidth="1"/>
    <col min="9219" max="9222" width="10.83203125" style="56" bestFit="1" customWidth="1"/>
    <col min="9223" max="9231" width="9.33203125" style="56"/>
    <col min="9232" max="9232" width="65.1640625" style="56" customWidth="1"/>
    <col min="9233" max="9233" width="9.33203125" style="56"/>
    <col min="9234" max="9234" width="16.6640625" style="56" customWidth="1"/>
    <col min="9235" max="9472" width="9.33203125" style="56"/>
    <col min="9473" max="9473" width="2.33203125" style="56" customWidth="1"/>
    <col min="9474" max="9474" width="48.6640625" style="56" customWidth="1"/>
    <col min="9475" max="9478" width="10.83203125" style="56" bestFit="1" customWidth="1"/>
    <col min="9479" max="9487" width="9.33203125" style="56"/>
    <col min="9488" max="9488" width="65.1640625" style="56" customWidth="1"/>
    <col min="9489" max="9489" width="9.33203125" style="56"/>
    <col min="9490" max="9490" width="16.6640625" style="56" customWidth="1"/>
    <col min="9491" max="9728" width="9.33203125" style="56"/>
    <col min="9729" max="9729" width="2.33203125" style="56" customWidth="1"/>
    <col min="9730" max="9730" width="48.6640625" style="56" customWidth="1"/>
    <col min="9731" max="9734" width="10.83203125" style="56" bestFit="1" customWidth="1"/>
    <col min="9735" max="9743" width="9.33203125" style="56"/>
    <col min="9744" max="9744" width="65.1640625" style="56" customWidth="1"/>
    <col min="9745" max="9745" width="9.33203125" style="56"/>
    <col min="9746" max="9746" width="16.6640625" style="56" customWidth="1"/>
    <col min="9747" max="9984" width="9.33203125" style="56"/>
    <col min="9985" max="9985" width="2.33203125" style="56" customWidth="1"/>
    <col min="9986" max="9986" width="48.6640625" style="56" customWidth="1"/>
    <col min="9987" max="9990" width="10.83203125" style="56" bestFit="1" customWidth="1"/>
    <col min="9991" max="9999" width="9.33203125" style="56"/>
    <col min="10000" max="10000" width="65.1640625" style="56" customWidth="1"/>
    <col min="10001" max="10001" width="9.33203125" style="56"/>
    <col min="10002" max="10002" width="16.6640625" style="56" customWidth="1"/>
    <col min="10003" max="10240" width="9.33203125" style="56"/>
    <col min="10241" max="10241" width="2.33203125" style="56" customWidth="1"/>
    <col min="10242" max="10242" width="48.6640625" style="56" customWidth="1"/>
    <col min="10243" max="10246" width="10.83203125" style="56" bestFit="1" customWidth="1"/>
    <col min="10247" max="10255" width="9.33203125" style="56"/>
    <col min="10256" max="10256" width="65.1640625" style="56" customWidth="1"/>
    <col min="10257" max="10257" width="9.33203125" style="56"/>
    <col min="10258" max="10258" width="16.6640625" style="56" customWidth="1"/>
    <col min="10259" max="10496" width="9.33203125" style="56"/>
    <col min="10497" max="10497" width="2.33203125" style="56" customWidth="1"/>
    <col min="10498" max="10498" width="48.6640625" style="56" customWidth="1"/>
    <col min="10499" max="10502" width="10.83203125" style="56" bestFit="1" customWidth="1"/>
    <col min="10503" max="10511" width="9.33203125" style="56"/>
    <col min="10512" max="10512" width="65.1640625" style="56" customWidth="1"/>
    <col min="10513" max="10513" width="9.33203125" style="56"/>
    <col min="10514" max="10514" width="16.6640625" style="56" customWidth="1"/>
    <col min="10515" max="10752" width="9.33203125" style="56"/>
    <col min="10753" max="10753" width="2.33203125" style="56" customWidth="1"/>
    <col min="10754" max="10754" width="48.6640625" style="56" customWidth="1"/>
    <col min="10755" max="10758" width="10.83203125" style="56" bestFit="1" customWidth="1"/>
    <col min="10759" max="10767" width="9.33203125" style="56"/>
    <col min="10768" max="10768" width="65.1640625" style="56" customWidth="1"/>
    <col min="10769" max="10769" width="9.33203125" style="56"/>
    <col min="10770" max="10770" width="16.6640625" style="56" customWidth="1"/>
    <col min="10771" max="11008" width="9.33203125" style="56"/>
    <col min="11009" max="11009" width="2.33203125" style="56" customWidth="1"/>
    <col min="11010" max="11010" width="48.6640625" style="56" customWidth="1"/>
    <col min="11011" max="11014" width="10.83203125" style="56" bestFit="1" customWidth="1"/>
    <col min="11015" max="11023" width="9.33203125" style="56"/>
    <col min="11024" max="11024" width="65.1640625" style="56" customWidth="1"/>
    <col min="11025" max="11025" width="9.33203125" style="56"/>
    <col min="11026" max="11026" width="16.6640625" style="56" customWidth="1"/>
    <col min="11027" max="11264" width="9.33203125" style="56"/>
    <col min="11265" max="11265" width="2.33203125" style="56" customWidth="1"/>
    <col min="11266" max="11266" width="48.6640625" style="56" customWidth="1"/>
    <col min="11267" max="11270" width="10.83203125" style="56" bestFit="1" customWidth="1"/>
    <col min="11271" max="11279" width="9.33203125" style="56"/>
    <col min="11280" max="11280" width="65.1640625" style="56" customWidth="1"/>
    <col min="11281" max="11281" width="9.33203125" style="56"/>
    <col min="11282" max="11282" width="16.6640625" style="56" customWidth="1"/>
    <col min="11283" max="11520" width="9.33203125" style="56"/>
    <col min="11521" max="11521" width="2.33203125" style="56" customWidth="1"/>
    <col min="11522" max="11522" width="48.6640625" style="56" customWidth="1"/>
    <col min="11523" max="11526" width="10.83203125" style="56" bestFit="1" customWidth="1"/>
    <col min="11527" max="11535" width="9.33203125" style="56"/>
    <col min="11536" max="11536" width="65.1640625" style="56" customWidth="1"/>
    <col min="11537" max="11537" width="9.33203125" style="56"/>
    <col min="11538" max="11538" width="16.6640625" style="56" customWidth="1"/>
    <col min="11539" max="11776" width="9.33203125" style="56"/>
    <col min="11777" max="11777" width="2.33203125" style="56" customWidth="1"/>
    <col min="11778" max="11778" width="48.6640625" style="56" customWidth="1"/>
    <col min="11779" max="11782" width="10.83203125" style="56" bestFit="1" customWidth="1"/>
    <col min="11783" max="11791" width="9.33203125" style="56"/>
    <col min="11792" max="11792" width="65.1640625" style="56" customWidth="1"/>
    <col min="11793" max="11793" width="9.33203125" style="56"/>
    <col min="11794" max="11794" width="16.6640625" style="56" customWidth="1"/>
    <col min="11795" max="12032" width="9.33203125" style="56"/>
    <col min="12033" max="12033" width="2.33203125" style="56" customWidth="1"/>
    <col min="12034" max="12034" width="48.6640625" style="56" customWidth="1"/>
    <col min="12035" max="12038" width="10.83203125" style="56" bestFit="1" customWidth="1"/>
    <col min="12039" max="12047" width="9.33203125" style="56"/>
    <col min="12048" max="12048" width="65.1640625" style="56" customWidth="1"/>
    <col min="12049" max="12049" width="9.33203125" style="56"/>
    <col min="12050" max="12050" width="16.6640625" style="56" customWidth="1"/>
    <col min="12051" max="12288" width="9.33203125" style="56"/>
    <col min="12289" max="12289" width="2.33203125" style="56" customWidth="1"/>
    <col min="12290" max="12290" width="48.6640625" style="56" customWidth="1"/>
    <col min="12291" max="12294" width="10.83203125" style="56" bestFit="1" customWidth="1"/>
    <col min="12295" max="12303" width="9.33203125" style="56"/>
    <col min="12304" max="12304" width="65.1640625" style="56" customWidth="1"/>
    <col min="12305" max="12305" width="9.33203125" style="56"/>
    <col min="12306" max="12306" width="16.6640625" style="56" customWidth="1"/>
    <col min="12307" max="12544" width="9.33203125" style="56"/>
    <col min="12545" max="12545" width="2.33203125" style="56" customWidth="1"/>
    <col min="12546" max="12546" width="48.6640625" style="56" customWidth="1"/>
    <col min="12547" max="12550" width="10.83203125" style="56" bestFit="1" customWidth="1"/>
    <col min="12551" max="12559" width="9.33203125" style="56"/>
    <col min="12560" max="12560" width="65.1640625" style="56" customWidth="1"/>
    <col min="12561" max="12561" width="9.33203125" style="56"/>
    <col min="12562" max="12562" width="16.6640625" style="56" customWidth="1"/>
    <col min="12563" max="12800" width="9.33203125" style="56"/>
    <col min="12801" max="12801" width="2.33203125" style="56" customWidth="1"/>
    <col min="12802" max="12802" width="48.6640625" style="56" customWidth="1"/>
    <col min="12803" max="12806" width="10.83203125" style="56" bestFit="1" customWidth="1"/>
    <col min="12807" max="12815" width="9.33203125" style="56"/>
    <col min="12816" max="12816" width="65.1640625" style="56" customWidth="1"/>
    <col min="12817" max="12817" width="9.33203125" style="56"/>
    <col min="12818" max="12818" width="16.6640625" style="56" customWidth="1"/>
    <col min="12819" max="13056" width="9.33203125" style="56"/>
    <col min="13057" max="13057" width="2.33203125" style="56" customWidth="1"/>
    <col min="13058" max="13058" width="48.6640625" style="56" customWidth="1"/>
    <col min="13059" max="13062" width="10.83203125" style="56" bestFit="1" customWidth="1"/>
    <col min="13063" max="13071" width="9.33203125" style="56"/>
    <col min="13072" max="13072" width="65.1640625" style="56" customWidth="1"/>
    <col min="13073" max="13073" width="9.33203125" style="56"/>
    <col min="13074" max="13074" width="16.6640625" style="56" customWidth="1"/>
    <col min="13075" max="13312" width="9.33203125" style="56"/>
    <col min="13313" max="13313" width="2.33203125" style="56" customWidth="1"/>
    <col min="13314" max="13314" width="48.6640625" style="56" customWidth="1"/>
    <col min="13315" max="13318" width="10.83203125" style="56" bestFit="1" customWidth="1"/>
    <col min="13319" max="13327" width="9.33203125" style="56"/>
    <col min="13328" max="13328" width="65.1640625" style="56" customWidth="1"/>
    <col min="13329" max="13329" width="9.33203125" style="56"/>
    <col min="13330" max="13330" width="16.6640625" style="56" customWidth="1"/>
    <col min="13331" max="13568" width="9.33203125" style="56"/>
    <col min="13569" max="13569" width="2.33203125" style="56" customWidth="1"/>
    <col min="13570" max="13570" width="48.6640625" style="56" customWidth="1"/>
    <col min="13571" max="13574" width="10.83203125" style="56" bestFit="1" customWidth="1"/>
    <col min="13575" max="13583" width="9.33203125" style="56"/>
    <col min="13584" max="13584" width="65.1640625" style="56" customWidth="1"/>
    <col min="13585" max="13585" width="9.33203125" style="56"/>
    <col min="13586" max="13586" width="16.6640625" style="56" customWidth="1"/>
    <col min="13587" max="13824" width="9.33203125" style="56"/>
    <col min="13825" max="13825" width="2.33203125" style="56" customWidth="1"/>
    <col min="13826" max="13826" width="48.6640625" style="56" customWidth="1"/>
    <col min="13827" max="13830" width="10.83203125" style="56" bestFit="1" customWidth="1"/>
    <col min="13831" max="13839" width="9.33203125" style="56"/>
    <col min="13840" max="13840" width="65.1640625" style="56" customWidth="1"/>
    <col min="13841" max="13841" width="9.33203125" style="56"/>
    <col min="13842" max="13842" width="16.6640625" style="56" customWidth="1"/>
    <col min="13843" max="14080" width="9.33203125" style="56"/>
    <col min="14081" max="14081" width="2.33203125" style="56" customWidth="1"/>
    <col min="14082" max="14082" width="48.6640625" style="56" customWidth="1"/>
    <col min="14083" max="14086" width="10.83203125" style="56" bestFit="1" customWidth="1"/>
    <col min="14087" max="14095" width="9.33203125" style="56"/>
    <col min="14096" max="14096" width="65.1640625" style="56" customWidth="1"/>
    <col min="14097" max="14097" width="9.33203125" style="56"/>
    <col min="14098" max="14098" width="16.6640625" style="56" customWidth="1"/>
    <col min="14099" max="14336" width="9.33203125" style="56"/>
    <col min="14337" max="14337" width="2.33203125" style="56" customWidth="1"/>
    <col min="14338" max="14338" width="48.6640625" style="56" customWidth="1"/>
    <col min="14339" max="14342" width="10.83203125" style="56" bestFit="1" customWidth="1"/>
    <col min="14343" max="14351" width="9.33203125" style="56"/>
    <col min="14352" max="14352" width="65.1640625" style="56" customWidth="1"/>
    <col min="14353" max="14353" width="9.33203125" style="56"/>
    <col min="14354" max="14354" width="16.6640625" style="56" customWidth="1"/>
    <col min="14355" max="14592" width="9.33203125" style="56"/>
    <col min="14593" max="14593" width="2.33203125" style="56" customWidth="1"/>
    <col min="14594" max="14594" width="48.6640625" style="56" customWidth="1"/>
    <col min="14595" max="14598" width="10.83203125" style="56" bestFit="1" customWidth="1"/>
    <col min="14599" max="14607" width="9.33203125" style="56"/>
    <col min="14608" max="14608" width="65.1640625" style="56" customWidth="1"/>
    <col min="14609" max="14609" width="9.33203125" style="56"/>
    <col min="14610" max="14610" width="16.6640625" style="56" customWidth="1"/>
    <col min="14611" max="14848" width="9.33203125" style="56"/>
    <col min="14849" max="14849" width="2.33203125" style="56" customWidth="1"/>
    <col min="14850" max="14850" width="48.6640625" style="56" customWidth="1"/>
    <col min="14851" max="14854" width="10.83203125" style="56" bestFit="1" customWidth="1"/>
    <col min="14855" max="14863" width="9.33203125" style="56"/>
    <col min="14864" max="14864" width="65.1640625" style="56" customWidth="1"/>
    <col min="14865" max="14865" width="9.33203125" style="56"/>
    <col min="14866" max="14866" width="16.6640625" style="56" customWidth="1"/>
    <col min="14867" max="15104" width="9.33203125" style="56"/>
    <col min="15105" max="15105" width="2.33203125" style="56" customWidth="1"/>
    <col min="15106" max="15106" width="48.6640625" style="56" customWidth="1"/>
    <col min="15107" max="15110" width="10.83203125" style="56" bestFit="1" customWidth="1"/>
    <col min="15111" max="15119" width="9.33203125" style="56"/>
    <col min="15120" max="15120" width="65.1640625" style="56" customWidth="1"/>
    <col min="15121" max="15121" width="9.33203125" style="56"/>
    <col min="15122" max="15122" width="16.6640625" style="56" customWidth="1"/>
    <col min="15123" max="15360" width="9.33203125" style="56"/>
    <col min="15361" max="15361" width="2.33203125" style="56" customWidth="1"/>
    <col min="15362" max="15362" width="48.6640625" style="56" customWidth="1"/>
    <col min="15363" max="15366" width="10.83203125" style="56" bestFit="1" customWidth="1"/>
    <col min="15367" max="15375" width="9.33203125" style="56"/>
    <col min="15376" max="15376" width="65.1640625" style="56" customWidth="1"/>
    <col min="15377" max="15377" width="9.33203125" style="56"/>
    <col min="15378" max="15378" width="16.6640625" style="56" customWidth="1"/>
    <col min="15379" max="15616" width="9.33203125" style="56"/>
    <col min="15617" max="15617" width="2.33203125" style="56" customWidth="1"/>
    <col min="15618" max="15618" width="48.6640625" style="56" customWidth="1"/>
    <col min="15619" max="15622" width="10.83203125" style="56" bestFit="1" customWidth="1"/>
    <col min="15623" max="15631" width="9.33203125" style="56"/>
    <col min="15632" max="15632" width="65.1640625" style="56" customWidth="1"/>
    <col min="15633" max="15633" width="9.33203125" style="56"/>
    <col min="15634" max="15634" width="16.6640625" style="56" customWidth="1"/>
    <col min="15635" max="15872" width="9.33203125" style="56"/>
    <col min="15873" max="15873" width="2.33203125" style="56" customWidth="1"/>
    <col min="15874" max="15874" width="48.6640625" style="56" customWidth="1"/>
    <col min="15875" max="15878" width="10.83203125" style="56" bestFit="1" customWidth="1"/>
    <col min="15879" max="15887" width="9.33203125" style="56"/>
    <col min="15888" max="15888" width="65.1640625" style="56" customWidth="1"/>
    <col min="15889" max="15889" width="9.33203125" style="56"/>
    <col min="15890" max="15890" width="16.6640625" style="56" customWidth="1"/>
    <col min="15891" max="16128" width="9.33203125" style="56"/>
    <col min="16129" max="16129" width="2.33203125" style="56" customWidth="1"/>
    <col min="16130" max="16130" width="48.6640625" style="56" customWidth="1"/>
    <col min="16131" max="16134" width="10.83203125" style="56" bestFit="1" customWidth="1"/>
    <col min="16135" max="16143" width="9.33203125" style="56"/>
    <col min="16144" max="16144" width="65.1640625" style="56" customWidth="1"/>
    <col min="16145" max="16145" width="9.33203125" style="56"/>
    <col min="16146" max="16146" width="16.6640625" style="56" customWidth="1"/>
    <col min="16147" max="16384" width="9.33203125" style="56"/>
  </cols>
  <sheetData>
    <row r="1" spans="1:34" s="48" customFormat="1" ht="12.75">
      <c r="A1" s="51"/>
      <c r="B1" s="78"/>
      <c r="C1" s="49"/>
      <c r="D1" s="49"/>
      <c r="K1" s="445"/>
      <c r="L1" s="445"/>
      <c r="M1" s="445"/>
      <c r="N1" s="445"/>
      <c r="O1" s="445"/>
      <c r="P1" s="445"/>
      <c r="Q1" s="445"/>
      <c r="R1" s="445"/>
      <c r="S1" s="445"/>
      <c r="T1" s="445"/>
      <c r="AC1"/>
      <c r="AD1"/>
      <c r="AE1"/>
      <c r="AF1"/>
      <c r="AG1"/>
      <c r="AH1"/>
    </row>
    <row r="2" spans="1:34" s="48" customFormat="1" ht="12.75">
      <c r="A2" s="51"/>
      <c r="B2" s="4" t="s">
        <v>27</v>
      </c>
      <c r="C2" s="50">
        <v>2013</v>
      </c>
      <c r="D2" s="50">
        <v>2014</v>
      </c>
      <c r="E2" s="50">
        <v>2015</v>
      </c>
      <c r="F2" s="50">
        <v>2016</v>
      </c>
      <c r="G2" s="50">
        <v>2017</v>
      </c>
      <c r="H2" s="50">
        <v>2018</v>
      </c>
      <c r="I2" s="50">
        <v>2019</v>
      </c>
      <c r="J2" s="50">
        <v>2020</v>
      </c>
      <c r="K2" s="709">
        <f>J2+1</f>
        <v>2021</v>
      </c>
      <c r="L2" s="709">
        <f t="shared" ref="L2:T2" si="0">K2+1</f>
        <v>2022</v>
      </c>
      <c r="M2" s="709">
        <f t="shared" si="0"/>
        <v>2023</v>
      </c>
      <c r="N2" s="709">
        <f t="shared" si="0"/>
        <v>2024</v>
      </c>
      <c r="O2" s="709">
        <f t="shared" si="0"/>
        <v>2025</v>
      </c>
      <c r="P2" s="709">
        <f t="shared" si="0"/>
        <v>2026</v>
      </c>
      <c r="Q2" s="709">
        <f t="shared" si="0"/>
        <v>2027</v>
      </c>
      <c r="R2" s="709">
        <f t="shared" si="0"/>
        <v>2028</v>
      </c>
      <c r="S2" s="709">
        <f t="shared" si="0"/>
        <v>2029</v>
      </c>
      <c r="T2" s="709">
        <f t="shared" si="0"/>
        <v>2030</v>
      </c>
      <c r="AC2"/>
      <c r="AD2"/>
      <c r="AE2"/>
      <c r="AF2"/>
      <c r="AG2"/>
      <c r="AH2"/>
    </row>
    <row r="3" spans="1:34" s="51" customFormat="1" ht="12.75">
      <c r="B3" s="79"/>
      <c r="C3" s="52"/>
      <c r="D3" s="52"/>
      <c r="E3" s="52"/>
      <c r="F3" s="293"/>
      <c r="G3" s="52"/>
      <c r="H3" s="52"/>
      <c r="I3" s="52"/>
      <c r="J3" s="52"/>
      <c r="K3" s="52"/>
      <c r="L3" s="52"/>
      <c r="M3" s="52"/>
      <c r="N3" s="52"/>
      <c r="O3" s="52"/>
      <c r="P3" s="52"/>
      <c r="Q3" s="52"/>
      <c r="R3" s="52"/>
      <c r="S3" s="52"/>
      <c r="T3" s="52"/>
      <c r="AC3"/>
      <c r="AD3"/>
      <c r="AE3"/>
      <c r="AF3"/>
      <c r="AG3"/>
      <c r="AH3"/>
    </row>
    <row r="4" spans="1:34" s="53" customFormat="1" ht="12.75">
      <c r="A4" s="91"/>
      <c r="B4" s="80" t="s">
        <v>76</v>
      </c>
      <c r="C4" s="54"/>
      <c r="D4" s="55"/>
      <c r="E4" s="54"/>
      <c r="F4" s="54"/>
      <c r="G4" s="54"/>
      <c r="H4" s="54"/>
      <c r="I4" s="54"/>
      <c r="J4" s="54"/>
      <c r="K4" s="54"/>
      <c r="L4" s="54"/>
      <c r="M4" s="54"/>
      <c r="N4" s="54"/>
      <c r="O4" s="54"/>
      <c r="P4" s="54"/>
      <c r="Q4" s="54"/>
      <c r="R4" s="54"/>
      <c r="S4" s="54"/>
      <c r="T4" s="54"/>
      <c r="AC4"/>
      <c r="AD4"/>
      <c r="AE4"/>
      <c r="AF4"/>
      <c r="AG4"/>
      <c r="AH4"/>
    </row>
    <row r="5" spans="1:34" ht="12.75">
      <c r="B5" s="81" t="s">
        <v>77</v>
      </c>
      <c r="C5" s="277">
        <v>569.29899999999998</v>
      </c>
      <c r="D5" s="277">
        <v>625.25900000000001</v>
      </c>
      <c r="E5" s="277">
        <v>714.76800000000003</v>
      </c>
      <c r="F5" s="283">
        <v>1183.9449999999999</v>
      </c>
      <c r="G5" s="278">
        <f>1665.412</f>
        <v>1665.412</v>
      </c>
      <c r="H5" s="278">
        <f>CF!L47</f>
        <v>2294.4418520120125</v>
      </c>
      <c r="I5" s="278">
        <f>CF!M47</f>
        <v>3209.7818854910197</v>
      </c>
      <c r="J5" s="278">
        <f>CF!N47</f>
        <v>4795.0439629021803</v>
      </c>
      <c r="K5" s="278">
        <f>CF!O47</f>
        <v>7433.7773241833765</v>
      </c>
      <c r="L5" s="278">
        <f>CF!P47</f>
        <v>10285.116936146313</v>
      </c>
      <c r="M5" s="278">
        <f>CF!Q47</f>
        <v>13432.833245833386</v>
      </c>
      <c r="N5" s="278">
        <f>CF!R47</f>
        <v>16835.866069636759</v>
      </c>
      <c r="O5" s="278">
        <f>CF!S47</f>
        <v>20740.033938345547</v>
      </c>
      <c r="P5" s="278">
        <f>CF!T47</f>
        <v>25643.468121810351</v>
      </c>
      <c r="Q5" s="278">
        <f>CF!U47</f>
        <v>31195.404219827429</v>
      </c>
      <c r="R5" s="278">
        <f>CF!V47</f>
        <v>37071.943127463994</v>
      </c>
      <c r="S5" s="278">
        <f>CF!W47</f>
        <v>43231.401420999988</v>
      </c>
      <c r="T5" s="278">
        <f>CF!X47</f>
        <v>49748.51953308154</v>
      </c>
      <c r="W5" s="404"/>
      <c r="X5" s="404"/>
      <c r="Y5" s="404"/>
    </row>
    <row r="6" spans="1:34" ht="12.75">
      <c r="B6" s="81" t="s">
        <v>191</v>
      </c>
      <c r="C6" s="277">
        <v>895.77700000000004</v>
      </c>
      <c r="D6" s="277">
        <v>761.84699999999998</v>
      </c>
      <c r="E6" s="277">
        <v>327.69400000000002</v>
      </c>
      <c r="F6" s="283">
        <v>250.61199999999999</v>
      </c>
      <c r="G6" s="278">
        <v>423.25400000000002</v>
      </c>
      <c r="H6" s="278">
        <f>G6-CF!L24-CF!L25-CF!L26-CF!L28</f>
        <v>423.25400000000002</v>
      </c>
      <c r="I6" s="278">
        <f>H6-CF!M24-CF!M25-CF!M26-CF!M28</f>
        <v>423.25400000000002</v>
      </c>
      <c r="J6" s="278">
        <f>I6-CF!N24-CF!N25-CF!N26-CF!N28</f>
        <v>423.25400000000002</v>
      </c>
      <c r="K6" s="278">
        <f>J6-CF!O24-CF!O25-CF!O26-CF!O28</f>
        <v>423.25400000000002</v>
      </c>
      <c r="L6" s="278">
        <f>K6-CF!P24-CF!P25-CF!P26-CF!P28</f>
        <v>423.25400000000002</v>
      </c>
      <c r="M6" s="278">
        <f>L6-CF!Q24-CF!Q25-CF!Q26-CF!Q28</f>
        <v>423.25400000000002</v>
      </c>
      <c r="N6" s="278">
        <f>M6-CF!R24-CF!R25-CF!R26-CF!R28</f>
        <v>423.25400000000002</v>
      </c>
      <c r="O6" s="278">
        <f>N6-CF!S24-CF!S25-CF!S26-CF!S28</f>
        <v>423.25400000000002</v>
      </c>
      <c r="P6" s="278">
        <f>O6-CF!T24-CF!T25-CF!T26-CF!T28</f>
        <v>423.25400000000002</v>
      </c>
      <c r="Q6" s="278">
        <f>P6-CF!U24-CF!U25-CF!U26-CF!U28</f>
        <v>423.25400000000002</v>
      </c>
      <c r="R6" s="278">
        <f>Q6-CF!V24-CF!V25-CF!V26-CF!V28</f>
        <v>423.25400000000002</v>
      </c>
      <c r="S6" s="278">
        <f>R6-CF!W24-CF!W25-CF!W26-CF!W28</f>
        <v>423.25400000000002</v>
      </c>
      <c r="T6" s="278">
        <f>S6-CF!X24-CF!X25-CF!X26-CF!X28</f>
        <v>423.25400000000002</v>
      </c>
      <c r="W6" s="404"/>
      <c r="X6" s="404"/>
      <c r="Y6" s="404"/>
    </row>
    <row r="7" spans="1:34" ht="12.75">
      <c r="B7" s="81" t="s">
        <v>78</v>
      </c>
      <c r="C7" s="277">
        <v>85.516999999999996</v>
      </c>
      <c r="D7" s="277">
        <v>75.963999999999999</v>
      </c>
      <c r="E7" s="277">
        <v>177.63900000000001</v>
      </c>
      <c r="F7" s="283">
        <v>201.083</v>
      </c>
      <c r="G7" s="278">
        <v>281.34300000000002</v>
      </c>
      <c r="H7" s="278">
        <f>H63</f>
        <v>301.01745599328814</v>
      </c>
      <c r="I7" s="278">
        <f>I63</f>
        <v>331.21371510183411</v>
      </c>
      <c r="J7" s="278">
        <f>J63</f>
        <v>455.91456882280664</v>
      </c>
      <c r="K7" s="278">
        <f t="shared" ref="K7:T7" si="1">K63</f>
        <v>605.05169303747846</v>
      </c>
      <c r="L7" s="278">
        <f t="shared" si="1"/>
        <v>698.66605994233373</v>
      </c>
      <c r="M7" s="278">
        <f t="shared" si="1"/>
        <v>740.42450973044924</v>
      </c>
      <c r="N7" s="278">
        <f t="shared" si="1"/>
        <v>758.24055959612804</v>
      </c>
      <c r="O7" s="278">
        <f t="shared" si="1"/>
        <v>832.89406860527777</v>
      </c>
      <c r="P7" s="278">
        <f t="shared" si="1"/>
        <v>1003.6007068368669</v>
      </c>
      <c r="Q7" s="278">
        <f t="shared" si="1"/>
        <v>1017.5516137195438</v>
      </c>
      <c r="R7" s="278">
        <f t="shared" si="1"/>
        <v>1029.1825768578503</v>
      </c>
      <c r="S7" s="278">
        <f t="shared" si="1"/>
        <v>1030.4441082883268</v>
      </c>
      <c r="T7" s="278">
        <f t="shared" si="1"/>
        <v>1039.8262621682763</v>
      </c>
      <c r="W7" s="404"/>
      <c r="X7" s="404"/>
      <c r="Y7" s="404"/>
    </row>
    <row r="8" spans="1:34" ht="12.75">
      <c r="B8" s="81" t="s">
        <v>79</v>
      </c>
      <c r="C8" s="277">
        <v>14.147</v>
      </c>
      <c r="D8" s="277">
        <v>30.847999999999999</v>
      </c>
      <c r="E8" s="277">
        <v>57.207000000000001</v>
      </c>
      <c r="F8" s="283">
        <v>77.603999999999999</v>
      </c>
      <c r="G8" s="278">
        <v>111.83</v>
      </c>
      <c r="H8" s="278">
        <f>H67</f>
        <v>119.65032754939492</v>
      </c>
      <c r="I8" s="278">
        <f>I67</f>
        <v>131.65292813341048</v>
      </c>
      <c r="J8" s="278">
        <f>J67</f>
        <v>181.21981435988977</v>
      </c>
      <c r="K8" s="278">
        <f t="shared" ref="K8:T8" si="2">K67</f>
        <v>240.49978436421458</v>
      </c>
      <c r="L8" s="278">
        <f t="shared" si="2"/>
        <v>277.71021665138699</v>
      </c>
      <c r="M8" s="278">
        <f t="shared" si="2"/>
        <v>294.30863011752962</v>
      </c>
      <c r="N8" s="278">
        <f t="shared" si="2"/>
        <v>301.39026661276449</v>
      </c>
      <c r="O8" s="278">
        <f t="shared" si="2"/>
        <v>331.06401684821805</v>
      </c>
      <c r="P8" s="278">
        <f t="shared" si="2"/>
        <v>398.91757408418488</v>
      </c>
      <c r="Q8" s="278">
        <f t="shared" si="2"/>
        <v>404.46286903266326</v>
      </c>
      <c r="R8" s="278">
        <f t="shared" si="2"/>
        <v>409.08601802786421</v>
      </c>
      <c r="S8" s="278">
        <f t="shared" si="2"/>
        <v>409.58745954185309</v>
      </c>
      <c r="T8" s="278">
        <f t="shared" si="2"/>
        <v>413.31673757043302</v>
      </c>
      <c r="W8" s="404"/>
      <c r="X8" s="404"/>
      <c r="Y8" s="404"/>
    </row>
    <row r="9" spans="1:34" ht="12.75">
      <c r="B9" s="81" t="s">
        <v>80</v>
      </c>
      <c r="C9" s="277">
        <v>23.835999999999999</v>
      </c>
      <c r="D9" s="277">
        <v>52.593000000000004</v>
      </c>
      <c r="E9" s="277">
        <f>50.935+78.91</f>
        <v>129.845</v>
      </c>
      <c r="F9" s="283">
        <f>70.534+47.762</f>
        <v>118.29600000000001</v>
      </c>
      <c r="G9" s="278">
        <f>165.635+1.489</f>
        <v>167.124</v>
      </c>
      <c r="H9" s="278">
        <f>H65</f>
        <v>178.81106448506731</v>
      </c>
      <c r="I9" s="278">
        <f>I65</f>
        <v>196.74831406034244</v>
      </c>
      <c r="J9" s="278">
        <f>J65</f>
        <v>270.82339493053934</v>
      </c>
      <c r="K9" s="278">
        <f t="shared" ref="K9:T9" si="3">K65</f>
        <v>359.41416401757124</v>
      </c>
      <c r="L9" s="278">
        <f t="shared" si="3"/>
        <v>415.02318025258342</v>
      </c>
      <c r="M9" s="278">
        <f t="shared" si="3"/>
        <v>439.82862827293235</v>
      </c>
      <c r="N9" s="278">
        <f t="shared" si="3"/>
        <v>450.41175818109321</v>
      </c>
      <c r="O9" s="278">
        <f t="shared" si="3"/>
        <v>494.75760307378692</v>
      </c>
      <c r="P9" s="278">
        <f t="shared" si="3"/>
        <v>596.16114326428783</v>
      </c>
      <c r="Q9" s="278">
        <f t="shared" si="3"/>
        <v>604.44829226696606</v>
      </c>
      <c r="R9" s="278">
        <f t="shared" si="3"/>
        <v>611.35734308225676</v>
      </c>
      <c r="S9" s="278">
        <f t="shared" si="3"/>
        <v>612.10672081259645</v>
      </c>
      <c r="T9" s="278">
        <f t="shared" si="3"/>
        <v>617.67992890745813</v>
      </c>
      <c r="W9" s="404"/>
      <c r="X9" s="404"/>
      <c r="Y9" s="404"/>
    </row>
    <row r="10" spans="1:34" ht="12.75">
      <c r="B10" s="82" t="s">
        <v>81</v>
      </c>
      <c r="C10" s="279">
        <f t="shared" ref="C10:J10" si="4">SUM(C5:C9)</f>
        <v>1588.576</v>
      </c>
      <c r="D10" s="279">
        <f t="shared" si="4"/>
        <v>1546.511</v>
      </c>
      <c r="E10" s="279">
        <f t="shared" si="4"/>
        <v>1407.1530000000002</v>
      </c>
      <c r="F10" s="279">
        <f t="shared" si="4"/>
        <v>1831.5400000000002</v>
      </c>
      <c r="G10" s="785">
        <f t="shared" si="4"/>
        <v>2648.9629999999997</v>
      </c>
      <c r="H10" s="279">
        <f t="shared" si="4"/>
        <v>3317.1747000397627</v>
      </c>
      <c r="I10" s="279">
        <f t="shared" si="4"/>
        <v>4292.6508427866065</v>
      </c>
      <c r="J10" s="279">
        <f t="shared" si="4"/>
        <v>6126.2557410154159</v>
      </c>
      <c r="K10" s="279">
        <f t="shared" ref="K10:T10" si="5">SUM(K5:K9)</f>
        <v>9061.9969656026406</v>
      </c>
      <c r="L10" s="279">
        <f t="shared" si="5"/>
        <v>12099.770392992617</v>
      </c>
      <c r="M10" s="279">
        <f t="shared" si="5"/>
        <v>15330.649013954298</v>
      </c>
      <c r="N10" s="279">
        <f t="shared" si="5"/>
        <v>18769.162654026746</v>
      </c>
      <c r="O10" s="279">
        <f t="shared" si="5"/>
        <v>22822.003626872829</v>
      </c>
      <c r="P10" s="279">
        <f t="shared" si="5"/>
        <v>28065.401545995694</v>
      </c>
      <c r="Q10" s="279">
        <f t="shared" si="5"/>
        <v>33645.120994846598</v>
      </c>
      <c r="R10" s="279">
        <f t="shared" si="5"/>
        <v>39544.823065431963</v>
      </c>
      <c r="S10" s="279">
        <f t="shared" si="5"/>
        <v>45706.793709642763</v>
      </c>
      <c r="T10" s="279">
        <f t="shared" si="5"/>
        <v>52242.596461727706</v>
      </c>
      <c r="W10" s="404"/>
      <c r="X10" s="404"/>
      <c r="Y10" s="404"/>
    </row>
    <row r="11" spans="1:34" ht="12.75">
      <c r="B11" s="83"/>
      <c r="C11" s="280"/>
      <c r="D11" s="280"/>
      <c r="E11" s="280"/>
      <c r="F11" s="280"/>
      <c r="G11" s="778"/>
      <c r="H11" s="280"/>
      <c r="I11" s="281"/>
      <c r="J11" s="281"/>
      <c r="K11" s="281"/>
      <c r="L11" s="281"/>
      <c r="M11" s="281"/>
      <c r="N11" s="281"/>
      <c r="O11" s="281"/>
      <c r="P11" s="281"/>
      <c r="Q11" s="281"/>
      <c r="R11" s="281"/>
      <c r="S11" s="281"/>
      <c r="T11" s="281"/>
      <c r="W11" s="404"/>
      <c r="X11" s="404"/>
      <c r="Y11" s="404"/>
    </row>
    <row r="12" spans="1:34" ht="12.75">
      <c r="B12" s="81" t="s">
        <v>82</v>
      </c>
      <c r="C12" s="277">
        <v>696.91099999999994</v>
      </c>
      <c r="D12" s="277">
        <v>715.81200000000001</v>
      </c>
      <c r="E12" s="277">
        <v>697.71500000000003</v>
      </c>
      <c r="F12" s="283">
        <v>698.36199999999997</v>
      </c>
      <c r="G12" s="278">
        <v>789.43700000000001</v>
      </c>
      <c r="H12" s="253">
        <f>H86</f>
        <v>817.36847819744753</v>
      </c>
      <c r="I12" s="253">
        <f>I86</f>
        <v>840.70303143357796</v>
      </c>
      <c r="J12" s="253">
        <f>J86</f>
        <v>879.3228739256831</v>
      </c>
      <c r="K12" s="253">
        <f t="shared" ref="K12:T12" si="6">K86</f>
        <v>952.92628840817451</v>
      </c>
      <c r="L12" s="253">
        <f t="shared" si="6"/>
        <v>1050.8870564834192</v>
      </c>
      <c r="M12" s="253">
        <f t="shared" si="6"/>
        <v>1160.7413546420239</v>
      </c>
      <c r="N12" s="253">
        <f t="shared" si="6"/>
        <v>1276.6846822710827</v>
      </c>
      <c r="O12" s="253">
        <f t="shared" si="6"/>
        <v>1412.1742571088994</v>
      </c>
      <c r="P12" s="253">
        <f t="shared" si="6"/>
        <v>1590.0204090522222</v>
      </c>
      <c r="Q12" s="253">
        <f t="shared" si="6"/>
        <v>1772.7714874803426</v>
      </c>
      <c r="R12" s="253">
        <f t="shared" si="6"/>
        <v>1959.7954873224235</v>
      </c>
      <c r="S12" s="253">
        <f t="shared" si="6"/>
        <v>2148.5454579548059</v>
      </c>
      <c r="T12" s="253">
        <f t="shared" si="6"/>
        <v>2304.0943754110335</v>
      </c>
      <c r="V12" s="281"/>
      <c r="W12" s="404"/>
      <c r="X12" s="404"/>
      <c r="Y12" s="404"/>
    </row>
    <row r="13" spans="1:34" ht="12.75">
      <c r="B13" s="81" t="s">
        <v>83</v>
      </c>
      <c r="C13" s="277">
        <f>2.562+30.992</f>
        <v>33.554000000000002</v>
      </c>
      <c r="D13" s="277">
        <f>3.441+29+39.915</f>
        <v>72.355999999999995</v>
      </c>
      <c r="E13" s="277">
        <f>284.34+50.384+30+22.083+7.2</f>
        <v>394.00700000000001</v>
      </c>
      <c r="F13" s="283">
        <f>284.34+50.384+20.276+0.052+11.833</f>
        <v>366.88500000000005</v>
      </c>
      <c r="G13" s="278">
        <f>29+50.384+20.447+7.783</f>
        <v>107.614</v>
      </c>
      <c r="H13" s="253">
        <f>H69</f>
        <v>115.13950057140825</v>
      </c>
      <c r="I13" s="253">
        <f>I69</f>
        <v>126.68960214744556</v>
      </c>
      <c r="J13" s="253">
        <f>J69</f>
        <v>174.3878127740783</v>
      </c>
      <c r="K13" s="253">
        <f t="shared" ref="K13:T13" si="7">K69</f>
        <v>231.43292313842963</v>
      </c>
      <c r="L13" s="253">
        <f t="shared" si="7"/>
        <v>267.24051913370619</v>
      </c>
      <c r="M13" s="253">
        <f t="shared" si="7"/>
        <v>283.21317107634655</v>
      </c>
      <c r="N13" s="253">
        <f t="shared" si="7"/>
        <v>290.02782930578587</v>
      </c>
      <c r="O13" s="253">
        <f t="shared" si="7"/>
        <v>318.58287676924022</v>
      </c>
      <c r="P13" s="253">
        <f t="shared" si="7"/>
        <v>383.87834943660437</v>
      </c>
      <c r="Q13" s="253">
        <f t="shared" si="7"/>
        <v>389.21458631924372</v>
      </c>
      <c r="R13" s="253">
        <f t="shared" si="7"/>
        <v>393.66344222525777</v>
      </c>
      <c r="S13" s="253">
        <f t="shared" si="7"/>
        <v>394.14597935381363</v>
      </c>
      <c r="T13" s="253">
        <f t="shared" si="7"/>
        <v>397.73466330058642</v>
      </c>
      <c r="W13" s="404"/>
      <c r="X13" s="404"/>
      <c r="Y13" s="404"/>
    </row>
    <row r="14" spans="1:34" ht="13.5" thickBot="1">
      <c r="B14" s="84" t="s">
        <v>84</v>
      </c>
      <c r="C14" s="282">
        <f t="shared" ref="C14:J14" si="8">C10+SUM(C12:C13)</f>
        <v>2319.0410000000002</v>
      </c>
      <c r="D14" s="282">
        <f t="shared" si="8"/>
        <v>2334.6790000000001</v>
      </c>
      <c r="E14" s="282">
        <f t="shared" si="8"/>
        <v>2498.875</v>
      </c>
      <c r="F14" s="282">
        <f t="shared" si="8"/>
        <v>2896.7870000000003</v>
      </c>
      <c r="G14" s="783">
        <f t="shared" si="8"/>
        <v>3546.0139999999997</v>
      </c>
      <c r="H14" s="282">
        <f t="shared" si="8"/>
        <v>4249.6826788086182</v>
      </c>
      <c r="I14" s="282">
        <f t="shared" si="8"/>
        <v>5260.0434763676303</v>
      </c>
      <c r="J14" s="282">
        <f t="shared" si="8"/>
        <v>7179.9664277151769</v>
      </c>
      <c r="K14" s="282">
        <f t="shared" ref="K14:T14" si="9">K10+SUM(K12:K13)</f>
        <v>10246.356177149244</v>
      </c>
      <c r="L14" s="282">
        <f t="shared" si="9"/>
        <v>13417.897968609743</v>
      </c>
      <c r="M14" s="282">
        <f t="shared" si="9"/>
        <v>16774.603539672669</v>
      </c>
      <c r="N14" s="282">
        <f t="shared" si="9"/>
        <v>20335.875165603615</v>
      </c>
      <c r="O14" s="282">
        <f t="shared" si="9"/>
        <v>24552.760760750967</v>
      </c>
      <c r="P14" s="282">
        <f t="shared" si="9"/>
        <v>30039.300304484521</v>
      </c>
      <c r="Q14" s="282">
        <f t="shared" si="9"/>
        <v>35807.107068646183</v>
      </c>
      <c r="R14" s="282">
        <f t="shared" si="9"/>
        <v>41898.281994979647</v>
      </c>
      <c r="S14" s="282">
        <f t="shared" si="9"/>
        <v>48249.485146951381</v>
      </c>
      <c r="T14" s="282">
        <f t="shared" si="9"/>
        <v>54944.425500439327</v>
      </c>
      <c r="W14" s="404"/>
      <c r="X14" s="404"/>
      <c r="Y14" s="404"/>
    </row>
    <row r="15" spans="1:34" ht="13.5" thickTop="1">
      <c r="B15" s="36"/>
      <c r="C15" s="253"/>
      <c r="D15" s="253"/>
      <c r="E15" s="253"/>
      <c r="F15" s="253"/>
      <c r="G15" s="278"/>
      <c r="H15" s="253"/>
      <c r="I15" s="281"/>
      <c r="J15" s="281"/>
      <c r="K15" s="281"/>
      <c r="L15" s="281"/>
      <c r="M15" s="281"/>
      <c r="N15" s="281"/>
      <c r="O15" s="281"/>
      <c r="P15" s="281"/>
      <c r="Q15" s="281"/>
      <c r="R15" s="281"/>
      <c r="S15" s="281"/>
      <c r="T15" s="281"/>
      <c r="W15" s="404"/>
      <c r="X15" s="404"/>
      <c r="Y15" s="404"/>
    </row>
    <row r="16" spans="1:34" ht="12.75">
      <c r="B16" s="83" t="s">
        <v>85</v>
      </c>
      <c r="C16" s="280"/>
      <c r="D16" s="280"/>
      <c r="E16" s="280"/>
      <c r="F16" s="280"/>
      <c r="G16" s="778"/>
      <c r="H16" s="280"/>
      <c r="I16" s="281"/>
      <c r="J16" s="281"/>
      <c r="K16" s="281"/>
      <c r="L16" s="281"/>
      <c r="M16" s="281"/>
      <c r="N16" s="281"/>
      <c r="O16" s="281"/>
      <c r="P16" s="281"/>
      <c r="Q16" s="281"/>
      <c r="R16" s="281"/>
      <c r="S16" s="281"/>
      <c r="T16" s="281"/>
      <c r="W16" s="404"/>
      <c r="X16" s="404"/>
      <c r="Y16" s="404"/>
    </row>
    <row r="17" spans="2:26" ht="12.75">
      <c r="B17" s="81" t="s">
        <v>213</v>
      </c>
      <c r="C17" s="277">
        <v>49.326999999999998</v>
      </c>
      <c r="D17" s="277">
        <v>71.194000000000003</v>
      </c>
      <c r="E17" s="277">
        <v>74.941999999999993</v>
      </c>
      <c r="F17" s="283">
        <v>61.451000000000001</v>
      </c>
      <c r="G17" s="278">
        <v>73.994</v>
      </c>
      <c r="H17" s="253">
        <f>H71</f>
        <v>83.948417361822962</v>
      </c>
      <c r="I17" s="253">
        <f>I71</f>
        <v>89.375894497658564</v>
      </c>
      <c r="J17" s="253">
        <f>J71</f>
        <v>93.84468922254149</v>
      </c>
      <c r="K17" s="253">
        <f t="shared" ref="K17:T17" si="10">K71</f>
        <v>97.154955466857686</v>
      </c>
      <c r="L17" s="253">
        <f t="shared" si="10"/>
        <v>98.454135081912511</v>
      </c>
      <c r="M17" s="253">
        <f t="shared" si="10"/>
        <v>97.683132782747236</v>
      </c>
      <c r="N17" s="253">
        <f t="shared" si="10"/>
        <v>94.804259879446988</v>
      </c>
      <c r="O17" s="253">
        <f t="shared" si="10"/>
        <v>90.797748072883536</v>
      </c>
      <c r="P17" s="253">
        <f t="shared" si="10"/>
        <v>86.528202906546625</v>
      </c>
      <c r="Q17" s="253">
        <f t="shared" si="10"/>
        <v>82.557525901853296</v>
      </c>
      <c r="R17" s="253">
        <f t="shared" si="10"/>
        <v>78.864796287488502</v>
      </c>
      <c r="S17" s="253">
        <f t="shared" si="10"/>
        <v>75.430557746129239</v>
      </c>
      <c r="T17" s="253">
        <f t="shared" si="10"/>
        <v>71.552321221922838</v>
      </c>
      <c r="W17" s="404"/>
      <c r="X17" s="404"/>
      <c r="Y17" s="404"/>
      <c r="Z17" s="404"/>
    </row>
    <row r="18" spans="2:26" ht="12.75">
      <c r="B18" s="81" t="s">
        <v>207</v>
      </c>
      <c r="C18" s="277">
        <f>271.077+14.286</f>
        <v>285.363</v>
      </c>
      <c r="D18" s="277">
        <f>209.676+33.107</f>
        <v>242.78299999999999</v>
      </c>
      <c r="E18" s="277">
        <f>305.82+7.894</f>
        <v>313.714</v>
      </c>
      <c r="F18" s="283">
        <f>315.249+6.047</f>
        <v>321.29600000000005</v>
      </c>
      <c r="G18" s="278">
        <f>443.961+2.175</f>
        <v>446.13600000000002</v>
      </c>
      <c r="H18" s="253">
        <f>H75</f>
        <v>506.1547034642573</v>
      </c>
      <c r="I18" s="253">
        <f>I75</f>
        <v>538.87888298520693</v>
      </c>
      <c r="J18" s="253">
        <f>J75</f>
        <v>565.82282713446727</v>
      </c>
      <c r="K18" s="253">
        <f t="shared" ref="K18:T18" si="11">K75</f>
        <v>585.78159326650837</v>
      </c>
      <c r="L18" s="253">
        <f t="shared" si="11"/>
        <v>593.6148067262767</v>
      </c>
      <c r="M18" s="253">
        <f t="shared" si="11"/>
        <v>588.96616113689925</v>
      </c>
      <c r="N18" s="253">
        <f t="shared" si="11"/>
        <v>571.6084180552067</v>
      </c>
      <c r="O18" s="253">
        <f t="shared" si="11"/>
        <v>547.45174114447082</v>
      </c>
      <c r="P18" s="253">
        <f t="shared" si="11"/>
        <v>521.70914306450641</v>
      </c>
      <c r="Q18" s="253">
        <f t="shared" si="11"/>
        <v>497.76852685013955</v>
      </c>
      <c r="R18" s="253">
        <f t="shared" si="11"/>
        <v>475.50375377077836</v>
      </c>
      <c r="S18" s="253">
        <f t="shared" si="11"/>
        <v>454.7975148069724</v>
      </c>
      <c r="T18" s="253">
        <f t="shared" si="11"/>
        <v>431.41425494856026</v>
      </c>
      <c r="W18" s="404"/>
      <c r="X18" s="404"/>
      <c r="Y18" s="404"/>
    </row>
    <row r="19" spans="2:26" ht="12.75">
      <c r="B19" s="81" t="s">
        <v>192</v>
      </c>
      <c r="C19" s="277">
        <v>21.51</v>
      </c>
      <c r="D19" s="277">
        <v>17.468</v>
      </c>
      <c r="E19" s="277">
        <v>16.295999999999999</v>
      </c>
      <c r="F19" s="283">
        <v>6.0049999999999999</v>
      </c>
      <c r="G19" s="278">
        <v>5.1689999999999996</v>
      </c>
      <c r="H19" s="253">
        <f>(G19/(G19+G27))*H73</f>
        <v>5.5304707422232164</v>
      </c>
      <c r="I19" s="253">
        <f>(H19/(H19+H27))*I73</f>
        <v>6.0852542745381273</v>
      </c>
      <c r="J19" s="253">
        <f>(I19/(I19+I27))*J73</f>
        <v>8.376332115052044</v>
      </c>
      <c r="K19" s="253">
        <f t="shared" ref="K19:T19" si="12">(J19/(J19+J27))*K73</f>
        <v>11.116367570228249</v>
      </c>
      <c r="L19" s="253">
        <f t="shared" si="12"/>
        <v>12.836306088446923</v>
      </c>
      <c r="M19" s="253">
        <f t="shared" si="12"/>
        <v>13.603517026535908</v>
      </c>
      <c r="N19" s="253">
        <f t="shared" si="12"/>
        <v>13.930844032204053</v>
      </c>
      <c r="O19" s="253">
        <f t="shared" si="12"/>
        <v>15.302422454515236</v>
      </c>
      <c r="P19" s="253">
        <f t="shared" si="12"/>
        <v>18.438745778781644</v>
      </c>
      <c r="Q19" s="253">
        <f t="shared" si="12"/>
        <v>18.69506009147667</v>
      </c>
      <c r="R19" s="253">
        <f t="shared" si="12"/>
        <v>18.908751025539029</v>
      </c>
      <c r="S19" s="253">
        <f t="shared" si="12"/>
        <v>18.931928627129018</v>
      </c>
      <c r="T19" s="253">
        <f t="shared" si="12"/>
        <v>19.104303107409173</v>
      </c>
      <c r="W19" s="404"/>
      <c r="X19" s="404"/>
      <c r="Y19" s="404"/>
    </row>
    <row r="20" spans="2:26" ht="12.75">
      <c r="B20" s="81" t="s">
        <v>208</v>
      </c>
      <c r="C20" s="277">
        <v>16.893000000000001</v>
      </c>
      <c r="D20" s="277">
        <v>17.806000000000001</v>
      </c>
      <c r="E20" s="277">
        <v>15.545</v>
      </c>
      <c r="F20" s="283">
        <v>19.425999999999998</v>
      </c>
      <c r="G20" s="278">
        <v>22.530999999999999</v>
      </c>
      <c r="H20" s="283">
        <f t="shared" ref="H20:I20" si="13">G20</f>
        <v>22.530999999999999</v>
      </c>
      <c r="I20" s="283">
        <f t="shared" si="13"/>
        <v>22.530999999999999</v>
      </c>
      <c r="J20" s="283">
        <f>I20</f>
        <v>22.530999999999999</v>
      </c>
      <c r="K20" s="283">
        <f t="shared" ref="K20:T20" si="14">J20</f>
        <v>22.530999999999999</v>
      </c>
      <c r="L20" s="283">
        <f t="shared" si="14"/>
        <v>22.530999999999999</v>
      </c>
      <c r="M20" s="283">
        <f t="shared" si="14"/>
        <v>22.530999999999999</v>
      </c>
      <c r="N20" s="283">
        <f t="shared" si="14"/>
        <v>22.530999999999999</v>
      </c>
      <c r="O20" s="283">
        <f t="shared" si="14"/>
        <v>22.530999999999999</v>
      </c>
      <c r="P20" s="283">
        <f t="shared" si="14"/>
        <v>22.530999999999999</v>
      </c>
      <c r="Q20" s="283">
        <f t="shared" si="14"/>
        <v>22.530999999999999</v>
      </c>
      <c r="R20" s="283">
        <f t="shared" si="14"/>
        <v>22.530999999999999</v>
      </c>
      <c r="S20" s="283">
        <f t="shared" si="14"/>
        <v>22.530999999999999</v>
      </c>
      <c r="T20" s="283">
        <f t="shared" si="14"/>
        <v>22.530999999999999</v>
      </c>
      <c r="W20" s="404"/>
      <c r="X20" s="404"/>
      <c r="Y20" s="404"/>
    </row>
    <row r="21" spans="2:26" ht="12.75">
      <c r="B21" s="81" t="s">
        <v>335</v>
      </c>
      <c r="C21" s="277">
        <v>0</v>
      </c>
      <c r="D21" s="277">
        <v>14.206</v>
      </c>
      <c r="E21" s="277">
        <v>71.477999999999994</v>
      </c>
      <c r="F21" s="283">
        <v>0</v>
      </c>
      <c r="G21" s="278">
        <v>0</v>
      </c>
      <c r="H21" s="253">
        <v>0</v>
      </c>
      <c r="I21" s="253">
        <v>0</v>
      </c>
      <c r="J21" s="253">
        <v>0</v>
      </c>
      <c r="K21" s="253">
        <v>0</v>
      </c>
      <c r="L21" s="253">
        <v>0</v>
      </c>
      <c r="M21" s="253">
        <v>0</v>
      </c>
      <c r="N21" s="253">
        <v>0</v>
      </c>
      <c r="O21" s="253">
        <v>0</v>
      </c>
      <c r="P21" s="253">
        <v>0</v>
      </c>
      <c r="Q21" s="253">
        <v>0</v>
      </c>
      <c r="R21" s="253">
        <v>0</v>
      </c>
      <c r="S21" s="253">
        <v>0</v>
      </c>
      <c r="T21" s="253">
        <v>0</v>
      </c>
      <c r="W21" s="404"/>
      <c r="X21" s="404"/>
      <c r="Y21" s="404"/>
    </row>
    <row r="22" spans="2:26" ht="12.75">
      <c r="B22" s="81" t="s">
        <v>523</v>
      </c>
      <c r="C22" s="277"/>
      <c r="D22" s="277"/>
      <c r="E22" s="277"/>
      <c r="F22" s="283">
        <v>73.415999999999997</v>
      </c>
      <c r="G22" s="278">
        <v>232.40100000000001</v>
      </c>
      <c r="H22" s="253"/>
      <c r="I22" s="253"/>
      <c r="J22" s="253"/>
      <c r="K22" s="253"/>
      <c r="L22" s="253"/>
      <c r="M22" s="253"/>
      <c r="N22" s="253"/>
      <c r="O22" s="253"/>
      <c r="P22" s="253"/>
      <c r="Q22" s="253"/>
      <c r="R22" s="253"/>
      <c r="S22" s="253"/>
      <c r="T22" s="253"/>
      <c r="W22" s="404"/>
      <c r="X22" s="404"/>
      <c r="Y22" s="404"/>
    </row>
    <row r="23" spans="2:26" ht="12.75">
      <c r="B23" s="81" t="s">
        <v>524</v>
      </c>
      <c r="C23" s="277"/>
      <c r="D23" s="277"/>
      <c r="E23" s="277"/>
      <c r="F23" s="283">
        <v>300</v>
      </c>
      <c r="G23" s="278"/>
      <c r="H23" s="253"/>
      <c r="I23" s="253"/>
      <c r="J23" s="253"/>
      <c r="K23" s="253"/>
      <c r="L23" s="253"/>
      <c r="M23" s="253"/>
      <c r="N23" s="253"/>
      <c r="O23" s="253"/>
      <c r="P23" s="253"/>
      <c r="Q23" s="253"/>
      <c r="R23" s="253"/>
      <c r="S23" s="253"/>
      <c r="T23" s="253"/>
      <c r="W23" s="404"/>
      <c r="X23" s="404"/>
      <c r="Y23" s="404"/>
    </row>
    <row r="24" spans="2:26" ht="12.75">
      <c r="B24" s="81" t="s">
        <v>194</v>
      </c>
      <c r="C24" s="277">
        <v>24.736000000000001</v>
      </c>
      <c r="D24" s="277">
        <v>4.7969999999999997</v>
      </c>
      <c r="E24" s="277">
        <v>14.374000000000001</v>
      </c>
      <c r="F24" s="283">
        <v>10.943</v>
      </c>
      <c r="G24" s="278">
        <v>27.029</v>
      </c>
      <c r="H24" s="253">
        <f t="shared" ref="H24:I24" si="15">(G24/(G24+G31))*H77</f>
        <v>30.665213029066045</v>
      </c>
      <c r="I24" s="253">
        <f t="shared" si="15"/>
        <v>32.647796475081947</v>
      </c>
      <c r="J24" s="253">
        <f>(I24/(I24+I31))*J77</f>
        <v>34.280186298836043</v>
      </c>
      <c r="K24" s="253">
        <f t="shared" ref="K24:T24" si="16">(J24/(J24+J31))*K77</f>
        <v>35.489381454086768</v>
      </c>
      <c r="L24" s="253">
        <f t="shared" si="16"/>
        <v>35.963954065586577</v>
      </c>
      <c r="M24" s="253">
        <f t="shared" si="16"/>
        <v>35.682317430938653</v>
      </c>
      <c r="N24" s="253">
        <f t="shared" si="16"/>
        <v>34.630704385241678</v>
      </c>
      <c r="O24" s="253">
        <f t="shared" si="16"/>
        <v>33.167180212746558</v>
      </c>
      <c r="P24" s="253">
        <f t="shared" si="16"/>
        <v>31.607573537868593</v>
      </c>
      <c r="Q24" s="253">
        <f t="shared" si="16"/>
        <v>30.157139330232088</v>
      </c>
      <c r="R24" s="253">
        <f t="shared" si="16"/>
        <v>28.808235517130132</v>
      </c>
      <c r="S24" s="253">
        <f t="shared" si="16"/>
        <v>27.553754970945313</v>
      </c>
      <c r="T24" s="253">
        <f t="shared" si="16"/>
        <v>26.13708801128946</v>
      </c>
      <c r="W24" s="404"/>
      <c r="X24" s="404"/>
      <c r="Y24" s="404"/>
    </row>
    <row r="25" spans="2:26" ht="12.75">
      <c r="B25" s="82" t="s">
        <v>86</v>
      </c>
      <c r="C25" s="279">
        <f t="shared" ref="C25:J25" si="17">SUM(C17:C24)</f>
        <v>397.82899999999995</v>
      </c>
      <c r="D25" s="279">
        <f t="shared" si="17"/>
        <v>368.25400000000002</v>
      </c>
      <c r="E25" s="279">
        <f t="shared" si="17"/>
        <v>506.34900000000005</v>
      </c>
      <c r="F25" s="279">
        <f t="shared" si="17"/>
        <v>792.53700000000003</v>
      </c>
      <c r="G25" s="785">
        <f t="shared" si="17"/>
        <v>807.26</v>
      </c>
      <c r="H25" s="279">
        <f t="shared" si="17"/>
        <v>648.8298045973695</v>
      </c>
      <c r="I25" s="279">
        <f t="shared" si="17"/>
        <v>689.51882823248548</v>
      </c>
      <c r="J25" s="279">
        <f t="shared" si="17"/>
        <v>724.85503477089674</v>
      </c>
      <c r="K25" s="279">
        <f t="shared" ref="K25:T25" si="18">SUM(K17:K24)</f>
        <v>752.07329775768108</v>
      </c>
      <c r="L25" s="279">
        <f t="shared" si="18"/>
        <v>763.4002019622227</v>
      </c>
      <c r="M25" s="279">
        <f t="shared" si="18"/>
        <v>758.46612837712087</v>
      </c>
      <c r="N25" s="279">
        <f t="shared" si="18"/>
        <v>737.50522635209927</v>
      </c>
      <c r="O25" s="279">
        <f t="shared" si="18"/>
        <v>709.25009188461604</v>
      </c>
      <c r="P25" s="279">
        <f t="shared" si="18"/>
        <v>680.81466528770318</v>
      </c>
      <c r="Q25" s="279">
        <f t="shared" si="18"/>
        <v>651.70925217370154</v>
      </c>
      <c r="R25" s="279">
        <f t="shared" si="18"/>
        <v>624.616536600936</v>
      </c>
      <c r="S25" s="279">
        <f t="shared" si="18"/>
        <v>599.24475615117581</v>
      </c>
      <c r="T25" s="279">
        <f t="shared" si="18"/>
        <v>570.73896728918169</v>
      </c>
      <c r="W25" s="404"/>
      <c r="X25" s="404"/>
      <c r="Y25" s="404"/>
    </row>
    <row r="26" spans="2:26" ht="12.75">
      <c r="B26" s="83"/>
      <c r="C26" s="280"/>
      <c r="D26" s="280"/>
      <c r="E26" s="280"/>
      <c r="F26" s="280"/>
      <c r="G26" s="778"/>
      <c r="H26" s="280"/>
      <c r="I26" s="281"/>
      <c r="J26" s="281"/>
      <c r="K26" s="281"/>
      <c r="L26" s="281"/>
      <c r="M26" s="281"/>
      <c r="N26" s="281"/>
      <c r="O26" s="281"/>
      <c r="P26" s="281"/>
      <c r="Q26" s="281"/>
      <c r="R26" s="281" t="s">
        <v>651</v>
      </c>
      <c r="S26" s="281"/>
      <c r="T26" s="281"/>
      <c r="W26" s="404"/>
      <c r="X26" s="404"/>
      <c r="Y26" s="404"/>
    </row>
    <row r="27" spans="2:26" ht="12.75">
      <c r="B27" s="81" t="s">
        <v>193</v>
      </c>
      <c r="C27" s="277">
        <v>49.459000000000003</v>
      </c>
      <c r="D27" s="277">
        <v>27.808</v>
      </c>
      <c r="E27" s="277">
        <v>9.7140000000000004</v>
      </c>
      <c r="F27" s="283">
        <v>6.6319999999999997</v>
      </c>
      <c r="G27" s="278">
        <v>1.726</v>
      </c>
      <c r="H27" s="253">
        <f t="shared" ref="H27:J27" si="19">H73-H19</f>
        <v>1.8467000389006136</v>
      </c>
      <c r="I27" s="253">
        <f t="shared" si="19"/>
        <v>2.0319498699657208</v>
      </c>
      <c r="J27" s="253">
        <f t="shared" si="19"/>
        <v>2.796972186221673</v>
      </c>
      <c r="K27" s="253">
        <f t="shared" ref="K27:T27" si="20">K73-K19</f>
        <v>3.7119076080893709</v>
      </c>
      <c r="L27" s="253">
        <f t="shared" si="20"/>
        <v>4.2862186706634535</v>
      </c>
      <c r="M27" s="253">
        <f t="shared" si="20"/>
        <v>4.5424009262528493</v>
      </c>
      <c r="N27" s="253">
        <f t="shared" si="20"/>
        <v>4.6516999031890514</v>
      </c>
      <c r="O27" s="253">
        <f t="shared" si="20"/>
        <v>5.1096887514980285</v>
      </c>
      <c r="P27" s="253">
        <f t="shared" si="20"/>
        <v>6.1569501284923831</v>
      </c>
      <c r="Q27" s="253">
        <f t="shared" si="20"/>
        <v>6.2425369932073416</v>
      </c>
      <c r="R27" s="253">
        <f t="shared" si="20"/>
        <v>6.3138913271581316</v>
      </c>
      <c r="S27" s="253">
        <f t="shared" si="20"/>
        <v>6.3216306462419638</v>
      </c>
      <c r="T27" s="253">
        <f t="shared" si="20"/>
        <v>6.3791888495624391</v>
      </c>
      <c r="W27" s="404"/>
      <c r="X27" s="404"/>
      <c r="Y27" s="404"/>
    </row>
    <row r="28" spans="2:26" ht="12.75">
      <c r="B28" s="81" t="s">
        <v>209</v>
      </c>
      <c r="C28" s="277">
        <v>14.067</v>
      </c>
      <c r="D28" s="277">
        <v>12.747999999999999</v>
      </c>
      <c r="E28" s="277">
        <v>7.4640000000000004</v>
      </c>
      <c r="F28" s="283">
        <v>1.907</v>
      </c>
      <c r="G28" s="278">
        <v>0</v>
      </c>
      <c r="H28" s="283">
        <f t="shared" ref="H28:I29" si="21">G28</f>
        <v>0</v>
      </c>
      <c r="I28" s="283">
        <f t="shared" si="21"/>
        <v>0</v>
      </c>
      <c r="J28" s="283">
        <f>I28</f>
        <v>0</v>
      </c>
      <c r="K28" s="283">
        <f t="shared" ref="K28:T28" si="22">J28</f>
        <v>0</v>
      </c>
      <c r="L28" s="283">
        <f t="shared" si="22"/>
        <v>0</v>
      </c>
      <c r="M28" s="283">
        <f t="shared" si="22"/>
        <v>0</v>
      </c>
      <c r="N28" s="283">
        <f t="shared" si="22"/>
        <v>0</v>
      </c>
      <c r="O28" s="283">
        <f t="shared" si="22"/>
        <v>0</v>
      </c>
      <c r="P28" s="283">
        <f t="shared" si="22"/>
        <v>0</v>
      </c>
      <c r="Q28" s="283">
        <f t="shared" si="22"/>
        <v>0</v>
      </c>
      <c r="R28" s="283">
        <f t="shared" si="22"/>
        <v>0</v>
      </c>
      <c r="S28" s="283">
        <f t="shared" si="22"/>
        <v>0</v>
      </c>
      <c r="T28" s="283">
        <f t="shared" si="22"/>
        <v>0</v>
      </c>
      <c r="W28" s="404"/>
      <c r="X28" s="404"/>
      <c r="Y28" s="404"/>
    </row>
    <row r="29" spans="2:26" ht="12.75">
      <c r="B29" s="81" t="s">
        <v>210</v>
      </c>
      <c r="C29" s="277">
        <v>48.753999999999998</v>
      </c>
      <c r="D29" s="277">
        <v>39.292999999999999</v>
      </c>
      <c r="E29" s="277">
        <v>42.923000000000002</v>
      </c>
      <c r="F29" s="283">
        <v>34.975999999999999</v>
      </c>
      <c r="G29" s="278">
        <v>20.495999999999999</v>
      </c>
      <c r="H29" s="283">
        <f t="shared" si="21"/>
        <v>20.495999999999999</v>
      </c>
      <c r="I29" s="283">
        <f t="shared" si="21"/>
        <v>20.495999999999999</v>
      </c>
      <c r="J29" s="283">
        <f>I29</f>
        <v>20.495999999999999</v>
      </c>
      <c r="K29" s="283">
        <f t="shared" ref="K29:T29" si="23">J29</f>
        <v>20.495999999999999</v>
      </c>
      <c r="L29" s="283">
        <f t="shared" si="23"/>
        <v>20.495999999999999</v>
      </c>
      <c r="M29" s="283">
        <f t="shared" si="23"/>
        <v>20.495999999999999</v>
      </c>
      <c r="N29" s="283">
        <f t="shared" si="23"/>
        <v>20.495999999999999</v>
      </c>
      <c r="O29" s="283">
        <f t="shared" si="23"/>
        <v>20.495999999999999</v>
      </c>
      <c r="P29" s="283">
        <f t="shared" si="23"/>
        <v>20.495999999999999</v>
      </c>
      <c r="Q29" s="283">
        <f t="shared" si="23"/>
        <v>20.495999999999999</v>
      </c>
      <c r="R29" s="283">
        <f t="shared" si="23"/>
        <v>20.495999999999999</v>
      </c>
      <c r="S29" s="283">
        <f t="shared" si="23"/>
        <v>20.495999999999999</v>
      </c>
      <c r="T29" s="283">
        <f t="shared" si="23"/>
        <v>20.495999999999999</v>
      </c>
      <c r="W29" s="404"/>
      <c r="X29" s="404"/>
      <c r="Y29" s="404"/>
    </row>
    <row r="30" spans="2:26" ht="12.75">
      <c r="B30" s="81" t="s">
        <v>334</v>
      </c>
      <c r="C30" s="277">
        <v>0</v>
      </c>
      <c r="D30" s="277">
        <v>280.56900000000002</v>
      </c>
      <c r="E30" s="277">
        <v>223.96899999999999</v>
      </c>
      <c r="F30" s="283">
        <v>0</v>
      </c>
      <c r="G30" s="278">
        <v>0</v>
      </c>
      <c r="H30" s="253">
        <v>0</v>
      </c>
      <c r="I30" s="253">
        <v>0</v>
      </c>
      <c r="J30" s="253">
        <v>0</v>
      </c>
      <c r="K30" s="253">
        <v>0</v>
      </c>
      <c r="L30" s="253">
        <v>0</v>
      </c>
      <c r="M30" s="253">
        <v>0</v>
      </c>
      <c r="N30" s="253">
        <v>0</v>
      </c>
      <c r="O30" s="253">
        <v>0</v>
      </c>
      <c r="P30" s="253">
        <v>0</v>
      </c>
      <c r="Q30" s="253">
        <v>0</v>
      </c>
      <c r="R30" s="253">
        <v>0</v>
      </c>
      <c r="S30" s="253">
        <v>0</v>
      </c>
      <c r="T30" s="253">
        <v>0</v>
      </c>
      <c r="W30" s="404"/>
      <c r="X30" s="404"/>
      <c r="Y30" s="404"/>
    </row>
    <row r="31" spans="2:26" ht="12.75">
      <c r="B31" s="81" t="s">
        <v>195</v>
      </c>
      <c r="C31" s="277">
        <f>11.59+440.937</f>
        <v>452.52699999999999</v>
      </c>
      <c r="D31" s="277">
        <f>21.707+473.073+15.044</f>
        <v>509.82399999999996</v>
      </c>
      <c r="E31" s="277">
        <f>31.778+472.611+110.439</f>
        <v>614.82799999999997</v>
      </c>
      <c r="F31" s="283">
        <f>102.122+486.359+134.063</f>
        <v>722.54399999999998</v>
      </c>
      <c r="G31" s="278">
        <f>6.341+563.406+78.431+26.048</f>
        <v>674.226</v>
      </c>
      <c r="H31" s="253">
        <f t="shared" ref="H31:J31" si="24">H77-H24</f>
        <v>764.92966516464105</v>
      </c>
      <c r="I31" s="253">
        <f t="shared" si="24"/>
        <v>814.38429931586813</v>
      </c>
      <c r="J31" s="253">
        <f t="shared" si="24"/>
        <v>855.10351428166155</v>
      </c>
      <c r="K31" s="253">
        <f t="shared" ref="K31:T31" si="25">K77-K24</f>
        <v>885.26633246746474</v>
      </c>
      <c r="L31" s="253">
        <f t="shared" si="25"/>
        <v>897.10432845551725</v>
      </c>
      <c r="M31" s="253">
        <f t="shared" si="25"/>
        <v>890.07903186177987</v>
      </c>
      <c r="N31" s="253">
        <f t="shared" si="25"/>
        <v>863.84702707624979</v>
      </c>
      <c r="O31" s="253">
        <f t="shared" si="25"/>
        <v>827.34008827996831</v>
      </c>
      <c r="P31" s="253">
        <f t="shared" si="25"/>
        <v>788.43641555895488</v>
      </c>
      <c r="Q31" s="253">
        <f t="shared" si="25"/>
        <v>752.25599992841239</v>
      </c>
      <c r="R31" s="253">
        <f t="shared" si="25"/>
        <v>718.60821339200788</v>
      </c>
      <c r="S31" s="253">
        <f t="shared" si="25"/>
        <v>687.31577191315159</v>
      </c>
      <c r="T31" s="253">
        <f t="shared" si="25"/>
        <v>651.97766478595759</v>
      </c>
      <c r="W31" s="404"/>
      <c r="X31" s="404"/>
      <c r="Y31" s="404"/>
    </row>
    <row r="32" spans="2:26" ht="12.75">
      <c r="B32" s="85" t="s">
        <v>87</v>
      </c>
      <c r="C32" s="285">
        <f t="shared" ref="C32:J32" si="26">SUM(C25,C27:C31)</f>
        <v>962.63599999999997</v>
      </c>
      <c r="D32" s="285">
        <f t="shared" si="26"/>
        <v>1238.4960000000001</v>
      </c>
      <c r="E32" s="285">
        <f t="shared" si="26"/>
        <v>1405.2470000000001</v>
      </c>
      <c r="F32" s="285">
        <f t="shared" si="26"/>
        <v>1558.596</v>
      </c>
      <c r="G32" s="781">
        <f t="shared" si="26"/>
        <v>1503.7080000000001</v>
      </c>
      <c r="H32" s="285">
        <f t="shared" si="26"/>
        <v>1436.1021698009113</v>
      </c>
      <c r="I32" s="285">
        <f t="shared" si="26"/>
        <v>1526.4310774183193</v>
      </c>
      <c r="J32" s="285">
        <f t="shared" si="26"/>
        <v>1603.2515212387798</v>
      </c>
      <c r="K32" s="285">
        <f t="shared" ref="K32:T32" si="27">SUM(K25,K27:K31)</f>
        <v>1661.5475378332353</v>
      </c>
      <c r="L32" s="285">
        <f t="shared" si="27"/>
        <v>1685.2867490884032</v>
      </c>
      <c r="M32" s="285">
        <f t="shared" si="27"/>
        <v>1673.5835611651537</v>
      </c>
      <c r="N32" s="285">
        <f t="shared" si="27"/>
        <v>1626.4999533315381</v>
      </c>
      <c r="O32" s="285">
        <f t="shared" si="27"/>
        <v>1562.1958689160824</v>
      </c>
      <c r="P32" s="285">
        <f t="shared" si="27"/>
        <v>1495.9040309751504</v>
      </c>
      <c r="Q32" s="285">
        <f t="shared" si="27"/>
        <v>1430.7037890953211</v>
      </c>
      <c r="R32" s="285">
        <f t="shared" si="27"/>
        <v>1370.0346413201019</v>
      </c>
      <c r="S32" s="285">
        <f t="shared" si="27"/>
        <v>1313.3781587105693</v>
      </c>
      <c r="T32" s="285">
        <f t="shared" si="27"/>
        <v>1249.5918209247016</v>
      </c>
      <c r="W32" s="404"/>
      <c r="X32" s="404"/>
      <c r="Y32" s="404"/>
    </row>
    <row r="33" spans="2:26" ht="12.75">
      <c r="B33" s="44"/>
      <c r="C33" s="253"/>
      <c r="D33" s="253"/>
      <c r="E33" s="253"/>
      <c r="F33" s="253"/>
      <c r="G33" s="278"/>
      <c r="H33" s="253"/>
      <c r="I33" s="281"/>
      <c r="J33" s="281"/>
      <c r="K33" s="281"/>
      <c r="L33" s="281"/>
      <c r="M33" s="281"/>
      <c r="N33" s="281"/>
      <c r="O33" s="281"/>
      <c r="P33" s="281"/>
      <c r="Q33" s="281"/>
      <c r="R33" s="281"/>
      <c r="S33" s="281"/>
      <c r="T33" s="281"/>
      <c r="W33" s="404"/>
      <c r="X33" s="404"/>
      <c r="Y33" s="404"/>
    </row>
    <row r="34" spans="2:26" ht="12.75">
      <c r="B34" s="83" t="s">
        <v>88</v>
      </c>
      <c r="C34" s="280"/>
      <c r="D34" s="280"/>
      <c r="E34" s="280"/>
      <c r="F34" s="280"/>
      <c r="G34" s="778"/>
      <c r="H34" s="280"/>
      <c r="I34" s="281"/>
      <c r="J34" s="281"/>
      <c r="K34" s="281"/>
      <c r="L34" s="281"/>
      <c r="M34" s="281"/>
      <c r="N34" s="281"/>
      <c r="O34" s="281"/>
      <c r="P34" s="281"/>
      <c r="Q34" s="281"/>
      <c r="R34" s="281"/>
      <c r="S34" s="281"/>
      <c r="T34" s="281"/>
      <c r="W34" s="404"/>
      <c r="X34" s="404"/>
      <c r="Y34" s="404"/>
    </row>
    <row r="35" spans="2:26" ht="12.75">
      <c r="B35" s="81" t="s">
        <v>89</v>
      </c>
      <c r="C35" s="277">
        <v>2.3199999999999998</v>
      </c>
      <c r="D35" s="277">
        <v>2.3849999999999998</v>
      </c>
      <c r="E35" s="277">
        <v>2.427</v>
      </c>
      <c r="F35" s="253">
        <v>2.4500000000000002</v>
      </c>
      <c r="G35" s="278">
        <v>2.512</v>
      </c>
      <c r="H35" s="253">
        <f t="shared" ref="H35:I35" si="28">G35</f>
        <v>2.512</v>
      </c>
      <c r="I35" s="253">
        <f t="shared" si="28"/>
        <v>2.512</v>
      </c>
      <c r="J35" s="253">
        <f>I35</f>
        <v>2.512</v>
      </c>
      <c r="K35" s="253">
        <f t="shared" ref="K35:T35" si="29">J35</f>
        <v>2.512</v>
      </c>
      <c r="L35" s="253">
        <f t="shared" si="29"/>
        <v>2.512</v>
      </c>
      <c r="M35" s="253">
        <f t="shared" si="29"/>
        <v>2.512</v>
      </c>
      <c r="N35" s="253">
        <f t="shared" si="29"/>
        <v>2.512</v>
      </c>
      <c r="O35" s="253">
        <f t="shared" si="29"/>
        <v>2.512</v>
      </c>
      <c r="P35" s="253">
        <f t="shared" si="29"/>
        <v>2.512</v>
      </c>
      <c r="Q35" s="253">
        <f t="shared" si="29"/>
        <v>2.512</v>
      </c>
      <c r="R35" s="253">
        <f t="shared" si="29"/>
        <v>2.512</v>
      </c>
      <c r="S35" s="253">
        <f t="shared" si="29"/>
        <v>2.512</v>
      </c>
      <c r="T35" s="253">
        <f t="shared" si="29"/>
        <v>2.512</v>
      </c>
      <c r="W35" s="404"/>
      <c r="X35" s="404"/>
      <c r="Y35" s="404"/>
    </row>
    <row r="36" spans="2:26" ht="12.75">
      <c r="B36" s="81" t="s">
        <v>90</v>
      </c>
      <c r="C36" s="277">
        <v>5321.2860000000001</v>
      </c>
      <c r="D36" s="277">
        <v>5777.1540000000005</v>
      </c>
      <c r="E36" s="277">
        <v>6197.5</v>
      </c>
      <c r="F36" s="253">
        <v>6506.7950000000001</v>
      </c>
      <c r="G36" s="278">
        <v>7157.3620000000001</v>
      </c>
      <c r="H36" s="253">
        <f>G36+CF!L82</f>
        <v>7406.2687999999998</v>
      </c>
      <c r="I36" s="253">
        <f>H36+CF!M82</f>
        <v>7654.2965699999995</v>
      </c>
      <c r="J36" s="253">
        <f>I36+CF!N82</f>
        <v>7901.6430917499993</v>
      </c>
      <c r="K36" s="253">
        <f>J36+CF!O82</f>
        <v>8148.4616461062496</v>
      </c>
      <c r="L36" s="253">
        <f>K36+CF!P82</f>
        <v>8394.8710257323437</v>
      </c>
      <c r="M36" s="253">
        <f>L36+CF!Q82</f>
        <v>8640.9632949425668</v>
      </c>
      <c r="N36" s="253">
        <f>M36+CF!R82</f>
        <v>8886.8098035804887</v>
      </c>
      <c r="O36" s="253">
        <f>N36+CF!S82</f>
        <v>9132.4658477748781</v>
      </c>
      <c r="P36" s="253">
        <f>O36+CF!T82</f>
        <v>9377.9742820255306</v>
      </c>
      <c r="Q36" s="253">
        <f>P36+CF!U82</f>
        <v>9623.3683185697864</v>
      </c>
      <c r="R36" s="253">
        <f>Q36+CF!V82</f>
        <v>9868.6736968915848</v>
      </c>
      <c r="S36" s="253">
        <f>R36+CF!W82</f>
        <v>10113.910365090978</v>
      </c>
      <c r="T36" s="253">
        <f>S36+CF!X82</f>
        <v>10359.093782945509</v>
      </c>
      <c r="W36" s="404"/>
      <c r="X36" s="404"/>
      <c r="Y36" s="404"/>
    </row>
    <row r="37" spans="2:26" ht="12.75">
      <c r="B37" s="81" t="s">
        <v>91</v>
      </c>
      <c r="C37" s="277">
        <v>-0.30599999999999999</v>
      </c>
      <c r="D37" s="277">
        <v>0.91700000000000004</v>
      </c>
      <c r="E37" s="277">
        <v>1.8240000000000001</v>
      </c>
      <c r="F37" s="283">
        <v>21.172999999999998</v>
      </c>
      <c r="G37" s="278">
        <v>-11.571999999999999</v>
      </c>
      <c r="H37" s="283">
        <f t="shared" ref="H37" si="30">G37</f>
        <v>-11.571999999999999</v>
      </c>
      <c r="I37" s="283">
        <f t="shared" ref="I37" si="31">H37</f>
        <v>-11.571999999999999</v>
      </c>
      <c r="J37" s="283">
        <f>I37</f>
        <v>-11.571999999999999</v>
      </c>
      <c r="K37" s="283">
        <f t="shared" ref="K37:T37" si="32">J37</f>
        <v>-11.571999999999999</v>
      </c>
      <c r="L37" s="283">
        <f t="shared" si="32"/>
        <v>-11.571999999999999</v>
      </c>
      <c r="M37" s="283">
        <f t="shared" si="32"/>
        <v>-11.571999999999999</v>
      </c>
      <c r="N37" s="283">
        <f t="shared" si="32"/>
        <v>-11.571999999999999</v>
      </c>
      <c r="O37" s="283">
        <f t="shared" si="32"/>
        <v>-11.571999999999999</v>
      </c>
      <c r="P37" s="283">
        <f t="shared" si="32"/>
        <v>-11.571999999999999</v>
      </c>
      <c r="Q37" s="283">
        <f t="shared" si="32"/>
        <v>-11.571999999999999</v>
      </c>
      <c r="R37" s="283">
        <f t="shared" si="32"/>
        <v>-11.571999999999999</v>
      </c>
      <c r="S37" s="283">
        <f t="shared" si="32"/>
        <v>-11.571999999999999</v>
      </c>
      <c r="T37" s="283">
        <f t="shared" si="32"/>
        <v>-11.571999999999999</v>
      </c>
      <c r="W37" s="404"/>
      <c r="X37" s="404"/>
      <c r="Y37" s="404"/>
    </row>
    <row r="38" spans="2:26" ht="12.75">
      <c r="B38" s="81" t="s">
        <v>338</v>
      </c>
      <c r="C38" s="277">
        <v>-3966.895</v>
      </c>
      <c r="D38" s="277">
        <v>-4705.45</v>
      </c>
      <c r="E38" s="277">
        <v>-5261.7839999999997</v>
      </c>
      <c r="F38" s="253">
        <v>-5373.8360000000002</v>
      </c>
      <c r="G38" s="278">
        <v>-5119.723</v>
      </c>
      <c r="H38" s="253">
        <f>G38+CF!L5</f>
        <v>-4597.3552909922919</v>
      </c>
      <c r="I38" s="253">
        <f>H38+CF!M5</f>
        <v>-3925.3511710506882</v>
      </c>
      <c r="J38" s="253">
        <f>I38+CF!N5</f>
        <v>-2329.5951852736016</v>
      </c>
      <c r="K38" s="253">
        <f>J38+CF!O5</f>
        <v>431.6799932097606</v>
      </c>
      <c r="L38" s="253">
        <f>K38+CF!P5</f>
        <v>3333.0731937889959</v>
      </c>
      <c r="M38" s="253">
        <f>L38+CF!Q5</f>
        <v>6455.3896835649475</v>
      </c>
      <c r="N38" s="253">
        <f>M38+CF!R5</f>
        <v>9817.8984086915862</v>
      </c>
      <c r="O38" s="253">
        <f>N38+CF!S5</f>
        <v>13853.432044060006</v>
      </c>
      <c r="P38" s="253">
        <f>O38+CF!T5</f>
        <v>19160.754991483835</v>
      </c>
      <c r="Q38" s="253">
        <f>P38+CF!U5</f>
        <v>24748.367960981079</v>
      </c>
      <c r="R38" s="253">
        <f>Q38+CF!V5</f>
        <v>30654.906656767955</v>
      </c>
      <c r="S38" s="253">
        <f>R38+CF!W5</f>
        <v>36817.529623149829</v>
      </c>
      <c r="T38" s="253">
        <f>S38+CF!X5</f>
        <v>43331.072896569109</v>
      </c>
      <c r="U38" s="51"/>
      <c r="W38" s="404"/>
      <c r="X38" s="404"/>
      <c r="Y38" s="404"/>
    </row>
    <row r="39" spans="2:26" ht="12.75">
      <c r="B39" s="85" t="s">
        <v>92</v>
      </c>
      <c r="C39" s="285">
        <f t="shared" ref="C39:J39" si="33">SUM(C35:C38)</f>
        <v>1356.4050000000002</v>
      </c>
      <c r="D39" s="285">
        <f t="shared" si="33"/>
        <v>1075.0060000000012</v>
      </c>
      <c r="E39" s="285">
        <f t="shared" si="33"/>
        <v>939.96699999999964</v>
      </c>
      <c r="F39" s="285">
        <f t="shared" si="33"/>
        <v>1156.5819999999994</v>
      </c>
      <c r="G39" s="781">
        <f t="shared" si="33"/>
        <v>2028.5789999999997</v>
      </c>
      <c r="H39" s="285">
        <f t="shared" si="33"/>
        <v>2799.8535090077075</v>
      </c>
      <c r="I39" s="285">
        <f t="shared" si="33"/>
        <v>3719.8853989493109</v>
      </c>
      <c r="J39" s="285">
        <f t="shared" si="33"/>
        <v>5562.9879064763973</v>
      </c>
      <c r="K39" s="285">
        <f t="shared" ref="K39:T39" si="34">SUM(K35:K38)</f>
        <v>8571.0816393160094</v>
      </c>
      <c r="L39" s="285">
        <f t="shared" si="34"/>
        <v>11718.88421952134</v>
      </c>
      <c r="M39" s="285">
        <f t="shared" si="34"/>
        <v>15087.292978507514</v>
      </c>
      <c r="N39" s="285">
        <f t="shared" si="34"/>
        <v>18695.648212272077</v>
      </c>
      <c r="O39" s="285">
        <f t="shared" si="34"/>
        <v>22976.837891834883</v>
      </c>
      <c r="P39" s="285">
        <f t="shared" si="34"/>
        <v>28529.669273509367</v>
      </c>
      <c r="Q39" s="285">
        <f t="shared" si="34"/>
        <v>34362.676279550869</v>
      </c>
      <c r="R39" s="285">
        <f t="shared" si="34"/>
        <v>40514.520353659536</v>
      </c>
      <c r="S39" s="285">
        <f t="shared" si="34"/>
        <v>46922.379988240806</v>
      </c>
      <c r="T39" s="285">
        <f t="shared" si="34"/>
        <v>53681.106679514618</v>
      </c>
      <c r="U39" s="51"/>
      <c r="W39" s="281"/>
    </row>
    <row r="40" spans="2:26" ht="12.75">
      <c r="B40" s="81" t="s">
        <v>211</v>
      </c>
      <c r="C40" s="277">
        <v>0</v>
      </c>
      <c r="D40" s="277">
        <v>21.177</v>
      </c>
      <c r="E40" s="290">
        <v>153.661</v>
      </c>
      <c r="F40" s="290">
        <v>181.60900000000001</v>
      </c>
      <c r="G40" s="785">
        <v>13.727</v>
      </c>
      <c r="H40" s="290">
        <f>G40</f>
        <v>13.727</v>
      </c>
      <c r="I40" s="290">
        <f>H40</f>
        <v>13.727</v>
      </c>
      <c r="J40" s="290">
        <f>I40</f>
        <v>13.727</v>
      </c>
      <c r="K40" s="290">
        <f t="shared" ref="K40:T40" si="35">J40</f>
        <v>13.727</v>
      </c>
      <c r="L40" s="290">
        <f t="shared" si="35"/>
        <v>13.727</v>
      </c>
      <c r="M40" s="290">
        <f t="shared" si="35"/>
        <v>13.727</v>
      </c>
      <c r="N40" s="290">
        <f t="shared" si="35"/>
        <v>13.727</v>
      </c>
      <c r="O40" s="290">
        <f t="shared" si="35"/>
        <v>13.727</v>
      </c>
      <c r="P40" s="290">
        <f t="shared" si="35"/>
        <v>13.727</v>
      </c>
      <c r="Q40" s="290">
        <f t="shared" si="35"/>
        <v>13.727</v>
      </c>
      <c r="R40" s="290">
        <f t="shared" si="35"/>
        <v>13.727</v>
      </c>
      <c r="S40" s="290">
        <f t="shared" si="35"/>
        <v>13.727</v>
      </c>
      <c r="T40" s="290">
        <f t="shared" si="35"/>
        <v>13.727</v>
      </c>
      <c r="U40" s="283"/>
    </row>
    <row r="41" spans="2:26" ht="13.5" thickBot="1">
      <c r="B41" s="86" t="s">
        <v>93</v>
      </c>
      <c r="C41" s="282">
        <f>C32+C39+C40</f>
        <v>2319.0410000000002</v>
      </c>
      <c r="D41" s="282">
        <f>D32+D39+D40</f>
        <v>2334.6790000000015</v>
      </c>
      <c r="E41" s="282">
        <f t="shared" ref="E41:J41" si="36">E32+E39+E40</f>
        <v>2498.875</v>
      </c>
      <c r="F41" s="282">
        <f t="shared" si="36"/>
        <v>2896.7869999999994</v>
      </c>
      <c r="G41" s="783">
        <f t="shared" si="36"/>
        <v>3546.0139999999997</v>
      </c>
      <c r="H41" s="282">
        <f t="shared" si="36"/>
        <v>4249.6826788086191</v>
      </c>
      <c r="I41" s="282">
        <f t="shared" si="36"/>
        <v>5260.0434763676303</v>
      </c>
      <c r="J41" s="282">
        <f t="shared" si="36"/>
        <v>7179.9664277151769</v>
      </c>
      <c r="K41" s="282">
        <f t="shared" ref="K41:T41" si="37">K32+K39+K40</f>
        <v>10246.356177149246</v>
      </c>
      <c r="L41" s="282">
        <f t="shared" si="37"/>
        <v>13417.897968609745</v>
      </c>
      <c r="M41" s="282">
        <f t="shared" si="37"/>
        <v>16774.603539672666</v>
      </c>
      <c r="N41" s="282">
        <f t="shared" si="37"/>
        <v>20335.875165603615</v>
      </c>
      <c r="O41" s="282">
        <f t="shared" si="37"/>
        <v>24552.760760750964</v>
      </c>
      <c r="P41" s="282">
        <f t="shared" si="37"/>
        <v>30039.300304484517</v>
      </c>
      <c r="Q41" s="282">
        <f t="shared" si="37"/>
        <v>35807.10706864619</v>
      </c>
      <c r="R41" s="282">
        <f t="shared" si="37"/>
        <v>41898.281994979639</v>
      </c>
      <c r="S41" s="282">
        <f t="shared" si="37"/>
        <v>48249.485146951374</v>
      </c>
      <c r="T41" s="282">
        <f t="shared" si="37"/>
        <v>54944.42550043932</v>
      </c>
      <c r="U41" s="51"/>
    </row>
    <row r="42" spans="2:26" ht="13.5" thickTop="1">
      <c r="B42" s="36"/>
      <c r="C42" s="286"/>
      <c r="D42" s="286"/>
      <c r="E42" s="286"/>
      <c r="F42" s="286"/>
      <c r="G42" s="286"/>
      <c r="H42" s="286"/>
      <c r="I42" s="281"/>
      <c r="J42" s="281"/>
      <c r="K42" s="281"/>
      <c r="L42" s="281"/>
      <c r="M42" s="281"/>
      <c r="N42" s="281"/>
      <c r="O42" s="281"/>
      <c r="P42" s="281"/>
      <c r="Q42" s="281"/>
      <c r="R42" s="281"/>
      <c r="S42" s="281"/>
      <c r="T42" s="281"/>
      <c r="Z42" s="56" t="s">
        <v>333</v>
      </c>
    </row>
    <row r="43" spans="2:26" ht="12.75">
      <c r="B43" s="271" t="s">
        <v>94</v>
      </c>
      <c r="C43" s="410">
        <f t="shared" ref="C43:J43" si="38">C41-C14</f>
        <v>0</v>
      </c>
      <c r="D43" s="410">
        <f t="shared" si="38"/>
        <v>0</v>
      </c>
      <c r="E43" s="624">
        <f t="shared" si="38"/>
        <v>0</v>
      </c>
      <c r="F43" s="411">
        <f t="shared" si="38"/>
        <v>0</v>
      </c>
      <c r="G43" s="624">
        <f t="shared" si="38"/>
        <v>0</v>
      </c>
      <c r="H43" s="775">
        <f t="shared" si="38"/>
        <v>0</v>
      </c>
      <c r="I43" s="775">
        <f t="shared" si="38"/>
        <v>0</v>
      </c>
      <c r="J43" s="775">
        <f t="shared" si="38"/>
        <v>0</v>
      </c>
      <c r="K43" s="775">
        <f t="shared" ref="K43:T43" si="39">K41-K14</f>
        <v>0</v>
      </c>
      <c r="L43" s="775">
        <f t="shared" si="39"/>
        <v>0</v>
      </c>
      <c r="M43" s="775">
        <f t="shared" si="39"/>
        <v>0</v>
      </c>
      <c r="N43" s="775">
        <f t="shared" si="39"/>
        <v>0</v>
      </c>
      <c r="O43" s="775">
        <f t="shared" si="39"/>
        <v>0</v>
      </c>
      <c r="P43" s="775">
        <f t="shared" si="39"/>
        <v>0</v>
      </c>
      <c r="Q43" s="775">
        <f t="shared" si="39"/>
        <v>0</v>
      </c>
      <c r="R43" s="775">
        <f t="shared" si="39"/>
        <v>0</v>
      </c>
      <c r="S43" s="775">
        <f t="shared" si="39"/>
        <v>0</v>
      </c>
      <c r="T43" s="775">
        <f t="shared" si="39"/>
        <v>0</v>
      </c>
      <c r="W43" s="404"/>
    </row>
    <row r="44" spans="2:26">
      <c r="E44" s="62"/>
      <c r="F44" s="62">
        <f>F43-E43</f>
        <v>0</v>
      </c>
      <c r="G44" s="62">
        <f>G43-F43</f>
        <v>0</v>
      </c>
      <c r="H44" s="62">
        <f>H43-G43</f>
        <v>0</v>
      </c>
      <c r="I44" s="62">
        <f>I43-H43</f>
        <v>0</v>
      </c>
      <c r="J44" s="62">
        <f>J43-I43</f>
        <v>0</v>
      </c>
      <c r="K44" s="62">
        <f t="shared" ref="K44:T44" si="40">K43-J43</f>
        <v>0</v>
      </c>
      <c r="L44" s="62">
        <f t="shared" si="40"/>
        <v>0</v>
      </c>
      <c r="M44" s="62">
        <f t="shared" si="40"/>
        <v>0</v>
      </c>
      <c r="N44" s="62">
        <f t="shared" si="40"/>
        <v>0</v>
      </c>
      <c r="O44" s="62">
        <f t="shared" si="40"/>
        <v>0</v>
      </c>
      <c r="P44" s="62">
        <f t="shared" si="40"/>
        <v>0</v>
      </c>
      <c r="Q44" s="62">
        <f t="shared" si="40"/>
        <v>0</v>
      </c>
      <c r="R44" s="62">
        <f t="shared" si="40"/>
        <v>0</v>
      </c>
      <c r="S44" s="62">
        <f t="shared" si="40"/>
        <v>0</v>
      </c>
      <c r="T44" s="62">
        <f t="shared" si="40"/>
        <v>0</v>
      </c>
      <c r="U44" s="62"/>
      <c r="V44" s="62"/>
      <c r="W44" s="62"/>
      <c r="X44" s="62"/>
      <c r="Y44" s="62"/>
    </row>
    <row r="45" spans="2:26" ht="12.75">
      <c r="B45" s="89"/>
    </row>
    <row r="46" spans="2:26" ht="12.75">
      <c r="B46" s="89" t="s">
        <v>509</v>
      </c>
    </row>
    <row r="47" spans="2:26" ht="12.75">
      <c r="B47" s="449" t="s">
        <v>31</v>
      </c>
      <c r="C47" s="450">
        <f>IS!L81</f>
        <v>1211.9749999999999</v>
      </c>
      <c r="D47" s="450">
        <f>IS!Q81</f>
        <v>580.41499999999996</v>
      </c>
      <c r="E47" s="450">
        <f>IS!V81</f>
        <v>1032.336</v>
      </c>
      <c r="F47" s="450">
        <f>IS!AA81</f>
        <v>1700.8010000000002</v>
      </c>
      <c r="G47" s="450">
        <f>IS!AF81</f>
        <v>2488.6520000000005</v>
      </c>
      <c r="H47" s="450">
        <f>IS!AK81</f>
        <v>2662.6846727752554</v>
      </c>
      <c r="I47" s="450">
        <f>IS!AP81</f>
        <v>2929.7891702143284</v>
      </c>
      <c r="J47" s="450">
        <f>IS!AU81</f>
        <v>4032.8449740353076</v>
      </c>
      <c r="K47" s="450">
        <f>IS!AZ81</f>
        <v>5352.054630757144</v>
      </c>
      <c r="L47" s="450">
        <f>IS!BE81</f>
        <v>6180.1313251355423</v>
      </c>
      <c r="M47" s="450">
        <f>IS!BJ81</f>
        <v>6549.5105155973397</v>
      </c>
      <c r="N47" s="450">
        <f>IS!BO81</f>
        <v>6707.1044423355961</v>
      </c>
      <c r="O47" s="450">
        <f>IS!BT81</f>
        <v>7367.4606783273866</v>
      </c>
      <c r="P47" s="450">
        <f>IS!BY81</f>
        <v>8877.4659624408032</v>
      </c>
      <c r="Q47" s="450">
        <f>IS!CD81</f>
        <v>9000.8703205211095</v>
      </c>
      <c r="R47" s="450">
        <f>IS!CI81</f>
        <v>9103.7533482704148</v>
      </c>
      <c r="S47" s="450">
        <f>IS!CN81</f>
        <v>9114.9123702383258</v>
      </c>
      <c r="T47" s="451">
        <f>IS!CS81</f>
        <v>9197.9032959682863</v>
      </c>
    </row>
    <row r="48" spans="2:26" ht="12.75">
      <c r="B48" s="452" t="s">
        <v>95</v>
      </c>
      <c r="C48" s="253">
        <f>IS!L98</f>
        <v>130.27699999999999</v>
      </c>
      <c r="D48" s="253">
        <f>IS!Q98</f>
        <v>60.986999999999995</v>
      </c>
      <c r="E48" s="252">
        <f>IS!V98</f>
        <v>124.512</v>
      </c>
      <c r="F48" s="252">
        <f>IS!AA98</f>
        <v>210.46000000000004</v>
      </c>
      <c r="G48" s="252">
        <f>IS!AF98</f>
        <v>275.11900000000003</v>
      </c>
      <c r="H48" s="252">
        <f>IS!AK98</f>
        <v>320.94964142642255</v>
      </c>
      <c r="I48" s="252">
        <f>IS!AP98</f>
        <v>354.0985363199411</v>
      </c>
      <c r="J48" s="252">
        <f>IS!AU98</f>
        <v>466.4480145259177</v>
      </c>
      <c r="K48" s="252">
        <f>IS!AZ98</f>
        <v>585.35893577750608</v>
      </c>
      <c r="L48" s="252">
        <f>IS!BE98</f>
        <v>652.17575678503817</v>
      </c>
      <c r="M48" s="252">
        <f>IS!BJ98</f>
        <v>665.53142023511953</v>
      </c>
      <c r="N48" s="252">
        <f>IS!BO98</f>
        <v>650.93667649661961</v>
      </c>
      <c r="O48" s="252">
        <f>IS!BT98</f>
        <v>628.91172145390919</v>
      </c>
      <c r="P48" s="252">
        <f>IS!BY98</f>
        <v>726.81424454947637</v>
      </c>
      <c r="Q48" s="252">
        <f>IS!CD98</f>
        <v>740.28339872792264</v>
      </c>
      <c r="R48" s="252">
        <f>IS!CI98</f>
        <v>721.3507733188269</v>
      </c>
      <c r="S48" s="252">
        <f>IS!CN98</f>
        <v>723.58172905097672</v>
      </c>
      <c r="T48" s="453">
        <f>IS!CS98</f>
        <v>723.42132064424788</v>
      </c>
    </row>
    <row r="49" spans="2:20" ht="12.75">
      <c r="B49" s="258" t="s">
        <v>96</v>
      </c>
      <c r="C49" s="253">
        <f>IS!L101+IS!L102+IS!L104</f>
        <v>1691.7059999999999</v>
      </c>
      <c r="D49" s="253">
        <f>IS!M101+IS!M102+IS!M104</f>
        <v>319.363</v>
      </c>
      <c r="E49" s="252">
        <f>IS!V27+IS!V31+IS!V35</f>
        <v>1059.095</v>
      </c>
      <c r="F49" s="252">
        <f>IS!AA27+IS!AA31+IS!AA35</f>
        <v>1202.1780000000001</v>
      </c>
      <c r="G49" s="252">
        <f>IS!AF27+IS!AF31+IS!AF35</f>
        <v>1334.797</v>
      </c>
      <c r="H49" s="252">
        <f>IS!AK27+IS!AK31+IS!AK35</f>
        <v>1514.3673223411251</v>
      </c>
      <c r="I49" s="252">
        <f>IS!AP27+IS!AP31+IS!AP35</f>
        <v>1612.2749932128438</v>
      </c>
      <c r="J49" s="252">
        <f>IS!AU27+IS!AU31+IS!AU35</f>
        <v>1692.8887428734861</v>
      </c>
      <c r="K49" s="252">
        <f>IS!AZ27+IS!AZ31+IS!AZ35</f>
        <v>1752.6034961252972</v>
      </c>
      <c r="L49" s="252">
        <f>IS!BE27+IS!BE31+IS!BE35</f>
        <v>1776.039734910014</v>
      </c>
      <c r="M49" s="252">
        <f>IS!BJ27+IS!BJ31+IS!BJ35</f>
        <v>1762.1314240210377</v>
      </c>
      <c r="N49" s="252">
        <f>IS!BO27+IS!BO31+IS!BO35</f>
        <v>1710.1986873841961</v>
      </c>
      <c r="O49" s="252">
        <f>IS!BT27+IS!BT31+IS!BT35</f>
        <v>1637.9241794529385</v>
      </c>
      <c r="P49" s="252">
        <f>IS!BY27+IS!BY31+IS!BY35</f>
        <v>1560.9047443718371</v>
      </c>
      <c r="Q49" s="252">
        <f>IS!CD27+IS!CD31+IS!CD35</f>
        <v>1489.2766697464131</v>
      </c>
      <c r="R49" s="252">
        <f>IS!CI27+IS!CI31+IS!CI35</f>
        <v>1422.6625603447685</v>
      </c>
      <c r="S49" s="252">
        <f>IS!CN27+IS!CN31+IS!CN35</f>
        <v>1360.711438601239</v>
      </c>
      <c r="T49" s="453">
        <f>IS!CS27+IS!CS31+IS!CS35</f>
        <v>1290.7509218322964</v>
      </c>
    </row>
    <row r="50" spans="2:20" ht="12.75">
      <c r="B50" s="258" t="s">
        <v>97</v>
      </c>
      <c r="C50" s="253">
        <f>IS!L113</f>
        <v>-122.422</v>
      </c>
      <c r="D50" s="253">
        <f>IS!Q113</f>
        <v>6.9580000000000002</v>
      </c>
      <c r="E50" s="253">
        <f>IS!V113</f>
        <v>30.380999999999997</v>
      </c>
      <c r="F50" s="253">
        <f>IS!AA113</f>
        <v>16.664999999999999</v>
      </c>
      <c r="G50" s="253">
        <f>IS!AF113</f>
        <v>-107.324</v>
      </c>
      <c r="H50" s="253">
        <f>IS!AK113</f>
        <v>0</v>
      </c>
      <c r="I50" s="253">
        <f>IS!AP113</f>
        <v>0</v>
      </c>
      <c r="J50" s="253">
        <f>IS!AU113</f>
        <v>0</v>
      </c>
      <c r="K50" s="253">
        <f>IS!AZ113</f>
        <v>0</v>
      </c>
      <c r="L50" s="253">
        <f>IS!BE113</f>
        <v>643.73552441354684</v>
      </c>
      <c r="M50" s="253">
        <f>IS!BJ113</f>
        <v>855.15674560742627</v>
      </c>
      <c r="N50" s="253">
        <f>IS!BO113</f>
        <v>920.94188013022574</v>
      </c>
      <c r="O50" s="253">
        <f>IS!BT113</f>
        <v>1105.2735434448541</v>
      </c>
      <c r="P50" s="253">
        <f>IS!BY113</f>
        <v>1453.598004708437</v>
      </c>
      <c r="Q50" s="253">
        <f>IS!CD113</f>
        <v>1530.3653355947872</v>
      </c>
      <c r="R50" s="253">
        <f>IS!CI113</f>
        <v>1617.7144198651959</v>
      </c>
      <c r="S50" s="253">
        <f>IS!CN113</f>
        <v>1687.8521500281563</v>
      </c>
      <c r="T50" s="454">
        <f>IS!CS113</f>
        <v>1783.9640812549621</v>
      </c>
    </row>
    <row r="51" spans="2:20" ht="12.75">
      <c r="B51" s="258" t="s">
        <v>98</v>
      </c>
      <c r="C51" s="253">
        <f>IS!L122</f>
        <v>-445.02799999999996</v>
      </c>
      <c r="D51" s="253">
        <f>IS!Q122</f>
        <v>-738.55499999999995</v>
      </c>
      <c r="E51" s="252">
        <f>IS!V122</f>
        <v>-556.33399999999983</v>
      </c>
      <c r="F51" s="252">
        <f>IS!AA122</f>
        <v>-112.05200000000002</v>
      </c>
      <c r="G51" s="252">
        <f>IS!AF122</f>
        <v>263.48400000000026</v>
      </c>
      <c r="H51" s="252">
        <f>IS!AK122</f>
        <v>522.36770900770773</v>
      </c>
      <c r="I51" s="252">
        <f>IS!AP122</f>
        <v>672.00411994160345</v>
      </c>
      <c r="J51" s="252">
        <f>IS!AU122</f>
        <v>1595.7559857770864</v>
      </c>
      <c r="K51" s="252">
        <f>IS!AZ122</f>
        <v>2761.2751784833622</v>
      </c>
      <c r="L51" s="252">
        <f>IS!BE122</f>
        <v>2901.3932005792353</v>
      </c>
      <c r="M51" s="252">
        <f>IS!BJ122</f>
        <v>3122.3164897759516</v>
      </c>
      <c r="N51" s="252">
        <f>IS!BO122</f>
        <v>3362.5087251266382</v>
      </c>
      <c r="O51" s="252">
        <f>IS!BT122</f>
        <v>4035.5336353684206</v>
      </c>
      <c r="P51" s="252">
        <f>IS!BY122</f>
        <v>5307.3229474238278</v>
      </c>
      <c r="Q51" s="252">
        <f>IS!CD122</f>
        <v>5587.612969497246</v>
      </c>
      <c r="R51" s="252">
        <f>IS!CI122</f>
        <v>5906.5386957868777</v>
      </c>
      <c r="S51" s="252">
        <f>IS!CN122</f>
        <v>6162.622966381874</v>
      </c>
      <c r="T51" s="453">
        <f>IS!CS122</f>
        <v>6513.54327341928</v>
      </c>
    </row>
    <row r="52" spans="2:20" ht="12.75">
      <c r="B52" s="258" t="s">
        <v>99</v>
      </c>
      <c r="C52" s="254">
        <f>CF!G20</f>
        <v>-51.569999999999936</v>
      </c>
      <c r="D52" s="254">
        <f>CF!H20</f>
        <v>-513.19899999999996</v>
      </c>
      <c r="E52" s="254">
        <f>CF!I20</f>
        <v>-365.43200000000002</v>
      </c>
      <c r="F52" s="254">
        <f>CF!J20</f>
        <v>236.10300000000001</v>
      </c>
      <c r="G52" s="254">
        <f>CF!K20</f>
        <v>844.94200000000001</v>
      </c>
      <c r="H52" s="254">
        <f>CF!L20</f>
        <v>718.18318865250376</v>
      </c>
      <c r="I52" s="254">
        <f>CF!M20</f>
        <v>1002.9884761393503</v>
      </c>
      <c r="J52" s="254">
        <f>CF!N20</f>
        <v>1691.5996786037683</v>
      </c>
      <c r="K52" s="254">
        <f>CF!O20</f>
        <v>2781.1512869359108</v>
      </c>
      <c r="L52" s="254">
        <f>CF!P20</f>
        <v>3016.4831638447449</v>
      </c>
      <c r="M52" s="254">
        <f>CF!Q20</f>
        <v>3323.1316450770883</v>
      </c>
      <c r="N52" s="254">
        <f>CF!R20</f>
        <v>3582.9410350946691</v>
      </c>
      <c r="O52" s="254">
        <f>CF!S20</f>
        <v>4102.062973217975</v>
      </c>
      <c r="P52" s="254">
        <f>CF!T20</f>
        <v>5142.1711475105567</v>
      </c>
      <c r="Q52" s="254">
        <f>CF!U20</f>
        <v>5794.1131751169805</v>
      </c>
      <c r="R52" s="254">
        <f>CF!V20</f>
        <v>6121.577313792689</v>
      </c>
      <c r="S52" s="254">
        <f>CF!W20</f>
        <v>6404.8661425536402</v>
      </c>
      <c r="T52" s="455">
        <f>CF!X20</f>
        <v>6728.0241821192831</v>
      </c>
    </row>
    <row r="53" spans="2:20" ht="12.75">
      <c r="B53" s="456" t="s">
        <v>100</v>
      </c>
      <c r="C53" s="457">
        <f>CF!G27</f>
        <v>-51.393000000000001</v>
      </c>
      <c r="D53" s="457">
        <f>CF!H27</f>
        <v>-51.201000000000001</v>
      </c>
      <c r="E53" s="457">
        <f>CF!I27</f>
        <v>-45.302</v>
      </c>
      <c r="F53" s="457">
        <f>CF!J27</f>
        <v>-56.563000000000002</v>
      </c>
      <c r="G53" s="457">
        <f>CF!K27</f>
        <v>-99.421000000000006</v>
      </c>
      <c r="H53" s="457">
        <f>CF!L27</f>
        <v>-93.06013664049101</v>
      </c>
      <c r="I53" s="457">
        <f>CF!M27</f>
        <v>-90.676212660343296</v>
      </c>
      <c r="J53" s="457">
        <f>CF!N27</f>
        <v>-108.68412294260764</v>
      </c>
      <c r="K53" s="457">
        <f>CF!O27</f>
        <v>-144.23648001096441</v>
      </c>
      <c r="L53" s="457">
        <f>CF!P27</f>
        <v>-166.55293150790263</v>
      </c>
      <c r="M53" s="457">
        <f>CF!Q27</f>
        <v>-176.50760460023841</v>
      </c>
      <c r="N53" s="457">
        <f>CF!R27</f>
        <v>-180.75471992921931</v>
      </c>
      <c r="O53" s="457">
        <f>CF!S27</f>
        <v>-198.55114870357792</v>
      </c>
      <c r="P53" s="457">
        <f>CF!T27</f>
        <v>-239.24539829640466</v>
      </c>
      <c r="Q53" s="457">
        <f>CF!U27</f>
        <v>-242.57111364415664</v>
      </c>
      <c r="R53" s="457">
        <f>CF!V27</f>
        <v>-245.34378447792403</v>
      </c>
      <c r="S53" s="457">
        <f>CF!W27</f>
        <v>-245.64451721704199</v>
      </c>
      <c r="T53" s="719">
        <f>CF!X27</f>
        <v>-211.08948789226287</v>
      </c>
    </row>
    <row r="54" spans="2:20" ht="12.75">
      <c r="B54" s="90"/>
    </row>
    <row r="56" spans="2:20" ht="12.75">
      <c r="B56" s="83" t="s">
        <v>101</v>
      </c>
    </row>
    <row r="57" spans="2:20" ht="12.75">
      <c r="B57" s="458" t="s">
        <v>102</v>
      </c>
      <c r="C57" s="459">
        <f t="shared" ref="C57:J58" si="41">IF(ISERROR(C47/C7),"NM",C47/C7)</f>
        <v>14.172328308991194</v>
      </c>
      <c r="D57" s="459">
        <f t="shared" si="41"/>
        <v>7.6406587330840923</v>
      </c>
      <c r="E57" s="459">
        <f t="shared" si="41"/>
        <v>5.8114265448465705</v>
      </c>
      <c r="F57" s="459">
        <f t="shared" si="41"/>
        <v>8.4582038262806911</v>
      </c>
      <c r="G57" s="459">
        <f t="shared" si="41"/>
        <v>8.8456154942543463</v>
      </c>
      <c r="H57" s="459">
        <f t="shared" si="41"/>
        <v>8.8456154942543463</v>
      </c>
      <c r="I57" s="459">
        <f t="shared" si="41"/>
        <v>8.8456154942543463</v>
      </c>
      <c r="J57" s="459">
        <f t="shared" si="41"/>
        <v>8.8456154942543463</v>
      </c>
      <c r="K57" s="459">
        <f t="shared" ref="K57:T57" si="42">IF(ISERROR(K47/K7),"NM",K47/K7)</f>
        <v>8.8456154942543463</v>
      </c>
      <c r="L57" s="459">
        <f t="shared" si="42"/>
        <v>8.8456154942543446</v>
      </c>
      <c r="M57" s="459">
        <f t="shared" si="42"/>
        <v>8.8456154942543463</v>
      </c>
      <c r="N57" s="459">
        <f t="shared" si="42"/>
        <v>8.8456154942543463</v>
      </c>
      <c r="O57" s="459">
        <f t="shared" si="42"/>
        <v>8.8456154942543446</v>
      </c>
      <c r="P57" s="459">
        <f t="shared" si="42"/>
        <v>8.8456154942543446</v>
      </c>
      <c r="Q57" s="459">
        <f t="shared" si="42"/>
        <v>8.8456154942543463</v>
      </c>
      <c r="R57" s="459">
        <f t="shared" si="42"/>
        <v>8.8456154942543463</v>
      </c>
      <c r="S57" s="459">
        <f t="shared" si="42"/>
        <v>8.8456154942543446</v>
      </c>
      <c r="T57" s="460">
        <f t="shared" si="42"/>
        <v>8.8456154942543446</v>
      </c>
    </row>
    <row r="58" spans="2:20" ht="12.75">
      <c r="B58" s="258" t="s">
        <v>103</v>
      </c>
      <c r="C58" s="68">
        <f t="shared" si="41"/>
        <v>9.2088075210291915</v>
      </c>
      <c r="D58" s="68">
        <f t="shared" si="41"/>
        <v>1.9770163381742738</v>
      </c>
      <c r="E58" s="68">
        <f t="shared" si="41"/>
        <v>2.1765168598248468</v>
      </c>
      <c r="F58" s="68">
        <f t="shared" si="41"/>
        <v>2.7119736096077527</v>
      </c>
      <c r="G58" s="68">
        <f t="shared" si="41"/>
        <v>2.460153804882411</v>
      </c>
      <c r="H58" s="68">
        <f t="shared" si="41"/>
        <v>2.6823966803929205</v>
      </c>
      <c r="I58" s="68">
        <f t="shared" si="41"/>
        <v>2.6896366175852569</v>
      </c>
      <c r="J58" s="68">
        <f t="shared" si="41"/>
        <v>2.5739349539316096</v>
      </c>
      <c r="K58" s="68">
        <f t="shared" ref="K58:T58" si="43">IF(ISERROR(K48/K8),"NM",K48/K8)</f>
        <v>2.4339270711820444</v>
      </c>
      <c r="L58" s="68">
        <f t="shared" si="43"/>
        <v>2.3484039033526893</v>
      </c>
      <c r="M58" s="68">
        <f t="shared" si="43"/>
        <v>2.2613384458666581</v>
      </c>
      <c r="N58" s="68">
        <f t="shared" si="43"/>
        <v>2.1597800214728338</v>
      </c>
      <c r="O58" s="68">
        <f t="shared" si="43"/>
        <v>1.8996680081431034</v>
      </c>
      <c r="P58" s="68">
        <f t="shared" si="43"/>
        <v>1.8219659693310337</v>
      </c>
      <c r="Q58" s="68">
        <f t="shared" si="43"/>
        <v>1.8302876615063013</v>
      </c>
      <c r="R58" s="68">
        <f t="shared" si="43"/>
        <v>1.7633229725042652</v>
      </c>
      <c r="S58" s="68">
        <f t="shared" si="43"/>
        <v>1.7666110428779829</v>
      </c>
      <c r="T58" s="461">
        <f t="shared" si="43"/>
        <v>1.7502831482138324</v>
      </c>
    </row>
    <row r="59" spans="2:20" ht="12.75">
      <c r="B59" s="258" t="s">
        <v>104</v>
      </c>
      <c r="C59" s="68">
        <f t="shared" ref="C59:J59" si="44">IF(ISERROR(C48/(C17+C18)),"NM",C48/(C17+C18))</f>
        <v>0.3892467656637485</v>
      </c>
      <c r="D59" s="68">
        <f t="shared" si="44"/>
        <v>0.19424034244546576</v>
      </c>
      <c r="E59" s="68">
        <f t="shared" si="44"/>
        <v>0.32036556749413364</v>
      </c>
      <c r="F59" s="68">
        <f t="shared" si="44"/>
        <v>0.54986714461511133</v>
      </c>
      <c r="G59" s="68">
        <f t="shared" si="44"/>
        <v>0.52894276430892284</v>
      </c>
      <c r="H59" s="68">
        <f t="shared" si="44"/>
        <v>0.54388738188187835</v>
      </c>
      <c r="I59" s="68">
        <f t="shared" si="44"/>
        <v>0.56362251273067077</v>
      </c>
      <c r="J59" s="68">
        <f t="shared" si="44"/>
        <v>0.70709562462899633</v>
      </c>
      <c r="K59" s="68">
        <f t="shared" ref="K59:T59" si="45">IF(ISERROR(K48/(K17+K18)),"NM",K48/(K17+K18))</f>
        <v>0.85712052878582057</v>
      </c>
      <c r="L59" s="68">
        <f t="shared" si="45"/>
        <v>0.9423566315244245</v>
      </c>
      <c r="M59" s="68">
        <f t="shared" si="45"/>
        <v>0.96924503691836872</v>
      </c>
      <c r="N59" s="68">
        <f t="shared" si="45"/>
        <v>0.97677715032973678</v>
      </c>
      <c r="O59" s="68">
        <f t="shared" si="45"/>
        <v>0.98536972152551894</v>
      </c>
      <c r="P59" s="68">
        <f t="shared" si="45"/>
        <v>1.1949516900990598</v>
      </c>
      <c r="Q59" s="68">
        <f t="shared" si="45"/>
        <v>1.2756335773956522</v>
      </c>
      <c r="R59" s="68">
        <f t="shared" si="45"/>
        <v>1.3012115734974672</v>
      </c>
      <c r="S59" s="68">
        <f t="shared" si="45"/>
        <v>1.3646612967262517</v>
      </c>
      <c r="T59" s="461">
        <f t="shared" si="45"/>
        <v>1.438308935262212</v>
      </c>
    </row>
    <row r="60" spans="2:20" ht="12.75">
      <c r="B60" s="462" t="s">
        <v>105</v>
      </c>
      <c r="C60" s="68">
        <f t="shared" ref="C60:J61" si="46">IF(ISERROR(366/C57), "NM", (366/C57))</f>
        <v>25.824973287402795</v>
      </c>
      <c r="D60" s="68">
        <f t="shared" si="46"/>
        <v>47.901629006831321</v>
      </c>
      <c r="E60" s="68">
        <f t="shared" si="46"/>
        <v>62.97937299483889</v>
      </c>
      <c r="F60" s="68">
        <f t="shared" si="46"/>
        <v>43.271598499765695</v>
      </c>
      <c r="G60" s="68">
        <f t="shared" si="46"/>
        <v>41.376431096031098</v>
      </c>
      <c r="H60" s="68">
        <f t="shared" si="46"/>
        <v>41.376431096031098</v>
      </c>
      <c r="I60" s="68">
        <f t="shared" si="46"/>
        <v>41.376431096031098</v>
      </c>
      <c r="J60" s="68">
        <f t="shared" si="46"/>
        <v>41.376431096031098</v>
      </c>
      <c r="K60" s="68">
        <f t="shared" ref="K60:T60" si="47">IF(ISERROR(366/K57), "NM", (366/K57))</f>
        <v>41.376431096031098</v>
      </c>
      <c r="L60" s="68">
        <f t="shared" si="47"/>
        <v>41.376431096031105</v>
      </c>
      <c r="M60" s="68">
        <f t="shared" si="47"/>
        <v>41.376431096031098</v>
      </c>
      <c r="N60" s="68">
        <f t="shared" si="47"/>
        <v>41.376431096031098</v>
      </c>
      <c r="O60" s="68">
        <f t="shared" si="47"/>
        <v>41.376431096031105</v>
      </c>
      <c r="P60" s="68">
        <f t="shared" si="47"/>
        <v>41.376431096031105</v>
      </c>
      <c r="Q60" s="68">
        <f t="shared" si="47"/>
        <v>41.376431096031098</v>
      </c>
      <c r="R60" s="68">
        <f t="shared" si="47"/>
        <v>41.376431096031098</v>
      </c>
      <c r="S60" s="68">
        <f t="shared" si="47"/>
        <v>41.376431096031105</v>
      </c>
      <c r="T60" s="461">
        <f t="shared" si="47"/>
        <v>41.376431096031105</v>
      </c>
    </row>
    <row r="61" spans="2:20" ht="12.75">
      <c r="B61" s="463" t="s">
        <v>106</v>
      </c>
      <c r="C61" s="68">
        <f t="shared" si="46"/>
        <v>39.744559669012958</v>
      </c>
      <c r="D61" s="68">
        <f t="shared" si="46"/>
        <v>185.12745339170644</v>
      </c>
      <c r="E61" s="68">
        <f t="shared" si="46"/>
        <v>168.15858712413259</v>
      </c>
      <c r="F61" s="68">
        <f t="shared" si="46"/>
        <v>134.9570654756248</v>
      </c>
      <c r="G61" s="68">
        <f t="shared" si="46"/>
        <v>148.77118628666139</v>
      </c>
      <c r="H61" s="68">
        <f t="shared" si="46"/>
        <v>136.44514350740545</v>
      </c>
      <c r="I61" s="68">
        <f t="shared" si="46"/>
        <v>136.07786182231305</v>
      </c>
      <c r="J61" s="68">
        <f t="shared" si="46"/>
        <v>142.19473551223422</v>
      </c>
      <c r="K61" s="68">
        <f t="shared" ref="K61:T61" si="48">IF(ISERROR(366/K58), "NM", (366/K58))</f>
        <v>150.37426730384774</v>
      </c>
      <c r="L61" s="68">
        <f t="shared" si="48"/>
        <v>155.85053298433101</v>
      </c>
      <c r="M61" s="68">
        <f t="shared" si="48"/>
        <v>161.8510491735484</v>
      </c>
      <c r="N61" s="68">
        <f t="shared" si="48"/>
        <v>169.46170274804703</v>
      </c>
      <c r="O61" s="68">
        <f t="shared" si="48"/>
        <v>192.66524383792694</v>
      </c>
      <c r="P61" s="68">
        <f t="shared" si="48"/>
        <v>200.88190787360492</v>
      </c>
      <c r="Q61" s="68">
        <f t="shared" si="48"/>
        <v>199.96856652510408</v>
      </c>
      <c r="R61" s="68">
        <f t="shared" si="48"/>
        <v>207.56265625020927</v>
      </c>
      <c r="S61" s="68">
        <f t="shared" si="48"/>
        <v>207.17633430149405</v>
      </c>
      <c r="T61" s="461">
        <f t="shared" si="48"/>
        <v>209.10902351628295</v>
      </c>
    </row>
    <row r="62" spans="2:20" ht="12.75">
      <c r="B62" s="462" t="s">
        <v>107</v>
      </c>
      <c r="C62" s="68">
        <f>IF(ISERROR(366/C59), "NM", (366/C59))</f>
        <v>940.27756242467979</v>
      </c>
      <c r="D62" s="68">
        <f t="shared" ref="D62:J62" si="49">IF(ISERROR(365/D59), "NM", (365/D59))</f>
        <v>1879.1153032613506</v>
      </c>
      <c r="E62" s="68">
        <f t="shared" si="49"/>
        <v>1139.3234387047032</v>
      </c>
      <c r="F62" s="68">
        <f t="shared" si="49"/>
        <v>663.79670721277193</v>
      </c>
      <c r="G62" s="68">
        <f t="shared" si="49"/>
        <v>690.0557576903085</v>
      </c>
      <c r="H62" s="68">
        <f t="shared" si="49"/>
        <v>671.09481146093367</v>
      </c>
      <c r="I62" s="68">
        <f t="shared" si="49"/>
        <v>647.59655932057615</v>
      </c>
      <c r="J62" s="68">
        <f t="shared" si="49"/>
        <v>516.19609468169267</v>
      </c>
      <c r="K62" s="68">
        <f t="shared" ref="K62:T62" si="50">IF(ISERROR(365/K59), "NM", (365/K59))</f>
        <v>425.84442647412908</v>
      </c>
      <c r="L62" s="68">
        <f t="shared" si="50"/>
        <v>387.32682276512395</v>
      </c>
      <c r="M62" s="68">
        <f t="shared" si="50"/>
        <v>376.58175806655265</v>
      </c>
      <c r="N62" s="68">
        <f t="shared" si="50"/>
        <v>373.67786488124204</v>
      </c>
      <c r="O62" s="68">
        <f t="shared" si="50"/>
        <v>370.41933806827177</v>
      </c>
      <c r="P62" s="68">
        <f t="shared" si="50"/>
        <v>305.45167894590116</v>
      </c>
      <c r="Q62" s="68">
        <f t="shared" si="50"/>
        <v>286.13232394304646</v>
      </c>
      <c r="R62" s="68">
        <f t="shared" si="50"/>
        <v>280.50780321522438</v>
      </c>
      <c r="S62" s="68">
        <f t="shared" si="50"/>
        <v>267.46563478836481</v>
      </c>
      <c r="T62" s="461">
        <f t="shared" si="50"/>
        <v>253.7702374305687</v>
      </c>
    </row>
    <row r="63" spans="2:20" ht="12.75">
      <c r="B63" s="258" t="s">
        <v>108</v>
      </c>
      <c r="C63" s="68">
        <f>C7</f>
        <v>85.516999999999996</v>
      </c>
      <c r="D63" s="68">
        <f>D7</f>
        <v>75.963999999999999</v>
      </c>
      <c r="E63" s="68">
        <f>E7</f>
        <v>177.63900000000001</v>
      </c>
      <c r="F63" s="68">
        <f>F7</f>
        <v>201.083</v>
      </c>
      <c r="G63" s="68">
        <f>G7</f>
        <v>281.34300000000002</v>
      </c>
      <c r="H63" s="68">
        <f t="shared" ref="H63:J63" si="51">H64*H47</f>
        <v>301.01745599328814</v>
      </c>
      <c r="I63" s="68">
        <f t="shared" si="51"/>
        <v>331.21371510183411</v>
      </c>
      <c r="J63" s="68">
        <f t="shared" si="51"/>
        <v>455.91456882280664</v>
      </c>
      <c r="K63" s="68">
        <f t="shared" ref="K63:T63" si="52">K64*K47</f>
        <v>605.05169303747846</v>
      </c>
      <c r="L63" s="68">
        <f t="shared" si="52"/>
        <v>698.66605994233373</v>
      </c>
      <c r="M63" s="68">
        <f t="shared" si="52"/>
        <v>740.42450973044924</v>
      </c>
      <c r="N63" s="68">
        <f t="shared" si="52"/>
        <v>758.24055959612804</v>
      </c>
      <c r="O63" s="68">
        <f t="shared" si="52"/>
        <v>832.89406860527777</v>
      </c>
      <c r="P63" s="68">
        <f t="shared" si="52"/>
        <v>1003.6007068368669</v>
      </c>
      <c r="Q63" s="68">
        <f t="shared" si="52"/>
        <v>1017.5516137195438</v>
      </c>
      <c r="R63" s="68">
        <f t="shared" si="52"/>
        <v>1029.1825768578503</v>
      </c>
      <c r="S63" s="68">
        <f t="shared" si="52"/>
        <v>1030.4441082883268</v>
      </c>
      <c r="T63" s="461">
        <f t="shared" si="52"/>
        <v>1039.8262621682763</v>
      </c>
    </row>
    <row r="64" spans="2:20" ht="12.75">
      <c r="B64" s="264" t="s">
        <v>109</v>
      </c>
      <c r="C64" s="70">
        <f>C63/C47</f>
        <v>7.0560036304379223E-2</v>
      </c>
      <c r="D64" s="70">
        <f>D63/D47</f>
        <v>0.13087876777822766</v>
      </c>
      <c r="E64" s="70">
        <f>E63/E47</f>
        <v>0.17207478960338496</v>
      </c>
      <c r="F64" s="70">
        <f>F63/F47</f>
        <v>0.11822841120154562</v>
      </c>
      <c r="G64" s="70">
        <f>G63/G47</f>
        <v>0.11305035818587732</v>
      </c>
      <c r="H64" s="73">
        <f>G64</f>
        <v>0.11305035818587732</v>
      </c>
      <c r="I64" s="73">
        <f t="shared" ref="I64:T78" si="53">H64</f>
        <v>0.11305035818587732</v>
      </c>
      <c r="J64" s="73">
        <f t="shared" si="53"/>
        <v>0.11305035818587732</v>
      </c>
      <c r="K64" s="73">
        <f t="shared" si="53"/>
        <v>0.11305035818587732</v>
      </c>
      <c r="L64" s="73">
        <f t="shared" si="53"/>
        <v>0.11305035818587732</v>
      </c>
      <c r="M64" s="73">
        <f t="shared" si="53"/>
        <v>0.11305035818587732</v>
      </c>
      <c r="N64" s="73">
        <f t="shared" si="53"/>
        <v>0.11305035818587732</v>
      </c>
      <c r="O64" s="73">
        <f t="shared" si="53"/>
        <v>0.11305035818587732</v>
      </c>
      <c r="P64" s="73">
        <f t="shared" si="53"/>
        <v>0.11305035818587732</v>
      </c>
      <c r="Q64" s="73">
        <f t="shared" si="53"/>
        <v>0.11305035818587732</v>
      </c>
      <c r="R64" s="73">
        <f t="shared" si="53"/>
        <v>0.11305035818587732</v>
      </c>
      <c r="S64" s="73">
        <f t="shared" si="53"/>
        <v>0.11305035818587732</v>
      </c>
      <c r="T64" s="265">
        <f t="shared" si="53"/>
        <v>0.11305035818587732</v>
      </c>
    </row>
    <row r="65" spans="1:34" ht="12.75">
      <c r="B65" s="258" t="s">
        <v>80</v>
      </c>
      <c r="C65" s="67">
        <f>C9</f>
        <v>23.835999999999999</v>
      </c>
      <c r="D65" s="67">
        <f>D9</f>
        <v>52.593000000000004</v>
      </c>
      <c r="E65" s="67">
        <f>E9</f>
        <v>129.845</v>
      </c>
      <c r="F65" s="67">
        <f>F9</f>
        <v>118.29600000000001</v>
      </c>
      <c r="G65" s="67">
        <f>G9</f>
        <v>167.124</v>
      </c>
      <c r="H65" s="67">
        <f t="shared" ref="H65:J65" si="54">H47*H66</f>
        <v>178.81106448506731</v>
      </c>
      <c r="I65" s="67">
        <f t="shared" si="54"/>
        <v>196.74831406034244</v>
      </c>
      <c r="J65" s="67">
        <f t="shared" si="54"/>
        <v>270.82339493053934</v>
      </c>
      <c r="K65" s="67">
        <f t="shared" ref="K65:T65" si="55">K47*K66</f>
        <v>359.41416401757124</v>
      </c>
      <c r="L65" s="67">
        <f t="shared" si="55"/>
        <v>415.02318025258342</v>
      </c>
      <c r="M65" s="67">
        <f t="shared" si="55"/>
        <v>439.82862827293235</v>
      </c>
      <c r="N65" s="67">
        <f t="shared" si="55"/>
        <v>450.41175818109321</v>
      </c>
      <c r="O65" s="67">
        <f t="shared" si="55"/>
        <v>494.75760307378692</v>
      </c>
      <c r="P65" s="67">
        <f t="shared" si="55"/>
        <v>596.16114326428783</v>
      </c>
      <c r="Q65" s="67">
        <f t="shared" si="55"/>
        <v>604.44829226696606</v>
      </c>
      <c r="R65" s="67">
        <f t="shared" si="55"/>
        <v>611.35734308225676</v>
      </c>
      <c r="S65" s="67">
        <f t="shared" si="55"/>
        <v>612.10672081259645</v>
      </c>
      <c r="T65" s="90">
        <f t="shared" si="55"/>
        <v>617.67992890745813</v>
      </c>
    </row>
    <row r="66" spans="1:34" ht="12.75">
      <c r="B66" s="264" t="s">
        <v>110</v>
      </c>
      <c r="C66" s="70">
        <f>C65/C47</f>
        <v>1.9667072340601086E-2</v>
      </c>
      <c r="D66" s="70">
        <f>D65/D47</f>
        <v>9.0612751221109039E-2</v>
      </c>
      <c r="E66" s="70">
        <f>E65/E47</f>
        <v>0.12577784752251206</v>
      </c>
      <c r="F66" s="70">
        <f>F65/F47</f>
        <v>6.9553110563787296E-2</v>
      </c>
      <c r="G66" s="70">
        <f>G65/G47</f>
        <v>6.7154427376748524E-2</v>
      </c>
      <c r="H66" s="73">
        <f>G66</f>
        <v>6.7154427376748524E-2</v>
      </c>
      <c r="I66" s="73">
        <f t="shared" si="53"/>
        <v>6.7154427376748524E-2</v>
      </c>
      <c r="J66" s="73">
        <f t="shared" si="53"/>
        <v>6.7154427376748524E-2</v>
      </c>
      <c r="K66" s="73">
        <f t="shared" si="53"/>
        <v>6.7154427376748524E-2</v>
      </c>
      <c r="L66" s="73">
        <f t="shared" si="53"/>
        <v>6.7154427376748524E-2</v>
      </c>
      <c r="M66" s="73">
        <f t="shared" si="53"/>
        <v>6.7154427376748524E-2</v>
      </c>
      <c r="N66" s="73">
        <f t="shared" si="53"/>
        <v>6.7154427376748524E-2</v>
      </c>
      <c r="O66" s="73">
        <f t="shared" si="53"/>
        <v>6.7154427376748524E-2</v>
      </c>
      <c r="P66" s="73">
        <f t="shared" si="53"/>
        <v>6.7154427376748524E-2</v>
      </c>
      <c r="Q66" s="73">
        <f t="shared" si="53"/>
        <v>6.7154427376748524E-2</v>
      </c>
      <c r="R66" s="73">
        <f t="shared" si="53"/>
        <v>6.7154427376748524E-2</v>
      </c>
      <c r="S66" s="73">
        <f t="shared" si="53"/>
        <v>6.7154427376748524E-2</v>
      </c>
      <c r="T66" s="265">
        <f t="shared" si="53"/>
        <v>6.7154427376748524E-2</v>
      </c>
    </row>
    <row r="67" spans="1:34" ht="12.75">
      <c r="B67" s="258" t="s">
        <v>79</v>
      </c>
      <c r="C67" s="67">
        <f>C8</f>
        <v>14.147</v>
      </c>
      <c r="D67" s="67">
        <f>D8</f>
        <v>30.847999999999999</v>
      </c>
      <c r="E67" s="67">
        <f>E8</f>
        <v>57.207000000000001</v>
      </c>
      <c r="F67" s="67">
        <f>F8</f>
        <v>77.603999999999999</v>
      </c>
      <c r="G67" s="67">
        <f>G8</f>
        <v>111.83</v>
      </c>
      <c r="H67" s="67">
        <f t="shared" ref="H67:J67" si="56">H47*H68</f>
        <v>119.65032754939492</v>
      </c>
      <c r="I67" s="67">
        <f t="shared" si="56"/>
        <v>131.65292813341048</v>
      </c>
      <c r="J67" s="67">
        <f t="shared" si="56"/>
        <v>181.21981435988977</v>
      </c>
      <c r="K67" s="67">
        <f t="shared" ref="K67:T67" si="57">K47*K68</f>
        <v>240.49978436421458</v>
      </c>
      <c r="L67" s="67">
        <f t="shared" si="57"/>
        <v>277.71021665138699</v>
      </c>
      <c r="M67" s="67">
        <f t="shared" si="57"/>
        <v>294.30863011752962</v>
      </c>
      <c r="N67" s="67">
        <f t="shared" si="57"/>
        <v>301.39026661276449</v>
      </c>
      <c r="O67" s="67">
        <f t="shared" si="57"/>
        <v>331.06401684821805</v>
      </c>
      <c r="P67" s="67">
        <f t="shared" si="57"/>
        <v>398.91757408418488</v>
      </c>
      <c r="Q67" s="67">
        <f t="shared" si="57"/>
        <v>404.46286903266326</v>
      </c>
      <c r="R67" s="67">
        <f t="shared" si="57"/>
        <v>409.08601802786421</v>
      </c>
      <c r="S67" s="67">
        <f t="shared" si="57"/>
        <v>409.58745954185309</v>
      </c>
      <c r="T67" s="90">
        <f t="shared" si="57"/>
        <v>413.31673757043302</v>
      </c>
    </row>
    <row r="68" spans="1:34" ht="12.75">
      <c r="B68" s="264" t="s">
        <v>110</v>
      </c>
      <c r="C68" s="70">
        <f>C67/C47</f>
        <v>1.1672683017388974E-2</v>
      </c>
      <c r="D68" s="70">
        <f>D67/D47</f>
        <v>5.314817845851675E-2</v>
      </c>
      <c r="E68" s="70">
        <f>E67/E47</f>
        <v>5.5415097410145532E-2</v>
      </c>
      <c r="F68" s="70">
        <f>F67/F47</f>
        <v>4.5627912965714383E-2</v>
      </c>
      <c r="G68" s="70">
        <f>G67/G47</f>
        <v>4.4935973370322561E-2</v>
      </c>
      <c r="H68" s="73">
        <f>G68</f>
        <v>4.4935973370322561E-2</v>
      </c>
      <c r="I68" s="73">
        <f t="shared" si="53"/>
        <v>4.4935973370322561E-2</v>
      </c>
      <c r="J68" s="73">
        <f t="shared" si="53"/>
        <v>4.4935973370322561E-2</v>
      </c>
      <c r="K68" s="73">
        <f t="shared" si="53"/>
        <v>4.4935973370322561E-2</v>
      </c>
      <c r="L68" s="73">
        <f t="shared" si="53"/>
        <v>4.4935973370322561E-2</v>
      </c>
      <c r="M68" s="73">
        <f t="shared" si="53"/>
        <v>4.4935973370322561E-2</v>
      </c>
      <c r="N68" s="73">
        <f t="shared" si="53"/>
        <v>4.4935973370322561E-2</v>
      </c>
      <c r="O68" s="73">
        <f t="shared" si="53"/>
        <v>4.4935973370322561E-2</v>
      </c>
      <c r="P68" s="73">
        <f t="shared" si="53"/>
        <v>4.4935973370322561E-2</v>
      </c>
      <c r="Q68" s="73">
        <f t="shared" si="53"/>
        <v>4.4935973370322561E-2</v>
      </c>
      <c r="R68" s="73">
        <f t="shared" si="53"/>
        <v>4.4935973370322561E-2</v>
      </c>
      <c r="S68" s="73">
        <f t="shared" si="53"/>
        <v>4.4935973370322561E-2</v>
      </c>
      <c r="T68" s="265">
        <f t="shared" si="53"/>
        <v>4.4935973370322561E-2</v>
      </c>
    </row>
    <row r="69" spans="1:34" s="71" customFormat="1" ht="12.75">
      <c r="A69" s="92"/>
      <c r="B69" s="464" t="s">
        <v>83</v>
      </c>
      <c r="C69" s="72">
        <f>C13</f>
        <v>33.554000000000002</v>
      </c>
      <c r="D69" s="72">
        <f>D13</f>
        <v>72.355999999999995</v>
      </c>
      <c r="E69" s="72">
        <f>E13</f>
        <v>394.00700000000001</v>
      </c>
      <c r="F69" s="72">
        <f>F13</f>
        <v>366.88500000000005</v>
      </c>
      <c r="G69" s="72">
        <f>G13</f>
        <v>107.614</v>
      </c>
      <c r="H69" s="72">
        <f t="shared" ref="H69:J69" si="58">H47*H70</f>
        <v>115.13950057140825</v>
      </c>
      <c r="I69" s="72">
        <f t="shared" si="58"/>
        <v>126.68960214744556</v>
      </c>
      <c r="J69" s="72">
        <f t="shared" si="58"/>
        <v>174.3878127740783</v>
      </c>
      <c r="K69" s="72">
        <f t="shared" ref="K69:T69" si="59">K47*K70</f>
        <v>231.43292313842963</v>
      </c>
      <c r="L69" s="72">
        <f t="shared" si="59"/>
        <v>267.24051913370619</v>
      </c>
      <c r="M69" s="72">
        <f t="shared" si="59"/>
        <v>283.21317107634655</v>
      </c>
      <c r="N69" s="72">
        <f t="shared" si="59"/>
        <v>290.02782930578587</v>
      </c>
      <c r="O69" s="72">
        <f t="shared" si="59"/>
        <v>318.58287676924022</v>
      </c>
      <c r="P69" s="72">
        <f t="shared" si="59"/>
        <v>383.87834943660437</v>
      </c>
      <c r="Q69" s="72">
        <f t="shared" si="59"/>
        <v>389.21458631924372</v>
      </c>
      <c r="R69" s="72">
        <f t="shared" si="59"/>
        <v>393.66344222525777</v>
      </c>
      <c r="S69" s="72">
        <f t="shared" si="59"/>
        <v>394.14597935381363</v>
      </c>
      <c r="T69" s="465">
        <f t="shared" si="59"/>
        <v>397.73466330058642</v>
      </c>
      <c r="AC69"/>
      <c r="AD69"/>
      <c r="AE69"/>
      <c r="AF69"/>
      <c r="AG69"/>
      <c r="AH69"/>
    </row>
    <row r="70" spans="1:34" ht="12.75">
      <c r="B70" s="264" t="s">
        <v>110</v>
      </c>
      <c r="C70" s="70">
        <f>C69/C47</f>
        <v>2.7685389550114486E-2</v>
      </c>
      <c r="D70" s="70">
        <f>D69/D47</f>
        <v>0.12466252595125901</v>
      </c>
      <c r="E70" s="70">
        <f>E69/E47</f>
        <v>0.3816654655073542</v>
      </c>
      <c r="F70" s="70">
        <f>F69/F47</f>
        <v>0.21571306696080259</v>
      </c>
      <c r="G70" s="70">
        <f>G69/G47</f>
        <v>4.3241883557845764E-2</v>
      </c>
      <c r="H70" s="73">
        <f>G70</f>
        <v>4.3241883557845764E-2</v>
      </c>
      <c r="I70" s="73">
        <f t="shared" si="53"/>
        <v>4.3241883557845764E-2</v>
      </c>
      <c r="J70" s="73">
        <f t="shared" si="53"/>
        <v>4.3241883557845764E-2</v>
      </c>
      <c r="K70" s="73">
        <f t="shared" si="53"/>
        <v>4.3241883557845764E-2</v>
      </c>
      <c r="L70" s="73">
        <f t="shared" si="53"/>
        <v>4.3241883557845764E-2</v>
      </c>
      <c r="M70" s="73">
        <f t="shared" si="53"/>
        <v>4.3241883557845764E-2</v>
      </c>
      <c r="N70" s="73">
        <f t="shared" si="53"/>
        <v>4.3241883557845764E-2</v>
      </c>
      <c r="O70" s="73">
        <f t="shared" si="53"/>
        <v>4.3241883557845764E-2</v>
      </c>
      <c r="P70" s="73">
        <f t="shared" si="53"/>
        <v>4.3241883557845764E-2</v>
      </c>
      <c r="Q70" s="73">
        <f t="shared" si="53"/>
        <v>4.3241883557845764E-2</v>
      </c>
      <c r="R70" s="73">
        <f t="shared" si="53"/>
        <v>4.3241883557845764E-2</v>
      </c>
      <c r="S70" s="73">
        <f t="shared" si="53"/>
        <v>4.3241883557845764E-2</v>
      </c>
      <c r="T70" s="265">
        <f t="shared" si="53"/>
        <v>4.3241883557845764E-2</v>
      </c>
    </row>
    <row r="71" spans="1:34" ht="12.75">
      <c r="B71" s="258" t="s">
        <v>213</v>
      </c>
      <c r="C71" s="67">
        <f>C17</f>
        <v>49.326999999999998</v>
      </c>
      <c r="D71" s="67">
        <f>D17</f>
        <v>71.194000000000003</v>
      </c>
      <c r="E71" s="67">
        <f>E17</f>
        <v>74.941999999999993</v>
      </c>
      <c r="F71" s="67">
        <f>F17</f>
        <v>61.451000000000001</v>
      </c>
      <c r="G71" s="67">
        <f>G17</f>
        <v>73.994</v>
      </c>
      <c r="H71" s="67">
        <f t="shared" ref="H71:J71" si="60">H49*H72</f>
        <v>83.948417361822962</v>
      </c>
      <c r="I71" s="67">
        <f t="shared" si="60"/>
        <v>89.375894497658564</v>
      </c>
      <c r="J71" s="67">
        <f t="shared" si="60"/>
        <v>93.84468922254149</v>
      </c>
      <c r="K71" s="67">
        <f t="shared" ref="K71:T71" si="61">K49*K72</f>
        <v>97.154955466857686</v>
      </c>
      <c r="L71" s="67">
        <f t="shared" si="61"/>
        <v>98.454135081912511</v>
      </c>
      <c r="M71" s="67">
        <f t="shared" si="61"/>
        <v>97.683132782747236</v>
      </c>
      <c r="N71" s="67">
        <f t="shared" si="61"/>
        <v>94.804259879446988</v>
      </c>
      <c r="O71" s="67">
        <f t="shared" si="61"/>
        <v>90.797748072883536</v>
      </c>
      <c r="P71" s="67">
        <f t="shared" si="61"/>
        <v>86.528202906546625</v>
      </c>
      <c r="Q71" s="67">
        <f t="shared" si="61"/>
        <v>82.557525901853296</v>
      </c>
      <c r="R71" s="67">
        <f t="shared" si="61"/>
        <v>78.864796287488502</v>
      </c>
      <c r="S71" s="67">
        <f t="shared" si="61"/>
        <v>75.430557746129239</v>
      </c>
      <c r="T71" s="90">
        <f t="shared" si="61"/>
        <v>71.552321221922838</v>
      </c>
    </row>
    <row r="72" spans="1:34" ht="12.75">
      <c r="B72" s="264" t="s">
        <v>111</v>
      </c>
      <c r="C72" s="70">
        <f>C71/C49</f>
        <v>2.9158139771331425E-2</v>
      </c>
      <c r="D72" s="70">
        <f>D71/D49</f>
        <v>0.22292501009822679</v>
      </c>
      <c r="E72" s="70">
        <f>E71/E49</f>
        <v>7.076041337179384E-2</v>
      </c>
      <c r="F72" s="70">
        <f>F71/F49</f>
        <v>5.1116390418057885E-2</v>
      </c>
      <c r="G72" s="70">
        <f>G71/G49</f>
        <v>5.543464661667654E-2</v>
      </c>
      <c r="H72" s="73">
        <f>G72</f>
        <v>5.543464661667654E-2</v>
      </c>
      <c r="I72" s="73">
        <f t="shared" si="53"/>
        <v>5.543464661667654E-2</v>
      </c>
      <c r="J72" s="73">
        <f t="shared" si="53"/>
        <v>5.543464661667654E-2</v>
      </c>
      <c r="K72" s="73">
        <f t="shared" si="53"/>
        <v>5.543464661667654E-2</v>
      </c>
      <c r="L72" s="73">
        <f t="shared" si="53"/>
        <v>5.543464661667654E-2</v>
      </c>
      <c r="M72" s="73">
        <f t="shared" si="53"/>
        <v>5.543464661667654E-2</v>
      </c>
      <c r="N72" s="73">
        <f t="shared" si="53"/>
        <v>5.543464661667654E-2</v>
      </c>
      <c r="O72" s="73">
        <f t="shared" si="53"/>
        <v>5.543464661667654E-2</v>
      </c>
      <c r="P72" s="73">
        <f t="shared" si="53"/>
        <v>5.543464661667654E-2</v>
      </c>
      <c r="Q72" s="73">
        <f t="shared" si="53"/>
        <v>5.543464661667654E-2</v>
      </c>
      <c r="R72" s="73">
        <f t="shared" si="53"/>
        <v>5.543464661667654E-2</v>
      </c>
      <c r="S72" s="73">
        <f t="shared" si="53"/>
        <v>5.543464661667654E-2</v>
      </c>
      <c r="T72" s="265">
        <f t="shared" si="53"/>
        <v>5.543464661667654E-2</v>
      </c>
    </row>
    <row r="73" spans="1:34" ht="12.75">
      <c r="B73" s="258" t="s">
        <v>112</v>
      </c>
      <c r="C73" s="68">
        <f>C27+C19</f>
        <v>70.969000000000008</v>
      </c>
      <c r="D73" s="68">
        <f>D27+D19</f>
        <v>45.275999999999996</v>
      </c>
      <c r="E73" s="68">
        <f>E27+E19</f>
        <v>26.009999999999998</v>
      </c>
      <c r="F73" s="68">
        <f>F27+F19</f>
        <v>12.637</v>
      </c>
      <c r="G73" s="68">
        <f>G27+G19</f>
        <v>6.8949999999999996</v>
      </c>
      <c r="H73" s="68">
        <f t="shared" ref="H73:J73" si="62">H47*H74</f>
        <v>7.3771707811238301</v>
      </c>
      <c r="I73" s="68">
        <f t="shared" si="62"/>
        <v>8.1172041445038481</v>
      </c>
      <c r="J73" s="68">
        <f t="shared" si="62"/>
        <v>11.173304301273717</v>
      </c>
      <c r="K73" s="68">
        <f t="shared" ref="K73:T73" si="63">K47*K74</f>
        <v>14.82827517831762</v>
      </c>
      <c r="L73" s="68">
        <f t="shared" si="63"/>
        <v>17.122524759110377</v>
      </c>
      <c r="M73" s="68">
        <f t="shared" si="63"/>
        <v>18.145917952788757</v>
      </c>
      <c r="N73" s="68">
        <f t="shared" si="63"/>
        <v>18.582543935393105</v>
      </c>
      <c r="O73" s="68">
        <f t="shared" si="63"/>
        <v>20.412111206013265</v>
      </c>
      <c r="P73" s="68">
        <f t="shared" si="63"/>
        <v>24.595695907274028</v>
      </c>
      <c r="Q73" s="68">
        <f t="shared" si="63"/>
        <v>24.937597084684011</v>
      </c>
      <c r="R73" s="68">
        <f t="shared" si="63"/>
        <v>25.222642352697161</v>
      </c>
      <c r="S73" s="68">
        <f t="shared" si="63"/>
        <v>25.253559273370982</v>
      </c>
      <c r="T73" s="461">
        <f t="shared" si="63"/>
        <v>25.483491956971612</v>
      </c>
    </row>
    <row r="74" spans="1:34" ht="12.75">
      <c r="B74" s="264" t="s">
        <v>110</v>
      </c>
      <c r="C74" s="69">
        <f>C73/C47</f>
        <v>5.8556488376410414E-2</v>
      </c>
      <c r="D74" s="69">
        <f>D73/D47</f>
        <v>7.8006254145740542E-2</v>
      </c>
      <c r="E74" s="69">
        <f>E73/E47</f>
        <v>2.5195285255963172E-2</v>
      </c>
      <c r="F74" s="69">
        <f>F73/F47</f>
        <v>7.4300285571327861E-3</v>
      </c>
      <c r="G74" s="69">
        <f>G73/G47</f>
        <v>2.7705761994847003E-3</v>
      </c>
      <c r="H74" s="73">
        <f>G74</f>
        <v>2.7705761994847003E-3</v>
      </c>
      <c r="I74" s="73">
        <f t="shared" si="53"/>
        <v>2.7705761994847003E-3</v>
      </c>
      <c r="J74" s="73">
        <f t="shared" si="53"/>
        <v>2.7705761994847003E-3</v>
      </c>
      <c r="K74" s="73">
        <f t="shared" si="53"/>
        <v>2.7705761994847003E-3</v>
      </c>
      <c r="L74" s="73">
        <f t="shared" si="53"/>
        <v>2.7705761994847003E-3</v>
      </c>
      <c r="M74" s="73">
        <f t="shared" si="53"/>
        <v>2.7705761994847003E-3</v>
      </c>
      <c r="N74" s="73">
        <f t="shared" si="53"/>
        <v>2.7705761994847003E-3</v>
      </c>
      <c r="O74" s="73">
        <f t="shared" si="53"/>
        <v>2.7705761994847003E-3</v>
      </c>
      <c r="P74" s="73">
        <f t="shared" si="53"/>
        <v>2.7705761994847003E-3</v>
      </c>
      <c r="Q74" s="73">
        <f t="shared" si="53"/>
        <v>2.7705761994847003E-3</v>
      </c>
      <c r="R74" s="73">
        <f t="shared" si="53"/>
        <v>2.7705761994847003E-3</v>
      </c>
      <c r="S74" s="73">
        <f t="shared" si="53"/>
        <v>2.7705761994847003E-3</v>
      </c>
      <c r="T74" s="265">
        <f t="shared" si="53"/>
        <v>2.7705761994847003E-3</v>
      </c>
      <c r="U74" s="74"/>
    </row>
    <row r="75" spans="1:34" ht="12.75">
      <c r="B75" s="258" t="s">
        <v>207</v>
      </c>
      <c r="C75" s="67">
        <f>C18</f>
        <v>285.363</v>
      </c>
      <c r="D75" s="67">
        <f>D18</f>
        <v>242.78299999999999</v>
      </c>
      <c r="E75" s="67">
        <f>E18</f>
        <v>313.714</v>
      </c>
      <c r="F75" s="67">
        <f>F18</f>
        <v>321.29600000000005</v>
      </c>
      <c r="G75" s="67">
        <f>G18</f>
        <v>446.13600000000002</v>
      </c>
      <c r="H75" s="67">
        <f t="shared" ref="H75:J75" si="64">H49*H76</f>
        <v>506.1547034642573</v>
      </c>
      <c r="I75" s="67">
        <f t="shared" si="64"/>
        <v>538.87888298520693</v>
      </c>
      <c r="J75" s="67">
        <f t="shared" si="64"/>
        <v>565.82282713446727</v>
      </c>
      <c r="K75" s="67">
        <f t="shared" ref="K75:T75" si="65">K49*K76</f>
        <v>585.78159326650837</v>
      </c>
      <c r="L75" s="67">
        <f t="shared" si="65"/>
        <v>593.6148067262767</v>
      </c>
      <c r="M75" s="67">
        <f t="shared" si="65"/>
        <v>588.96616113689925</v>
      </c>
      <c r="N75" s="67">
        <f t="shared" si="65"/>
        <v>571.6084180552067</v>
      </c>
      <c r="O75" s="67">
        <f t="shared" si="65"/>
        <v>547.45174114447082</v>
      </c>
      <c r="P75" s="67">
        <f t="shared" si="65"/>
        <v>521.70914306450641</v>
      </c>
      <c r="Q75" s="67">
        <f t="shared" si="65"/>
        <v>497.76852685013955</v>
      </c>
      <c r="R75" s="67">
        <f t="shared" si="65"/>
        <v>475.50375377077836</v>
      </c>
      <c r="S75" s="67">
        <f t="shared" si="65"/>
        <v>454.7975148069724</v>
      </c>
      <c r="T75" s="90">
        <f t="shared" si="65"/>
        <v>431.41425494856026</v>
      </c>
    </row>
    <row r="76" spans="1:34" ht="12.75">
      <c r="B76" s="264" t="s">
        <v>111</v>
      </c>
      <c r="C76" s="70">
        <f>C75/C49</f>
        <v>0.16868356558409087</v>
      </c>
      <c r="D76" s="70">
        <f>D75/D49</f>
        <v>0.76021016836640432</v>
      </c>
      <c r="E76" s="70">
        <f>E75/E49</f>
        <v>0.29620949961995852</v>
      </c>
      <c r="F76" s="70">
        <f>F75/F49</f>
        <v>0.26726158688646773</v>
      </c>
      <c r="G76" s="70">
        <f>G75/G49</f>
        <v>0.3342350934261914</v>
      </c>
      <c r="H76" s="73">
        <f>G76</f>
        <v>0.3342350934261914</v>
      </c>
      <c r="I76" s="73">
        <f t="shared" si="53"/>
        <v>0.3342350934261914</v>
      </c>
      <c r="J76" s="73">
        <f t="shared" si="53"/>
        <v>0.3342350934261914</v>
      </c>
      <c r="K76" s="73">
        <f t="shared" si="53"/>
        <v>0.3342350934261914</v>
      </c>
      <c r="L76" s="73">
        <f t="shared" si="53"/>
        <v>0.3342350934261914</v>
      </c>
      <c r="M76" s="73">
        <f t="shared" si="53"/>
        <v>0.3342350934261914</v>
      </c>
      <c r="N76" s="73">
        <f t="shared" si="53"/>
        <v>0.3342350934261914</v>
      </c>
      <c r="O76" s="73">
        <f t="shared" si="53"/>
        <v>0.3342350934261914</v>
      </c>
      <c r="P76" s="73">
        <f t="shared" si="53"/>
        <v>0.3342350934261914</v>
      </c>
      <c r="Q76" s="73">
        <f t="shared" si="53"/>
        <v>0.3342350934261914</v>
      </c>
      <c r="R76" s="73">
        <f t="shared" si="53"/>
        <v>0.3342350934261914</v>
      </c>
      <c r="S76" s="73">
        <f t="shared" si="53"/>
        <v>0.3342350934261914</v>
      </c>
      <c r="T76" s="265">
        <f t="shared" si="53"/>
        <v>0.3342350934261914</v>
      </c>
    </row>
    <row r="77" spans="1:34" ht="12.75">
      <c r="B77" s="258" t="s">
        <v>336</v>
      </c>
      <c r="C77" s="67">
        <f>C31+C24</f>
        <v>477.26299999999998</v>
      </c>
      <c r="D77" s="67">
        <f>D31+D24</f>
        <v>514.62099999999998</v>
      </c>
      <c r="E77" s="67">
        <f>E31+E24</f>
        <v>629.202</v>
      </c>
      <c r="F77" s="67">
        <f>F31+F24</f>
        <v>733.48699999999997</v>
      </c>
      <c r="G77" s="67">
        <f>G31+G24</f>
        <v>701.255</v>
      </c>
      <c r="H77" s="67">
        <f t="shared" ref="H77:J77" si="66">H49*H78</f>
        <v>795.59487819370713</v>
      </c>
      <c r="I77" s="67">
        <f t="shared" si="66"/>
        <v>847.03209579095005</v>
      </c>
      <c r="J77" s="67">
        <f t="shared" si="66"/>
        <v>889.38370058049759</v>
      </c>
      <c r="K77" s="67">
        <f t="shared" ref="K77:T77" si="67">K49*K78</f>
        <v>920.75571392155155</v>
      </c>
      <c r="L77" s="67">
        <f t="shared" si="67"/>
        <v>933.06828252110381</v>
      </c>
      <c r="M77" s="67">
        <f t="shared" si="67"/>
        <v>925.76134929271848</v>
      </c>
      <c r="N77" s="67">
        <f t="shared" si="67"/>
        <v>898.47773146149143</v>
      </c>
      <c r="O77" s="67">
        <f t="shared" si="67"/>
        <v>860.50726849271484</v>
      </c>
      <c r="P77" s="67">
        <f t="shared" si="67"/>
        <v>820.04398909682345</v>
      </c>
      <c r="Q77" s="67">
        <f t="shared" si="67"/>
        <v>782.41313925864449</v>
      </c>
      <c r="R77" s="67">
        <f t="shared" si="67"/>
        <v>747.41644890913801</v>
      </c>
      <c r="S77" s="67">
        <f t="shared" si="67"/>
        <v>714.8695268840969</v>
      </c>
      <c r="T77" s="90">
        <f t="shared" si="67"/>
        <v>678.11475279724709</v>
      </c>
    </row>
    <row r="78" spans="1:34" ht="12.75">
      <c r="B78" s="466" t="s">
        <v>111</v>
      </c>
      <c r="C78" s="467">
        <f>C77/C49</f>
        <v>0.28211935170768443</v>
      </c>
      <c r="D78" s="467">
        <f>D77/D49</f>
        <v>1.6113983147703397</v>
      </c>
      <c r="E78" s="467">
        <f>E77/E49</f>
        <v>0.59409401422912955</v>
      </c>
      <c r="F78" s="467">
        <f>F77/F49</f>
        <v>0.61013177749052128</v>
      </c>
      <c r="G78" s="467">
        <f>G77/G49</f>
        <v>0.52536453108600034</v>
      </c>
      <c r="H78" s="468">
        <f>G78</f>
        <v>0.52536453108600034</v>
      </c>
      <c r="I78" s="468">
        <f t="shared" si="53"/>
        <v>0.52536453108600034</v>
      </c>
      <c r="J78" s="468">
        <f t="shared" si="53"/>
        <v>0.52536453108600034</v>
      </c>
      <c r="K78" s="468">
        <f t="shared" si="53"/>
        <v>0.52536453108600034</v>
      </c>
      <c r="L78" s="468">
        <f t="shared" si="53"/>
        <v>0.52536453108600034</v>
      </c>
      <c r="M78" s="468">
        <f t="shared" si="53"/>
        <v>0.52536453108600034</v>
      </c>
      <c r="N78" s="468">
        <f t="shared" si="53"/>
        <v>0.52536453108600034</v>
      </c>
      <c r="O78" s="468">
        <f t="shared" si="53"/>
        <v>0.52536453108600034</v>
      </c>
      <c r="P78" s="468">
        <f t="shared" si="53"/>
        <v>0.52536453108600034</v>
      </c>
      <c r="Q78" s="468">
        <f t="shared" si="53"/>
        <v>0.52536453108600034</v>
      </c>
      <c r="R78" s="468">
        <f t="shared" si="53"/>
        <v>0.52536453108600034</v>
      </c>
      <c r="S78" s="468">
        <f t="shared" si="53"/>
        <v>0.52536453108600034</v>
      </c>
      <c r="T78" s="771">
        <f t="shared" si="53"/>
        <v>0.52536453108600034</v>
      </c>
    </row>
    <row r="79" spans="1:34" ht="12.75">
      <c r="B79" s="90"/>
    </row>
    <row r="80" spans="1:34" ht="12.75">
      <c r="B80" s="83" t="s">
        <v>113</v>
      </c>
    </row>
    <row r="81" spans="2:20" ht="12.75">
      <c r="B81" s="446" t="s">
        <v>114</v>
      </c>
      <c r="C81" s="262">
        <v>433.60899999999998</v>
      </c>
      <c r="D81" s="262">
        <f t="shared" ref="D81:I81" si="68">C86</f>
        <v>696.91099999999994</v>
      </c>
      <c r="E81" s="262">
        <f t="shared" si="68"/>
        <v>715.81200000000001</v>
      </c>
      <c r="F81" s="262">
        <f t="shared" si="68"/>
        <v>697.71500000000003</v>
      </c>
      <c r="G81" s="262">
        <f t="shared" si="68"/>
        <v>698.36199999999997</v>
      </c>
      <c r="H81" s="262">
        <f t="shared" si="68"/>
        <v>789.43700000000001</v>
      </c>
      <c r="I81" s="262">
        <f t="shared" si="68"/>
        <v>817.36847819744753</v>
      </c>
      <c r="J81" s="262">
        <f t="shared" ref="J81" si="69">I86</f>
        <v>840.70303143357796</v>
      </c>
      <c r="K81" s="262">
        <f t="shared" ref="K81" si="70">J86</f>
        <v>879.3228739256831</v>
      </c>
      <c r="L81" s="262">
        <f t="shared" ref="L81" si="71">K86</f>
        <v>952.92628840817451</v>
      </c>
      <c r="M81" s="262">
        <f t="shared" ref="M81" si="72">L86</f>
        <v>1050.8870564834192</v>
      </c>
      <c r="N81" s="262">
        <f t="shared" ref="N81" si="73">M86</f>
        <v>1160.7413546420239</v>
      </c>
      <c r="O81" s="262">
        <f t="shared" ref="O81" si="74">N86</f>
        <v>1276.6846822710827</v>
      </c>
      <c r="P81" s="262">
        <f t="shared" ref="P81" si="75">O86</f>
        <v>1412.1742571088994</v>
      </c>
      <c r="Q81" s="262">
        <f t="shared" ref="Q81" si="76">P86</f>
        <v>1590.0204090522222</v>
      </c>
      <c r="R81" s="262">
        <f t="shared" ref="R81" si="77">Q86</f>
        <v>1772.7714874803426</v>
      </c>
      <c r="S81" s="262">
        <f t="shared" ref="S81" si="78">R86</f>
        <v>1959.7954873224235</v>
      </c>
      <c r="T81" s="263">
        <f t="shared" ref="T81" si="79">S86</f>
        <v>2148.5454579548059</v>
      </c>
    </row>
    <row r="82" spans="2:20" ht="12.75">
      <c r="B82" s="258" t="s">
        <v>115</v>
      </c>
      <c r="C82" s="67">
        <f>-BS!C53</f>
        <v>51.393000000000001</v>
      </c>
      <c r="D82" s="67">
        <f>-BS!D53</f>
        <v>51.201000000000001</v>
      </c>
      <c r="E82" s="67">
        <f>-BS!E53</f>
        <v>45.302</v>
      </c>
      <c r="F82" s="67">
        <f>-BS!F53</f>
        <v>56.563000000000002</v>
      </c>
      <c r="G82" s="67">
        <f>-BS!G53</f>
        <v>99.421000000000006</v>
      </c>
      <c r="H82" s="67">
        <f t="shared" ref="H82:I82" si="80">H83*H47</f>
        <v>93.06013664049101</v>
      </c>
      <c r="I82" s="67">
        <f t="shared" si="80"/>
        <v>90.676212660343296</v>
      </c>
      <c r="J82" s="67">
        <f t="shared" ref="J82:T82" si="81">J83*J47</f>
        <v>108.68412294260764</v>
      </c>
      <c r="K82" s="67">
        <f t="shared" si="81"/>
        <v>144.23648001096441</v>
      </c>
      <c r="L82" s="67">
        <f t="shared" si="81"/>
        <v>166.55293150790263</v>
      </c>
      <c r="M82" s="67">
        <f>M83*M47</f>
        <v>176.50760460023841</v>
      </c>
      <c r="N82" s="67">
        <f t="shared" si="81"/>
        <v>180.75471992921931</v>
      </c>
      <c r="O82" s="67">
        <f t="shared" si="81"/>
        <v>198.55114870357792</v>
      </c>
      <c r="P82" s="67">
        <f t="shared" si="81"/>
        <v>239.24539829640466</v>
      </c>
      <c r="Q82" s="67">
        <f t="shared" si="81"/>
        <v>242.57111364415664</v>
      </c>
      <c r="R82" s="67">
        <f t="shared" si="81"/>
        <v>245.34378447792403</v>
      </c>
      <c r="S82" s="67">
        <f t="shared" si="81"/>
        <v>245.64451721704199</v>
      </c>
      <c r="T82" s="90">
        <f t="shared" si="81"/>
        <v>211.08948789226287</v>
      </c>
    </row>
    <row r="83" spans="2:20" ht="12.75">
      <c r="B83" s="264" t="s">
        <v>109</v>
      </c>
      <c r="C83" s="70">
        <f>C82/C47</f>
        <v>4.2404340023515341E-2</v>
      </c>
      <c r="D83" s="70">
        <f>D82/D47</f>
        <v>8.8214467234651081E-2</v>
      </c>
      <c r="E83" s="70">
        <f>E82/E47</f>
        <v>4.3882999333550318E-2</v>
      </c>
      <c r="F83" s="70">
        <f>F82/F47</f>
        <v>3.3256683174574801E-2</v>
      </c>
      <c r="G83" s="70">
        <f>G82/G47</f>
        <v>3.9949739859168734E-2</v>
      </c>
      <c r="H83" s="73">
        <f>G83-0.005</f>
        <v>3.4949739859168737E-2</v>
      </c>
      <c r="I83" s="73">
        <f>H83-0.004</f>
        <v>3.0949739859168737E-2</v>
      </c>
      <c r="J83" s="73">
        <f t="shared" ref="J83:T83" si="82">I83-0.004</f>
        <v>2.6949739859168736E-2</v>
      </c>
      <c r="K83" s="73">
        <f>J83</f>
        <v>2.6949739859168736E-2</v>
      </c>
      <c r="L83" s="73">
        <f t="shared" ref="L83:S83" si="83">K83</f>
        <v>2.6949739859168736E-2</v>
      </c>
      <c r="M83" s="73">
        <f t="shared" si="83"/>
        <v>2.6949739859168736E-2</v>
      </c>
      <c r="N83" s="73">
        <f t="shared" si="83"/>
        <v>2.6949739859168736E-2</v>
      </c>
      <c r="O83" s="73">
        <f t="shared" si="83"/>
        <v>2.6949739859168736E-2</v>
      </c>
      <c r="P83" s="73">
        <f t="shared" si="83"/>
        <v>2.6949739859168736E-2</v>
      </c>
      <c r="Q83" s="73">
        <f t="shared" si="83"/>
        <v>2.6949739859168736E-2</v>
      </c>
      <c r="R83" s="73">
        <f t="shared" si="83"/>
        <v>2.6949739859168736E-2</v>
      </c>
      <c r="S83" s="73">
        <f t="shared" si="83"/>
        <v>2.6949739859168736E-2</v>
      </c>
      <c r="T83" s="265">
        <f t="shared" si="82"/>
        <v>2.2949739859168736E-2</v>
      </c>
    </row>
    <row r="84" spans="2:20" ht="12.75">
      <c r="B84" s="258" t="s">
        <v>116</v>
      </c>
      <c r="C84" s="67">
        <f>-CF!G8</f>
        <v>-47.3</v>
      </c>
      <c r="D84" s="67">
        <f>-CF!H8</f>
        <v>-62.3</v>
      </c>
      <c r="E84" s="58">
        <f>-CF!I7</f>
        <v>-62.343000000000004</v>
      </c>
      <c r="F84" s="58">
        <f>-CF!J7</f>
        <v>-61.398000000000003</v>
      </c>
      <c r="G84" s="58">
        <f>-CF!K7</f>
        <v>-62.822322396875002</v>
      </c>
      <c r="H84" s="58">
        <f>-CF!L7</f>
        <v>-65.12865844304352</v>
      </c>
      <c r="I84" s="58">
        <f>-CF!M7</f>
        <v>-67.341659424212821</v>
      </c>
      <c r="J84" s="58">
        <f>-CF!N7</f>
        <v>-70.064280450502622</v>
      </c>
      <c r="K84" s="58">
        <f>-CF!O7</f>
        <v>-70.633065528473011</v>
      </c>
      <c r="L84" s="58">
        <f>-CF!P7</f>
        <v>-68.592163432657969</v>
      </c>
      <c r="M84" s="58">
        <f>-CF!Q7</f>
        <v>-66.653306441633674</v>
      </c>
      <c r="N84" s="58">
        <f>-CF!R7</f>
        <v>-64.811392300160591</v>
      </c>
      <c r="O84" s="58">
        <f>-CF!S7</f>
        <v>-63.061573865761176</v>
      </c>
      <c r="P84" s="58">
        <f>-CF!T7</f>
        <v>-61.399246353081722</v>
      </c>
      <c r="Q84" s="58">
        <f>-CF!U7</f>
        <v>-59.820035216036231</v>
      </c>
      <c r="R84" s="58">
        <f>-CF!V7</f>
        <v>-58.319784635843035</v>
      </c>
      <c r="S84" s="58">
        <f>-CF!W7</f>
        <v>-56.89454658465948</v>
      </c>
      <c r="T84" s="37">
        <f>-CF!X7</f>
        <v>-55.540570436035111</v>
      </c>
    </row>
    <row r="85" spans="2:20" ht="12.75">
      <c r="B85" s="258" t="s">
        <v>117</v>
      </c>
      <c r="C85" s="67">
        <f>C86-C81-C82-C84</f>
        <v>259.20899999999995</v>
      </c>
      <c r="D85" s="67">
        <f>D86-D81-D82-D84</f>
        <v>30.000000000000064</v>
      </c>
      <c r="E85" s="67">
        <f>E86-E81-E82-E84</f>
        <v>-1.0559999999999761</v>
      </c>
      <c r="F85" s="67">
        <f>F86-F81-F82-F84</f>
        <v>5.4819999999999354</v>
      </c>
      <c r="G85" s="67">
        <f>G86-G81-G82-G84</f>
        <v>54.476322396875041</v>
      </c>
      <c r="H85" s="266">
        <v>0</v>
      </c>
      <c r="I85" s="266">
        <v>0</v>
      </c>
      <c r="J85" s="266">
        <v>0</v>
      </c>
      <c r="K85" s="266">
        <v>0</v>
      </c>
      <c r="L85" s="266">
        <v>0</v>
      </c>
      <c r="M85" s="266">
        <v>0</v>
      </c>
      <c r="N85" s="266">
        <v>0</v>
      </c>
      <c r="O85" s="266">
        <v>0</v>
      </c>
      <c r="P85" s="266">
        <v>0</v>
      </c>
      <c r="Q85" s="266">
        <v>0</v>
      </c>
      <c r="R85" s="266">
        <v>0</v>
      </c>
      <c r="S85" s="266">
        <v>0</v>
      </c>
      <c r="T85" s="267">
        <v>0</v>
      </c>
    </row>
    <row r="86" spans="2:20" ht="12.75">
      <c r="B86" s="268" t="s">
        <v>118</v>
      </c>
      <c r="C86" s="269">
        <f>C12</f>
        <v>696.91099999999994</v>
      </c>
      <c r="D86" s="269">
        <f>D12</f>
        <v>715.81200000000001</v>
      </c>
      <c r="E86" s="269">
        <f>E12</f>
        <v>697.71500000000003</v>
      </c>
      <c r="F86" s="269">
        <f>F12</f>
        <v>698.36199999999997</v>
      </c>
      <c r="G86" s="269">
        <f>G12</f>
        <v>789.43700000000001</v>
      </c>
      <c r="H86" s="269">
        <f t="shared" ref="H86:I86" si="84">H81+H82+H84+H85</f>
        <v>817.36847819744753</v>
      </c>
      <c r="I86" s="710">
        <f t="shared" si="84"/>
        <v>840.70303143357796</v>
      </c>
      <c r="J86" s="710">
        <f t="shared" ref="J86:T86" si="85">J81+J82+J84+J85</f>
        <v>879.3228739256831</v>
      </c>
      <c r="K86" s="710">
        <f t="shared" si="85"/>
        <v>952.92628840817451</v>
      </c>
      <c r="L86" s="710">
        <f t="shared" si="85"/>
        <v>1050.8870564834192</v>
      </c>
      <c r="M86" s="710">
        <f t="shared" si="85"/>
        <v>1160.7413546420239</v>
      </c>
      <c r="N86" s="710">
        <f t="shared" si="85"/>
        <v>1276.6846822710827</v>
      </c>
      <c r="O86" s="710">
        <f t="shared" si="85"/>
        <v>1412.1742571088994</v>
      </c>
      <c r="P86" s="710">
        <f t="shared" si="85"/>
        <v>1590.0204090522222</v>
      </c>
      <c r="Q86" s="710">
        <f t="shared" si="85"/>
        <v>1772.7714874803426</v>
      </c>
      <c r="R86" s="710">
        <f t="shared" si="85"/>
        <v>1959.7954873224235</v>
      </c>
      <c r="S86" s="710">
        <f t="shared" si="85"/>
        <v>2148.5454579548059</v>
      </c>
      <c r="T86" s="720">
        <f t="shared" si="85"/>
        <v>2304.0943754110335</v>
      </c>
    </row>
    <row r="87" spans="2:20">
      <c r="D87" s="128"/>
    </row>
    <row r="88" spans="2:20" ht="12.75">
      <c r="B88" s="83" t="s">
        <v>69</v>
      </c>
      <c r="C88" s="61">
        <v>20</v>
      </c>
    </row>
    <row r="89" spans="2:20" ht="12.75">
      <c r="B89" s="255"/>
      <c r="C89" s="256"/>
      <c r="D89" s="256"/>
      <c r="E89" s="256"/>
      <c r="F89" s="256"/>
      <c r="G89" s="256"/>
      <c r="H89" s="256"/>
      <c r="I89" s="256"/>
      <c r="J89" s="256"/>
      <c r="K89" s="256"/>
      <c r="L89" s="256"/>
      <c r="M89" s="256"/>
      <c r="N89" s="256"/>
      <c r="O89" s="256"/>
      <c r="P89" s="256"/>
      <c r="Q89" s="256"/>
      <c r="R89" s="256"/>
      <c r="S89" s="256"/>
      <c r="T89" s="257"/>
    </row>
    <row r="90" spans="2:20" ht="12.75">
      <c r="B90" s="258" t="s">
        <v>119</v>
      </c>
      <c r="C90" s="259">
        <f>C109-SUM(C91:C98)</f>
        <v>46.015174999999999</v>
      </c>
      <c r="D90" s="259">
        <f>D109-SUM(D91:D98)</f>
        <v>58.450324999999999</v>
      </c>
      <c r="E90" s="259">
        <f t="shared" ref="E90:I90" si="86">D90-D90*(1/$C$88)</f>
        <v>55.527808749999998</v>
      </c>
      <c r="F90" s="259">
        <f t="shared" si="86"/>
        <v>52.7514183125</v>
      </c>
      <c r="G90" s="259">
        <f t="shared" si="86"/>
        <v>50.113847396875002</v>
      </c>
      <c r="H90" s="259">
        <f t="shared" si="86"/>
        <v>47.608155027031252</v>
      </c>
      <c r="I90" s="259">
        <f t="shared" si="86"/>
        <v>45.22774727567969</v>
      </c>
      <c r="J90" s="259">
        <f t="shared" ref="J90" si="87">I90-I90*(1/$C$88)</f>
        <v>42.966359911895708</v>
      </c>
      <c r="K90" s="259">
        <f t="shared" ref="K90" si="88">J90-J90*(1/$C$88)</f>
        <v>40.81804191630092</v>
      </c>
      <c r="L90" s="259">
        <f t="shared" ref="L90" si="89">K90-K90*(1/$C$88)</f>
        <v>38.777139820485871</v>
      </c>
      <c r="M90" s="259">
        <f t="shared" ref="M90" si="90">L90-L90*(1/$C$88)</f>
        <v>36.838282829461576</v>
      </c>
      <c r="N90" s="259">
        <f t="shared" ref="N90" si="91">M90-M90*(1/$C$88)</f>
        <v>34.9963686879885</v>
      </c>
      <c r="O90" s="259">
        <f t="shared" ref="O90" si="92">N90-N90*(1/$C$88)</f>
        <v>33.246550253589078</v>
      </c>
      <c r="P90" s="259">
        <f t="shared" ref="P90" si="93">O90-O90*(1/$C$88)</f>
        <v>31.584222740909624</v>
      </c>
      <c r="Q90" s="259">
        <f t="shared" ref="Q90" si="94">P90-P90*(1/$C$88)</f>
        <v>30.005011603864144</v>
      </c>
      <c r="R90" s="259">
        <f t="shared" ref="R90" si="95">Q90-Q90*(1/$C$88)</f>
        <v>28.504761023670937</v>
      </c>
      <c r="S90" s="259">
        <f t="shared" ref="S90" si="96">R90-R90*(1/$C$88)</f>
        <v>27.079522972487389</v>
      </c>
      <c r="T90" s="260">
        <f t="shared" ref="T90" si="97">S90-S90*(1/$C$88)</f>
        <v>25.72554682386302</v>
      </c>
    </row>
    <row r="91" spans="2:20" ht="12.75">
      <c r="B91" s="258" t="s">
        <v>120</v>
      </c>
      <c r="C91" s="259">
        <f>C$82/$C$88/2</f>
        <v>1.2848250000000001</v>
      </c>
      <c r="D91" s="259">
        <f>MAX(0,MIN($C$91*2,D$82-SUM($C91:C91)))</f>
        <v>2.5696500000000002</v>
      </c>
      <c r="E91" s="259">
        <f>MAX(0,MIN($C$91*2,E$82-SUM($C91:D91)))</f>
        <v>2.5696500000000002</v>
      </c>
      <c r="F91" s="259">
        <f>MAX(0,MIN($C$91*2,F$82-SUM($C91:E91)))</f>
        <v>2.5696500000000002</v>
      </c>
      <c r="G91" s="259">
        <f>MAX(0,MIN($C$91*2,G$82-SUM($C91:F91)))</f>
        <v>2.5696500000000002</v>
      </c>
      <c r="H91" s="259">
        <f>MAX(0,MIN($C$91*2,H$82-SUM($C91:G91)))</f>
        <v>2.5696500000000002</v>
      </c>
      <c r="I91" s="259">
        <f>MAX(0,MIN($C$91*2,I$82-SUM($C91:H91)))</f>
        <v>2.5696500000000002</v>
      </c>
      <c r="J91" s="259">
        <f>MAX(0,MIN($C$91*2,J$82-SUM($C91:I91)))</f>
        <v>2.5696500000000002</v>
      </c>
      <c r="K91" s="259">
        <f>MAX(0,MIN($C$91*2,K$82-SUM($C91:J91)))</f>
        <v>2.5696500000000002</v>
      </c>
      <c r="L91" s="259">
        <f>MAX(0,MIN($C$91*2,L$82-SUM($C91:K91)))</f>
        <v>2.5696500000000002</v>
      </c>
      <c r="M91" s="259">
        <f>MAX(0,MIN($C$91*2,M$82-SUM($C91:L91)))</f>
        <v>2.5696500000000002</v>
      </c>
      <c r="N91" s="259">
        <f>MAX(0,MIN($C$91*2,N$82-SUM($C91:M91)))</f>
        <v>2.5696500000000002</v>
      </c>
      <c r="O91" s="259">
        <f>MAX(0,MIN($C$91*2,O$82-SUM($C91:N91)))</f>
        <v>2.5696500000000002</v>
      </c>
      <c r="P91" s="259">
        <f>MAX(0,MIN($C$91*2,P$82-SUM($C91:O91)))</f>
        <v>2.5696500000000002</v>
      </c>
      <c r="Q91" s="259">
        <f>MAX(0,MIN($C$91*2,Q$82-SUM($C91:P91)))</f>
        <v>2.5696500000000002</v>
      </c>
      <c r="R91" s="259">
        <f>MAX(0,MIN($C$91*2,R$82-SUM($C91:Q91)))</f>
        <v>2.5696500000000002</v>
      </c>
      <c r="S91" s="259">
        <f>MAX(0,MIN($C$91*2,S$82-SUM($C91:R91)))</f>
        <v>2.5696500000000002</v>
      </c>
      <c r="T91" s="260">
        <f>MAX(0,MIN($C$91*2,T$82-SUM($C91:S91)))</f>
        <v>2.5696500000000002</v>
      </c>
    </row>
    <row r="92" spans="2:20" ht="12.75">
      <c r="B92" s="258" t="s">
        <v>121</v>
      </c>
      <c r="C92" s="259"/>
      <c r="D92" s="259">
        <f>D$82/$C$88/2</f>
        <v>1.280025</v>
      </c>
      <c r="E92" s="259">
        <f>MAX(0,MIN($D$92*2,E$82-SUM($D92:D92)))</f>
        <v>2.5600499999999999</v>
      </c>
      <c r="F92" s="259">
        <f>MAX(0,MIN($D$92*2,F$82-SUM($D92:E92)))</f>
        <v>2.5600499999999999</v>
      </c>
      <c r="G92" s="259">
        <f>MAX(0,MIN($D$92*2,G$82-SUM($D92:F92)))</f>
        <v>2.5600499999999999</v>
      </c>
      <c r="H92" s="259">
        <f>MAX(0,MIN($D$92*2,H$82-SUM($D92:G92)))</f>
        <v>2.5600499999999999</v>
      </c>
      <c r="I92" s="259">
        <f>MAX(0,MIN($D$92*2,I$82-SUM($D92:H92)))</f>
        <v>2.5600499999999999</v>
      </c>
      <c r="J92" s="259">
        <f>MAX(0,MIN($D$92*2,J$82-SUM($D92:I92)))</f>
        <v>2.5600499999999999</v>
      </c>
      <c r="K92" s="259">
        <f>MAX(0,MIN($D$92*2,K$82-SUM($D92:J92)))</f>
        <v>2.5600499999999999</v>
      </c>
      <c r="L92" s="259">
        <f>MAX(0,MIN($D$92*2,L$82-SUM($D92:K92)))</f>
        <v>2.5600499999999999</v>
      </c>
      <c r="M92" s="259">
        <f>MAX(0,MIN($D$92*2,M$82-SUM($D92:L92)))</f>
        <v>2.5600499999999999</v>
      </c>
      <c r="N92" s="259">
        <f>MAX(0,MIN($D$92*2,N$82-SUM($D92:M92)))</f>
        <v>2.5600499999999999</v>
      </c>
      <c r="O92" s="259">
        <f>MAX(0,MIN($D$92*2,O$82-SUM($D92:N92)))</f>
        <v>2.5600499999999999</v>
      </c>
      <c r="P92" s="259">
        <f>MAX(0,MIN($D$92*2,P$82-SUM($D92:O92)))</f>
        <v>2.5600499999999999</v>
      </c>
      <c r="Q92" s="259">
        <f>MAX(0,MIN($D$92*2,Q$82-SUM($D92:P92)))</f>
        <v>2.5600499999999999</v>
      </c>
      <c r="R92" s="259">
        <f>MAX(0,MIN($D$92*2,R$82-SUM($D92:Q92)))</f>
        <v>2.5600499999999999</v>
      </c>
      <c r="S92" s="259">
        <f>MAX(0,MIN($D$92*2,S$82-SUM($D92:R92)))</f>
        <v>2.5600499999999999</v>
      </c>
      <c r="T92" s="260">
        <f>MAX(0,MIN($D$92*2,T$82-SUM($D92:S92)))</f>
        <v>2.5600499999999999</v>
      </c>
    </row>
    <row r="93" spans="2:20" ht="12.75">
      <c r="B93" s="258" t="s">
        <v>122</v>
      </c>
      <c r="C93" s="259"/>
      <c r="D93" s="259"/>
      <c r="E93" s="259">
        <f>E$82/$C$88/2</f>
        <v>1.1325499999999999</v>
      </c>
      <c r="F93" s="259">
        <f>MAX(0,MIN($E$93*2,F$82-SUM($E93:E93)))</f>
        <v>2.2650999999999999</v>
      </c>
      <c r="G93" s="259">
        <f>MAX(0,MIN($E$93*2,G$82-SUM($E93:F93)))</f>
        <v>2.2650999999999999</v>
      </c>
      <c r="H93" s="259">
        <f>MAX(0,MIN($E$93*2,H$82-SUM($E93:G93)))</f>
        <v>2.2650999999999999</v>
      </c>
      <c r="I93" s="259">
        <f>MAX(0,MIN($E$93*2,I$82-SUM($E93:H93)))</f>
        <v>2.2650999999999999</v>
      </c>
      <c r="J93" s="259">
        <f>MAX(0,MIN($E$93*2,J$82-SUM($E93:I93)))</f>
        <v>2.2650999999999999</v>
      </c>
      <c r="K93" s="259">
        <f>MAX(0,MIN($E$93*2,K$82-SUM($E93:J93)))</f>
        <v>2.2650999999999999</v>
      </c>
      <c r="L93" s="259">
        <f>MAX(0,MIN($E$93*2,L$82-SUM($E93:K93)))</f>
        <v>2.2650999999999999</v>
      </c>
      <c r="M93" s="259">
        <f>MAX(0,MIN($E$93*2,M$82-SUM($E93:L93)))</f>
        <v>2.2650999999999999</v>
      </c>
      <c r="N93" s="259">
        <f>MAX(0,MIN($E$93*2,N$82-SUM($E93:M93)))</f>
        <v>2.2650999999999999</v>
      </c>
      <c r="O93" s="259">
        <f>MAX(0,MIN($E$93*2,O$82-SUM($E93:N93)))</f>
        <v>2.2650999999999999</v>
      </c>
      <c r="P93" s="259">
        <f>MAX(0,MIN($E$93*2,P$82-SUM($E93:O93)))</f>
        <v>2.2650999999999999</v>
      </c>
      <c r="Q93" s="259">
        <f>MAX(0,MIN($E$93*2,Q$82-SUM($E93:P93)))</f>
        <v>2.2650999999999999</v>
      </c>
      <c r="R93" s="259">
        <f>MAX(0,MIN($E$93*2,R$82-SUM($E93:Q93)))</f>
        <v>2.2650999999999999</v>
      </c>
      <c r="S93" s="259">
        <f>MAX(0,MIN($E$93*2,S$82-SUM($E93:R93)))</f>
        <v>2.2650999999999999</v>
      </c>
      <c r="T93" s="260">
        <f>MAX(0,MIN($E$93*2,T$82-SUM($E93:S93)))</f>
        <v>2.2650999999999999</v>
      </c>
    </row>
    <row r="94" spans="2:20" ht="12.75">
      <c r="B94" s="258" t="s">
        <v>123</v>
      </c>
      <c r="C94" s="259"/>
      <c r="D94" s="259"/>
      <c r="E94" s="92"/>
      <c r="F94" s="259">
        <f>F$82/$C$88/2</f>
        <v>1.414075</v>
      </c>
      <c r="G94" s="259">
        <f>MAX(0,MIN($F$94*2,G$82-SUM($F94:F94)))</f>
        <v>2.8281499999999999</v>
      </c>
      <c r="H94" s="259">
        <f>MAX(0,MIN($F$94*2,H$82-SUM($F94:G94)))</f>
        <v>2.8281499999999999</v>
      </c>
      <c r="I94" s="259">
        <f>MAX(0,MIN($F$94*2,I$82-SUM($F94:H94)))</f>
        <v>2.8281499999999999</v>
      </c>
      <c r="J94" s="259">
        <f>MAX(0,MIN($F$94*2,J$82-SUM($F94:I94)))</f>
        <v>2.8281499999999999</v>
      </c>
      <c r="K94" s="259">
        <f>MAX(0,MIN($F$94*2,K$82-SUM($F94:J94)))</f>
        <v>2.8281499999999999</v>
      </c>
      <c r="L94" s="259">
        <f>MAX(0,MIN($F$94*2,L$82-SUM($F94:K94)))</f>
        <v>2.8281499999999999</v>
      </c>
      <c r="M94" s="259">
        <f>MAX(0,MIN($F$94*2,M$82-SUM($F94:L94)))</f>
        <v>2.8281499999999999</v>
      </c>
      <c r="N94" s="259">
        <f>MAX(0,MIN($F$94*2,N$82-SUM($F94:M94)))</f>
        <v>2.8281499999999999</v>
      </c>
      <c r="O94" s="259">
        <f>MAX(0,MIN($F$94*2,O$82-SUM($F94:N94)))</f>
        <v>2.8281499999999999</v>
      </c>
      <c r="P94" s="259">
        <f>MAX(0,MIN($F$94*2,P$82-SUM($F94:O94)))</f>
        <v>2.8281499999999999</v>
      </c>
      <c r="Q94" s="259">
        <f>MAX(0,MIN($F$94*2,Q$82-SUM($F94:P94)))</f>
        <v>2.8281499999999999</v>
      </c>
      <c r="R94" s="259">
        <f>MAX(0,MIN($F$94*2,R$82-SUM($F94:Q94)))</f>
        <v>2.8281499999999999</v>
      </c>
      <c r="S94" s="259">
        <f>MAX(0,MIN($F$94*2,S$82-SUM($F94:R94)))</f>
        <v>2.8281499999999999</v>
      </c>
      <c r="T94" s="260">
        <f>MAX(0,MIN($F$94*2,T$82-SUM($F94:S94)))</f>
        <v>2.8281499999999999</v>
      </c>
    </row>
    <row r="95" spans="2:20" ht="12.75">
      <c r="B95" s="258" t="s">
        <v>124</v>
      </c>
      <c r="C95" s="259"/>
      <c r="D95" s="259"/>
      <c r="E95" s="92"/>
      <c r="F95" s="92"/>
      <c r="G95" s="259">
        <f>G$82/$C$88/2</f>
        <v>2.485525</v>
      </c>
      <c r="H95" s="259">
        <f>MAX(0,MIN($G$95*2,H$82-SUM($G95:G95)))</f>
        <v>4.97105</v>
      </c>
      <c r="I95" s="259">
        <f>MAX(0,MIN($G$95*2,I$82-SUM($G95:H95)))</f>
        <v>4.97105</v>
      </c>
      <c r="J95" s="259">
        <f>MAX(0,MIN($G$95*2,J$82-SUM($G95:I95)))</f>
        <v>4.97105</v>
      </c>
      <c r="K95" s="259">
        <f>MAX(0,MIN($G$95*2,K$82-SUM($G95:J95)))</f>
        <v>4.97105</v>
      </c>
      <c r="L95" s="259">
        <f>MAX(0,MIN($G$95*2,L$82-SUM($G95:K95)))</f>
        <v>4.97105</v>
      </c>
      <c r="M95" s="259">
        <f>MAX(0,MIN($G$95*2,M$82-SUM($G95:L95)))</f>
        <v>4.97105</v>
      </c>
      <c r="N95" s="259">
        <f>MAX(0,MIN($G$95*2,N$82-SUM($G95:M95)))</f>
        <v>4.97105</v>
      </c>
      <c r="O95" s="259">
        <f>MAX(0,MIN($G$95*2,O$82-SUM($G95:N95)))</f>
        <v>4.97105</v>
      </c>
      <c r="P95" s="259">
        <f>MAX(0,MIN($G$95*2,P$82-SUM($G95:O95)))</f>
        <v>4.97105</v>
      </c>
      <c r="Q95" s="259">
        <f>MAX(0,MIN($G$95*2,Q$82-SUM($G95:P95)))</f>
        <v>4.97105</v>
      </c>
      <c r="R95" s="259">
        <f>MAX(0,MIN($G$95*2,R$82-SUM($G95:Q95)))</f>
        <v>4.97105</v>
      </c>
      <c r="S95" s="259">
        <f>MAX(0,MIN($G$95*2,S$82-SUM($G95:R95)))</f>
        <v>4.97105</v>
      </c>
      <c r="T95" s="260">
        <f>MAX(0,MIN($G$95*2,T$82-SUM($G95:S95)))</f>
        <v>4.97105</v>
      </c>
    </row>
    <row r="96" spans="2:20" ht="12.75">
      <c r="B96" s="258" t="s">
        <v>125</v>
      </c>
      <c r="C96" s="259"/>
      <c r="D96" s="259"/>
      <c r="E96" s="92"/>
      <c r="F96" s="92"/>
      <c r="G96" s="92"/>
      <c r="H96" s="259">
        <f>H$82/$C$88/2</f>
        <v>2.3265034160122751</v>
      </c>
      <c r="I96" s="259">
        <f>MAX(0,MIN($H$96*2,I$82-SUM($H96:H96)))</f>
        <v>4.6530068320245501</v>
      </c>
      <c r="J96" s="259">
        <f>MAX(0,MIN($H$96*2,J$82-SUM($H96:I96)))</f>
        <v>4.6530068320245501</v>
      </c>
      <c r="K96" s="259">
        <f>MAX(0,MIN($H$96*2,K$82-SUM($H96:J96)))</f>
        <v>4.6530068320245501</v>
      </c>
      <c r="L96" s="259">
        <f>MAX(0,MIN($H$96*2,L$82-SUM($H96:K96)))</f>
        <v>4.6530068320245501</v>
      </c>
      <c r="M96" s="259">
        <f>MAX(0,MIN($H$96*2,M$82-SUM($H96:L96)))</f>
        <v>4.6530068320245501</v>
      </c>
      <c r="N96" s="259">
        <f>MAX(0,MIN($H$96*2,N$82-SUM($H96:M96)))</f>
        <v>4.6530068320245501</v>
      </c>
      <c r="O96" s="259">
        <f>MAX(0,MIN($H$96*2,O$82-SUM($H96:N96)))</f>
        <v>4.6530068320245501</v>
      </c>
      <c r="P96" s="259">
        <f>MAX(0,MIN($H$96*2,P$82-SUM($H96:O96)))</f>
        <v>4.6530068320245501</v>
      </c>
      <c r="Q96" s="259">
        <f>MAX(0,MIN($H$96*2,Q$82-SUM($H96:P96)))</f>
        <v>4.6530068320245501</v>
      </c>
      <c r="R96" s="259">
        <f>MAX(0,MIN($H$96*2,R$82-SUM($H96:Q96)))</f>
        <v>4.6530068320245501</v>
      </c>
      <c r="S96" s="259">
        <f>MAX(0,MIN($H$96*2,S$82-SUM($H96:R96)))</f>
        <v>4.6530068320245501</v>
      </c>
      <c r="T96" s="260">
        <f>MAX(0,MIN($H$96*2,T$82-SUM($H96:S96)))</f>
        <v>4.6530068320245501</v>
      </c>
    </row>
    <row r="97" spans="2:20" ht="12.75">
      <c r="B97" s="258" t="s">
        <v>126</v>
      </c>
      <c r="C97" s="259"/>
      <c r="D97" s="259"/>
      <c r="E97" s="92"/>
      <c r="F97" s="92"/>
      <c r="G97" s="92"/>
      <c r="H97" s="92"/>
      <c r="I97" s="259">
        <f>I$82/$C$88/2</f>
        <v>2.2669053165085824</v>
      </c>
      <c r="J97" s="259">
        <f>MAX(0,MIN($I$97*2,J$82-SUM($I97:I97)))</f>
        <v>4.5338106330171648</v>
      </c>
      <c r="K97" s="259">
        <f>MAX(0,MIN($I$97*2,K$82-SUM($I97:J97)))</f>
        <v>4.5338106330171648</v>
      </c>
      <c r="L97" s="259">
        <f>MAX(0,MIN($I$97*2,L$82-SUM($I97:K97)))</f>
        <v>4.5338106330171648</v>
      </c>
      <c r="M97" s="259">
        <f>MAX(0,MIN($I$97*2,M$82-SUM($I97:L97)))</f>
        <v>4.5338106330171648</v>
      </c>
      <c r="N97" s="259">
        <f>MAX(0,MIN($I$97*2,N$82-SUM($I97:M97)))</f>
        <v>4.5338106330171648</v>
      </c>
      <c r="O97" s="259">
        <f>MAX(0,MIN($I$97*2,O$82-SUM($I97:N97)))</f>
        <v>4.5338106330171648</v>
      </c>
      <c r="P97" s="259">
        <f>MAX(0,MIN($I$97*2,P$82-SUM($I97:O97)))</f>
        <v>4.5338106330171648</v>
      </c>
      <c r="Q97" s="259">
        <f>MAX(0,MIN($I$97*2,Q$82-SUM($I97:P97)))</f>
        <v>4.5338106330171648</v>
      </c>
      <c r="R97" s="259">
        <f>MAX(0,MIN($I$97*2,R$82-SUM($I97:Q97)))</f>
        <v>4.5338106330171648</v>
      </c>
      <c r="S97" s="259">
        <f>MAX(0,MIN($I$97*2,S$82-SUM($I97:R97)))</f>
        <v>4.5338106330171648</v>
      </c>
      <c r="T97" s="260">
        <f>MAX(0,MIN($I$97*2,T$82-SUM($I97:S97)))</f>
        <v>4.5338106330171648</v>
      </c>
    </row>
    <row r="98" spans="2:20" ht="12.75">
      <c r="B98" s="258" t="s">
        <v>127</v>
      </c>
      <c r="C98" s="259"/>
      <c r="D98" s="259"/>
      <c r="E98" s="92"/>
      <c r="F98" s="92"/>
      <c r="G98" s="92"/>
      <c r="H98" s="92"/>
      <c r="I98" s="92"/>
      <c r="J98" s="259">
        <f>J$82/$C$88/2</f>
        <v>2.7171030735651911</v>
      </c>
      <c r="K98" s="259">
        <f>MAX(0,MIN($J$98*2,K$82-SUM($J98:J98)))</f>
        <v>5.4342061471303822</v>
      </c>
      <c r="L98" s="259">
        <f>MAX(0,MIN($J$98*2,L$82-SUM($J98:K98)))</f>
        <v>5.4342061471303822</v>
      </c>
      <c r="M98" s="259">
        <f>MAX(0,MIN($J$98*2,M$82-SUM($J98:L98)))</f>
        <v>5.4342061471303822</v>
      </c>
      <c r="N98" s="259">
        <f>MAX(0,MIN($J$98*2,N$82-SUM($J98:M98)))</f>
        <v>5.4342061471303822</v>
      </c>
      <c r="O98" s="259">
        <f>MAX(0,MIN($J$98*2,O$82-SUM($J98:N98)))</f>
        <v>5.4342061471303822</v>
      </c>
      <c r="P98" s="259">
        <f>MAX(0,MIN($J$98*2,P$82-SUM($J98:O98)))</f>
        <v>5.4342061471303822</v>
      </c>
      <c r="Q98" s="259">
        <f>MAX(0,MIN($J$98*2,Q$82-SUM($J98:P98)))</f>
        <v>5.4342061471303822</v>
      </c>
      <c r="R98" s="259">
        <f>MAX(0,MIN($J$98*2,R$82-SUM($J98:Q98)))</f>
        <v>5.4342061471303822</v>
      </c>
      <c r="S98" s="259">
        <f>MAX(0,MIN($J$98*2,S$82-SUM($J98:R98)))</f>
        <v>5.4342061471303822</v>
      </c>
      <c r="T98" s="260">
        <f>MAX(0,MIN($J$98*2,T$82-SUM($J98:S98)))</f>
        <v>5.4342061471303822</v>
      </c>
    </row>
    <row r="99" spans="2:20" ht="12.75">
      <c r="B99" s="258" t="s">
        <v>641</v>
      </c>
      <c r="C99" s="259"/>
      <c r="D99" s="259"/>
      <c r="E99" s="92"/>
      <c r="F99" s="92"/>
      <c r="G99" s="92"/>
      <c r="H99" s="92"/>
      <c r="I99" s="92"/>
      <c r="J99" s="259"/>
      <c r="K99" s="259">
        <f>K$82/$C$88/2</f>
        <v>3.6059120002741105</v>
      </c>
      <c r="L99" s="259">
        <f>MAX(0,MIN($K$99*2,L$82-SUM($K99:K99)))</f>
        <v>7.211824000548221</v>
      </c>
      <c r="M99" s="259">
        <f>MAX(0,MIN($K$99*2,M$82-SUM($K99:L99)))</f>
        <v>7.211824000548221</v>
      </c>
      <c r="N99" s="259">
        <f>MAX(0,MIN($K$99*2,N$82-SUM($K99:M99)))</f>
        <v>7.211824000548221</v>
      </c>
      <c r="O99" s="259">
        <f>MAX(0,MIN($K$99*2,O$82-SUM($K99:N99)))</f>
        <v>7.211824000548221</v>
      </c>
      <c r="P99" s="259">
        <f>MAX(0,MIN($K$99*2,P$82-SUM($K99:O99)))</f>
        <v>7.211824000548221</v>
      </c>
      <c r="Q99" s="259">
        <f>MAX(0,MIN($K$99*2,Q$82-SUM($K99:P99)))</f>
        <v>7.211824000548221</v>
      </c>
      <c r="R99" s="259">
        <f>MAX(0,MIN($K$99*2,R$82-SUM($K99:Q99)))</f>
        <v>7.211824000548221</v>
      </c>
      <c r="S99" s="259">
        <f>MAX(0,MIN($K$99*2,S$82-SUM($K99:R99)))</f>
        <v>7.211824000548221</v>
      </c>
      <c r="T99" s="260">
        <f>MAX(0,MIN($K$99*2,T$82-SUM($K99:S99)))</f>
        <v>7.211824000548221</v>
      </c>
    </row>
    <row r="100" spans="2:20" ht="12.75">
      <c r="B100" s="258" t="s">
        <v>642</v>
      </c>
      <c r="C100" s="259"/>
      <c r="D100" s="259"/>
      <c r="E100" s="92"/>
      <c r="F100" s="92"/>
      <c r="G100" s="92"/>
      <c r="H100" s="92"/>
      <c r="I100" s="92"/>
      <c r="J100" s="259"/>
      <c r="K100" s="259"/>
      <c r="L100" s="259">
        <f>L$82/$C$88/2</f>
        <v>4.163823287697566</v>
      </c>
      <c r="M100" s="259">
        <f>MAX(0,MIN($L$100*2,M$82-SUM($L100:L100)))</f>
        <v>8.3276465753951321</v>
      </c>
      <c r="N100" s="259">
        <f>MAX(0,MIN($L$100*2,N$82-SUM($L100:M100)))</f>
        <v>8.3276465753951321</v>
      </c>
      <c r="O100" s="259">
        <f>MAX(0,MIN($L$100*2,O$82-SUM($L100:N100)))</f>
        <v>8.3276465753951321</v>
      </c>
      <c r="P100" s="259">
        <f>MAX(0,MIN($L$100*2,P$82-SUM($L100:O100)))</f>
        <v>8.3276465753951321</v>
      </c>
      <c r="Q100" s="259">
        <f>MAX(0,MIN($L$100*2,Q$82-SUM($L100:P100)))</f>
        <v>8.3276465753951321</v>
      </c>
      <c r="R100" s="259">
        <f>MAX(0,MIN($L$100*2,R$82-SUM($L100:Q100)))</f>
        <v>8.3276465753951321</v>
      </c>
      <c r="S100" s="259">
        <f>MAX(0,MIN($L$100*2,S$82-SUM($L100:R100)))</f>
        <v>8.3276465753951321</v>
      </c>
      <c r="T100" s="260">
        <f>MAX(0,MIN($L$100*2,T$82-SUM($L100:S100)))</f>
        <v>8.3276465753951321</v>
      </c>
    </row>
    <row r="101" spans="2:20" ht="12.75">
      <c r="B101" s="258" t="s">
        <v>643</v>
      </c>
      <c r="C101" s="259"/>
      <c r="D101" s="259"/>
      <c r="E101" s="92"/>
      <c r="F101" s="92"/>
      <c r="G101" s="92"/>
      <c r="H101" s="92"/>
      <c r="I101" s="92"/>
      <c r="J101" s="259"/>
      <c r="K101" s="259"/>
      <c r="L101" s="259"/>
      <c r="M101" s="259">
        <f>M$82/$C$88/2</f>
        <v>4.4126901150059599</v>
      </c>
      <c r="N101" s="259">
        <f>MAX(0,MIN($M$101*2,N$82-SUM($M101:M101)))</f>
        <v>8.8253802300119197</v>
      </c>
      <c r="O101" s="259">
        <f>MAX(0,MIN($M$101*2,O$82-SUM($M101:N101)))</f>
        <v>8.8253802300119197</v>
      </c>
      <c r="P101" s="259">
        <f>MAX(0,MIN($M$101*2,P$82-SUM($M101:O101)))</f>
        <v>8.8253802300119197</v>
      </c>
      <c r="Q101" s="259">
        <f>MAX(0,MIN($M$101*2,Q$82-SUM($M101:P101)))</f>
        <v>8.8253802300119197</v>
      </c>
      <c r="R101" s="259">
        <f>MAX(0,MIN($M$101*2,R$82-SUM($M101:Q101)))</f>
        <v>8.8253802300119197</v>
      </c>
      <c r="S101" s="259">
        <f>MAX(0,MIN($M$101*2,S$82-SUM($M101:R101)))</f>
        <v>8.8253802300119197</v>
      </c>
      <c r="T101" s="260">
        <f>MAX(0,MIN($M$101*2,T$82-SUM($M101:S101)))</f>
        <v>8.8253802300119197</v>
      </c>
    </row>
    <row r="102" spans="2:20" ht="12.75">
      <c r="B102" s="258" t="s">
        <v>644</v>
      </c>
      <c r="C102" s="259"/>
      <c r="D102" s="259"/>
      <c r="E102" s="92"/>
      <c r="F102" s="92"/>
      <c r="G102" s="92"/>
      <c r="H102" s="92"/>
      <c r="I102" s="92"/>
      <c r="J102" s="259"/>
      <c r="K102" s="259"/>
      <c r="L102" s="259"/>
      <c r="M102" s="259"/>
      <c r="N102" s="259">
        <f>N$82/$C$88/2</f>
        <v>4.5188679982304825</v>
      </c>
      <c r="O102" s="259">
        <f>MAX(0,MIN($N$102*2,O$82-SUM($N102:N102)))</f>
        <v>9.0377359964609649</v>
      </c>
      <c r="P102" s="259">
        <f>MAX(0,MIN($N$102*2,P$82-SUM($N102:O102)))</f>
        <v>9.0377359964609649</v>
      </c>
      <c r="Q102" s="259">
        <f>MAX(0,MIN($N$102*2,Q$82-SUM($N102:P102)))</f>
        <v>9.0377359964609649</v>
      </c>
      <c r="R102" s="259">
        <f>MAX(0,MIN($N$102*2,R$82-SUM($N102:Q102)))</f>
        <v>9.0377359964609649</v>
      </c>
      <c r="S102" s="259">
        <f>MAX(0,MIN($N$102*2,S$82-SUM($N102:R102)))</f>
        <v>9.0377359964609649</v>
      </c>
      <c r="T102" s="260">
        <f>MAX(0,MIN($N$102*2,T$82-SUM($N102:S102)))</f>
        <v>9.0377359964609649</v>
      </c>
    </row>
    <row r="103" spans="2:20" ht="12.75">
      <c r="B103" s="258" t="s">
        <v>645</v>
      </c>
      <c r="C103" s="259"/>
      <c r="D103" s="259"/>
      <c r="E103" s="92"/>
      <c r="F103" s="92"/>
      <c r="G103" s="92"/>
      <c r="H103" s="92"/>
      <c r="I103" s="92"/>
      <c r="J103" s="259"/>
      <c r="K103" s="259"/>
      <c r="L103" s="259"/>
      <c r="M103" s="259"/>
      <c r="N103" s="259"/>
      <c r="O103" s="259">
        <f>O$82/$C$88/2</f>
        <v>4.9637787175894479</v>
      </c>
      <c r="P103" s="259">
        <f>MAX(0,MIN($O$103*2,P$82-SUM($O103:O103)))</f>
        <v>9.9275574351788958</v>
      </c>
      <c r="Q103" s="259">
        <f>MAX(0,MIN($O$103*2,Q$82-SUM($O103:P103)))</f>
        <v>9.9275574351788958</v>
      </c>
      <c r="R103" s="259">
        <f>MAX(0,MIN($O$103*2,R$82-SUM($O103:Q103)))</f>
        <v>9.9275574351788958</v>
      </c>
      <c r="S103" s="259">
        <f>MAX(0,MIN($O$103*2,S$82-SUM($O103:R103)))</f>
        <v>9.9275574351788958</v>
      </c>
      <c r="T103" s="260">
        <f>MAX(0,MIN($O$103*2,T$82-SUM($O103:S103)))</f>
        <v>9.9275574351788958</v>
      </c>
    </row>
    <row r="104" spans="2:20" ht="12.75">
      <c r="B104" s="258" t="s">
        <v>646</v>
      </c>
      <c r="C104" s="259"/>
      <c r="D104" s="259"/>
      <c r="E104" s="92"/>
      <c r="F104" s="92"/>
      <c r="G104" s="92"/>
      <c r="H104" s="92"/>
      <c r="I104" s="92"/>
      <c r="J104" s="259"/>
      <c r="K104" s="259"/>
      <c r="L104" s="259"/>
      <c r="M104" s="259"/>
      <c r="N104" s="259"/>
      <c r="O104" s="259"/>
      <c r="P104" s="259">
        <f>P$82/$C$88/2</f>
        <v>5.9811349574101165</v>
      </c>
      <c r="Q104" s="259">
        <f>MAX(0,MIN($P$104*2,Q$82-SUM($P104:P104)))</f>
        <v>11.962269914820233</v>
      </c>
      <c r="R104" s="259">
        <f>MAX(0,MIN($P$104*2,R$82-SUM($P104:Q104)))</f>
        <v>11.962269914820233</v>
      </c>
      <c r="S104" s="259">
        <f>MAX(0,MIN($P$104*2,S$82-SUM($P104:R104)))</f>
        <v>11.962269914820233</v>
      </c>
      <c r="T104" s="260">
        <f>MAX(0,MIN($P$104*2,T$82-SUM($P104:S104)))</f>
        <v>11.962269914820233</v>
      </c>
    </row>
    <row r="105" spans="2:20" ht="12.75">
      <c r="B105" s="258" t="s">
        <v>647</v>
      </c>
      <c r="C105" s="259"/>
      <c r="D105" s="259"/>
      <c r="E105" s="92"/>
      <c r="F105" s="92"/>
      <c r="G105" s="92"/>
      <c r="H105" s="92"/>
      <c r="I105" s="92"/>
      <c r="J105" s="259"/>
      <c r="K105" s="259"/>
      <c r="L105" s="259"/>
      <c r="M105" s="259"/>
      <c r="N105" s="259"/>
      <c r="O105" s="259"/>
      <c r="P105" s="259"/>
      <c r="Q105" s="259">
        <f>Q$82/$C$88/2</f>
        <v>6.064277841103916</v>
      </c>
      <c r="R105" s="259">
        <f>MAX(0,MIN($Q$105*2,R$82-SUM($Q105:Q105)))</f>
        <v>12.128555682207832</v>
      </c>
      <c r="S105" s="259">
        <f>MAX(0,MIN($Q$105*2,S$82-SUM($Q105:R105)))</f>
        <v>12.128555682207832</v>
      </c>
      <c r="T105" s="260">
        <f>MAX(0,MIN($Q$105*2,T$82-SUM($Q105:S105)))</f>
        <v>12.128555682207832</v>
      </c>
    </row>
    <row r="106" spans="2:20" ht="12.75">
      <c r="B106" s="258" t="s">
        <v>648</v>
      </c>
      <c r="C106" s="259"/>
      <c r="D106" s="259"/>
      <c r="E106" s="92"/>
      <c r="F106" s="92"/>
      <c r="G106" s="92"/>
      <c r="H106" s="92"/>
      <c r="I106" s="92"/>
      <c r="J106" s="259"/>
      <c r="K106" s="259"/>
      <c r="L106" s="259"/>
      <c r="M106" s="259"/>
      <c r="N106" s="259"/>
      <c r="O106" s="259"/>
      <c r="P106" s="259"/>
      <c r="Q106" s="259"/>
      <c r="R106" s="259">
        <f>R$82/$C$88/2</f>
        <v>6.1335946119481006</v>
      </c>
      <c r="S106" s="259">
        <f>MAX(0,MIN($R$106*2,S$82-SUM($R106:R106)))</f>
        <v>12.267189223896201</v>
      </c>
      <c r="T106" s="260">
        <f>MAX(0,MIN($R$106*2,T$82-SUM($R106:S106)))</f>
        <v>12.267189223896201</v>
      </c>
    </row>
    <row r="107" spans="2:20" ht="12.75">
      <c r="B107" s="258" t="s">
        <v>649</v>
      </c>
      <c r="C107" s="259"/>
      <c r="D107" s="259"/>
      <c r="E107" s="92"/>
      <c r="F107" s="92"/>
      <c r="G107" s="92"/>
      <c r="H107" s="92"/>
      <c r="I107" s="92"/>
      <c r="J107" s="259"/>
      <c r="K107" s="259"/>
      <c r="L107" s="259"/>
      <c r="M107" s="259"/>
      <c r="N107" s="259"/>
      <c r="O107" s="259"/>
      <c r="P107" s="259"/>
      <c r="Q107" s="259"/>
      <c r="R107" s="259"/>
      <c r="S107" s="259">
        <f>S$82/$C$88/2</f>
        <v>6.1411129304260497</v>
      </c>
      <c r="T107" s="260">
        <f>MAX(0,MIN($S$107*2,T$82-SUM($S107:S107)))</f>
        <v>12.282225860852099</v>
      </c>
    </row>
    <row r="108" spans="2:20" ht="12.75">
      <c r="B108" s="258" t="s">
        <v>650</v>
      </c>
      <c r="C108" s="259"/>
      <c r="D108" s="259"/>
      <c r="E108" s="92"/>
      <c r="F108" s="92"/>
      <c r="G108" s="92"/>
      <c r="H108" s="92"/>
      <c r="I108" s="92"/>
      <c r="J108" s="259"/>
      <c r="K108" s="259"/>
      <c r="L108" s="259"/>
      <c r="M108" s="259"/>
      <c r="N108" s="259"/>
      <c r="O108" s="259"/>
      <c r="P108" s="259"/>
      <c r="Q108" s="259"/>
      <c r="R108" s="259"/>
      <c r="S108" s="259"/>
      <c r="T108" s="260">
        <f>T$82/$C$88/2</f>
        <v>5.2772371973065715</v>
      </c>
    </row>
    <row r="109" spans="2:20" ht="12.75">
      <c r="B109" s="261" t="s">
        <v>128</v>
      </c>
      <c r="C109" s="447">
        <f>-C84</f>
        <v>47.3</v>
      </c>
      <c r="D109" s="447">
        <f>-D84</f>
        <v>62.3</v>
      </c>
      <c r="E109" s="447">
        <f>-E84</f>
        <v>62.343000000000004</v>
      </c>
      <c r="F109" s="447">
        <f>-F84</f>
        <v>61.398000000000003</v>
      </c>
      <c r="G109" s="448">
        <f t="shared" ref="G109:T109" si="98">SUM(G90:G98)</f>
        <v>62.822322396875002</v>
      </c>
      <c r="H109" s="448">
        <f t="shared" si="98"/>
        <v>65.12865844304352</v>
      </c>
      <c r="I109" s="448">
        <f t="shared" si="98"/>
        <v>67.341659424212821</v>
      </c>
      <c r="J109" s="448">
        <f t="shared" si="98"/>
        <v>70.064280450502622</v>
      </c>
      <c r="K109" s="448">
        <f t="shared" si="98"/>
        <v>70.633065528473011</v>
      </c>
      <c r="L109" s="448">
        <f t="shared" si="98"/>
        <v>68.592163432657969</v>
      </c>
      <c r="M109" s="448">
        <f t="shared" si="98"/>
        <v>66.653306441633674</v>
      </c>
      <c r="N109" s="448">
        <f t="shared" si="98"/>
        <v>64.811392300160591</v>
      </c>
      <c r="O109" s="448">
        <f t="shared" si="98"/>
        <v>63.061573865761176</v>
      </c>
      <c r="P109" s="448">
        <f t="shared" si="98"/>
        <v>61.399246353081722</v>
      </c>
      <c r="Q109" s="448">
        <f t="shared" si="98"/>
        <v>59.820035216036231</v>
      </c>
      <c r="R109" s="448">
        <f t="shared" si="98"/>
        <v>58.319784635843035</v>
      </c>
      <c r="S109" s="448">
        <f t="shared" si="98"/>
        <v>56.89454658465948</v>
      </c>
      <c r="T109" s="721">
        <f t="shared" si="98"/>
        <v>55.540570436035111</v>
      </c>
    </row>
    <row r="112" spans="2:20" customFormat="1"/>
    <row r="113" spans="4:20" ht="12.75">
      <c r="D113" s="64"/>
      <c r="E113" s="64"/>
      <c r="F113" s="64"/>
      <c r="G113" s="64"/>
      <c r="H113" s="64"/>
      <c r="I113" s="64"/>
      <c r="J113" s="64"/>
      <c r="K113" s="64"/>
      <c r="L113" s="64"/>
      <c r="M113" s="64"/>
      <c r="N113" s="64"/>
      <c r="O113" s="64"/>
      <c r="P113" s="64"/>
      <c r="Q113" s="64"/>
      <c r="R113" s="64"/>
      <c r="S113" s="64"/>
      <c r="T113" s="64"/>
    </row>
  </sheetData>
  <phoneticPr fontId="0" type="noConversion"/>
  <pageMargins left="0" right="0" top="0" bottom="0" header="0" footer="0"/>
  <pageSetup paperSize="5" scale="45" orientation="landscape"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1">
    <pageSetUpPr fitToPage="1"/>
  </sheetPr>
  <dimension ref="A1:AF95"/>
  <sheetViews>
    <sheetView zoomScale="90" zoomScaleNormal="90" workbookViewId="0">
      <pane xSplit="6" ySplit="2" topLeftCell="G3" activePane="bottomRight" state="frozen"/>
      <selection pane="topRight" activeCell="G1" sqref="G1"/>
      <selection pane="bottomLeft" activeCell="A3" sqref="A3"/>
      <selection pane="bottomRight" activeCell="N23" sqref="N23"/>
    </sheetView>
  </sheetViews>
  <sheetFormatPr defaultRowHeight="11.25" outlineLevelRow="1" outlineLevelCol="1"/>
  <cols>
    <col min="1" max="1" width="2.33203125" style="56" customWidth="1"/>
    <col min="2" max="2" width="88.5" style="88" bestFit="1" customWidth="1"/>
    <col min="3" max="3" width="12" style="56" hidden="1" customWidth="1"/>
    <col min="4" max="4" width="10.83203125" style="56" hidden="1" customWidth="1"/>
    <col min="5" max="6" width="12" style="56" hidden="1" customWidth="1"/>
    <col min="7" max="8" width="11.33203125" style="56" hidden="1" customWidth="1" outlineLevel="1"/>
    <col min="9" max="9" width="11.33203125" style="56" customWidth="1" collapsed="1"/>
    <col min="10" max="14" width="11.33203125" style="56" customWidth="1"/>
    <col min="15" max="15" width="9.33203125" style="56"/>
    <col min="16" max="16" width="11.6640625" style="56" customWidth="1"/>
    <col min="17" max="17" width="11.5" style="56" customWidth="1"/>
    <col min="18" max="18" width="10.83203125" style="56" customWidth="1"/>
    <col min="19" max="24" width="9.83203125" style="56" bestFit="1" customWidth="1"/>
    <col min="25" max="26" width="9.33203125" style="56"/>
    <col min="27" max="27" width="38" customWidth="1"/>
    <col min="33" max="262" width="9.33203125" style="56"/>
    <col min="263" max="263" width="2.33203125" style="56" customWidth="1"/>
    <col min="264" max="264" width="55.1640625" style="56" customWidth="1"/>
    <col min="265" max="265" width="12" style="56" bestFit="1" customWidth="1"/>
    <col min="266" max="266" width="10.83203125" style="56" bestFit="1" customWidth="1"/>
    <col min="267" max="268" width="12" style="56" bestFit="1" customWidth="1"/>
    <col min="269" max="269" width="11.33203125" style="56" bestFit="1" customWidth="1"/>
    <col min="270" max="272" width="11.33203125" style="56" customWidth="1"/>
    <col min="273" max="277" width="9.33203125" style="56"/>
    <col min="278" max="278" width="80.1640625" style="56" customWidth="1"/>
    <col min="279" max="279" width="9.33203125" style="56"/>
    <col min="280" max="280" width="15.1640625" style="56" customWidth="1"/>
    <col min="281" max="518" width="9.33203125" style="56"/>
    <col min="519" max="519" width="2.33203125" style="56" customWidth="1"/>
    <col min="520" max="520" width="55.1640625" style="56" customWidth="1"/>
    <col min="521" max="521" width="12" style="56" bestFit="1" customWidth="1"/>
    <col min="522" max="522" width="10.83203125" style="56" bestFit="1" customWidth="1"/>
    <col min="523" max="524" width="12" style="56" bestFit="1" customWidth="1"/>
    <col min="525" max="525" width="11.33203125" style="56" bestFit="1" customWidth="1"/>
    <col min="526" max="528" width="11.33203125" style="56" customWidth="1"/>
    <col min="529" max="533" width="9.33203125" style="56"/>
    <col min="534" max="534" width="80.1640625" style="56" customWidth="1"/>
    <col min="535" max="535" width="9.33203125" style="56"/>
    <col min="536" max="536" width="15.1640625" style="56" customWidth="1"/>
    <col min="537" max="774" width="9.33203125" style="56"/>
    <col min="775" max="775" width="2.33203125" style="56" customWidth="1"/>
    <col min="776" max="776" width="55.1640625" style="56" customWidth="1"/>
    <col min="777" max="777" width="12" style="56" bestFit="1" customWidth="1"/>
    <col min="778" max="778" width="10.83203125" style="56" bestFit="1" customWidth="1"/>
    <col min="779" max="780" width="12" style="56" bestFit="1" customWidth="1"/>
    <col min="781" max="781" width="11.33203125" style="56" bestFit="1" customWidth="1"/>
    <col min="782" max="784" width="11.33203125" style="56" customWidth="1"/>
    <col min="785" max="789" width="9.33203125" style="56"/>
    <col min="790" max="790" width="80.1640625" style="56" customWidth="1"/>
    <col min="791" max="791" width="9.33203125" style="56"/>
    <col min="792" max="792" width="15.1640625" style="56" customWidth="1"/>
    <col min="793" max="1030" width="9.33203125" style="56"/>
    <col min="1031" max="1031" width="2.33203125" style="56" customWidth="1"/>
    <col min="1032" max="1032" width="55.1640625" style="56" customWidth="1"/>
    <col min="1033" max="1033" width="12" style="56" bestFit="1" customWidth="1"/>
    <col min="1034" max="1034" width="10.83203125" style="56" bestFit="1" customWidth="1"/>
    <col min="1035" max="1036" width="12" style="56" bestFit="1" customWidth="1"/>
    <col min="1037" max="1037" width="11.33203125" style="56" bestFit="1" customWidth="1"/>
    <col min="1038" max="1040" width="11.33203125" style="56" customWidth="1"/>
    <col min="1041" max="1045" width="9.33203125" style="56"/>
    <col min="1046" max="1046" width="80.1640625" style="56" customWidth="1"/>
    <col min="1047" max="1047" width="9.33203125" style="56"/>
    <col min="1048" max="1048" width="15.1640625" style="56" customWidth="1"/>
    <col min="1049" max="1286" width="9.33203125" style="56"/>
    <col min="1287" max="1287" width="2.33203125" style="56" customWidth="1"/>
    <col min="1288" max="1288" width="55.1640625" style="56" customWidth="1"/>
    <col min="1289" max="1289" width="12" style="56" bestFit="1" customWidth="1"/>
    <col min="1290" max="1290" width="10.83203125" style="56" bestFit="1" customWidth="1"/>
    <col min="1291" max="1292" width="12" style="56" bestFit="1" customWidth="1"/>
    <col min="1293" max="1293" width="11.33203125" style="56" bestFit="1" customWidth="1"/>
    <col min="1294" max="1296" width="11.33203125" style="56" customWidth="1"/>
    <col min="1297" max="1301" width="9.33203125" style="56"/>
    <col min="1302" max="1302" width="80.1640625" style="56" customWidth="1"/>
    <col min="1303" max="1303" width="9.33203125" style="56"/>
    <col min="1304" max="1304" width="15.1640625" style="56" customWidth="1"/>
    <col min="1305" max="1542" width="9.33203125" style="56"/>
    <col min="1543" max="1543" width="2.33203125" style="56" customWidth="1"/>
    <col min="1544" max="1544" width="55.1640625" style="56" customWidth="1"/>
    <col min="1545" max="1545" width="12" style="56" bestFit="1" customWidth="1"/>
    <col min="1546" max="1546" width="10.83203125" style="56" bestFit="1" customWidth="1"/>
    <col min="1547" max="1548" width="12" style="56" bestFit="1" customWidth="1"/>
    <col min="1549" max="1549" width="11.33203125" style="56" bestFit="1" customWidth="1"/>
    <col min="1550" max="1552" width="11.33203125" style="56" customWidth="1"/>
    <col min="1553" max="1557" width="9.33203125" style="56"/>
    <col min="1558" max="1558" width="80.1640625" style="56" customWidth="1"/>
    <col min="1559" max="1559" width="9.33203125" style="56"/>
    <col min="1560" max="1560" width="15.1640625" style="56" customWidth="1"/>
    <col min="1561" max="1798" width="9.33203125" style="56"/>
    <col min="1799" max="1799" width="2.33203125" style="56" customWidth="1"/>
    <col min="1800" max="1800" width="55.1640625" style="56" customWidth="1"/>
    <col min="1801" max="1801" width="12" style="56" bestFit="1" customWidth="1"/>
    <col min="1802" max="1802" width="10.83203125" style="56" bestFit="1" customWidth="1"/>
    <col min="1803" max="1804" width="12" style="56" bestFit="1" customWidth="1"/>
    <col min="1805" max="1805" width="11.33203125" style="56" bestFit="1" customWidth="1"/>
    <col min="1806" max="1808" width="11.33203125" style="56" customWidth="1"/>
    <col min="1809" max="1813" width="9.33203125" style="56"/>
    <col min="1814" max="1814" width="80.1640625" style="56" customWidth="1"/>
    <col min="1815" max="1815" width="9.33203125" style="56"/>
    <col min="1816" max="1816" width="15.1640625" style="56" customWidth="1"/>
    <col min="1817" max="2054" width="9.33203125" style="56"/>
    <col min="2055" max="2055" width="2.33203125" style="56" customWidth="1"/>
    <col min="2056" max="2056" width="55.1640625" style="56" customWidth="1"/>
    <col min="2057" max="2057" width="12" style="56" bestFit="1" customWidth="1"/>
    <col min="2058" max="2058" width="10.83203125" style="56" bestFit="1" customWidth="1"/>
    <col min="2059" max="2060" width="12" style="56" bestFit="1" customWidth="1"/>
    <col min="2061" max="2061" width="11.33203125" style="56" bestFit="1" customWidth="1"/>
    <col min="2062" max="2064" width="11.33203125" style="56" customWidth="1"/>
    <col min="2065" max="2069" width="9.33203125" style="56"/>
    <col min="2070" max="2070" width="80.1640625" style="56" customWidth="1"/>
    <col min="2071" max="2071" width="9.33203125" style="56"/>
    <col min="2072" max="2072" width="15.1640625" style="56" customWidth="1"/>
    <col min="2073" max="2310" width="9.33203125" style="56"/>
    <col min="2311" max="2311" width="2.33203125" style="56" customWidth="1"/>
    <col min="2312" max="2312" width="55.1640625" style="56" customWidth="1"/>
    <col min="2313" max="2313" width="12" style="56" bestFit="1" customWidth="1"/>
    <col min="2314" max="2314" width="10.83203125" style="56" bestFit="1" customWidth="1"/>
    <col min="2315" max="2316" width="12" style="56" bestFit="1" customWidth="1"/>
    <col min="2317" max="2317" width="11.33203125" style="56" bestFit="1" customWidth="1"/>
    <col min="2318" max="2320" width="11.33203125" style="56" customWidth="1"/>
    <col min="2321" max="2325" width="9.33203125" style="56"/>
    <col min="2326" max="2326" width="80.1640625" style="56" customWidth="1"/>
    <col min="2327" max="2327" width="9.33203125" style="56"/>
    <col min="2328" max="2328" width="15.1640625" style="56" customWidth="1"/>
    <col min="2329" max="2566" width="9.33203125" style="56"/>
    <col min="2567" max="2567" width="2.33203125" style="56" customWidth="1"/>
    <col min="2568" max="2568" width="55.1640625" style="56" customWidth="1"/>
    <col min="2569" max="2569" width="12" style="56" bestFit="1" customWidth="1"/>
    <col min="2570" max="2570" width="10.83203125" style="56" bestFit="1" customWidth="1"/>
    <col min="2571" max="2572" width="12" style="56" bestFit="1" customWidth="1"/>
    <col min="2573" max="2573" width="11.33203125" style="56" bestFit="1" customWidth="1"/>
    <col min="2574" max="2576" width="11.33203125" style="56" customWidth="1"/>
    <col min="2577" max="2581" width="9.33203125" style="56"/>
    <col min="2582" max="2582" width="80.1640625" style="56" customWidth="1"/>
    <col min="2583" max="2583" width="9.33203125" style="56"/>
    <col min="2584" max="2584" width="15.1640625" style="56" customWidth="1"/>
    <col min="2585" max="2822" width="9.33203125" style="56"/>
    <col min="2823" max="2823" width="2.33203125" style="56" customWidth="1"/>
    <col min="2824" max="2824" width="55.1640625" style="56" customWidth="1"/>
    <col min="2825" max="2825" width="12" style="56" bestFit="1" customWidth="1"/>
    <col min="2826" max="2826" width="10.83203125" style="56" bestFit="1" customWidth="1"/>
    <col min="2827" max="2828" width="12" style="56" bestFit="1" customWidth="1"/>
    <col min="2829" max="2829" width="11.33203125" style="56" bestFit="1" customWidth="1"/>
    <col min="2830" max="2832" width="11.33203125" style="56" customWidth="1"/>
    <col min="2833" max="2837" width="9.33203125" style="56"/>
    <col min="2838" max="2838" width="80.1640625" style="56" customWidth="1"/>
    <col min="2839" max="2839" width="9.33203125" style="56"/>
    <col min="2840" max="2840" width="15.1640625" style="56" customWidth="1"/>
    <col min="2841" max="3078" width="9.33203125" style="56"/>
    <col min="3079" max="3079" width="2.33203125" style="56" customWidth="1"/>
    <col min="3080" max="3080" width="55.1640625" style="56" customWidth="1"/>
    <col min="3081" max="3081" width="12" style="56" bestFit="1" customWidth="1"/>
    <col min="3082" max="3082" width="10.83203125" style="56" bestFit="1" customWidth="1"/>
    <col min="3083" max="3084" width="12" style="56" bestFit="1" customWidth="1"/>
    <col min="3085" max="3085" width="11.33203125" style="56" bestFit="1" customWidth="1"/>
    <col min="3086" max="3088" width="11.33203125" style="56" customWidth="1"/>
    <col min="3089" max="3093" width="9.33203125" style="56"/>
    <col min="3094" max="3094" width="80.1640625" style="56" customWidth="1"/>
    <col min="3095" max="3095" width="9.33203125" style="56"/>
    <col min="3096" max="3096" width="15.1640625" style="56" customWidth="1"/>
    <col min="3097" max="3334" width="9.33203125" style="56"/>
    <col min="3335" max="3335" width="2.33203125" style="56" customWidth="1"/>
    <col min="3336" max="3336" width="55.1640625" style="56" customWidth="1"/>
    <col min="3337" max="3337" width="12" style="56" bestFit="1" customWidth="1"/>
    <col min="3338" max="3338" width="10.83203125" style="56" bestFit="1" customWidth="1"/>
    <col min="3339" max="3340" width="12" style="56" bestFit="1" customWidth="1"/>
    <col min="3341" max="3341" width="11.33203125" style="56" bestFit="1" customWidth="1"/>
    <col min="3342" max="3344" width="11.33203125" style="56" customWidth="1"/>
    <col min="3345" max="3349" width="9.33203125" style="56"/>
    <col min="3350" max="3350" width="80.1640625" style="56" customWidth="1"/>
    <col min="3351" max="3351" width="9.33203125" style="56"/>
    <col min="3352" max="3352" width="15.1640625" style="56" customWidth="1"/>
    <col min="3353" max="3590" width="9.33203125" style="56"/>
    <col min="3591" max="3591" width="2.33203125" style="56" customWidth="1"/>
    <col min="3592" max="3592" width="55.1640625" style="56" customWidth="1"/>
    <col min="3593" max="3593" width="12" style="56" bestFit="1" customWidth="1"/>
    <col min="3594" max="3594" width="10.83203125" style="56" bestFit="1" customWidth="1"/>
    <col min="3595" max="3596" width="12" style="56" bestFit="1" customWidth="1"/>
    <col min="3597" max="3597" width="11.33203125" style="56" bestFit="1" customWidth="1"/>
    <col min="3598" max="3600" width="11.33203125" style="56" customWidth="1"/>
    <col min="3601" max="3605" width="9.33203125" style="56"/>
    <col min="3606" max="3606" width="80.1640625" style="56" customWidth="1"/>
    <col min="3607" max="3607" width="9.33203125" style="56"/>
    <col min="3608" max="3608" width="15.1640625" style="56" customWidth="1"/>
    <col min="3609" max="3846" width="9.33203125" style="56"/>
    <col min="3847" max="3847" width="2.33203125" style="56" customWidth="1"/>
    <col min="3848" max="3848" width="55.1640625" style="56" customWidth="1"/>
    <col min="3849" max="3849" width="12" style="56" bestFit="1" customWidth="1"/>
    <col min="3850" max="3850" width="10.83203125" style="56" bestFit="1" customWidth="1"/>
    <col min="3851" max="3852" width="12" style="56" bestFit="1" customWidth="1"/>
    <col min="3853" max="3853" width="11.33203125" style="56" bestFit="1" customWidth="1"/>
    <col min="3854" max="3856" width="11.33203125" style="56" customWidth="1"/>
    <col min="3857" max="3861" width="9.33203125" style="56"/>
    <col min="3862" max="3862" width="80.1640625" style="56" customWidth="1"/>
    <col min="3863" max="3863" width="9.33203125" style="56"/>
    <col min="3864" max="3864" width="15.1640625" style="56" customWidth="1"/>
    <col min="3865" max="4102" width="9.33203125" style="56"/>
    <col min="4103" max="4103" width="2.33203125" style="56" customWidth="1"/>
    <col min="4104" max="4104" width="55.1640625" style="56" customWidth="1"/>
    <col min="4105" max="4105" width="12" style="56" bestFit="1" customWidth="1"/>
    <col min="4106" max="4106" width="10.83203125" style="56" bestFit="1" customWidth="1"/>
    <col min="4107" max="4108" width="12" style="56" bestFit="1" customWidth="1"/>
    <col min="4109" max="4109" width="11.33203125" style="56" bestFit="1" customWidth="1"/>
    <col min="4110" max="4112" width="11.33203125" style="56" customWidth="1"/>
    <col min="4113" max="4117" width="9.33203125" style="56"/>
    <col min="4118" max="4118" width="80.1640625" style="56" customWidth="1"/>
    <col min="4119" max="4119" width="9.33203125" style="56"/>
    <col min="4120" max="4120" width="15.1640625" style="56" customWidth="1"/>
    <col min="4121" max="4358" width="9.33203125" style="56"/>
    <col min="4359" max="4359" width="2.33203125" style="56" customWidth="1"/>
    <col min="4360" max="4360" width="55.1640625" style="56" customWidth="1"/>
    <col min="4361" max="4361" width="12" style="56" bestFit="1" customWidth="1"/>
    <col min="4362" max="4362" width="10.83203125" style="56" bestFit="1" customWidth="1"/>
    <col min="4363" max="4364" width="12" style="56" bestFit="1" customWidth="1"/>
    <col min="4365" max="4365" width="11.33203125" style="56" bestFit="1" customWidth="1"/>
    <col min="4366" max="4368" width="11.33203125" style="56" customWidth="1"/>
    <col min="4369" max="4373" width="9.33203125" style="56"/>
    <col min="4374" max="4374" width="80.1640625" style="56" customWidth="1"/>
    <col min="4375" max="4375" width="9.33203125" style="56"/>
    <col min="4376" max="4376" width="15.1640625" style="56" customWidth="1"/>
    <col min="4377" max="4614" width="9.33203125" style="56"/>
    <col min="4615" max="4615" width="2.33203125" style="56" customWidth="1"/>
    <col min="4616" max="4616" width="55.1640625" style="56" customWidth="1"/>
    <col min="4617" max="4617" width="12" style="56" bestFit="1" customWidth="1"/>
    <col min="4618" max="4618" width="10.83203125" style="56" bestFit="1" customWidth="1"/>
    <col min="4619" max="4620" width="12" style="56" bestFit="1" customWidth="1"/>
    <col min="4621" max="4621" width="11.33203125" style="56" bestFit="1" customWidth="1"/>
    <col min="4622" max="4624" width="11.33203125" style="56" customWidth="1"/>
    <col min="4625" max="4629" width="9.33203125" style="56"/>
    <col min="4630" max="4630" width="80.1640625" style="56" customWidth="1"/>
    <col min="4631" max="4631" width="9.33203125" style="56"/>
    <col min="4632" max="4632" width="15.1640625" style="56" customWidth="1"/>
    <col min="4633" max="4870" width="9.33203125" style="56"/>
    <col min="4871" max="4871" width="2.33203125" style="56" customWidth="1"/>
    <col min="4872" max="4872" width="55.1640625" style="56" customWidth="1"/>
    <col min="4873" max="4873" width="12" style="56" bestFit="1" customWidth="1"/>
    <col min="4874" max="4874" width="10.83203125" style="56" bestFit="1" customWidth="1"/>
    <col min="4875" max="4876" width="12" style="56" bestFit="1" customWidth="1"/>
    <col min="4877" max="4877" width="11.33203125" style="56" bestFit="1" customWidth="1"/>
    <col min="4878" max="4880" width="11.33203125" style="56" customWidth="1"/>
    <col min="4881" max="4885" width="9.33203125" style="56"/>
    <col min="4886" max="4886" width="80.1640625" style="56" customWidth="1"/>
    <col min="4887" max="4887" width="9.33203125" style="56"/>
    <col min="4888" max="4888" width="15.1640625" style="56" customWidth="1"/>
    <col min="4889" max="5126" width="9.33203125" style="56"/>
    <col min="5127" max="5127" width="2.33203125" style="56" customWidth="1"/>
    <col min="5128" max="5128" width="55.1640625" style="56" customWidth="1"/>
    <col min="5129" max="5129" width="12" style="56" bestFit="1" customWidth="1"/>
    <col min="5130" max="5130" width="10.83203125" style="56" bestFit="1" customWidth="1"/>
    <col min="5131" max="5132" width="12" style="56" bestFit="1" customWidth="1"/>
    <col min="5133" max="5133" width="11.33203125" style="56" bestFit="1" customWidth="1"/>
    <col min="5134" max="5136" width="11.33203125" style="56" customWidth="1"/>
    <col min="5137" max="5141" width="9.33203125" style="56"/>
    <col min="5142" max="5142" width="80.1640625" style="56" customWidth="1"/>
    <col min="5143" max="5143" width="9.33203125" style="56"/>
    <col min="5144" max="5144" width="15.1640625" style="56" customWidth="1"/>
    <col min="5145" max="5382" width="9.33203125" style="56"/>
    <col min="5383" max="5383" width="2.33203125" style="56" customWidth="1"/>
    <col min="5384" max="5384" width="55.1640625" style="56" customWidth="1"/>
    <col min="5385" max="5385" width="12" style="56" bestFit="1" customWidth="1"/>
    <col min="5386" max="5386" width="10.83203125" style="56" bestFit="1" customWidth="1"/>
    <col min="5387" max="5388" width="12" style="56" bestFit="1" customWidth="1"/>
    <col min="5389" max="5389" width="11.33203125" style="56" bestFit="1" customWidth="1"/>
    <col min="5390" max="5392" width="11.33203125" style="56" customWidth="1"/>
    <col min="5393" max="5397" width="9.33203125" style="56"/>
    <col min="5398" max="5398" width="80.1640625" style="56" customWidth="1"/>
    <col min="5399" max="5399" width="9.33203125" style="56"/>
    <col min="5400" max="5400" width="15.1640625" style="56" customWidth="1"/>
    <col min="5401" max="5638" width="9.33203125" style="56"/>
    <col min="5639" max="5639" width="2.33203125" style="56" customWidth="1"/>
    <col min="5640" max="5640" width="55.1640625" style="56" customWidth="1"/>
    <col min="5641" max="5641" width="12" style="56" bestFit="1" customWidth="1"/>
    <col min="5642" max="5642" width="10.83203125" style="56" bestFit="1" customWidth="1"/>
    <col min="5643" max="5644" width="12" style="56" bestFit="1" customWidth="1"/>
    <col min="5645" max="5645" width="11.33203125" style="56" bestFit="1" customWidth="1"/>
    <col min="5646" max="5648" width="11.33203125" style="56" customWidth="1"/>
    <col min="5649" max="5653" width="9.33203125" style="56"/>
    <col min="5654" max="5654" width="80.1640625" style="56" customWidth="1"/>
    <col min="5655" max="5655" width="9.33203125" style="56"/>
    <col min="5656" max="5656" width="15.1640625" style="56" customWidth="1"/>
    <col min="5657" max="5894" width="9.33203125" style="56"/>
    <col min="5895" max="5895" width="2.33203125" style="56" customWidth="1"/>
    <col min="5896" max="5896" width="55.1640625" style="56" customWidth="1"/>
    <col min="5897" max="5897" width="12" style="56" bestFit="1" customWidth="1"/>
    <col min="5898" max="5898" width="10.83203125" style="56" bestFit="1" customWidth="1"/>
    <col min="5899" max="5900" width="12" style="56" bestFit="1" customWidth="1"/>
    <col min="5901" max="5901" width="11.33203125" style="56" bestFit="1" customWidth="1"/>
    <col min="5902" max="5904" width="11.33203125" style="56" customWidth="1"/>
    <col min="5905" max="5909" width="9.33203125" style="56"/>
    <col min="5910" max="5910" width="80.1640625" style="56" customWidth="1"/>
    <col min="5911" max="5911" width="9.33203125" style="56"/>
    <col min="5912" max="5912" width="15.1640625" style="56" customWidth="1"/>
    <col min="5913" max="6150" width="9.33203125" style="56"/>
    <col min="6151" max="6151" width="2.33203125" style="56" customWidth="1"/>
    <col min="6152" max="6152" width="55.1640625" style="56" customWidth="1"/>
    <col min="6153" max="6153" width="12" style="56" bestFit="1" customWidth="1"/>
    <col min="6154" max="6154" width="10.83203125" style="56" bestFit="1" customWidth="1"/>
    <col min="6155" max="6156" width="12" style="56" bestFit="1" customWidth="1"/>
    <col min="6157" max="6157" width="11.33203125" style="56" bestFit="1" customWidth="1"/>
    <col min="6158" max="6160" width="11.33203125" style="56" customWidth="1"/>
    <col min="6161" max="6165" width="9.33203125" style="56"/>
    <col min="6166" max="6166" width="80.1640625" style="56" customWidth="1"/>
    <col min="6167" max="6167" width="9.33203125" style="56"/>
    <col min="6168" max="6168" width="15.1640625" style="56" customWidth="1"/>
    <col min="6169" max="6406" width="9.33203125" style="56"/>
    <col min="6407" max="6407" width="2.33203125" style="56" customWidth="1"/>
    <col min="6408" max="6408" width="55.1640625" style="56" customWidth="1"/>
    <col min="6409" max="6409" width="12" style="56" bestFit="1" customWidth="1"/>
    <col min="6410" max="6410" width="10.83203125" style="56" bestFit="1" customWidth="1"/>
    <col min="6411" max="6412" width="12" style="56" bestFit="1" customWidth="1"/>
    <col min="6413" max="6413" width="11.33203125" style="56" bestFit="1" customWidth="1"/>
    <col min="6414" max="6416" width="11.33203125" style="56" customWidth="1"/>
    <col min="6417" max="6421" width="9.33203125" style="56"/>
    <col min="6422" max="6422" width="80.1640625" style="56" customWidth="1"/>
    <col min="6423" max="6423" width="9.33203125" style="56"/>
    <col min="6424" max="6424" width="15.1640625" style="56" customWidth="1"/>
    <col min="6425" max="6662" width="9.33203125" style="56"/>
    <col min="6663" max="6663" width="2.33203125" style="56" customWidth="1"/>
    <col min="6664" max="6664" width="55.1640625" style="56" customWidth="1"/>
    <col min="6665" max="6665" width="12" style="56" bestFit="1" customWidth="1"/>
    <col min="6666" max="6666" width="10.83203125" style="56" bestFit="1" customWidth="1"/>
    <col min="6667" max="6668" width="12" style="56" bestFit="1" customWidth="1"/>
    <col min="6669" max="6669" width="11.33203125" style="56" bestFit="1" customWidth="1"/>
    <col min="6670" max="6672" width="11.33203125" style="56" customWidth="1"/>
    <col min="6673" max="6677" width="9.33203125" style="56"/>
    <col min="6678" max="6678" width="80.1640625" style="56" customWidth="1"/>
    <col min="6679" max="6679" width="9.33203125" style="56"/>
    <col min="6680" max="6680" width="15.1640625" style="56" customWidth="1"/>
    <col min="6681" max="6918" width="9.33203125" style="56"/>
    <col min="6919" max="6919" width="2.33203125" style="56" customWidth="1"/>
    <col min="6920" max="6920" width="55.1640625" style="56" customWidth="1"/>
    <col min="6921" max="6921" width="12" style="56" bestFit="1" customWidth="1"/>
    <col min="6922" max="6922" width="10.83203125" style="56" bestFit="1" customWidth="1"/>
    <col min="6923" max="6924" width="12" style="56" bestFit="1" customWidth="1"/>
    <col min="6925" max="6925" width="11.33203125" style="56" bestFit="1" customWidth="1"/>
    <col min="6926" max="6928" width="11.33203125" style="56" customWidth="1"/>
    <col min="6929" max="6933" width="9.33203125" style="56"/>
    <col min="6934" max="6934" width="80.1640625" style="56" customWidth="1"/>
    <col min="6935" max="6935" width="9.33203125" style="56"/>
    <col min="6936" max="6936" width="15.1640625" style="56" customWidth="1"/>
    <col min="6937" max="7174" width="9.33203125" style="56"/>
    <col min="7175" max="7175" width="2.33203125" style="56" customWidth="1"/>
    <col min="7176" max="7176" width="55.1640625" style="56" customWidth="1"/>
    <col min="7177" max="7177" width="12" style="56" bestFit="1" customWidth="1"/>
    <col min="7178" max="7178" width="10.83203125" style="56" bestFit="1" customWidth="1"/>
    <col min="7179" max="7180" width="12" style="56" bestFit="1" customWidth="1"/>
    <col min="7181" max="7181" width="11.33203125" style="56" bestFit="1" customWidth="1"/>
    <col min="7182" max="7184" width="11.33203125" style="56" customWidth="1"/>
    <col min="7185" max="7189" width="9.33203125" style="56"/>
    <col min="7190" max="7190" width="80.1640625" style="56" customWidth="1"/>
    <col min="7191" max="7191" width="9.33203125" style="56"/>
    <col min="7192" max="7192" width="15.1640625" style="56" customWidth="1"/>
    <col min="7193" max="7430" width="9.33203125" style="56"/>
    <col min="7431" max="7431" width="2.33203125" style="56" customWidth="1"/>
    <col min="7432" max="7432" width="55.1640625" style="56" customWidth="1"/>
    <col min="7433" max="7433" width="12" style="56" bestFit="1" customWidth="1"/>
    <col min="7434" max="7434" width="10.83203125" style="56" bestFit="1" customWidth="1"/>
    <col min="7435" max="7436" width="12" style="56" bestFit="1" customWidth="1"/>
    <col min="7437" max="7437" width="11.33203125" style="56" bestFit="1" customWidth="1"/>
    <col min="7438" max="7440" width="11.33203125" style="56" customWidth="1"/>
    <col min="7441" max="7445" width="9.33203125" style="56"/>
    <col min="7446" max="7446" width="80.1640625" style="56" customWidth="1"/>
    <col min="7447" max="7447" width="9.33203125" style="56"/>
    <col min="7448" max="7448" width="15.1640625" style="56" customWidth="1"/>
    <col min="7449" max="7686" width="9.33203125" style="56"/>
    <col min="7687" max="7687" width="2.33203125" style="56" customWidth="1"/>
    <col min="7688" max="7688" width="55.1640625" style="56" customWidth="1"/>
    <col min="7689" max="7689" width="12" style="56" bestFit="1" customWidth="1"/>
    <col min="7690" max="7690" width="10.83203125" style="56" bestFit="1" customWidth="1"/>
    <col min="7691" max="7692" width="12" style="56" bestFit="1" customWidth="1"/>
    <col min="7693" max="7693" width="11.33203125" style="56" bestFit="1" customWidth="1"/>
    <col min="7694" max="7696" width="11.33203125" style="56" customWidth="1"/>
    <col min="7697" max="7701" width="9.33203125" style="56"/>
    <col min="7702" max="7702" width="80.1640625" style="56" customWidth="1"/>
    <col min="7703" max="7703" width="9.33203125" style="56"/>
    <col min="7704" max="7704" width="15.1640625" style="56" customWidth="1"/>
    <col min="7705" max="7942" width="9.33203125" style="56"/>
    <col min="7943" max="7943" width="2.33203125" style="56" customWidth="1"/>
    <col min="7944" max="7944" width="55.1640625" style="56" customWidth="1"/>
    <col min="7945" max="7945" width="12" style="56" bestFit="1" customWidth="1"/>
    <col min="7946" max="7946" width="10.83203125" style="56" bestFit="1" customWidth="1"/>
    <col min="7947" max="7948" width="12" style="56" bestFit="1" customWidth="1"/>
    <col min="7949" max="7949" width="11.33203125" style="56" bestFit="1" customWidth="1"/>
    <col min="7950" max="7952" width="11.33203125" style="56" customWidth="1"/>
    <col min="7953" max="7957" width="9.33203125" style="56"/>
    <col min="7958" max="7958" width="80.1640625" style="56" customWidth="1"/>
    <col min="7959" max="7959" width="9.33203125" style="56"/>
    <col min="7960" max="7960" width="15.1640625" style="56" customWidth="1"/>
    <col min="7961" max="8198" width="9.33203125" style="56"/>
    <col min="8199" max="8199" width="2.33203125" style="56" customWidth="1"/>
    <col min="8200" max="8200" width="55.1640625" style="56" customWidth="1"/>
    <col min="8201" max="8201" width="12" style="56" bestFit="1" customWidth="1"/>
    <col min="8202" max="8202" width="10.83203125" style="56" bestFit="1" customWidth="1"/>
    <col min="8203" max="8204" width="12" style="56" bestFit="1" customWidth="1"/>
    <col min="8205" max="8205" width="11.33203125" style="56" bestFit="1" customWidth="1"/>
    <col min="8206" max="8208" width="11.33203125" style="56" customWidth="1"/>
    <col min="8209" max="8213" width="9.33203125" style="56"/>
    <col min="8214" max="8214" width="80.1640625" style="56" customWidth="1"/>
    <col min="8215" max="8215" width="9.33203125" style="56"/>
    <col min="8216" max="8216" width="15.1640625" style="56" customWidth="1"/>
    <col min="8217" max="8454" width="9.33203125" style="56"/>
    <col min="8455" max="8455" width="2.33203125" style="56" customWidth="1"/>
    <col min="8456" max="8456" width="55.1640625" style="56" customWidth="1"/>
    <col min="8457" max="8457" width="12" style="56" bestFit="1" customWidth="1"/>
    <col min="8458" max="8458" width="10.83203125" style="56" bestFit="1" customWidth="1"/>
    <col min="8459" max="8460" width="12" style="56" bestFit="1" customWidth="1"/>
    <col min="8461" max="8461" width="11.33203125" style="56" bestFit="1" customWidth="1"/>
    <col min="8462" max="8464" width="11.33203125" style="56" customWidth="1"/>
    <col min="8465" max="8469" width="9.33203125" style="56"/>
    <col min="8470" max="8470" width="80.1640625" style="56" customWidth="1"/>
    <col min="8471" max="8471" width="9.33203125" style="56"/>
    <col min="8472" max="8472" width="15.1640625" style="56" customWidth="1"/>
    <col min="8473" max="8710" width="9.33203125" style="56"/>
    <col min="8711" max="8711" width="2.33203125" style="56" customWidth="1"/>
    <col min="8712" max="8712" width="55.1640625" style="56" customWidth="1"/>
    <col min="8713" max="8713" width="12" style="56" bestFit="1" customWidth="1"/>
    <col min="8714" max="8714" width="10.83203125" style="56" bestFit="1" customWidth="1"/>
    <col min="8715" max="8716" width="12" style="56" bestFit="1" customWidth="1"/>
    <col min="8717" max="8717" width="11.33203125" style="56" bestFit="1" customWidth="1"/>
    <col min="8718" max="8720" width="11.33203125" style="56" customWidth="1"/>
    <col min="8721" max="8725" width="9.33203125" style="56"/>
    <col min="8726" max="8726" width="80.1640625" style="56" customWidth="1"/>
    <col min="8727" max="8727" width="9.33203125" style="56"/>
    <col min="8728" max="8728" width="15.1640625" style="56" customWidth="1"/>
    <col min="8729" max="8966" width="9.33203125" style="56"/>
    <col min="8967" max="8967" width="2.33203125" style="56" customWidth="1"/>
    <col min="8968" max="8968" width="55.1640625" style="56" customWidth="1"/>
    <col min="8969" max="8969" width="12" style="56" bestFit="1" customWidth="1"/>
    <col min="8970" max="8970" width="10.83203125" style="56" bestFit="1" customWidth="1"/>
    <col min="8971" max="8972" width="12" style="56" bestFit="1" customWidth="1"/>
    <col min="8973" max="8973" width="11.33203125" style="56" bestFit="1" customWidth="1"/>
    <col min="8974" max="8976" width="11.33203125" style="56" customWidth="1"/>
    <col min="8977" max="8981" width="9.33203125" style="56"/>
    <col min="8982" max="8982" width="80.1640625" style="56" customWidth="1"/>
    <col min="8983" max="8983" width="9.33203125" style="56"/>
    <col min="8984" max="8984" width="15.1640625" style="56" customWidth="1"/>
    <col min="8985" max="9222" width="9.33203125" style="56"/>
    <col min="9223" max="9223" width="2.33203125" style="56" customWidth="1"/>
    <col min="9224" max="9224" width="55.1640625" style="56" customWidth="1"/>
    <col min="9225" max="9225" width="12" style="56" bestFit="1" customWidth="1"/>
    <col min="9226" max="9226" width="10.83203125" style="56" bestFit="1" customWidth="1"/>
    <col min="9227" max="9228" width="12" style="56" bestFit="1" customWidth="1"/>
    <col min="9229" max="9229" width="11.33203125" style="56" bestFit="1" customWidth="1"/>
    <col min="9230" max="9232" width="11.33203125" style="56" customWidth="1"/>
    <col min="9233" max="9237" width="9.33203125" style="56"/>
    <col min="9238" max="9238" width="80.1640625" style="56" customWidth="1"/>
    <col min="9239" max="9239" width="9.33203125" style="56"/>
    <col min="9240" max="9240" width="15.1640625" style="56" customWidth="1"/>
    <col min="9241" max="9478" width="9.33203125" style="56"/>
    <col min="9479" max="9479" width="2.33203125" style="56" customWidth="1"/>
    <col min="9480" max="9480" width="55.1640625" style="56" customWidth="1"/>
    <col min="9481" max="9481" width="12" style="56" bestFit="1" customWidth="1"/>
    <col min="9482" max="9482" width="10.83203125" style="56" bestFit="1" customWidth="1"/>
    <col min="9483" max="9484" width="12" style="56" bestFit="1" customWidth="1"/>
    <col min="9485" max="9485" width="11.33203125" style="56" bestFit="1" customWidth="1"/>
    <col min="9486" max="9488" width="11.33203125" style="56" customWidth="1"/>
    <col min="9489" max="9493" width="9.33203125" style="56"/>
    <col min="9494" max="9494" width="80.1640625" style="56" customWidth="1"/>
    <col min="9495" max="9495" width="9.33203125" style="56"/>
    <col min="9496" max="9496" width="15.1640625" style="56" customWidth="1"/>
    <col min="9497" max="9734" width="9.33203125" style="56"/>
    <col min="9735" max="9735" width="2.33203125" style="56" customWidth="1"/>
    <col min="9736" max="9736" width="55.1640625" style="56" customWidth="1"/>
    <col min="9737" max="9737" width="12" style="56" bestFit="1" customWidth="1"/>
    <col min="9738" max="9738" width="10.83203125" style="56" bestFit="1" customWidth="1"/>
    <col min="9739" max="9740" width="12" style="56" bestFit="1" customWidth="1"/>
    <col min="9741" max="9741" width="11.33203125" style="56" bestFit="1" customWidth="1"/>
    <col min="9742" max="9744" width="11.33203125" style="56" customWidth="1"/>
    <col min="9745" max="9749" width="9.33203125" style="56"/>
    <col min="9750" max="9750" width="80.1640625" style="56" customWidth="1"/>
    <col min="9751" max="9751" width="9.33203125" style="56"/>
    <col min="9752" max="9752" width="15.1640625" style="56" customWidth="1"/>
    <col min="9753" max="9990" width="9.33203125" style="56"/>
    <col min="9991" max="9991" width="2.33203125" style="56" customWidth="1"/>
    <col min="9992" max="9992" width="55.1640625" style="56" customWidth="1"/>
    <col min="9993" max="9993" width="12" style="56" bestFit="1" customWidth="1"/>
    <col min="9994" max="9994" width="10.83203125" style="56" bestFit="1" customWidth="1"/>
    <col min="9995" max="9996" width="12" style="56" bestFit="1" customWidth="1"/>
    <col min="9997" max="9997" width="11.33203125" style="56" bestFit="1" customWidth="1"/>
    <col min="9998" max="10000" width="11.33203125" style="56" customWidth="1"/>
    <col min="10001" max="10005" width="9.33203125" style="56"/>
    <col min="10006" max="10006" width="80.1640625" style="56" customWidth="1"/>
    <col min="10007" max="10007" width="9.33203125" style="56"/>
    <col min="10008" max="10008" width="15.1640625" style="56" customWidth="1"/>
    <col min="10009" max="10246" width="9.33203125" style="56"/>
    <col min="10247" max="10247" width="2.33203125" style="56" customWidth="1"/>
    <col min="10248" max="10248" width="55.1640625" style="56" customWidth="1"/>
    <col min="10249" max="10249" width="12" style="56" bestFit="1" customWidth="1"/>
    <col min="10250" max="10250" width="10.83203125" style="56" bestFit="1" customWidth="1"/>
    <col min="10251" max="10252" width="12" style="56" bestFit="1" customWidth="1"/>
    <col min="10253" max="10253" width="11.33203125" style="56" bestFit="1" customWidth="1"/>
    <col min="10254" max="10256" width="11.33203125" style="56" customWidth="1"/>
    <col min="10257" max="10261" width="9.33203125" style="56"/>
    <col min="10262" max="10262" width="80.1640625" style="56" customWidth="1"/>
    <col min="10263" max="10263" width="9.33203125" style="56"/>
    <col min="10264" max="10264" width="15.1640625" style="56" customWidth="1"/>
    <col min="10265" max="10502" width="9.33203125" style="56"/>
    <col min="10503" max="10503" width="2.33203125" style="56" customWidth="1"/>
    <col min="10504" max="10504" width="55.1640625" style="56" customWidth="1"/>
    <col min="10505" max="10505" width="12" style="56" bestFit="1" customWidth="1"/>
    <col min="10506" max="10506" width="10.83203125" style="56" bestFit="1" customWidth="1"/>
    <col min="10507" max="10508" width="12" style="56" bestFit="1" customWidth="1"/>
    <col min="10509" max="10509" width="11.33203125" style="56" bestFit="1" customWidth="1"/>
    <col min="10510" max="10512" width="11.33203125" style="56" customWidth="1"/>
    <col min="10513" max="10517" width="9.33203125" style="56"/>
    <col min="10518" max="10518" width="80.1640625" style="56" customWidth="1"/>
    <col min="10519" max="10519" width="9.33203125" style="56"/>
    <col min="10520" max="10520" width="15.1640625" style="56" customWidth="1"/>
    <col min="10521" max="10758" width="9.33203125" style="56"/>
    <col min="10759" max="10759" width="2.33203125" style="56" customWidth="1"/>
    <col min="10760" max="10760" width="55.1640625" style="56" customWidth="1"/>
    <col min="10761" max="10761" width="12" style="56" bestFit="1" customWidth="1"/>
    <col min="10762" max="10762" width="10.83203125" style="56" bestFit="1" customWidth="1"/>
    <col min="10763" max="10764" width="12" style="56" bestFit="1" customWidth="1"/>
    <col min="10765" max="10765" width="11.33203125" style="56" bestFit="1" customWidth="1"/>
    <col min="10766" max="10768" width="11.33203125" style="56" customWidth="1"/>
    <col min="10769" max="10773" width="9.33203125" style="56"/>
    <col min="10774" max="10774" width="80.1640625" style="56" customWidth="1"/>
    <col min="10775" max="10775" width="9.33203125" style="56"/>
    <col min="10776" max="10776" width="15.1640625" style="56" customWidth="1"/>
    <col min="10777" max="11014" width="9.33203125" style="56"/>
    <col min="11015" max="11015" width="2.33203125" style="56" customWidth="1"/>
    <col min="11016" max="11016" width="55.1640625" style="56" customWidth="1"/>
    <col min="11017" max="11017" width="12" style="56" bestFit="1" customWidth="1"/>
    <col min="11018" max="11018" width="10.83203125" style="56" bestFit="1" customWidth="1"/>
    <col min="11019" max="11020" width="12" style="56" bestFit="1" customWidth="1"/>
    <col min="11021" max="11021" width="11.33203125" style="56" bestFit="1" customWidth="1"/>
    <col min="11022" max="11024" width="11.33203125" style="56" customWidth="1"/>
    <col min="11025" max="11029" width="9.33203125" style="56"/>
    <col min="11030" max="11030" width="80.1640625" style="56" customWidth="1"/>
    <col min="11031" max="11031" width="9.33203125" style="56"/>
    <col min="11032" max="11032" width="15.1640625" style="56" customWidth="1"/>
    <col min="11033" max="11270" width="9.33203125" style="56"/>
    <col min="11271" max="11271" width="2.33203125" style="56" customWidth="1"/>
    <col min="11272" max="11272" width="55.1640625" style="56" customWidth="1"/>
    <col min="11273" max="11273" width="12" style="56" bestFit="1" customWidth="1"/>
    <col min="11274" max="11274" width="10.83203125" style="56" bestFit="1" customWidth="1"/>
    <col min="11275" max="11276" width="12" style="56" bestFit="1" customWidth="1"/>
    <col min="11277" max="11277" width="11.33203125" style="56" bestFit="1" customWidth="1"/>
    <col min="11278" max="11280" width="11.33203125" style="56" customWidth="1"/>
    <col min="11281" max="11285" width="9.33203125" style="56"/>
    <col min="11286" max="11286" width="80.1640625" style="56" customWidth="1"/>
    <col min="11287" max="11287" width="9.33203125" style="56"/>
    <col min="11288" max="11288" width="15.1640625" style="56" customWidth="1"/>
    <col min="11289" max="11526" width="9.33203125" style="56"/>
    <col min="11527" max="11527" width="2.33203125" style="56" customWidth="1"/>
    <col min="11528" max="11528" width="55.1640625" style="56" customWidth="1"/>
    <col min="11529" max="11529" width="12" style="56" bestFit="1" customWidth="1"/>
    <col min="11530" max="11530" width="10.83203125" style="56" bestFit="1" customWidth="1"/>
    <col min="11531" max="11532" width="12" style="56" bestFit="1" customWidth="1"/>
    <col min="11533" max="11533" width="11.33203125" style="56" bestFit="1" customWidth="1"/>
    <col min="11534" max="11536" width="11.33203125" style="56" customWidth="1"/>
    <col min="11537" max="11541" width="9.33203125" style="56"/>
    <col min="11542" max="11542" width="80.1640625" style="56" customWidth="1"/>
    <col min="11543" max="11543" width="9.33203125" style="56"/>
    <col min="11544" max="11544" width="15.1640625" style="56" customWidth="1"/>
    <col min="11545" max="11782" width="9.33203125" style="56"/>
    <col min="11783" max="11783" width="2.33203125" style="56" customWidth="1"/>
    <col min="11784" max="11784" width="55.1640625" style="56" customWidth="1"/>
    <col min="11785" max="11785" width="12" style="56" bestFit="1" customWidth="1"/>
    <col min="11786" max="11786" width="10.83203125" style="56" bestFit="1" customWidth="1"/>
    <col min="11787" max="11788" width="12" style="56" bestFit="1" customWidth="1"/>
    <col min="11789" max="11789" width="11.33203125" style="56" bestFit="1" customWidth="1"/>
    <col min="11790" max="11792" width="11.33203125" style="56" customWidth="1"/>
    <col min="11793" max="11797" width="9.33203125" style="56"/>
    <col min="11798" max="11798" width="80.1640625" style="56" customWidth="1"/>
    <col min="11799" max="11799" width="9.33203125" style="56"/>
    <col min="11800" max="11800" width="15.1640625" style="56" customWidth="1"/>
    <col min="11801" max="12038" width="9.33203125" style="56"/>
    <col min="12039" max="12039" width="2.33203125" style="56" customWidth="1"/>
    <col min="12040" max="12040" width="55.1640625" style="56" customWidth="1"/>
    <col min="12041" max="12041" width="12" style="56" bestFit="1" customWidth="1"/>
    <col min="12042" max="12042" width="10.83203125" style="56" bestFit="1" customWidth="1"/>
    <col min="12043" max="12044" width="12" style="56" bestFit="1" customWidth="1"/>
    <col min="12045" max="12045" width="11.33203125" style="56" bestFit="1" customWidth="1"/>
    <col min="12046" max="12048" width="11.33203125" style="56" customWidth="1"/>
    <col min="12049" max="12053" width="9.33203125" style="56"/>
    <col min="12054" max="12054" width="80.1640625" style="56" customWidth="1"/>
    <col min="12055" max="12055" width="9.33203125" style="56"/>
    <col min="12056" max="12056" width="15.1640625" style="56" customWidth="1"/>
    <col min="12057" max="12294" width="9.33203125" style="56"/>
    <col min="12295" max="12295" width="2.33203125" style="56" customWidth="1"/>
    <col min="12296" max="12296" width="55.1640625" style="56" customWidth="1"/>
    <col min="12297" max="12297" width="12" style="56" bestFit="1" customWidth="1"/>
    <col min="12298" max="12298" width="10.83203125" style="56" bestFit="1" customWidth="1"/>
    <col min="12299" max="12300" width="12" style="56" bestFit="1" customWidth="1"/>
    <col min="12301" max="12301" width="11.33203125" style="56" bestFit="1" customWidth="1"/>
    <col min="12302" max="12304" width="11.33203125" style="56" customWidth="1"/>
    <col min="12305" max="12309" width="9.33203125" style="56"/>
    <col min="12310" max="12310" width="80.1640625" style="56" customWidth="1"/>
    <col min="12311" max="12311" width="9.33203125" style="56"/>
    <col min="12312" max="12312" width="15.1640625" style="56" customWidth="1"/>
    <col min="12313" max="12550" width="9.33203125" style="56"/>
    <col min="12551" max="12551" width="2.33203125" style="56" customWidth="1"/>
    <col min="12552" max="12552" width="55.1640625" style="56" customWidth="1"/>
    <col min="12553" max="12553" width="12" style="56" bestFit="1" customWidth="1"/>
    <col min="12554" max="12554" width="10.83203125" style="56" bestFit="1" customWidth="1"/>
    <col min="12555" max="12556" width="12" style="56" bestFit="1" customWidth="1"/>
    <col min="12557" max="12557" width="11.33203125" style="56" bestFit="1" customWidth="1"/>
    <col min="12558" max="12560" width="11.33203125" style="56" customWidth="1"/>
    <col min="12561" max="12565" width="9.33203125" style="56"/>
    <col min="12566" max="12566" width="80.1640625" style="56" customWidth="1"/>
    <col min="12567" max="12567" width="9.33203125" style="56"/>
    <col min="12568" max="12568" width="15.1640625" style="56" customWidth="1"/>
    <col min="12569" max="12806" width="9.33203125" style="56"/>
    <col min="12807" max="12807" width="2.33203125" style="56" customWidth="1"/>
    <col min="12808" max="12808" width="55.1640625" style="56" customWidth="1"/>
    <col min="12809" max="12809" width="12" style="56" bestFit="1" customWidth="1"/>
    <col min="12810" max="12810" width="10.83203125" style="56" bestFit="1" customWidth="1"/>
    <col min="12811" max="12812" width="12" style="56" bestFit="1" customWidth="1"/>
    <col min="12813" max="12813" width="11.33203125" style="56" bestFit="1" customWidth="1"/>
    <col min="12814" max="12816" width="11.33203125" style="56" customWidth="1"/>
    <col min="12817" max="12821" width="9.33203125" style="56"/>
    <col min="12822" max="12822" width="80.1640625" style="56" customWidth="1"/>
    <col min="12823" max="12823" width="9.33203125" style="56"/>
    <col min="12824" max="12824" width="15.1640625" style="56" customWidth="1"/>
    <col min="12825" max="13062" width="9.33203125" style="56"/>
    <col min="13063" max="13063" width="2.33203125" style="56" customWidth="1"/>
    <col min="13064" max="13064" width="55.1640625" style="56" customWidth="1"/>
    <col min="13065" max="13065" width="12" style="56" bestFit="1" customWidth="1"/>
    <col min="13066" max="13066" width="10.83203125" style="56" bestFit="1" customWidth="1"/>
    <col min="13067" max="13068" width="12" style="56" bestFit="1" customWidth="1"/>
    <col min="13069" max="13069" width="11.33203125" style="56" bestFit="1" customWidth="1"/>
    <col min="13070" max="13072" width="11.33203125" style="56" customWidth="1"/>
    <col min="13073" max="13077" width="9.33203125" style="56"/>
    <col min="13078" max="13078" width="80.1640625" style="56" customWidth="1"/>
    <col min="13079" max="13079" width="9.33203125" style="56"/>
    <col min="13080" max="13080" width="15.1640625" style="56" customWidth="1"/>
    <col min="13081" max="13318" width="9.33203125" style="56"/>
    <col min="13319" max="13319" width="2.33203125" style="56" customWidth="1"/>
    <col min="13320" max="13320" width="55.1640625" style="56" customWidth="1"/>
    <col min="13321" max="13321" width="12" style="56" bestFit="1" customWidth="1"/>
    <col min="13322" max="13322" width="10.83203125" style="56" bestFit="1" customWidth="1"/>
    <col min="13323" max="13324" width="12" style="56" bestFit="1" customWidth="1"/>
    <col min="13325" max="13325" width="11.33203125" style="56" bestFit="1" customWidth="1"/>
    <col min="13326" max="13328" width="11.33203125" style="56" customWidth="1"/>
    <col min="13329" max="13333" width="9.33203125" style="56"/>
    <col min="13334" max="13334" width="80.1640625" style="56" customWidth="1"/>
    <col min="13335" max="13335" width="9.33203125" style="56"/>
    <col min="13336" max="13336" width="15.1640625" style="56" customWidth="1"/>
    <col min="13337" max="13574" width="9.33203125" style="56"/>
    <col min="13575" max="13575" width="2.33203125" style="56" customWidth="1"/>
    <col min="13576" max="13576" width="55.1640625" style="56" customWidth="1"/>
    <col min="13577" max="13577" width="12" style="56" bestFit="1" customWidth="1"/>
    <col min="13578" max="13578" width="10.83203125" style="56" bestFit="1" customWidth="1"/>
    <col min="13579" max="13580" width="12" style="56" bestFit="1" customWidth="1"/>
    <col min="13581" max="13581" width="11.33203125" style="56" bestFit="1" customWidth="1"/>
    <col min="13582" max="13584" width="11.33203125" style="56" customWidth="1"/>
    <col min="13585" max="13589" width="9.33203125" style="56"/>
    <col min="13590" max="13590" width="80.1640625" style="56" customWidth="1"/>
    <col min="13591" max="13591" width="9.33203125" style="56"/>
    <col min="13592" max="13592" width="15.1640625" style="56" customWidth="1"/>
    <col min="13593" max="13830" width="9.33203125" style="56"/>
    <col min="13831" max="13831" width="2.33203125" style="56" customWidth="1"/>
    <col min="13832" max="13832" width="55.1640625" style="56" customWidth="1"/>
    <col min="13833" max="13833" width="12" style="56" bestFit="1" customWidth="1"/>
    <col min="13834" max="13834" width="10.83203125" style="56" bestFit="1" customWidth="1"/>
    <col min="13835" max="13836" width="12" style="56" bestFit="1" customWidth="1"/>
    <col min="13837" max="13837" width="11.33203125" style="56" bestFit="1" customWidth="1"/>
    <col min="13838" max="13840" width="11.33203125" style="56" customWidth="1"/>
    <col min="13841" max="13845" width="9.33203125" style="56"/>
    <col min="13846" max="13846" width="80.1640625" style="56" customWidth="1"/>
    <col min="13847" max="13847" width="9.33203125" style="56"/>
    <col min="13848" max="13848" width="15.1640625" style="56" customWidth="1"/>
    <col min="13849" max="14086" width="9.33203125" style="56"/>
    <col min="14087" max="14087" width="2.33203125" style="56" customWidth="1"/>
    <col min="14088" max="14088" width="55.1640625" style="56" customWidth="1"/>
    <col min="14089" max="14089" width="12" style="56" bestFit="1" customWidth="1"/>
    <col min="14090" max="14090" width="10.83203125" style="56" bestFit="1" customWidth="1"/>
    <col min="14091" max="14092" width="12" style="56" bestFit="1" customWidth="1"/>
    <col min="14093" max="14093" width="11.33203125" style="56" bestFit="1" customWidth="1"/>
    <col min="14094" max="14096" width="11.33203125" style="56" customWidth="1"/>
    <col min="14097" max="14101" width="9.33203125" style="56"/>
    <col min="14102" max="14102" width="80.1640625" style="56" customWidth="1"/>
    <col min="14103" max="14103" width="9.33203125" style="56"/>
    <col min="14104" max="14104" width="15.1640625" style="56" customWidth="1"/>
    <col min="14105" max="14342" width="9.33203125" style="56"/>
    <col min="14343" max="14343" width="2.33203125" style="56" customWidth="1"/>
    <col min="14344" max="14344" width="55.1640625" style="56" customWidth="1"/>
    <col min="14345" max="14345" width="12" style="56" bestFit="1" customWidth="1"/>
    <col min="14346" max="14346" width="10.83203125" style="56" bestFit="1" customWidth="1"/>
    <col min="14347" max="14348" width="12" style="56" bestFit="1" customWidth="1"/>
    <col min="14349" max="14349" width="11.33203125" style="56" bestFit="1" customWidth="1"/>
    <col min="14350" max="14352" width="11.33203125" style="56" customWidth="1"/>
    <col min="14353" max="14357" width="9.33203125" style="56"/>
    <col min="14358" max="14358" width="80.1640625" style="56" customWidth="1"/>
    <col min="14359" max="14359" width="9.33203125" style="56"/>
    <col min="14360" max="14360" width="15.1640625" style="56" customWidth="1"/>
    <col min="14361" max="14598" width="9.33203125" style="56"/>
    <col min="14599" max="14599" width="2.33203125" style="56" customWidth="1"/>
    <col min="14600" max="14600" width="55.1640625" style="56" customWidth="1"/>
    <col min="14601" max="14601" width="12" style="56" bestFit="1" customWidth="1"/>
    <col min="14602" max="14602" width="10.83203125" style="56" bestFit="1" customWidth="1"/>
    <col min="14603" max="14604" width="12" style="56" bestFit="1" customWidth="1"/>
    <col min="14605" max="14605" width="11.33203125" style="56" bestFit="1" customWidth="1"/>
    <col min="14606" max="14608" width="11.33203125" style="56" customWidth="1"/>
    <col min="14609" max="14613" width="9.33203125" style="56"/>
    <col min="14614" max="14614" width="80.1640625" style="56" customWidth="1"/>
    <col min="14615" max="14615" width="9.33203125" style="56"/>
    <col min="14616" max="14616" width="15.1640625" style="56" customWidth="1"/>
    <col min="14617" max="14854" width="9.33203125" style="56"/>
    <col min="14855" max="14855" width="2.33203125" style="56" customWidth="1"/>
    <col min="14856" max="14856" width="55.1640625" style="56" customWidth="1"/>
    <col min="14857" max="14857" width="12" style="56" bestFit="1" customWidth="1"/>
    <col min="14858" max="14858" width="10.83203125" style="56" bestFit="1" customWidth="1"/>
    <col min="14859" max="14860" width="12" style="56" bestFit="1" customWidth="1"/>
    <col min="14861" max="14861" width="11.33203125" style="56" bestFit="1" customWidth="1"/>
    <col min="14862" max="14864" width="11.33203125" style="56" customWidth="1"/>
    <col min="14865" max="14869" width="9.33203125" style="56"/>
    <col min="14870" max="14870" width="80.1640625" style="56" customWidth="1"/>
    <col min="14871" max="14871" width="9.33203125" style="56"/>
    <col min="14872" max="14872" width="15.1640625" style="56" customWidth="1"/>
    <col min="14873" max="15110" width="9.33203125" style="56"/>
    <col min="15111" max="15111" width="2.33203125" style="56" customWidth="1"/>
    <col min="15112" max="15112" width="55.1640625" style="56" customWidth="1"/>
    <col min="15113" max="15113" width="12" style="56" bestFit="1" customWidth="1"/>
    <col min="15114" max="15114" width="10.83203125" style="56" bestFit="1" customWidth="1"/>
    <col min="15115" max="15116" width="12" style="56" bestFit="1" customWidth="1"/>
    <col min="15117" max="15117" width="11.33203125" style="56" bestFit="1" customWidth="1"/>
    <col min="15118" max="15120" width="11.33203125" style="56" customWidth="1"/>
    <col min="15121" max="15125" width="9.33203125" style="56"/>
    <col min="15126" max="15126" width="80.1640625" style="56" customWidth="1"/>
    <col min="15127" max="15127" width="9.33203125" style="56"/>
    <col min="15128" max="15128" width="15.1640625" style="56" customWidth="1"/>
    <col min="15129" max="15366" width="9.33203125" style="56"/>
    <col min="15367" max="15367" width="2.33203125" style="56" customWidth="1"/>
    <col min="15368" max="15368" width="55.1640625" style="56" customWidth="1"/>
    <col min="15369" max="15369" width="12" style="56" bestFit="1" customWidth="1"/>
    <col min="15370" max="15370" width="10.83203125" style="56" bestFit="1" customWidth="1"/>
    <col min="15371" max="15372" width="12" style="56" bestFit="1" customWidth="1"/>
    <col min="15373" max="15373" width="11.33203125" style="56" bestFit="1" customWidth="1"/>
    <col min="15374" max="15376" width="11.33203125" style="56" customWidth="1"/>
    <col min="15377" max="15381" width="9.33203125" style="56"/>
    <col min="15382" max="15382" width="80.1640625" style="56" customWidth="1"/>
    <col min="15383" max="15383" width="9.33203125" style="56"/>
    <col min="15384" max="15384" width="15.1640625" style="56" customWidth="1"/>
    <col min="15385" max="15622" width="9.33203125" style="56"/>
    <col min="15623" max="15623" width="2.33203125" style="56" customWidth="1"/>
    <col min="15624" max="15624" width="55.1640625" style="56" customWidth="1"/>
    <col min="15625" max="15625" width="12" style="56" bestFit="1" customWidth="1"/>
    <col min="15626" max="15626" width="10.83203125" style="56" bestFit="1" customWidth="1"/>
    <col min="15627" max="15628" width="12" style="56" bestFit="1" customWidth="1"/>
    <col min="15629" max="15629" width="11.33203125" style="56" bestFit="1" customWidth="1"/>
    <col min="15630" max="15632" width="11.33203125" style="56" customWidth="1"/>
    <col min="15633" max="15637" width="9.33203125" style="56"/>
    <col min="15638" max="15638" width="80.1640625" style="56" customWidth="1"/>
    <col min="15639" max="15639" width="9.33203125" style="56"/>
    <col min="15640" max="15640" width="15.1640625" style="56" customWidth="1"/>
    <col min="15641" max="15878" width="9.33203125" style="56"/>
    <col min="15879" max="15879" width="2.33203125" style="56" customWidth="1"/>
    <col min="15880" max="15880" width="55.1640625" style="56" customWidth="1"/>
    <col min="15881" max="15881" width="12" style="56" bestFit="1" customWidth="1"/>
    <col min="15882" max="15882" width="10.83203125" style="56" bestFit="1" customWidth="1"/>
    <col min="15883" max="15884" width="12" style="56" bestFit="1" customWidth="1"/>
    <col min="15885" max="15885" width="11.33203125" style="56" bestFit="1" customWidth="1"/>
    <col min="15886" max="15888" width="11.33203125" style="56" customWidth="1"/>
    <col min="15889" max="15893" width="9.33203125" style="56"/>
    <col min="15894" max="15894" width="80.1640625" style="56" customWidth="1"/>
    <col min="15895" max="15895" width="9.33203125" style="56"/>
    <col min="15896" max="15896" width="15.1640625" style="56" customWidth="1"/>
    <col min="15897" max="16134" width="9.33203125" style="56"/>
    <col min="16135" max="16135" width="2.33203125" style="56" customWidth="1"/>
    <col min="16136" max="16136" width="55.1640625" style="56" customWidth="1"/>
    <col min="16137" max="16137" width="12" style="56" bestFit="1" customWidth="1"/>
    <col min="16138" max="16138" width="10.83203125" style="56" bestFit="1" customWidth="1"/>
    <col min="16139" max="16140" width="12" style="56" bestFit="1" customWidth="1"/>
    <col min="16141" max="16141" width="11.33203125" style="56" bestFit="1" customWidth="1"/>
    <col min="16142" max="16144" width="11.33203125" style="56" customWidth="1"/>
    <col min="16145" max="16149" width="9.33203125" style="56"/>
    <col min="16150" max="16150" width="80.1640625" style="56" customWidth="1"/>
    <col min="16151" max="16151" width="9.33203125" style="56"/>
    <col min="16152" max="16152" width="15.1640625" style="56" customWidth="1"/>
    <col min="16153" max="16384" width="9.33203125" style="56"/>
  </cols>
  <sheetData>
    <row r="1" spans="2:32" s="48" customFormat="1">
      <c r="B1" s="78"/>
      <c r="D1" s="93"/>
      <c r="T1" s="445"/>
      <c r="U1" s="445"/>
      <c r="V1" s="445"/>
      <c r="W1" s="445"/>
      <c r="X1" s="445"/>
      <c r="Y1" s="445"/>
      <c r="AA1"/>
      <c r="AB1"/>
      <c r="AC1"/>
      <c r="AD1"/>
      <c r="AE1"/>
      <c r="AF1"/>
    </row>
    <row r="2" spans="2:32" ht="12.75">
      <c r="B2" s="4" t="s">
        <v>27</v>
      </c>
      <c r="C2" s="50">
        <v>2009</v>
      </c>
      <c r="D2" s="50">
        <v>2010</v>
      </c>
      <c r="E2" s="50">
        <v>2011</v>
      </c>
      <c r="F2" s="50">
        <v>2012</v>
      </c>
      <c r="G2" s="50">
        <v>2013</v>
      </c>
      <c r="H2" s="50">
        <v>2014</v>
      </c>
      <c r="I2" s="50">
        <v>2015</v>
      </c>
      <c r="J2" s="50">
        <v>2016</v>
      </c>
      <c r="K2" s="776">
        <v>2017</v>
      </c>
      <c r="L2" s="50">
        <v>2018</v>
      </c>
      <c r="M2" s="50">
        <v>2019</v>
      </c>
      <c r="N2" s="50">
        <v>2020</v>
      </c>
      <c r="O2" s="50">
        <f>N2+1</f>
        <v>2021</v>
      </c>
      <c r="P2" s="50">
        <f t="shared" ref="P2:X2" si="0">O2+1</f>
        <v>2022</v>
      </c>
      <c r="Q2" s="50">
        <f t="shared" si="0"/>
        <v>2023</v>
      </c>
      <c r="R2" s="50">
        <f t="shared" si="0"/>
        <v>2024</v>
      </c>
      <c r="S2" s="50">
        <f t="shared" si="0"/>
        <v>2025</v>
      </c>
      <c r="T2" s="50">
        <f t="shared" si="0"/>
        <v>2026</v>
      </c>
      <c r="U2" s="50">
        <f t="shared" si="0"/>
        <v>2027</v>
      </c>
      <c r="V2" s="50">
        <f t="shared" si="0"/>
        <v>2028</v>
      </c>
      <c r="W2" s="50">
        <f t="shared" si="0"/>
        <v>2029</v>
      </c>
      <c r="X2" s="50">
        <f t="shared" si="0"/>
        <v>2030</v>
      </c>
    </row>
    <row r="3" spans="2:32" ht="12.75">
      <c r="B3" s="89" t="s">
        <v>133</v>
      </c>
      <c r="C3" s="66"/>
      <c r="D3" s="66"/>
      <c r="E3" s="52"/>
      <c r="F3" s="52"/>
      <c r="G3" s="52"/>
      <c r="H3" s="52"/>
      <c r="I3" s="52"/>
      <c r="J3" s="52"/>
      <c r="K3" s="777"/>
    </row>
    <row r="4" spans="2:32" ht="12.75">
      <c r="B4" s="89"/>
      <c r="C4" s="66"/>
      <c r="D4" s="66"/>
      <c r="E4" s="52"/>
      <c r="F4" s="52"/>
      <c r="G4" s="51"/>
      <c r="H4" s="51"/>
      <c r="I4" s="51"/>
      <c r="J4" s="51"/>
      <c r="K4" s="777"/>
    </row>
    <row r="5" spans="2:32" ht="12.75">
      <c r="B5" s="83" t="s">
        <v>134</v>
      </c>
      <c r="C5" s="94"/>
      <c r="D5" s="94"/>
      <c r="E5" s="94"/>
      <c r="F5" s="94"/>
      <c r="G5" s="287">
        <v>-687.55</v>
      </c>
      <c r="H5" s="287">
        <v>-742.745</v>
      </c>
      <c r="I5" s="287">
        <v>-588.18100000000004</v>
      </c>
      <c r="J5" s="648">
        <v>-84.031000000000006</v>
      </c>
      <c r="K5" s="778">
        <v>91.635000000000005</v>
      </c>
      <c r="L5" s="280">
        <f>IS!AK116</f>
        <v>522.36770900770773</v>
      </c>
      <c r="M5" s="280">
        <f>IS!AP116</f>
        <v>672.00411994160345</v>
      </c>
      <c r="N5" s="280">
        <f>IS!AU116</f>
        <v>1595.7559857770864</v>
      </c>
      <c r="O5" s="280">
        <f>IS!AZ116</f>
        <v>2761.2751784833622</v>
      </c>
      <c r="P5" s="280">
        <f>IS!BE116</f>
        <v>2901.3932005792353</v>
      </c>
      <c r="Q5" s="280">
        <f>IS!BJ116</f>
        <v>3122.3164897759516</v>
      </c>
      <c r="R5" s="280">
        <f>IS!BO116</f>
        <v>3362.5087251266382</v>
      </c>
      <c r="S5" s="280">
        <f>IS!BT116</f>
        <v>4035.5336353684206</v>
      </c>
      <c r="T5" s="280">
        <f>IS!BY116</f>
        <v>5307.3229474238278</v>
      </c>
      <c r="U5" s="280">
        <f>IS!CD116</f>
        <v>5587.612969497246</v>
      </c>
      <c r="V5" s="280">
        <f>IS!CI116</f>
        <v>5906.5386957868777</v>
      </c>
      <c r="W5" s="280">
        <f>IS!CN116</f>
        <v>6162.622966381874</v>
      </c>
      <c r="X5" s="280">
        <f>IS!CS116</f>
        <v>6513.54327341928</v>
      </c>
    </row>
    <row r="6" spans="2:32" ht="12.75">
      <c r="B6" s="83" t="s">
        <v>135</v>
      </c>
      <c r="C6" s="57"/>
      <c r="D6" s="57"/>
      <c r="E6" s="57"/>
      <c r="F6" s="57"/>
      <c r="G6" s="277"/>
      <c r="H6" s="277"/>
      <c r="I6" s="277"/>
      <c r="J6" s="283"/>
      <c r="K6" s="779"/>
      <c r="L6" s="284"/>
      <c r="M6" s="284"/>
      <c r="N6" s="284"/>
    </row>
    <row r="7" spans="2:32" ht="12.75">
      <c r="B7" s="81" t="s">
        <v>196</v>
      </c>
      <c r="C7" s="57"/>
      <c r="D7" s="57"/>
      <c r="E7" s="57"/>
      <c r="F7" s="57"/>
      <c r="G7" s="277">
        <v>48.365000000000002</v>
      </c>
      <c r="H7" s="277">
        <v>63.256999999999998</v>
      </c>
      <c r="I7" s="277">
        <v>62.343000000000004</v>
      </c>
      <c r="J7" s="283">
        <v>61.398000000000003</v>
      </c>
      <c r="K7" s="278">
        <f>BS!G109</f>
        <v>62.822322396875002</v>
      </c>
      <c r="L7" s="253">
        <f>BS!H109</f>
        <v>65.12865844304352</v>
      </c>
      <c r="M7" s="253">
        <f>BS!I109</f>
        <v>67.341659424212821</v>
      </c>
      <c r="N7" s="253">
        <f>BS!J109</f>
        <v>70.064280450502622</v>
      </c>
      <c r="O7" s="253">
        <f>BS!K109</f>
        <v>70.633065528473011</v>
      </c>
      <c r="P7" s="253">
        <f>BS!L109</f>
        <v>68.592163432657969</v>
      </c>
      <c r="Q7" s="253">
        <f>BS!M109</f>
        <v>66.653306441633674</v>
      </c>
      <c r="R7" s="253">
        <f>BS!N109</f>
        <v>64.811392300160591</v>
      </c>
      <c r="S7" s="253">
        <f>BS!O109</f>
        <v>63.061573865761176</v>
      </c>
      <c r="T7" s="253">
        <f>BS!P109</f>
        <v>61.399246353081722</v>
      </c>
      <c r="U7" s="253">
        <f>BS!Q109</f>
        <v>59.820035216036231</v>
      </c>
      <c r="V7" s="253">
        <f>BS!R109</f>
        <v>58.319784635843035</v>
      </c>
      <c r="W7" s="253">
        <f>BS!S109</f>
        <v>56.89454658465948</v>
      </c>
      <c r="X7" s="253">
        <f>BS!T109</f>
        <v>55.540570436035111</v>
      </c>
    </row>
    <row r="8" spans="2:32" ht="12.75" hidden="1" outlineLevel="1">
      <c r="B8" s="129" t="s">
        <v>221</v>
      </c>
      <c r="C8" s="57"/>
      <c r="D8" s="57"/>
      <c r="E8" s="57"/>
      <c r="F8" s="57"/>
      <c r="G8" s="277">
        <v>47.3</v>
      </c>
      <c r="H8" s="277">
        <v>62.3</v>
      </c>
      <c r="I8" s="277">
        <v>62.3</v>
      </c>
      <c r="J8" s="283"/>
      <c r="K8" s="278">
        <v>61.396999999999998</v>
      </c>
      <c r="L8" s="253">
        <f t="shared" ref="L8:N8" si="1">L7</f>
        <v>65.12865844304352</v>
      </c>
      <c r="M8" s="253">
        <f t="shared" si="1"/>
        <v>67.341659424212821</v>
      </c>
      <c r="N8" s="253">
        <f t="shared" si="1"/>
        <v>70.064280450502622</v>
      </c>
      <c r="O8" s="253">
        <f t="shared" ref="O8:X8" si="2">O7</f>
        <v>70.633065528473011</v>
      </c>
      <c r="P8" s="253">
        <f t="shared" si="2"/>
        <v>68.592163432657969</v>
      </c>
      <c r="Q8" s="253">
        <f t="shared" si="2"/>
        <v>66.653306441633674</v>
      </c>
      <c r="R8" s="253">
        <f t="shared" si="2"/>
        <v>64.811392300160591</v>
      </c>
      <c r="S8" s="253">
        <f t="shared" si="2"/>
        <v>63.061573865761176</v>
      </c>
      <c r="T8" s="253">
        <f t="shared" si="2"/>
        <v>61.399246353081722</v>
      </c>
      <c r="U8" s="253">
        <f t="shared" si="2"/>
        <v>59.820035216036231</v>
      </c>
      <c r="V8" s="253">
        <f t="shared" si="2"/>
        <v>58.319784635843035</v>
      </c>
      <c r="W8" s="253">
        <f t="shared" si="2"/>
        <v>56.89454658465948</v>
      </c>
      <c r="X8" s="253">
        <f t="shared" si="2"/>
        <v>55.540570436035111</v>
      </c>
    </row>
    <row r="9" spans="2:32" ht="12.75" hidden="1" outlineLevel="1">
      <c r="B9" s="129" t="s">
        <v>222</v>
      </c>
      <c r="C9" s="57"/>
      <c r="D9" s="57"/>
      <c r="E9" s="57"/>
      <c r="F9" s="57"/>
      <c r="G9" s="253">
        <f>+G7-G8</f>
        <v>1.0650000000000048</v>
      </c>
      <c r="H9" s="253">
        <f>+H7-H8</f>
        <v>0.95700000000000074</v>
      </c>
      <c r="I9" s="253">
        <f>+I7-I8</f>
        <v>4.3000000000006366E-2</v>
      </c>
      <c r="J9" s="283"/>
      <c r="K9" s="278">
        <v>0</v>
      </c>
      <c r="L9" s="253">
        <f t="shared" ref="L9:N9" si="3">L7-L8</f>
        <v>0</v>
      </c>
      <c r="M9" s="253">
        <f t="shared" si="3"/>
        <v>0</v>
      </c>
      <c r="N9" s="253">
        <f t="shared" si="3"/>
        <v>0</v>
      </c>
      <c r="O9" s="253">
        <f t="shared" ref="O9:X9" si="4">O7-O8</f>
        <v>0</v>
      </c>
      <c r="P9" s="253">
        <f t="shared" si="4"/>
        <v>0</v>
      </c>
      <c r="Q9" s="253">
        <f t="shared" si="4"/>
        <v>0</v>
      </c>
      <c r="R9" s="253">
        <f t="shared" si="4"/>
        <v>0</v>
      </c>
      <c r="S9" s="253">
        <f t="shared" si="4"/>
        <v>0</v>
      </c>
      <c r="T9" s="253">
        <f t="shared" si="4"/>
        <v>0</v>
      </c>
      <c r="U9" s="253">
        <f t="shared" si="4"/>
        <v>0</v>
      </c>
      <c r="V9" s="253">
        <f t="shared" si="4"/>
        <v>0</v>
      </c>
      <c r="W9" s="253">
        <f t="shared" si="4"/>
        <v>0</v>
      </c>
      <c r="X9" s="253">
        <f t="shared" si="4"/>
        <v>0</v>
      </c>
    </row>
    <row r="10" spans="2:32" ht="12.75" collapsed="1">
      <c r="B10" s="81" t="s">
        <v>197</v>
      </c>
      <c r="C10" s="57"/>
      <c r="D10" s="57"/>
      <c r="E10" s="57"/>
      <c r="F10" s="57"/>
      <c r="G10" s="277">
        <v>127.303</v>
      </c>
      <c r="H10" s="277">
        <v>177.542</v>
      </c>
      <c r="I10" s="277">
        <v>231.02500000000001</v>
      </c>
      <c r="J10" s="283">
        <v>237.70500000000001</v>
      </c>
      <c r="K10" s="278">
        <v>290.73599999999999</v>
      </c>
      <c r="L10" s="253">
        <f>IS!AK140</f>
        <v>245</v>
      </c>
      <c r="M10" s="253">
        <f>IS!AP140</f>
        <v>245</v>
      </c>
      <c r="N10" s="253">
        <f>IS!AU140</f>
        <v>245</v>
      </c>
      <c r="O10" s="253">
        <f>IS!AZ140</f>
        <v>245</v>
      </c>
      <c r="P10" s="253">
        <f>IS!BE140</f>
        <v>245</v>
      </c>
      <c r="Q10" s="253">
        <f>IS!BJ140</f>
        <v>245</v>
      </c>
      <c r="R10" s="253">
        <f>IS!BO140</f>
        <v>245</v>
      </c>
      <c r="S10" s="253">
        <f>IS!BT140</f>
        <v>245</v>
      </c>
      <c r="T10" s="253">
        <f>IS!BY140</f>
        <v>245</v>
      </c>
      <c r="U10" s="253">
        <f>IS!CD140</f>
        <v>245</v>
      </c>
      <c r="V10" s="253">
        <f>IS!CI140</f>
        <v>245</v>
      </c>
      <c r="W10" s="253">
        <f>IS!CN140</f>
        <v>245</v>
      </c>
      <c r="X10" s="253">
        <f>IS!CS140</f>
        <v>245</v>
      </c>
    </row>
    <row r="11" spans="2:32" ht="12.75">
      <c r="B11" s="81" t="s">
        <v>198</v>
      </c>
      <c r="C11" s="57"/>
      <c r="D11" s="57"/>
      <c r="E11" s="57"/>
      <c r="F11" s="57"/>
      <c r="G11" s="277">
        <f>5.86+663.5-285.053+7.594+55.11+10.358+1.252+6.742</f>
        <v>465.36300000000006</v>
      </c>
      <c r="H11" s="277">
        <f>0.281+1.689-2.16</f>
        <v>-0.18999999999999995</v>
      </c>
      <c r="I11" s="277">
        <f>3.283+2.516+9.532</f>
        <v>15.331</v>
      </c>
      <c r="J11" s="283">
        <f>16.961+6.14</f>
        <v>23.100999999999999</v>
      </c>
      <c r="K11" s="278">
        <f>15.292-120.513+1.951+255.34+160+76.644-2.804</f>
        <v>385.91</v>
      </c>
      <c r="L11" s="277">
        <v>0</v>
      </c>
      <c r="M11" s="277">
        <v>0</v>
      </c>
      <c r="N11" s="277">
        <v>0</v>
      </c>
      <c r="O11" s="277">
        <v>0</v>
      </c>
      <c r="P11" s="277">
        <v>0</v>
      </c>
      <c r="Q11" s="277">
        <v>0</v>
      </c>
      <c r="R11" s="277">
        <v>0</v>
      </c>
      <c r="S11" s="277">
        <v>0</v>
      </c>
      <c r="T11" s="277">
        <v>0</v>
      </c>
      <c r="U11" s="277">
        <v>0</v>
      </c>
      <c r="V11" s="277">
        <v>0</v>
      </c>
      <c r="W11" s="277">
        <v>0</v>
      </c>
      <c r="X11" s="277">
        <v>0</v>
      </c>
    </row>
    <row r="12" spans="2:32" ht="12.75">
      <c r="B12" s="81"/>
      <c r="C12" s="57"/>
      <c r="D12" s="57"/>
      <c r="E12" s="57"/>
      <c r="F12" s="57"/>
      <c r="G12" s="277"/>
      <c r="H12" s="277"/>
      <c r="I12" s="277"/>
      <c r="J12" s="277"/>
      <c r="K12" s="780"/>
      <c r="L12" s="281"/>
      <c r="M12" s="281"/>
      <c r="N12" s="281"/>
    </row>
    <row r="13" spans="2:32" ht="12.75">
      <c r="B13" s="83" t="s">
        <v>136</v>
      </c>
      <c r="C13" s="57"/>
      <c r="D13" s="57"/>
      <c r="E13" s="57"/>
      <c r="F13" s="57"/>
      <c r="G13" s="277"/>
      <c r="H13" s="277"/>
      <c r="I13" s="277"/>
      <c r="J13" s="277"/>
      <c r="K13" s="780"/>
      <c r="L13" s="281"/>
      <c r="M13" s="281"/>
      <c r="N13" s="281"/>
    </row>
    <row r="14" spans="2:32" ht="12.75">
      <c r="B14" s="81" t="s">
        <v>78</v>
      </c>
      <c r="C14" s="57"/>
      <c r="D14" s="57"/>
      <c r="E14" s="57"/>
      <c r="F14" s="57"/>
      <c r="G14" s="277">
        <v>53.363</v>
      </c>
      <c r="H14" s="277">
        <v>7.4279999999999999</v>
      </c>
      <c r="I14" s="277">
        <v>-104.84699999999999</v>
      </c>
      <c r="J14" s="253">
        <v>-33.027000000000001</v>
      </c>
      <c r="K14" s="278">
        <v>-71.759</v>
      </c>
      <c r="L14" s="253">
        <f>BS!G7-BS!H7</f>
        <v>-19.67445599328812</v>
      </c>
      <c r="M14" s="253">
        <f>BS!H7-BS!I7</f>
        <v>-30.196259108545974</v>
      </c>
      <c r="N14" s="253">
        <f>BS!I7-BS!J7</f>
        <v>-124.70085372097253</v>
      </c>
      <c r="O14" s="253">
        <f>BS!J7-BS!K7</f>
        <v>-149.13712421467181</v>
      </c>
      <c r="P14" s="253">
        <f>BS!K7-BS!L7</f>
        <v>-93.614366904855274</v>
      </c>
      <c r="Q14" s="253">
        <f>BS!L7-BS!M7</f>
        <v>-41.758449788115513</v>
      </c>
      <c r="R14" s="253">
        <f>BS!M7-BS!N7</f>
        <v>-17.816049865678792</v>
      </c>
      <c r="S14" s="253">
        <f>BS!N7-BS!O7</f>
        <v>-74.65350900914973</v>
      </c>
      <c r="T14" s="253">
        <f>BS!O7-BS!P7</f>
        <v>-170.70663823158918</v>
      </c>
      <c r="U14" s="253">
        <f>BS!P7-BS!Q7</f>
        <v>-13.950906882676804</v>
      </c>
      <c r="V14" s="253">
        <f>BS!Q7-BS!R7</f>
        <v>-11.630963138306583</v>
      </c>
      <c r="W14" s="253">
        <f>BS!R7-BS!S7</f>
        <v>-1.2615314304764524</v>
      </c>
      <c r="X14" s="253">
        <f>BS!S7-BS!T7</f>
        <v>-9.3821538799495556</v>
      </c>
    </row>
    <row r="15" spans="2:32" ht="12.75">
      <c r="B15" s="81" t="s">
        <v>79</v>
      </c>
      <c r="C15" s="57"/>
      <c r="D15" s="57"/>
      <c r="E15" s="57"/>
      <c r="F15" s="57"/>
      <c r="G15" s="277">
        <v>7.1420000000000003</v>
      </c>
      <c r="H15" s="277">
        <v>-16.469000000000001</v>
      </c>
      <c r="I15" s="277">
        <v>-23.146000000000001</v>
      </c>
      <c r="J15" s="253">
        <v>-16.45</v>
      </c>
      <c r="K15" s="278">
        <v>-44.984000000000002</v>
      </c>
      <c r="L15" s="253">
        <f>BS!G8-BS!H8</f>
        <v>-7.8203275493949178</v>
      </c>
      <c r="M15" s="253">
        <f>BS!H8-BS!I8</f>
        <v>-12.002600584015568</v>
      </c>
      <c r="N15" s="253">
        <f>BS!I8-BS!J8</f>
        <v>-49.566886226479284</v>
      </c>
      <c r="O15" s="253">
        <f>BS!J8-BS!K8</f>
        <v>-59.279970004324809</v>
      </c>
      <c r="P15" s="253">
        <f>BS!K8-BS!L8</f>
        <v>-37.210432287172409</v>
      </c>
      <c r="Q15" s="253">
        <f>BS!L8-BS!M8</f>
        <v>-16.598413466142631</v>
      </c>
      <c r="R15" s="253">
        <f>BS!M8-BS!N8</f>
        <v>-7.0816364952348749</v>
      </c>
      <c r="S15" s="253">
        <f>BS!N8-BS!O8</f>
        <v>-29.673750235453554</v>
      </c>
      <c r="T15" s="253">
        <f>BS!O8-BS!P8</f>
        <v>-67.853557235966832</v>
      </c>
      <c r="U15" s="253">
        <f>BS!P8-BS!Q8</f>
        <v>-5.5452949484783858</v>
      </c>
      <c r="V15" s="253">
        <f>BS!Q8-BS!R8</f>
        <v>-4.6231489952009497</v>
      </c>
      <c r="W15" s="253">
        <f>BS!R8-BS!S8</f>
        <v>-0.50144151398887971</v>
      </c>
      <c r="X15" s="253">
        <f>BS!S8-BS!T8</f>
        <v>-3.7292780285799267</v>
      </c>
    </row>
    <row r="16" spans="2:32" ht="12.75">
      <c r="B16" s="81" t="s">
        <v>137</v>
      </c>
      <c r="C16" s="57"/>
      <c r="D16" s="57"/>
      <c r="E16" s="57"/>
      <c r="F16" s="57"/>
      <c r="G16" s="277">
        <v>-12.061</v>
      </c>
      <c r="H16" s="277">
        <v>-15.771000000000001</v>
      </c>
      <c r="I16" s="277">
        <v>-9.26</v>
      </c>
      <c r="J16" s="253">
        <v>-8.6989999999999998</v>
      </c>
      <c r="K16" s="278">
        <v>-111.063</v>
      </c>
      <c r="L16" s="253">
        <f>(BS!G9+BS!G13)-(BS!H9+BS!H13)</f>
        <v>-19.212565056475569</v>
      </c>
      <c r="M16" s="253">
        <f>(BS!H9+BS!H13)-(BS!I9+BS!I13)</f>
        <v>-29.487351151312453</v>
      </c>
      <c r="N16" s="253">
        <f>(BS!I9+BS!I13)-(BS!J9+BS!J13)</f>
        <v>-121.77329149682964</v>
      </c>
      <c r="O16" s="253">
        <f>(BS!J9+BS!J13)-(BS!K9+BS!K13)</f>
        <v>-145.63587945138318</v>
      </c>
      <c r="P16" s="253">
        <f>(BS!K9+BS!K13)-(BS!L9+BS!L13)</f>
        <v>-91.416612230288706</v>
      </c>
      <c r="Q16" s="253">
        <f>(BS!L9+BS!L13)-(BS!M9+BS!M13)</f>
        <v>-40.778099962989359</v>
      </c>
      <c r="R16" s="253">
        <f>(BS!M9+BS!M13)-(BS!N9+BS!N13)</f>
        <v>-17.397788137600173</v>
      </c>
      <c r="S16" s="253">
        <f>(BS!N9+BS!N13)-(BS!O9+BS!O13)</f>
        <v>-72.90089235614812</v>
      </c>
      <c r="T16" s="253">
        <f>(BS!O9+BS!O13)-(BS!P9+BS!P13)</f>
        <v>-166.699012857865</v>
      </c>
      <c r="U16" s="253">
        <f>(BS!P9+BS!P13)-(BS!Q9+BS!Q13)</f>
        <v>-13.623385885317589</v>
      </c>
      <c r="V16" s="253">
        <f>(BS!Q9+BS!Q13)-(BS!R9+BS!R13)</f>
        <v>-11.357906721304744</v>
      </c>
      <c r="W16" s="253">
        <f>(BS!R9+BS!R13)-(BS!S9+BS!S13)</f>
        <v>-1.2319148588954931</v>
      </c>
      <c r="X16" s="253">
        <f>(BS!S9+BS!S13)-(BS!T9+BS!T13)</f>
        <v>-9.1618920416344736</v>
      </c>
    </row>
    <row r="17" spans="2:24" ht="12.75">
      <c r="B17" s="81" t="s">
        <v>213</v>
      </c>
      <c r="C17" s="57"/>
      <c r="D17" s="57"/>
      <c r="E17" s="57"/>
      <c r="F17" s="57"/>
      <c r="G17" s="277">
        <v>-49.234000000000002</v>
      </c>
      <c r="H17" s="277">
        <v>25.047999999999998</v>
      </c>
      <c r="I17" s="277">
        <v>-1.7090000000000001</v>
      </c>
      <c r="J17" s="253">
        <f>-11.745</f>
        <v>-11.744999999999999</v>
      </c>
      <c r="K17" s="278">
        <v>8.7530000000000001</v>
      </c>
      <c r="L17" s="253">
        <f>BS!H17-BS!G17</f>
        <v>9.9544173618229621</v>
      </c>
      <c r="M17" s="253">
        <f>BS!I17-BS!H17</f>
        <v>5.427477135835602</v>
      </c>
      <c r="N17" s="253">
        <f>BS!J17-BS!I17</f>
        <v>4.4687947248829261</v>
      </c>
      <c r="O17" s="253">
        <f>BS!K17-BS!J17</f>
        <v>3.3102662443161961</v>
      </c>
      <c r="P17" s="253">
        <f>BS!L17-BS!K17</f>
        <v>1.2991796150548254</v>
      </c>
      <c r="Q17" s="253">
        <f>BS!M17-BS!L17</f>
        <v>-0.77100229916527496</v>
      </c>
      <c r="R17" s="253">
        <f>BS!N17-BS!M17</f>
        <v>-2.8788729033002483</v>
      </c>
      <c r="S17" s="253">
        <f>BS!O17-BS!N17</f>
        <v>-4.0065118065634522</v>
      </c>
      <c r="T17" s="253">
        <f>BS!P17-BS!O17</f>
        <v>-4.2695451663369113</v>
      </c>
      <c r="U17" s="253">
        <f>BS!Q17-BS!P17</f>
        <v>-3.9706770046933286</v>
      </c>
      <c r="V17" s="253">
        <f>BS!R17-BS!Q17</f>
        <v>-3.6927296143647936</v>
      </c>
      <c r="W17" s="253">
        <f>BS!S17-BS!R17</f>
        <v>-3.4342385413592638</v>
      </c>
      <c r="X17" s="253">
        <f>BS!T17-BS!S17</f>
        <v>-3.8782365242064003</v>
      </c>
    </row>
    <row r="18" spans="2:24" ht="12.75">
      <c r="B18" s="81" t="s">
        <v>214</v>
      </c>
      <c r="C18" s="57"/>
      <c r="D18" s="57"/>
      <c r="E18" s="57"/>
      <c r="F18" s="57"/>
      <c r="G18" s="277">
        <f>43.725+5.025</f>
        <v>48.75</v>
      </c>
      <c r="H18" s="277">
        <f>-3.27+17.502</f>
        <v>14.231999999999999</v>
      </c>
      <c r="I18" s="277">
        <f>102.746-30.492</f>
        <v>72.253999999999991</v>
      </c>
      <c r="J18" s="253">
        <f>88.649-7.426</f>
        <v>81.222999999999999</v>
      </c>
      <c r="K18" s="278">
        <f>246.217-5.987</f>
        <v>240.23000000000002</v>
      </c>
      <c r="L18" s="253">
        <f>(BS!H18+BS!H20+BS!H24+BS!H28+BS!H29+BS!H31+BS!H22)-(BS!G18+BS!G20+BS!G24+BS!G28+BS!G29+BS!G31+BS!G22)</f>
        <v>-78.042418342035717</v>
      </c>
      <c r="M18" s="253">
        <f>(BS!I18+BS!I20+BS!I24+BS!I28+BS!I29+BS!I31+BS!I22)-(BS!H18+BS!H20+BS!H24+BS!H28+BS!H29+BS!H31+BS!H22)</f>
        <v>84.161397118192326</v>
      </c>
      <c r="N18" s="253">
        <f>(BS!J18+BS!J20+BS!J24+BS!J28+BS!J29+BS!J31+BS!J22)-(BS!I18+BS!I20+BS!I24+BS!I28+BS!I29+BS!I31+BS!I22)</f>
        <v>69.295548938807997</v>
      </c>
      <c r="O18" s="253">
        <f>(BS!K18+BS!K20+BS!K24+BS!K28+BS!K29+BS!K31+BS!K22)-(BS!J18+BS!J20+BS!J24+BS!J28+BS!J29+BS!J31+BS!J22)</f>
        <v>51.330779473095163</v>
      </c>
      <c r="P18" s="253">
        <f>(BS!L18+BS!L20+BS!L24+BS!L28+BS!L29+BS!L31+BS!L22)-(BS!K18+BS!K20+BS!K24+BS!K28+BS!K29+BS!K31+BS!K22)</f>
        <v>20.145782059320481</v>
      </c>
      <c r="Q18" s="253">
        <f>(BS!M18+BS!M20+BS!M24+BS!M28+BS!M29+BS!M31+BS!M22)-(BS!L18+BS!L20+BS!L24+BS!L28+BS!L29+BS!L31+BS!L22)</f>
        <v>-11.955578817762671</v>
      </c>
      <c r="R18" s="253">
        <f>(BS!N18+BS!N20+BS!N24+BS!N28+BS!N29+BS!N31+BS!N22)-(BS!M18+BS!M20+BS!M24+BS!M28+BS!M29+BS!M31+BS!M22)</f>
        <v>-44.641360912919708</v>
      </c>
      <c r="S18" s="253">
        <f>(BS!O18+BS!O20+BS!O24+BS!O28+BS!O29+BS!O31+BS!O22)-(BS!N18+BS!N20+BS!N24+BS!N28+BS!N29+BS!N31+BS!N22)</f>
        <v>-62.12713987951247</v>
      </c>
      <c r="T18" s="253">
        <f>(BS!P18+BS!P20+BS!P24+BS!P28+BS!P29+BS!P31+BS!P22)-(BS!O18+BS!O20+BS!O24+BS!O28+BS!O29+BS!O31+BS!O22)</f>
        <v>-66.205877475855914</v>
      </c>
      <c r="U18" s="253">
        <f>(BS!Q18+BS!Q20+BS!Q24+BS!Q28+BS!Q29+BS!Q31+BS!Q22)-(BS!P18+BS!P20+BS!P24+BS!P28+BS!P29+BS!P31+BS!P22)</f>
        <v>-61.571466052545702</v>
      </c>
      <c r="V18" s="253">
        <f>(BS!R18+BS!R20+BS!R24+BS!R28+BS!R29+BS!R31+BS!R22)-(BS!Q18+BS!Q20+BS!Q24+BS!Q28+BS!Q29+BS!Q31+BS!Q22)</f>
        <v>-57.261463428867728</v>
      </c>
      <c r="W18" s="253">
        <f>(BS!S18+BS!S20+BS!S24+BS!S28+BS!S29+BS!S31+BS!S22)-(BS!R18+BS!R20+BS!R24+BS!R28+BS!R29+BS!R31+BS!R22)</f>
        <v>-53.253160988846957</v>
      </c>
      <c r="X18" s="253">
        <f>(BS!T18+BS!T20+BS!T24+BS!T28+BS!T29+BS!T31+BS!T22)-(BS!S18+BS!S20+BS!S24+BS!S28+BS!S29+BS!S31+BS!S22)</f>
        <v>-60.138033945262123</v>
      </c>
    </row>
    <row r="19" spans="2:24" ht="12.75">
      <c r="B19" s="81" t="s">
        <v>112</v>
      </c>
      <c r="C19" s="57"/>
      <c r="D19" s="57"/>
      <c r="E19" s="57"/>
      <c r="F19" s="57"/>
      <c r="G19" s="277">
        <v>-53.011000000000003</v>
      </c>
      <c r="H19" s="277">
        <v>-25.530999999999999</v>
      </c>
      <c r="I19" s="277">
        <v>-19.242000000000001</v>
      </c>
      <c r="J19" s="253">
        <v>-13.372</v>
      </c>
      <c r="K19" s="278">
        <v>-5.9130000000000003</v>
      </c>
      <c r="L19" s="253">
        <f>(BS!H19+BS!H27)-(BS!G19+BS!G27)</f>
        <v>0.48217078112383049</v>
      </c>
      <c r="M19" s="253">
        <f>(BS!I19+BS!I27)-(BS!H19+BS!H27)</f>
        <v>0.74003336338001802</v>
      </c>
      <c r="N19" s="253">
        <f>(BS!J19+BS!J27)-(BS!I19+BS!I27)</f>
        <v>3.0561001567698689</v>
      </c>
      <c r="O19" s="253">
        <f>(BS!K19+BS!K27)-(BS!J19+BS!J27)</f>
        <v>3.6549708770439029</v>
      </c>
      <c r="P19" s="253">
        <f>(BS!L19+BS!L27)-(BS!K19+BS!K27)</f>
        <v>2.2942495807927568</v>
      </c>
      <c r="Q19" s="253">
        <f>(BS!M19+BS!M27)-(BS!L19+BS!L27)</f>
        <v>1.0233931936783804</v>
      </c>
      <c r="R19" s="253">
        <f>(BS!N19+BS!N27)-(BS!M19+BS!M27)</f>
        <v>0.43662598260434748</v>
      </c>
      <c r="S19" s="253">
        <f>(BS!O19+BS!O27)-(BS!N19+BS!N27)</f>
        <v>1.82956727062016</v>
      </c>
      <c r="T19" s="253">
        <f>(BS!P19+BS!P27)-(BS!O19+BS!O27)</f>
        <v>4.183584701260763</v>
      </c>
      <c r="U19" s="253">
        <f>(BS!Q19+BS!Q27)-(BS!P19+BS!P27)</f>
        <v>0.3419011774099836</v>
      </c>
      <c r="V19" s="253">
        <f>(BS!R19+BS!R27)-(BS!Q19+BS!Q27)</f>
        <v>0.28504526801314967</v>
      </c>
      <c r="W19" s="253">
        <f>(BS!S19+BS!S27)-(BS!R19+BS!R27)</f>
        <v>3.0916920673821124E-2</v>
      </c>
      <c r="X19" s="253">
        <f>(BS!T19+BS!T27)-(BS!S19+BS!S27)</f>
        <v>0.22993268360063013</v>
      </c>
    </row>
    <row r="20" spans="2:24" ht="12.75">
      <c r="B20" s="47" t="s">
        <v>138</v>
      </c>
      <c r="C20" s="63">
        <f>SUM(C5:C19)</f>
        <v>0</v>
      </c>
      <c r="D20" s="63">
        <f>SUM(D5:D19)</f>
        <v>0</v>
      </c>
      <c r="E20" s="63">
        <f>SUM(E5:E19)</f>
        <v>0</v>
      </c>
      <c r="F20" s="63">
        <f>SUM(F5:F19)</f>
        <v>0</v>
      </c>
      <c r="G20" s="285">
        <f>SUM(G8:G19)+G5</f>
        <v>-51.569999999999936</v>
      </c>
      <c r="H20" s="285">
        <f>SUM(H8:H19)+H5</f>
        <v>-513.19899999999996</v>
      </c>
      <c r="I20" s="285">
        <f t="shared" ref="I20:N20" si="5">SUM(I8:I19)+I5</f>
        <v>-365.43200000000002</v>
      </c>
      <c r="J20" s="285">
        <f>SUM(J7:J19)+J5</f>
        <v>236.10300000000001</v>
      </c>
      <c r="K20" s="781">
        <f t="shared" si="5"/>
        <v>844.94200000000001</v>
      </c>
      <c r="L20" s="285">
        <f t="shared" si="5"/>
        <v>718.18318865250376</v>
      </c>
      <c r="M20" s="285">
        <f t="shared" si="5"/>
        <v>1002.9884761393503</v>
      </c>
      <c r="N20" s="285">
        <f t="shared" si="5"/>
        <v>1691.5996786037683</v>
      </c>
      <c r="O20" s="285">
        <f t="shared" ref="O20:X20" si="6">SUM(O8:O19)+O5</f>
        <v>2781.1512869359108</v>
      </c>
      <c r="P20" s="285">
        <f t="shared" si="6"/>
        <v>3016.4831638447449</v>
      </c>
      <c r="Q20" s="285">
        <f t="shared" si="6"/>
        <v>3323.1316450770883</v>
      </c>
      <c r="R20" s="285">
        <f t="shared" si="6"/>
        <v>3582.9410350946691</v>
      </c>
      <c r="S20" s="285">
        <f t="shared" si="6"/>
        <v>4102.062973217975</v>
      </c>
      <c r="T20" s="285">
        <f t="shared" si="6"/>
        <v>5142.1711475105567</v>
      </c>
      <c r="U20" s="285">
        <f t="shared" si="6"/>
        <v>5794.1131751169805</v>
      </c>
      <c r="V20" s="285">
        <f t="shared" si="6"/>
        <v>6121.577313792689</v>
      </c>
      <c r="W20" s="285">
        <f t="shared" si="6"/>
        <v>6404.8661425536402</v>
      </c>
      <c r="X20" s="285">
        <f t="shared" si="6"/>
        <v>6728.0241821192831</v>
      </c>
    </row>
    <row r="21" spans="2:24" ht="12.75">
      <c r="B21" s="36"/>
      <c r="C21" s="58"/>
      <c r="D21" s="58"/>
      <c r="E21" s="58"/>
      <c r="F21" s="58"/>
      <c r="G21" s="253"/>
      <c r="H21" s="253"/>
      <c r="I21" s="253"/>
      <c r="J21" s="253"/>
      <c r="K21" s="780"/>
      <c r="L21" s="281"/>
      <c r="M21" s="281"/>
      <c r="N21" s="281"/>
    </row>
    <row r="22" spans="2:24" ht="12.75">
      <c r="B22" s="89" t="s">
        <v>139</v>
      </c>
      <c r="C22" s="58"/>
      <c r="D22" s="58"/>
      <c r="E22" s="58"/>
      <c r="F22" s="58"/>
      <c r="G22" s="253"/>
      <c r="H22" s="253"/>
      <c r="I22" s="253"/>
      <c r="J22" s="253"/>
      <c r="K22" s="780"/>
      <c r="L22" s="281"/>
      <c r="M22" s="281"/>
      <c r="N22" s="281"/>
    </row>
    <row r="23" spans="2:24" ht="12.75">
      <c r="B23" s="89"/>
      <c r="C23" s="58"/>
      <c r="D23" s="58"/>
      <c r="E23" s="58"/>
      <c r="F23" s="58"/>
      <c r="G23" s="253"/>
      <c r="H23" s="253"/>
      <c r="I23" s="253"/>
      <c r="J23" s="253"/>
      <c r="K23" s="780"/>
      <c r="L23" s="281"/>
      <c r="M23" s="281"/>
      <c r="N23" s="281"/>
    </row>
    <row r="24" spans="2:24" ht="12.75">
      <c r="B24" s="81" t="s">
        <v>199</v>
      </c>
      <c r="C24" s="57"/>
      <c r="D24" s="57"/>
      <c r="E24" s="57"/>
      <c r="F24" s="57"/>
      <c r="G24" s="277">
        <v>-2412.4180000000001</v>
      </c>
      <c r="H24" s="277">
        <v>-1424.172</v>
      </c>
      <c r="I24" s="277">
        <v>-633.04100000000005</v>
      </c>
      <c r="J24" s="277">
        <v>-616.625</v>
      </c>
      <c r="K24" s="278">
        <v>-532.58100000000002</v>
      </c>
      <c r="L24" s="277">
        <v>0</v>
      </c>
      <c r="M24" s="277">
        <v>0</v>
      </c>
      <c r="N24" s="277">
        <v>0</v>
      </c>
      <c r="O24" s="277">
        <v>0</v>
      </c>
      <c r="P24" s="277">
        <v>0</v>
      </c>
      <c r="Q24" s="277">
        <v>0</v>
      </c>
      <c r="R24" s="277">
        <v>0</v>
      </c>
      <c r="S24" s="277">
        <v>0</v>
      </c>
      <c r="T24" s="277">
        <v>0</v>
      </c>
      <c r="U24" s="277">
        <v>0</v>
      </c>
      <c r="V24" s="277">
        <v>0</v>
      </c>
      <c r="W24" s="277">
        <v>0</v>
      </c>
      <c r="X24" s="277">
        <v>0</v>
      </c>
    </row>
    <row r="25" spans="2:24" ht="12.75">
      <c r="B25" s="81" t="s">
        <v>200</v>
      </c>
      <c r="C25" s="57"/>
      <c r="D25" s="57"/>
      <c r="E25" s="57"/>
      <c r="F25" s="57"/>
      <c r="G25" s="277">
        <v>2348.2950000000001</v>
      </c>
      <c r="H25" s="277">
        <v>1557.9380000000001</v>
      </c>
      <c r="I25" s="277">
        <v>1067.443</v>
      </c>
      <c r="J25" s="277">
        <f>757.562</f>
        <v>757.56200000000001</v>
      </c>
      <c r="K25" s="278">
        <v>369.214</v>
      </c>
      <c r="L25" s="277">
        <v>0</v>
      </c>
      <c r="M25" s="277">
        <v>0</v>
      </c>
      <c r="N25" s="277">
        <v>0</v>
      </c>
      <c r="O25" s="277">
        <v>0</v>
      </c>
      <c r="P25" s="277">
        <v>0</v>
      </c>
      <c r="Q25" s="277">
        <v>0</v>
      </c>
      <c r="R25" s="277">
        <v>0</v>
      </c>
      <c r="S25" s="277">
        <v>0</v>
      </c>
      <c r="T25" s="277">
        <v>0</v>
      </c>
      <c r="U25" s="277">
        <v>0</v>
      </c>
      <c r="V25" s="277">
        <v>0</v>
      </c>
      <c r="W25" s="277">
        <v>0</v>
      </c>
      <c r="X25" s="277">
        <v>0</v>
      </c>
    </row>
    <row r="26" spans="2:24" ht="12.75">
      <c r="B26" s="81" t="s">
        <v>216</v>
      </c>
      <c r="C26" s="57"/>
      <c r="D26" s="57"/>
      <c r="E26" s="57"/>
      <c r="F26" s="57"/>
      <c r="G26" s="277">
        <v>0</v>
      </c>
      <c r="H26" s="277">
        <v>-10</v>
      </c>
      <c r="I26" s="277">
        <v>-80</v>
      </c>
      <c r="J26" s="277">
        <v>0</v>
      </c>
      <c r="K26" s="278">
        <v>0</v>
      </c>
      <c r="L26" s="277">
        <v>0</v>
      </c>
      <c r="M26" s="277">
        <v>0</v>
      </c>
      <c r="N26" s="277">
        <v>0</v>
      </c>
      <c r="O26" s="277">
        <v>0</v>
      </c>
      <c r="P26" s="277">
        <v>0</v>
      </c>
      <c r="Q26" s="277">
        <v>0</v>
      </c>
      <c r="R26" s="277">
        <v>0</v>
      </c>
      <c r="S26" s="277">
        <v>0</v>
      </c>
      <c r="T26" s="277">
        <v>0</v>
      </c>
      <c r="U26" s="277">
        <v>0</v>
      </c>
      <c r="V26" s="277">
        <v>0</v>
      </c>
      <c r="W26" s="277">
        <v>0</v>
      </c>
      <c r="X26" s="277">
        <v>0</v>
      </c>
    </row>
    <row r="27" spans="2:24" ht="12.75">
      <c r="B27" s="81" t="s">
        <v>201</v>
      </c>
      <c r="C27" s="57"/>
      <c r="D27" s="57"/>
      <c r="E27" s="57"/>
      <c r="F27" s="57"/>
      <c r="G27" s="277">
        <v>-51.393000000000001</v>
      </c>
      <c r="H27" s="277">
        <v>-51.201000000000001</v>
      </c>
      <c r="I27" s="277">
        <v>-45.302</v>
      </c>
      <c r="J27" s="253">
        <v>-56.563000000000002</v>
      </c>
      <c r="K27" s="278">
        <v>-99.421000000000006</v>
      </c>
      <c r="L27" s="253">
        <f>-BS!H82</f>
        <v>-93.06013664049101</v>
      </c>
      <c r="M27" s="253">
        <f>-BS!I82</f>
        <v>-90.676212660343296</v>
      </c>
      <c r="N27" s="253">
        <f>-BS!J82</f>
        <v>-108.68412294260764</v>
      </c>
      <c r="O27" s="253">
        <f>-BS!K82</f>
        <v>-144.23648001096441</v>
      </c>
      <c r="P27" s="253">
        <f>-BS!L82</f>
        <v>-166.55293150790263</v>
      </c>
      <c r="Q27" s="253">
        <f>-BS!M82</f>
        <v>-176.50760460023841</v>
      </c>
      <c r="R27" s="253">
        <f>-BS!N82</f>
        <v>-180.75471992921931</v>
      </c>
      <c r="S27" s="253">
        <f>-BS!O82</f>
        <v>-198.55114870357792</v>
      </c>
      <c r="T27" s="253">
        <f>-BS!P82</f>
        <v>-239.24539829640466</v>
      </c>
      <c r="U27" s="253">
        <f>-BS!Q82</f>
        <v>-242.57111364415664</v>
      </c>
      <c r="V27" s="253">
        <f>-BS!R82</f>
        <v>-245.34378447792403</v>
      </c>
      <c r="W27" s="253">
        <f>-BS!S82</f>
        <v>-245.64451721704199</v>
      </c>
      <c r="X27" s="253">
        <f>-BS!T82</f>
        <v>-211.08948789226287</v>
      </c>
    </row>
    <row r="28" spans="2:24" ht="12.75">
      <c r="B28" s="81" t="s">
        <v>215</v>
      </c>
      <c r="C28" s="57"/>
      <c r="D28" s="57"/>
      <c r="E28" s="57"/>
      <c r="F28" s="57"/>
      <c r="G28" s="277">
        <f>1.698+31.804+27.884</f>
        <v>61.385999999999996</v>
      </c>
      <c r="H28" s="277">
        <f>-0.244+1.638</f>
        <v>1.3939999999999999</v>
      </c>
      <c r="I28" s="277">
        <f>-30-21.981+11.685+0.052</f>
        <v>-40.244</v>
      </c>
      <c r="J28" s="277">
        <f>-20-13.075+22.029+31.148-0.007</f>
        <v>20.094999999999995</v>
      </c>
      <c r="K28" s="278">
        <f>-160-15.329+0.436</f>
        <v>-174.893</v>
      </c>
      <c r="L28" s="277">
        <v>0</v>
      </c>
      <c r="M28" s="277">
        <v>0</v>
      </c>
      <c r="N28" s="277">
        <v>0</v>
      </c>
      <c r="O28" s="277">
        <v>0</v>
      </c>
      <c r="P28" s="277">
        <v>0</v>
      </c>
      <c r="Q28" s="277">
        <v>0</v>
      </c>
      <c r="R28" s="277">
        <v>0</v>
      </c>
      <c r="S28" s="277">
        <v>0</v>
      </c>
      <c r="T28" s="277">
        <v>0</v>
      </c>
      <c r="U28" s="277">
        <v>0</v>
      </c>
      <c r="V28" s="277">
        <v>0</v>
      </c>
      <c r="W28" s="277">
        <v>0</v>
      </c>
      <c r="X28" s="277">
        <v>0</v>
      </c>
    </row>
    <row r="29" spans="2:24" ht="12.75">
      <c r="B29" s="47" t="s">
        <v>140</v>
      </c>
      <c r="C29" s="63">
        <f t="shared" ref="C29:N29" si="7">SUM(C24:C28)</f>
        <v>0</v>
      </c>
      <c r="D29" s="63">
        <f t="shared" si="7"/>
        <v>0</v>
      </c>
      <c r="E29" s="63">
        <f t="shared" si="7"/>
        <v>0</v>
      </c>
      <c r="F29" s="63">
        <f t="shared" si="7"/>
        <v>0</v>
      </c>
      <c r="G29" s="285">
        <f t="shared" si="7"/>
        <v>-54.130000000000052</v>
      </c>
      <c r="H29" s="285">
        <f t="shared" si="7"/>
        <v>73.959000000000088</v>
      </c>
      <c r="I29" s="285">
        <f t="shared" si="7"/>
        <v>268.85599999999988</v>
      </c>
      <c r="J29" s="285">
        <f t="shared" si="7"/>
        <v>104.46900000000001</v>
      </c>
      <c r="K29" s="781">
        <f t="shared" si="7"/>
        <v>-437.68100000000004</v>
      </c>
      <c r="L29" s="285">
        <f t="shared" si="7"/>
        <v>-93.06013664049101</v>
      </c>
      <c r="M29" s="285">
        <f t="shared" si="7"/>
        <v>-90.676212660343296</v>
      </c>
      <c r="N29" s="285">
        <f t="shared" si="7"/>
        <v>-108.68412294260764</v>
      </c>
      <c r="O29" s="285">
        <f t="shared" ref="O29:X29" si="8">SUM(O24:O28)</f>
        <v>-144.23648001096441</v>
      </c>
      <c r="P29" s="285">
        <f t="shared" si="8"/>
        <v>-166.55293150790263</v>
      </c>
      <c r="Q29" s="285">
        <f t="shared" si="8"/>
        <v>-176.50760460023841</v>
      </c>
      <c r="R29" s="285">
        <f t="shared" si="8"/>
        <v>-180.75471992921931</v>
      </c>
      <c r="S29" s="285">
        <f t="shared" si="8"/>
        <v>-198.55114870357792</v>
      </c>
      <c r="T29" s="285">
        <f t="shared" si="8"/>
        <v>-239.24539829640466</v>
      </c>
      <c r="U29" s="285">
        <f t="shared" si="8"/>
        <v>-242.57111364415664</v>
      </c>
      <c r="V29" s="285">
        <f t="shared" si="8"/>
        <v>-245.34378447792403</v>
      </c>
      <c r="W29" s="285">
        <f t="shared" si="8"/>
        <v>-245.64451721704199</v>
      </c>
      <c r="X29" s="285">
        <f t="shared" si="8"/>
        <v>-211.08948789226287</v>
      </c>
    </row>
    <row r="30" spans="2:24" ht="12.75">
      <c r="B30" s="36"/>
      <c r="C30" s="58"/>
      <c r="D30" s="58"/>
      <c r="E30" s="58"/>
      <c r="F30" s="58"/>
      <c r="G30" s="253"/>
      <c r="H30" s="253"/>
      <c r="I30" s="253"/>
      <c r="J30" s="253"/>
      <c r="K30" s="780"/>
      <c r="L30" s="281"/>
      <c r="M30" s="281"/>
      <c r="N30" s="281"/>
      <c r="O30" s="281"/>
      <c r="P30" s="281"/>
      <c r="Q30" s="281"/>
      <c r="R30" s="281"/>
      <c r="S30" s="281"/>
      <c r="T30" s="281"/>
      <c r="U30" s="281"/>
      <c r="V30" s="281"/>
      <c r="W30" s="281"/>
      <c r="X30" s="281"/>
    </row>
    <row r="31" spans="2:24" ht="12.75">
      <c r="B31" s="89" t="s">
        <v>141</v>
      </c>
      <c r="C31" s="58"/>
      <c r="D31" s="58"/>
      <c r="E31" s="58"/>
      <c r="F31" s="58"/>
      <c r="G31" s="253"/>
      <c r="H31" s="253"/>
      <c r="I31" s="253"/>
      <c r="J31" s="253"/>
      <c r="K31" s="780"/>
      <c r="L31" s="281"/>
      <c r="M31" s="281"/>
      <c r="N31" s="281"/>
      <c r="O31" s="281"/>
      <c r="P31" s="281"/>
      <c r="Q31" s="281"/>
      <c r="R31" s="281"/>
      <c r="S31" s="281"/>
      <c r="T31" s="281"/>
      <c r="U31" s="281"/>
      <c r="V31" s="281"/>
      <c r="W31" s="281"/>
      <c r="X31" s="281"/>
    </row>
    <row r="32" spans="2:24" ht="12.75">
      <c r="B32" s="89"/>
      <c r="C32" s="58"/>
      <c r="D32" s="58"/>
      <c r="E32" s="58"/>
      <c r="F32" s="58"/>
      <c r="G32" s="253"/>
      <c r="H32" s="289"/>
      <c r="I32" s="253"/>
      <c r="J32" s="253"/>
      <c r="K32" s="780"/>
      <c r="L32" s="281"/>
      <c r="M32" s="281"/>
      <c r="N32" s="281"/>
      <c r="O32" s="281"/>
      <c r="P32" s="281"/>
      <c r="Q32" s="281"/>
      <c r="R32" s="281"/>
      <c r="S32" s="281"/>
      <c r="T32" s="281"/>
      <c r="U32" s="281"/>
      <c r="V32" s="281"/>
      <c r="W32" s="281"/>
      <c r="X32" s="281"/>
    </row>
    <row r="33" spans="2:24" ht="12.75">
      <c r="B33" s="81" t="s">
        <v>217</v>
      </c>
      <c r="C33" s="57"/>
      <c r="D33" s="57"/>
      <c r="E33" s="57"/>
      <c r="F33" s="57"/>
      <c r="G33" s="277">
        <v>265.87799999999999</v>
      </c>
      <c r="H33" s="277">
        <v>274.61500000000001</v>
      </c>
      <c r="I33" s="277">
        <v>185.59200000000001</v>
      </c>
      <c r="J33" s="277">
        <v>68.23</v>
      </c>
      <c r="K33" s="278">
        <v>344.84</v>
      </c>
      <c r="L33" s="277">
        <f>L75</f>
        <v>3.9068000000000001</v>
      </c>
      <c r="M33" s="277">
        <f>M75</f>
        <v>3.0277699999999999</v>
      </c>
      <c r="N33" s="277">
        <f>N75</f>
        <v>2.3465217499999995</v>
      </c>
      <c r="O33" s="277">
        <f t="shared" ref="O33:X33" si="9">O75</f>
        <v>1.8185543562499995</v>
      </c>
      <c r="P33" s="277">
        <f t="shared" si="9"/>
        <v>1.4093796260937497</v>
      </c>
      <c r="Q33" s="277">
        <f t="shared" si="9"/>
        <v>1.0922692102226563</v>
      </c>
      <c r="R33" s="277">
        <f t="shared" si="9"/>
        <v>0.84650863792255859</v>
      </c>
      <c r="S33" s="277">
        <f t="shared" si="9"/>
        <v>0.65604419438998285</v>
      </c>
      <c r="T33" s="277">
        <f t="shared" si="9"/>
        <v>0.50843425065223646</v>
      </c>
      <c r="U33" s="277">
        <f t="shared" si="9"/>
        <v>0.39403654425548335</v>
      </c>
      <c r="V33" s="277">
        <f t="shared" si="9"/>
        <v>0.30537832179799951</v>
      </c>
      <c r="W33" s="277">
        <f t="shared" si="9"/>
        <v>0.23666819939344963</v>
      </c>
      <c r="X33" s="277">
        <f t="shared" si="9"/>
        <v>0.18341785452992349</v>
      </c>
    </row>
    <row r="34" spans="2:24" ht="12.75">
      <c r="B34" s="81" t="s">
        <v>218</v>
      </c>
      <c r="C34" s="57"/>
      <c r="D34" s="57"/>
      <c r="E34" s="57"/>
      <c r="F34" s="57"/>
      <c r="G34" s="277">
        <v>-0.158</v>
      </c>
      <c r="H34" s="277">
        <v>0</v>
      </c>
      <c r="I34" s="277">
        <v>0</v>
      </c>
      <c r="J34" s="277">
        <v>0</v>
      </c>
      <c r="K34" s="278">
        <v>0</v>
      </c>
      <c r="L34" s="277">
        <v>0</v>
      </c>
      <c r="M34" s="277">
        <v>0</v>
      </c>
      <c r="N34" s="277">
        <v>0</v>
      </c>
      <c r="O34" s="277">
        <v>0</v>
      </c>
      <c r="P34" s="277">
        <v>0</v>
      </c>
      <c r="Q34" s="277">
        <v>0</v>
      </c>
      <c r="R34" s="277">
        <v>0</v>
      </c>
      <c r="S34" s="277">
        <v>0</v>
      </c>
      <c r="T34" s="277">
        <v>0</v>
      </c>
      <c r="U34" s="277">
        <v>0</v>
      </c>
      <c r="V34" s="277">
        <v>0</v>
      </c>
      <c r="W34" s="277">
        <v>0</v>
      </c>
      <c r="X34" s="277">
        <v>0</v>
      </c>
    </row>
    <row r="35" spans="2:24" ht="12.75">
      <c r="B35" s="81" t="s">
        <v>219</v>
      </c>
      <c r="C35" s="57"/>
      <c r="D35" s="57"/>
      <c r="E35" s="57"/>
      <c r="F35" s="57"/>
      <c r="G35" s="277">
        <v>-16.056999999999999</v>
      </c>
      <c r="H35" s="277">
        <v>-21.443000000000001</v>
      </c>
      <c r="I35" s="277">
        <v>-19.954000000000001</v>
      </c>
      <c r="J35" s="277">
        <v>-17.597000000000001</v>
      </c>
      <c r="K35" s="278">
        <f>7.484-18.795</f>
        <v>-11.311000000000002</v>
      </c>
      <c r="L35" s="277">
        <v>0</v>
      </c>
      <c r="M35" s="277">
        <v>0</v>
      </c>
      <c r="N35" s="277">
        <v>0</v>
      </c>
      <c r="O35" s="277">
        <v>0</v>
      </c>
      <c r="P35" s="277">
        <v>0</v>
      </c>
      <c r="Q35" s="277">
        <v>0</v>
      </c>
      <c r="R35" s="277">
        <v>0</v>
      </c>
      <c r="S35" s="277">
        <v>0</v>
      </c>
      <c r="T35" s="277">
        <v>0</v>
      </c>
      <c r="U35" s="277">
        <v>0</v>
      </c>
      <c r="V35" s="277">
        <v>0</v>
      </c>
      <c r="W35" s="277">
        <v>0</v>
      </c>
      <c r="X35" s="277">
        <v>0</v>
      </c>
    </row>
    <row r="36" spans="2:24" ht="12.75">
      <c r="B36" s="81" t="s">
        <v>220</v>
      </c>
      <c r="C36" s="57"/>
      <c r="D36" s="57"/>
      <c r="E36" s="57"/>
      <c r="F36" s="57"/>
      <c r="G36" s="277">
        <v>0</v>
      </c>
      <c r="H36" s="277">
        <v>294.24299999999999</v>
      </c>
      <c r="I36" s="277">
        <v>0</v>
      </c>
      <c r="J36" s="277">
        <v>-75</v>
      </c>
      <c r="K36" s="278">
        <f>(BS!G21+BS!G30)-(BS!F21+BS!F30)</f>
        <v>0</v>
      </c>
      <c r="L36" s="277">
        <f>(BS!H21+BS!H30)-(BS!G21+BS!G30)</f>
        <v>0</v>
      </c>
      <c r="M36" s="277">
        <f>(BS!I21+BS!I30)-(BS!H21+BS!H30)</f>
        <v>0</v>
      </c>
      <c r="N36" s="277">
        <f>(BS!J21+BS!J30)-(BS!I21+BS!I30)</f>
        <v>0</v>
      </c>
      <c r="O36" s="277">
        <f>(BS!K21+BS!K30)-(BS!J21+BS!J30)</f>
        <v>0</v>
      </c>
      <c r="P36" s="277">
        <f>(BS!L21+BS!L30)-(BS!K21+BS!K30)</f>
        <v>0</v>
      </c>
      <c r="Q36" s="277">
        <f>(BS!M21+BS!M30)-(BS!L21+BS!L30)</f>
        <v>0</v>
      </c>
      <c r="R36" s="277">
        <f>(BS!N21+BS!N30)-(BS!M21+BS!M30)</f>
        <v>0</v>
      </c>
      <c r="S36" s="277">
        <f>(BS!O21+BS!O30)-(BS!N21+BS!N30)</f>
        <v>0</v>
      </c>
      <c r="T36" s="277">
        <f>(BS!P21+BS!P30)-(BS!O21+BS!O30)</f>
        <v>0</v>
      </c>
      <c r="U36" s="277">
        <f>(BS!Q21+BS!Q30)-(BS!P21+BS!P30)</f>
        <v>0</v>
      </c>
      <c r="V36" s="277">
        <f>(BS!R21+BS!R30)-(BS!Q21+BS!Q30)</f>
        <v>0</v>
      </c>
      <c r="W36" s="277">
        <f>(BS!S21+BS!S30)-(BS!R21+BS!R30)</f>
        <v>0</v>
      </c>
      <c r="X36" s="277">
        <f>(BS!T21+BS!T30)-(BS!S21+BS!S30)</f>
        <v>0</v>
      </c>
    </row>
    <row r="37" spans="2:24" ht="12.75">
      <c r="B37" s="81" t="s">
        <v>525</v>
      </c>
      <c r="C37" s="57"/>
      <c r="D37" s="57"/>
      <c r="E37" s="57"/>
      <c r="F37" s="57"/>
      <c r="G37" s="277"/>
      <c r="H37" s="277"/>
      <c r="I37" s="277"/>
      <c r="J37" s="277">
        <v>74.965000000000003</v>
      </c>
      <c r="K37" s="278">
        <v>-300</v>
      </c>
      <c r="L37" s="277"/>
      <c r="M37" s="277"/>
      <c r="N37" s="277"/>
      <c r="O37" s="277"/>
      <c r="P37" s="277"/>
      <c r="Q37" s="277"/>
      <c r="R37" s="277"/>
      <c r="S37" s="277"/>
      <c r="T37" s="277"/>
      <c r="U37" s="277"/>
      <c r="V37" s="277"/>
      <c r="W37" s="277"/>
      <c r="X37" s="277"/>
    </row>
    <row r="38" spans="2:24" ht="12.75">
      <c r="B38" s="81" t="s">
        <v>475</v>
      </c>
      <c r="C38" s="57"/>
      <c r="D38" s="57"/>
      <c r="E38" s="57"/>
      <c r="F38" s="57"/>
      <c r="G38" s="277">
        <v>-1.252</v>
      </c>
      <c r="H38" s="277">
        <v>2.16</v>
      </c>
      <c r="I38" s="277">
        <v>0</v>
      </c>
      <c r="J38" s="277">
        <v>0</v>
      </c>
      <c r="K38" s="278">
        <v>0</v>
      </c>
      <c r="L38" s="277">
        <v>0</v>
      </c>
      <c r="M38" s="277">
        <v>0</v>
      </c>
      <c r="N38" s="277">
        <v>0</v>
      </c>
      <c r="O38" s="277">
        <v>0</v>
      </c>
      <c r="P38" s="277">
        <v>0</v>
      </c>
      <c r="Q38" s="277">
        <v>0</v>
      </c>
      <c r="R38" s="277">
        <v>0</v>
      </c>
      <c r="S38" s="277">
        <v>0</v>
      </c>
      <c r="T38" s="277">
        <v>0</v>
      </c>
      <c r="U38" s="277">
        <v>0</v>
      </c>
      <c r="V38" s="277">
        <v>0</v>
      </c>
      <c r="W38" s="277">
        <v>0</v>
      </c>
      <c r="X38" s="277">
        <v>0</v>
      </c>
    </row>
    <row r="39" spans="2:24" ht="12.75">
      <c r="B39" s="81" t="s">
        <v>337</v>
      </c>
      <c r="C39" s="57"/>
      <c r="D39" s="57"/>
      <c r="E39" s="57"/>
      <c r="F39" s="57"/>
      <c r="G39" s="277">
        <f>-67.527</f>
        <v>-67.527000000000001</v>
      </c>
      <c r="H39" s="277">
        <f>8.05-60.249</f>
        <v>-52.198999999999998</v>
      </c>
      <c r="I39" s="277">
        <f>-0.381+23.662</f>
        <v>23.280999999999999</v>
      </c>
      <c r="J39" s="277">
        <f>-0.432+11.208-3.103+75</f>
        <v>82.673000000000002</v>
      </c>
      <c r="K39" s="278">
        <f>12.5-0.541+27.182-4.266</f>
        <v>34.875</v>
      </c>
      <c r="L39" s="277">
        <f>BS!H40-BS!G40</f>
        <v>0</v>
      </c>
      <c r="M39" s="277">
        <f>BS!I40-BS!H40</f>
        <v>0</v>
      </c>
      <c r="N39" s="277">
        <f>BS!J40-BS!I40</f>
        <v>0</v>
      </c>
      <c r="O39" s="277">
        <f>BS!K40-BS!J40</f>
        <v>0</v>
      </c>
      <c r="P39" s="277">
        <f>BS!L40-BS!K40</f>
        <v>0</v>
      </c>
      <c r="Q39" s="277">
        <f>BS!M40-BS!L40</f>
        <v>0</v>
      </c>
      <c r="R39" s="277">
        <f>BS!N40-BS!M40</f>
        <v>0</v>
      </c>
      <c r="S39" s="277">
        <f>BS!O40-BS!N40</f>
        <v>0</v>
      </c>
      <c r="T39" s="277">
        <f>BS!P40-BS!O40</f>
        <v>0</v>
      </c>
      <c r="U39" s="277">
        <f>BS!Q40-BS!P40</f>
        <v>0</v>
      </c>
      <c r="V39" s="277">
        <f>BS!R40-BS!Q40</f>
        <v>0</v>
      </c>
      <c r="W39" s="277">
        <f>BS!S40-BS!R40</f>
        <v>0</v>
      </c>
      <c r="X39" s="277">
        <f>BS!T40-BS!S40</f>
        <v>0</v>
      </c>
    </row>
    <row r="40" spans="2:24" ht="12.75">
      <c r="B40" s="47" t="s">
        <v>142</v>
      </c>
      <c r="C40" s="63">
        <f t="shared" ref="C40:N40" si="10">SUM(C33:C39)</f>
        <v>0</v>
      </c>
      <c r="D40" s="63">
        <f t="shared" si="10"/>
        <v>0</v>
      </c>
      <c r="E40" s="63">
        <f t="shared" si="10"/>
        <v>0</v>
      </c>
      <c r="F40" s="63">
        <f t="shared" si="10"/>
        <v>0</v>
      </c>
      <c r="G40" s="285">
        <f t="shared" si="10"/>
        <v>180.88399999999996</v>
      </c>
      <c r="H40" s="285">
        <f t="shared" si="10"/>
        <v>497.37599999999992</v>
      </c>
      <c r="I40" s="285">
        <f t="shared" si="10"/>
        <v>188.91900000000001</v>
      </c>
      <c r="J40" s="285">
        <f t="shared" si="10"/>
        <v>133.27100000000002</v>
      </c>
      <c r="K40" s="781">
        <f t="shared" si="10"/>
        <v>68.403999999999996</v>
      </c>
      <c r="L40" s="285">
        <f t="shared" si="10"/>
        <v>3.9068000000000001</v>
      </c>
      <c r="M40" s="285">
        <f t="shared" si="10"/>
        <v>3.0277699999999999</v>
      </c>
      <c r="N40" s="285">
        <f t="shared" si="10"/>
        <v>2.3465217499999995</v>
      </c>
      <c r="O40" s="285">
        <f t="shared" ref="O40:X40" si="11">SUM(O33:O39)</f>
        <v>1.8185543562499995</v>
      </c>
      <c r="P40" s="285">
        <f t="shared" si="11"/>
        <v>1.4093796260937497</v>
      </c>
      <c r="Q40" s="285">
        <f t="shared" si="11"/>
        <v>1.0922692102226563</v>
      </c>
      <c r="R40" s="285">
        <f t="shared" si="11"/>
        <v>0.84650863792255859</v>
      </c>
      <c r="S40" s="285">
        <f t="shared" si="11"/>
        <v>0.65604419438998285</v>
      </c>
      <c r="T40" s="285">
        <f t="shared" si="11"/>
        <v>0.50843425065223646</v>
      </c>
      <c r="U40" s="285">
        <f t="shared" si="11"/>
        <v>0.39403654425548335</v>
      </c>
      <c r="V40" s="285">
        <f t="shared" si="11"/>
        <v>0.30537832179799951</v>
      </c>
      <c r="W40" s="285">
        <f t="shared" si="11"/>
        <v>0.23666819939344963</v>
      </c>
      <c r="X40" s="285">
        <f t="shared" si="11"/>
        <v>0.18341785452992349</v>
      </c>
    </row>
    <row r="41" spans="2:24" ht="12.75">
      <c r="B41" s="83"/>
      <c r="C41" s="59"/>
      <c r="D41" s="59"/>
      <c r="E41" s="59"/>
      <c r="F41" s="59"/>
      <c r="G41" s="280"/>
      <c r="H41" s="280"/>
      <c r="I41" s="280"/>
      <c r="J41" s="280"/>
      <c r="K41" s="780"/>
      <c r="L41" s="281"/>
      <c r="M41" s="281"/>
      <c r="N41" s="281"/>
    </row>
    <row r="42" spans="2:24" ht="12.75">
      <c r="B42" s="81" t="s">
        <v>143</v>
      </c>
      <c r="C42" s="57">
        <v>0</v>
      </c>
      <c r="D42" s="57">
        <v>0</v>
      </c>
      <c r="E42" s="57">
        <v>0</v>
      </c>
      <c r="F42" s="57">
        <v>0</v>
      </c>
      <c r="G42" s="277">
        <v>4.7080000000000002</v>
      </c>
      <c r="H42" s="283">
        <v>-2.1760000000000002</v>
      </c>
      <c r="I42" s="277">
        <v>-2.8340000000000001</v>
      </c>
      <c r="J42" s="277">
        <v>-4.6660000000000004</v>
      </c>
      <c r="K42" s="278">
        <v>5.8019999999999996</v>
      </c>
      <c r="L42" s="277">
        <v>0</v>
      </c>
      <c r="M42" s="277">
        <v>0</v>
      </c>
      <c r="N42" s="277">
        <v>0</v>
      </c>
      <c r="O42" s="277">
        <v>0</v>
      </c>
      <c r="P42" s="277">
        <v>0</v>
      </c>
      <c r="Q42" s="277">
        <v>0</v>
      </c>
      <c r="R42" s="277">
        <v>0</v>
      </c>
      <c r="S42" s="277">
        <v>0</v>
      </c>
      <c r="T42" s="277">
        <v>0</v>
      </c>
      <c r="U42" s="277">
        <v>0</v>
      </c>
      <c r="V42" s="277">
        <v>0</v>
      </c>
      <c r="W42" s="277">
        <v>0</v>
      </c>
      <c r="X42" s="277">
        <v>0</v>
      </c>
    </row>
    <row r="43" spans="2:24" ht="12.75">
      <c r="B43" s="81"/>
      <c r="C43" s="57"/>
      <c r="D43" s="57"/>
      <c r="E43" s="57"/>
      <c r="F43" s="57"/>
      <c r="G43" s="277"/>
      <c r="H43" s="277"/>
      <c r="I43" s="277"/>
      <c r="J43" s="277"/>
      <c r="K43" s="780"/>
      <c r="L43" s="281"/>
      <c r="M43" s="281"/>
      <c r="N43" s="281"/>
      <c r="O43" s="281"/>
      <c r="P43" s="281"/>
      <c r="Q43" s="281"/>
      <c r="R43" s="281"/>
      <c r="S43" s="281"/>
      <c r="T43" s="281"/>
      <c r="U43" s="281"/>
      <c r="V43" s="281"/>
      <c r="W43" s="281"/>
      <c r="X43" s="281"/>
    </row>
    <row r="44" spans="2:24" ht="12.75">
      <c r="B44" s="47" t="s">
        <v>144</v>
      </c>
      <c r="C44" s="63">
        <f t="shared" ref="C44:N44" si="12">C20+C29+C40+C42</f>
        <v>0</v>
      </c>
      <c r="D44" s="63">
        <f t="shared" si="12"/>
        <v>0</v>
      </c>
      <c r="E44" s="63">
        <f t="shared" si="12"/>
        <v>0</v>
      </c>
      <c r="F44" s="63">
        <f t="shared" si="12"/>
        <v>0</v>
      </c>
      <c r="G44" s="285">
        <f t="shared" si="12"/>
        <v>79.891999999999967</v>
      </c>
      <c r="H44" s="285">
        <f t="shared" si="12"/>
        <v>55.960000000000022</v>
      </c>
      <c r="I44" s="285">
        <f t="shared" si="12"/>
        <v>89.508999999999872</v>
      </c>
      <c r="J44" s="285">
        <f t="shared" si="12"/>
        <v>469.17700000000002</v>
      </c>
      <c r="K44" s="781">
        <f t="shared" si="12"/>
        <v>481.46699999999998</v>
      </c>
      <c r="L44" s="285">
        <f t="shared" si="12"/>
        <v>629.02985201201273</v>
      </c>
      <c r="M44" s="285">
        <f t="shared" si="12"/>
        <v>915.34003347900705</v>
      </c>
      <c r="N44" s="285">
        <f t="shared" si="12"/>
        <v>1585.2620774111606</v>
      </c>
      <c r="O44" s="285">
        <f t="shared" ref="O44:X44" si="13">O20+O29+O40+O42</f>
        <v>2638.7333612811963</v>
      </c>
      <c r="P44" s="285">
        <f t="shared" si="13"/>
        <v>2851.339611962936</v>
      </c>
      <c r="Q44" s="285">
        <f t="shared" si="13"/>
        <v>3147.7163096870727</v>
      </c>
      <c r="R44" s="285">
        <f t="shared" si="13"/>
        <v>3403.0328238033721</v>
      </c>
      <c r="S44" s="285">
        <f t="shared" si="13"/>
        <v>3904.167868708787</v>
      </c>
      <c r="T44" s="285">
        <f t="shared" si="13"/>
        <v>4903.4341834648048</v>
      </c>
      <c r="U44" s="285">
        <f t="shared" si="13"/>
        <v>5551.9360980170795</v>
      </c>
      <c r="V44" s="285">
        <f t="shared" si="13"/>
        <v>5876.5389076365636</v>
      </c>
      <c r="W44" s="285">
        <f t="shared" si="13"/>
        <v>6159.4582935359922</v>
      </c>
      <c r="X44" s="285">
        <f t="shared" si="13"/>
        <v>6517.11811208155</v>
      </c>
    </row>
    <row r="45" spans="2:24" ht="12.75">
      <c r="B45" s="47"/>
      <c r="C45" s="63"/>
      <c r="D45" s="63"/>
      <c r="E45" s="63"/>
      <c r="F45" s="63"/>
      <c r="G45" s="285"/>
      <c r="H45" s="285"/>
      <c r="I45" s="285"/>
      <c r="J45" s="285"/>
      <c r="K45" s="781"/>
      <c r="L45" s="285"/>
      <c r="M45" s="285"/>
      <c r="N45" s="285"/>
      <c r="O45" s="285"/>
      <c r="P45" s="285"/>
      <c r="Q45" s="285"/>
      <c r="R45" s="285"/>
      <c r="S45" s="285"/>
      <c r="T45" s="285"/>
      <c r="U45" s="285"/>
      <c r="V45" s="285"/>
      <c r="W45" s="285"/>
      <c r="X45" s="285"/>
    </row>
    <row r="46" spans="2:24" ht="12.75">
      <c r="B46" s="120" t="s">
        <v>145</v>
      </c>
      <c r="C46" s="95"/>
      <c r="D46" s="49">
        <f t="shared" ref="D46:F46" si="14">C47</f>
        <v>0</v>
      </c>
      <c r="E46" s="49">
        <f t="shared" si="14"/>
        <v>0</v>
      </c>
      <c r="F46" s="49">
        <f t="shared" si="14"/>
        <v>0</v>
      </c>
      <c r="G46" s="288">
        <v>489.40699999999998</v>
      </c>
      <c r="H46" s="288">
        <f>G47</f>
        <v>569.29899999999998</v>
      </c>
      <c r="I46" s="288">
        <f t="shared" ref="I46:N46" si="15">H47</f>
        <v>625.25900000000001</v>
      </c>
      <c r="J46" s="288">
        <f t="shared" si="15"/>
        <v>714.76799999999992</v>
      </c>
      <c r="K46" s="782">
        <f t="shared" si="15"/>
        <v>1183.9449999999999</v>
      </c>
      <c r="L46" s="288">
        <f t="shared" si="15"/>
        <v>1665.4119999999998</v>
      </c>
      <c r="M46" s="288">
        <f t="shared" si="15"/>
        <v>2294.4418520120125</v>
      </c>
      <c r="N46" s="288">
        <f t="shared" si="15"/>
        <v>3209.7818854910197</v>
      </c>
      <c r="O46" s="288">
        <f t="shared" ref="O46" si="16">N47</f>
        <v>4795.0439629021803</v>
      </c>
      <c r="P46" s="288">
        <f t="shared" ref="P46" si="17">O47</f>
        <v>7433.7773241833765</v>
      </c>
      <c r="Q46" s="288">
        <f t="shared" ref="Q46" si="18">P47</f>
        <v>10285.116936146313</v>
      </c>
      <c r="R46" s="288">
        <f t="shared" ref="R46" si="19">Q47</f>
        <v>13432.833245833386</v>
      </c>
      <c r="S46" s="288">
        <f t="shared" ref="S46" si="20">R47</f>
        <v>16835.866069636759</v>
      </c>
      <c r="T46" s="288">
        <f t="shared" ref="T46" si="21">S47</f>
        <v>20740.033938345547</v>
      </c>
      <c r="U46" s="288">
        <f t="shared" ref="U46" si="22">T47</f>
        <v>25643.468121810351</v>
      </c>
      <c r="V46" s="288">
        <f t="shared" ref="V46" si="23">U47</f>
        <v>31195.404219827429</v>
      </c>
      <c r="W46" s="288">
        <f t="shared" ref="W46" si="24">V47</f>
        <v>37071.943127463994</v>
      </c>
      <c r="X46" s="288">
        <f t="shared" ref="X46" si="25">W47</f>
        <v>43231.401420999988</v>
      </c>
    </row>
    <row r="47" spans="2:24" ht="13.5" thickBot="1">
      <c r="B47" s="84" t="s">
        <v>146</v>
      </c>
      <c r="C47" s="60">
        <f t="shared" ref="C47:H47" si="26">C44+C46</f>
        <v>0</v>
      </c>
      <c r="D47" s="60">
        <f t="shared" si="26"/>
        <v>0</v>
      </c>
      <c r="E47" s="60">
        <f t="shared" si="26"/>
        <v>0</v>
      </c>
      <c r="F47" s="60">
        <f t="shared" si="26"/>
        <v>0</v>
      </c>
      <c r="G47" s="282">
        <f t="shared" si="26"/>
        <v>569.29899999999998</v>
      </c>
      <c r="H47" s="282">
        <f t="shared" si="26"/>
        <v>625.25900000000001</v>
      </c>
      <c r="I47" s="282">
        <f t="shared" ref="I47:N47" si="27">I44+I46</f>
        <v>714.76799999999992</v>
      </c>
      <c r="J47" s="282">
        <f t="shared" si="27"/>
        <v>1183.9449999999999</v>
      </c>
      <c r="K47" s="783">
        <f t="shared" si="27"/>
        <v>1665.4119999999998</v>
      </c>
      <c r="L47" s="282">
        <f t="shared" si="27"/>
        <v>2294.4418520120125</v>
      </c>
      <c r="M47" s="282">
        <f t="shared" si="27"/>
        <v>3209.7818854910197</v>
      </c>
      <c r="N47" s="282">
        <f t="shared" si="27"/>
        <v>4795.0439629021803</v>
      </c>
      <c r="O47" s="282">
        <f t="shared" ref="O47:X47" si="28">O44+O46</f>
        <v>7433.7773241833765</v>
      </c>
      <c r="P47" s="282">
        <f t="shared" si="28"/>
        <v>10285.116936146313</v>
      </c>
      <c r="Q47" s="282">
        <f t="shared" si="28"/>
        <v>13432.833245833386</v>
      </c>
      <c r="R47" s="282">
        <f t="shared" si="28"/>
        <v>16835.866069636759</v>
      </c>
      <c r="S47" s="282">
        <f t="shared" si="28"/>
        <v>20740.033938345547</v>
      </c>
      <c r="T47" s="282">
        <f t="shared" si="28"/>
        <v>25643.468121810351</v>
      </c>
      <c r="U47" s="282">
        <f t="shared" si="28"/>
        <v>31195.404219827429</v>
      </c>
      <c r="V47" s="282">
        <f t="shared" si="28"/>
        <v>37071.943127463994</v>
      </c>
      <c r="W47" s="282">
        <f t="shared" si="28"/>
        <v>43231.401420999988</v>
      </c>
      <c r="X47" s="282">
        <f t="shared" si="28"/>
        <v>49748.51953308154</v>
      </c>
    </row>
    <row r="48" spans="2:24" ht="13.5" thickTop="1">
      <c r="B48" s="36"/>
      <c r="C48" s="61"/>
      <c r="D48" s="61"/>
      <c r="E48" s="61"/>
      <c r="F48" s="61"/>
      <c r="G48" s="61"/>
      <c r="H48" s="61"/>
      <c r="I48" s="61"/>
      <c r="J48" s="61"/>
    </row>
    <row r="49" spans="1:32" s="270" customFormat="1" ht="12.75">
      <c r="B49" s="271" t="s">
        <v>94</v>
      </c>
      <c r="C49" s="272">
        <v>-18.486000000000001</v>
      </c>
      <c r="D49" s="272">
        <v>-21.126999999999999</v>
      </c>
      <c r="E49" s="272">
        <f>CF!I96</f>
        <v>0</v>
      </c>
      <c r="F49" s="272">
        <v>-54.662999999999997</v>
      </c>
      <c r="G49" s="273">
        <f>G47-BS!C5</f>
        <v>0</v>
      </c>
      <c r="H49" s="273">
        <f>H47-BS!D5</f>
        <v>0</v>
      </c>
      <c r="I49" s="273">
        <f>I47-BS!E5</f>
        <v>0</v>
      </c>
      <c r="J49" s="273">
        <f>J47-BS!F5</f>
        <v>0</v>
      </c>
      <c r="K49" s="273">
        <f>K47-BS!G5</f>
        <v>0</v>
      </c>
      <c r="L49" s="273">
        <f>L47-BS!H5</f>
        <v>0</v>
      </c>
      <c r="M49" s="273">
        <f>M47-BS!I5</f>
        <v>0</v>
      </c>
      <c r="N49" s="273">
        <f>N47-BS!J5</f>
        <v>0</v>
      </c>
      <c r="O49" s="273">
        <f>O47-BS!K5</f>
        <v>0</v>
      </c>
      <c r="P49" s="273">
        <f>P47-BS!L5</f>
        <v>0</v>
      </c>
      <c r="Q49" s="273">
        <f>Q47-BS!M5</f>
        <v>0</v>
      </c>
      <c r="R49" s="273">
        <f>R47-BS!N5</f>
        <v>0</v>
      </c>
      <c r="S49" s="273">
        <f>S47-BS!O5</f>
        <v>0</v>
      </c>
      <c r="T49" s="273">
        <f>T47-BS!P5</f>
        <v>0</v>
      </c>
      <c r="U49" s="273">
        <f>U47-BS!Q5</f>
        <v>0</v>
      </c>
      <c r="V49" s="273">
        <f>V47-BS!R5</f>
        <v>0</v>
      </c>
      <c r="W49" s="273">
        <f>W47-BS!S5</f>
        <v>0</v>
      </c>
      <c r="X49" s="273">
        <f>X47-BS!T5</f>
        <v>0</v>
      </c>
      <c r="AA49"/>
      <c r="AB49"/>
      <c r="AC49"/>
      <c r="AD49"/>
      <c r="AE49"/>
      <c r="AF49"/>
    </row>
    <row r="50" spans="1:32" ht="12.75">
      <c r="E50" s="96"/>
      <c r="F50" s="96"/>
      <c r="G50" s="96"/>
      <c r="H50" s="96"/>
      <c r="I50" s="96"/>
      <c r="J50" s="96"/>
    </row>
    <row r="51" spans="1:32" ht="12.75">
      <c r="B51" s="121" t="s">
        <v>147</v>
      </c>
      <c r="C51" s="97"/>
      <c r="G51" s="73">
        <v>0.1</v>
      </c>
    </row>
    <row r="52" spans="1:32" ht="12.75">
      <c r="A52" s="98">
        <v>0.1</v>
      </c>
      <c r="B52" s="469" t="s">
        <v>148</v>
      </c>
      <c r="C52" s="470"/>
      <c r="D52" s="256"/>
      <c r="E52" s="256"/>
      <c r="F52" s="256"/>
      <c r="G52" s="471">
        <v>73.45</v>
      </c>
      <c r="H52" s="471">
        <v>118.8</v>
      </c>
      <c r="I52" s="471">
        <v>123.78</v>
      </c>
      <c r="J52" s="472">
        <f t="shared" ref="J52:M52" si="29">I52*(1+$G$51)</f>
        <v>136.15800000000002</v>
      </c>
      <c r="K52" s="472">
        <f t="shared" si="29"/>
        <v>149.77380000000002</v>
      </c>
      <c r="L52" s="472">
        <f t="shared" si="29"/>
        <v>164.75118000000003</v>
      </c>
      <c r="M52" s="472">
        <f t="shared" si="29"/>
        <v>181.22629800000004</v>
      </c>
      <c r="N52" s="472">
        <f t="shared" ref="N52" si="30">M52*(1+$G$51)</f>
        <v>199.34892780000007</v>
      </c>
      <c r="O52" s="472">
        <f t="shared" ref="O52" si="31">N52*(1+$G$51)</f>
        <v>219.28382058000008</v>
      </c>
      <c r="P52" s="472">
        <f t="shared" ref="P52" si="32">O52*(1+$G$51)</f>
        <v>241.21220263800012</v>
      </c>
      <c r="Q52" s="472">
        <f t="shared" ref="Q52" si="33">P52*(1+$G$51)</f>
        <v>265.33342290180013</v>
      </c>
      <c r="R52" s="472">
        <f t="shared" ref="R52" si="34">Q52*(1+$G$51)</f>
        <v>291.86676519198016</v>
      </c>
      <c r="S52" s="472">
        <f t="shared" ref="S52" si="35">R52*(1+$G$51)</f>
        <v>321.05344171117821</v>
      </c>
      <c r="T52" s="472">
        <f t="shared" ref="T52" si="36">S52*(1+$G$51)</f>
        <v>353.15878588229606</v>
      </c>
      <c r="U52" s="472">
        <f t="shared" ref="U52" si="37">T52*(1+$G$51)</f>
        <v>388.47466447052568</v>
      </c>
      <c r="V52" s="472">
        <f t="shared" ref="V52" si="38">U52*(1+$G$51)</f>
        <v>427.32213091757831</v>
      </c>
      <c r="W52" s="472">
        <f t="shared" ref="W52" si="39">V52*(1+$G$51)</f>
        <v>470.05434400933615</v>
      </c>
      <c r="X52" s="473">
        <f t="shared" ref="X52" si="40">W52*(1+$G$51)</f>
        <v>517.05977841026981</v>
      </c>
    </row>
    <row r="53" spans="1:32" ht="12.75">
      <c r="B53" s="474" t="s">
        <v>149</v>
      </c>
      <c r="C53" s="100">
        <v>9.0490999999999993</v>
      </c>
      <c r="D53" s="100">
        <v>10.681895000000001</v>
      </c>
      <c r="E53" s="475">
        <v>12.739831000000001</v>
      </c>
      <c r="F53" s="475">
        <v>13.754568000000001</v>
      </c>
      <c r="G53" s="475">
        <v>19.725999999999999</v>
      </c>
      <c r="H53" s="476">
        <f>G68</f>
        <v>15.728999999999997</v>
      </c>
      <c r="I53" s="476">
        <f>H68</f>
        <v>12.002999999999998</v>
      </c>
      <c r="J53" s="476">
        <f t="shared" ref="J53:M53" si="41">I53+I65-I57-I59</f>
        <v>11.145</v>
      </c>
      <c r="K53" s="476">
        <v>12.641999999999999</v>
      </c>
      <c r="L53" s="476">
        <f t="shared" si="41"/>
        <v>9.7669999999999995</v>
      </c>
      <c r="M53" s="476">
        <f t="shared" si="41"/>
        <v>7.569424999999999</v>
      </c>
      <c r="N53" s="476">
        <f t="shared" ref="N53" si="42">M53+M65-M57-M59</f>
        <v>5.8663043749999986</v>
      </c>
      <c r="O53" s="476">
        <f t="shared" ref="O53" si="43">N53+N65-N57-N59</f>
        <v>4.5463858906249985</v>
      </c>
      <c r="P53" s="476">
        <f t="shared" ref="P53" si="44">O53+O65-O57-O59</f>
        <v>3.5234490652343742</v>
      </c>
      <c r="Q53" s="476">
        <f t="shared" ref="Q53" si="45">P53+P65-P57-P59</f>
        <v>2.7306730255566407</v>
      </c>
      <c r="R53" s="476">
        <f t="shared" ref="R53" si="46">Q53+Q65-Q57-Q59</f>
        <v>2.1162715948063964</v>
      </c>
      <c r="S53" s="476">
        <f t="shared" ref="S53" si="47">R53+R65-R57-R59</f>
        <v>1.6401104859749569</v>
      </c>
      <c r="T53" s="476">
        <f t="shared" ref="T53" si="48">S53+S65-S57-S59</f>
        <v>1.2710856266305912</v>
      </c>
      <c r="U53" s="476">
        <f t="shared" ref="U53" si="49">T53+T65-T57-T59</f>
        <v>0.98509136063870828</v>
      </c>
      <c r="V53" s="476">
        <f t="shared" ref="V53" si="50">U53+U65-U57-U59</f>
        <v>0.76344580449499877</v>
      </c>
      <c r="W53" s="476">
        <f t="shared" ref="W53" si="51">V53+V65-V57-V59</f>
        <v>0.59167049848362407</v>
      </c>
      <c r="X53" s="39">
        <f t="shared" ref="X53" si="52">W53+W65-W57-W59</f>
        <v>0.45854463632480869</v>
      </c>
    </row>
    <row r="54" spans="1:32" ht="12.75">
      <c r="B54" s="474" t="s">
        <v>150</v>
      </c>
      <c r="C54" s="100">
        <v>0</v>
      </c>
      <c r="D54" s="100">
        <v>0</v>
      </c>
      <c r="E54" s="475">
        <v>13.204038000000001</v>
      </c>
      <c r="F54" s="475">
        <v>11.500541999999999</v>
      </c>
      <c r="G54" s="475">
        <v>7.95</v>
      </c>
      <c r="H54" s="475">
        <v>11.38</v>
      </c>
      <c r="I54" s="475">
        <v>10.461</v>
      </c>
      <c r="J54" s="476">
        <f>((J53+K53)/2)*J55</f>
        <v>8.8249769999999987</v>
      </c>
      <c r="K54" s="476">
        <v>5.3129999999999997</v>
      </c>
      <c r="L54" s="476">
        <f>((L53+M53)/2)*L55</f>
        <v>6.431813674999999</v>
      </c>
      <c r="M54" s="476">
        <f>((M53+N53)/2)*M55</f>
        <v>4.9846555981249994</v>
      </c>
      <c r="N54" s="476">
        <f t="shared" ref="N54:W54" si="53">((N53+O53)/2)*N55</f>
        <v>3.8631080885468738</v>
      </c>
      <c r="O54" s="476">
        <f t="shared" si="53"/>
        <v>2.993908768623827</v>
      </c>
      <c r="P54" s="476">
        <f t="shared" si="53"/>
        <v>2.3202792956834664</v>
      </c>
      <c r="Q54" s="476">
        <f t="shared" si="53"/>
        <v>1.7982164541546868</v>
      </c>
      <c r="R54" s="476">
        <f t="shared" si="53"/>
        <v>1.393617751969882</v>
      </c>
      <c r="S54" s="476">
        <f t="shared" si="53"/>
        <v>1.0800537577766585</v>
      </c>
      <c r="T54" s="476">
        <f t="shared" si="53"/>
        <v>0.83704166227691013</v>
      </c>
      <c r="U54" s="476">
        <f t="shared" si="53"/>
        <v>0.64870728826460522</v>
      </c>
      <c r="V54" s="476">
        <f t="shared" si="53"/>
        <v>0.5027481484050691</v>
      </c>
      <c r="W54" s="476">
        <f t="shared" si="53"/>
        <v>0.38962981501392857</v>
      </c>
      <c r="X54" s="39">
        <f>((X53+X53)/2)*X55</f>
        <v>0.34024012015300803</v>
      </c>
    </row>
    <row r="55" spans="1:32" ht="12.75">
      <c r="B55" s="477" t="s">
        <v>151</v>
      </c>
      <c r="C55" s="70">
        <f t="shared" ref="C55:I55" si="54">IF(ISERROR(C54/C53), "NM", (C54/C53))</f>
        <v>0</v>
      </c>
      <c r="D55" s="70">
        <f t="shared" si="54"/>
        <v>0</v>
      </c>
      <c r="E55" s="70">
        <f t="shared" si="54"/>
        <v>1.0364374535266598</v>
      </c>
      <c r="F55" s="70">
        <f t="shared" si="54"/>
        <v>0.83612527852565044</v>
      </c>
      <c r="G55" s="131">
        <f t="shared" si="54"/>
        <v>0.40302139308526819</v>
      </c>
      <c r="H55" s="131">
        <f t="shared" si="54"/>
        <v>0.72350435501303345</v>
      </c>
      <c r="I55" s="131">
        <f t="shared" si="54"/>
        <v>0.8715321169707575</v>
      </c>
      <c r="J55" s="73">
        <v>0.74199999999999999</v>
      </c>
      <c r="K55" s="70">
        <f>K54/K53</f>
        <v>0.42026578073089699</v>
      </c>
      <c r="L55" s="73">
        <v>0.74199999999999999</v>
      </c>
      <c r="M55" s="73">
        <v>0.74199999999999999</v>
      </c>
      <c r="N55" s="73">
        <v>0.74199999999999999</v>
      </c>
      <c r="O55" s="73">
        <v>0.74199999999999999</v>
      </c>
      <c r="P55" s="73">
        <v>0.74199999999999999</v>
      </c>
      <c r="Q55" s="73">
        <v>0.74199999999999999</v>
      </c>
      <c r="R55" s="73">
        <v>0.74199999999999999</v>
      </c>
      <c r="S55" s="73">
        <v>0.74199999999999999</v>
      </c>
      <c r="T55" s="73">
        <v>0.74199999999999999</v>
      </c>
      <c r="U55" s="73">
        <v>0.74199999999999999</v>
      </c>
      <c r="V55" s="73">
        <v>0.74199999999999999</v>
      </c>
      <c r="W55" s="73">
        <v>0.74199999999999999</v>
      </c>
      <c r="X55" s="265">
        <v>0.74199999999999999</v>
      </c>
    </row>
    <row r="56" spans="1:32" ht="12.75">
      <c r="B56" s="478" t="s">
        <v>152</v>
      </c>
      <c r="C56" s="479">
        <v>0</v>
      </c>
      <c r="D56" s="479">
        <v>0</v>
      </c>
      <c r="E56" s="480">
        <v>11.43</v>
      </c>
      <c r="F56" s="480">
        <v>14.05</v>
      </c>
      <c r="G56" s="481">
        <v>38.840000000000003</v>
      </c>
      <c r="H56" s="481">
        <v>55.94</v>
      </c>
      <c r="I56" s="481">
        <v>74.11</v>
      </c>
      <c r="J56" s="482">
        <f>I56*(1+DCF!$C$23)</f>
        <v>81.521000000000001</v>
      </c>
      <c r="K56" s="482">
        <v>80.14</v>
      </c>
      <c r="L56" s="482">
        <f>K56*(1+DCF!$C$23)</f>
        <v>88.154000000000011</v>
      </c>
      <c r="M56" s="482">
        <f>L56*(1+DCF!$C$23)</f>
        <v>96.969400000000022</v>
      </c>
      <c r="N56" s="482">
        <f>M56*(1+DCF!$C$23)</f>
        <v>106.66634000000003</v>
      </c>
      <c r="O56" s="482">
        <f>N56*(1+DCF!$C$23)</f>
        <v>117.33297400000005</v>
      </c>
      <c r="P56" s="482">
        <f>O56*(1+DCF!$C$23)</f>
        <v>129.06627140000006</v>
      </c>
      <c r="Q56" s="482">
        <f>P56*(1+DCF!$C$23)</f>
        <v>141.97289854000007</v>
      </c>
      <c r="R56" s="482">
        <f>Q56*(1+DCF!$C$23)</f>
        <v>156.17018839400009</v>
      </c>
      <c r="S56" s="482">
        <f>R56*(1+DCF!$C$23)</f>
        <v>171.78720723340012</v>
      </c>
      <c r="T56" s="482">
        <f>S56*(1+DCF!$C$23)</f>
        <v>188.96592795674016</v>
      </c>
      <c r="U56" s="482">
        <f>T56*(1+DCF!$C$23)</f>
        <v>207.86252075241418</v>
      </c>
      <c r="V56" s="482">
        <f>U56*(1+DCF!$C$23)</f>
        <v>228.64877282765562</v>
      </c>
      <c r="W56" s="482">
        <f>V56*(1+DCF!$C$23)</f>
        <v>251.5136501104212</v>
      </c>
      <c r="X56" s="482">
        <f>W56*(1+DCF!$C$23)</f>
        <v>276.66501512146334</v>
      </c>
    </row>
    <row r="57" spans="1:32" ht="12.75">
      <c r="B57" s="483" t="s">
        <v>153</v>
      </c>
      <c r="C57" s="102">
        <v>0.20397499999999999</v>
      </c>
      <c r="D57" s="102">
        <v>0.16586200000000001</v>
      </c>
      <c r="E57" s="484">
        <v>0.143899</v>
      </c>
      <c r="F57" s="484">
        <v>0.37214199999999997</v>
      </c>
      <c r="G57" s="475">
        <f>1.822+0.02</f>
        <v>1.8420000000000001</v>
      </c>
      <c r="H57" s="475">
        <f>1.173+0.014</f>
        <v>1.1870000000000001</v>
      </c>
      <c r="I57" s="475">
        <v>1.1000000000000001</v>
      </c>
      <c r="J57" s="485">
        <f t="shared" ref="J57:M57" si="55">J58*J53</f>
        <v>0.72442499999999999</v>
      </c>
      <c r="K57" s="485">
        <f>0.062+0.611</f>
        <v>0.67300000000000004</v>
      </c>
      <c r="L57" s="485">
        <f t="shared" si="55"/>
        <v>0.63485499999999995</v>
      </c>
      <c r="M57" s="485">
        <f t="shared" si="55"/>
        <v>0.49201262499999993</v>
      </c>
      <c r="N57" s="485">
        <f t="shared" ref="N57:W57" si="56">N58*N53</f>
        <v>0.3813097843749999</v>
      </c>
      <c r="O57" s="485">
        <f t="shared" si="56"/>
        <v>0.29551508289062489</v>
      </c>
      <c r="P57" s="485">
        <f t="shared" si="56"/>
        <v>0.22902418924023432</v>
      </c>
      <c r="Q57" s="485">
        <f t="shared" si="56"/>
        <v>0.17749374666118165</v>
      </c>
      <c r="R57" s="485">
        <f t="shared" si="56"/>
        <v>0.13755765366241576</v>
      </c>
      <c r="S57" s="485">
        <f t="shared" si="56"/>
        <v>0.10660718158837221</v>
      </c>
      <c r="T57" s="485">
        <f t="shared" si="56"/>
        <v>8.2620565730988429E-2</v>
      </c>
      <c r="U57" s="485">
        <f t="shared" si="56"/>
        <v>6.4030938441516042E-2</v>
      </c>
      <c r="V57" s="485">
        <f t="shared" si="56"/>
        <v>4.9623977292174923E-2</v>
      </c>
      <c r="W57" s="485">
        <f t="shared" si="56"/>
        <v>3.8458582401435563E-2</v>
      </c>
      <c r="X57" s="486">
        <f t="shared" ref="X57" si="57">X58*X53</f>
        <v>2.9805401361112566E-2</v>
      </c>
    </row>
    <row r="58" spans="1:32" ht="12.75">
      <c r="B58" s="477" t="s">
        <v>154</v>
      </c>
      <c r="C58" s="70">
        <f t="shared" ref="C58:I58" si="58">IF(ISERROR(C57/C53), "NM", (C57/C53))</f>
        <v>2.2540915671171721E-2</v>
      </c>
      <c r="D58" s="70">
        <f t="shared" si="58"/>
        <v>1.5527394717884795E-2</v>
      </c>
      <c r="E58" s="70">
        <f t="shared" si="58"/>
        <v>1.1295204779404058E-2</v>
      </c>
      <c r="F58" s="70">
        <f t="shared" si="58"/>
        <v>2.7055884270592863E-2</v>
      </c>
      <c r="G58" s="70">
        <f t="shared" si="58"/>
        <v>9.337929636013384E-2</v>
      </c>
      <c r="H58" s="70">
        <f t="shared" si="58"/>
        <v>7.5465700298811125E-2</v>
      </c>
      <c r="I58" s="70">
        <f t="shared" si="58"/>
        <v>9.1643755727734755E-2</v>
      </c>
      <c r="J58" s="73">
        <v>6.5000000000000002E-2</v>
      </c>
      <c r="K58" s="70">
        <f>K57/K53</f>
        <v>5.323524758740706E-2</v>
      </c>
      <c r="L58" s="73">
        <v>6.5000000000000002E-2</v>
      </c>
      <c r="M58" s="73">
        <v>6.5000000000000002E-2</v>
      </c>
      <c r="N58" s="73">
        <v>6.5000000000000002E-2</v>
      </c>
      <c r="O58" s="73">
        <v>6.5000000000000002E-2</v>
      </c>
      <c r="P58" s="73">
        <v>6.5000000000000002E-2</v>
      </c>
      <c r="Q58" s="73">
        <v>6.5000000000000002E-2</v>
      </c>
      <c r="R58" s="73">
        <v>6.5000000000000002E-2</v>
      </c>
      <c r="S58" s="73">
        <v>6.5000000000000002E-2</v>
      </c>
      <c r="T58" s="73">
        <v>6.5000000000000002E-2</v>
      </c>
      <c r="U58" s="73">
        <v>6.5000000000000002E-2</v>
      </c>
      <c r="V58" s="73">
        <v>6.5000000000000002E-2</v>
      </c>
      <c r="W58" s="73">
        <v>6.5000000000000002E-2</v>
      </c>
      <c r="X58" s="265">
        <v>6.5000000000000002E-2</v>
      </c>
    </row>
    <row r="59" spans="1:32" ht="12.75">
      <c r="B59" s="483" t="s">
        <v>155</v>
      </c>
      <c r="C59" s="103">
        <v>0.65305400000000002</v>
      </c>
      <c r="D59" s="103">
        <v>0.88041700000000001</v>
      </c>
      <c r="E59" s="57">
        <v>1.669489</v>
      </c>
      <c r="F59" s="57">
        <v>3.3989470000000002</v>
      </c>
      <c r="G59" s="57">
        <v>6.9950000000000001</v>
      </c>
      <c r="H59" s="57">
        <v>6.1529999999999996</v>
      </c>
      <c r="I59" s="58">
        <v>3.2890000000000001</v>
      </c>
      <c r="J59" s="58">
        <f t="shared" ref="J59:M59" si="59">J53*J60</f>
        <v>4.4580000000000002</v>
      </c>
      <c r="K59" s="58">
        <v>4.5609999999999999</v>
      </c>
      <c r="L59" s="58">
        <f t="shared" si="59"/>
        <v>3.9068000000000001</v>
      </c>
      <c r="M59" s="58">
        <f t="shared" si="59"/>
        <v>3.0277699999999999</v>
      </c>
      <c r="N59" s="58">
        <f t="shared" ref="N59:W59" si="60">N53*N60</f>
        <v>2.3465217499999995</v>
      </c>
      <c r="O59" s="58">
        <f t="shared" si="60"/>
        <v>1.8185543562499995</v>
      </c>
      <c r="P59" s="58">
        <f t="shared" si="60"/>
        <v>1.4093796260937497</v>
      </c>
      <c r="Q59" s="58">
        <f t="shared" si="60"/>
        <v>1.0922692102226563</v>
      </c>
      <c r="R59" s="58">
        <f t="shared" si="60"/>
        <v>0.84650863792255859</v>
      </c>
      <c r="S59" s="58">
        <f t="shared" si="60"/>
        <v>0.65604419438998285</v>
      </c>
      <c r="T59" s="58">
        <f t="shared" si="60"/>
        <v>0.50843425065223646</v>
      </c>
      <c r="U59" s="58">
        <f t="shared" si="60"/>
        <v>0.39403654425548335</v>
      </c>
      <c r="V59" s="58">
        <f t="shared" si="60"/>
        <v>0.30537832179799951</v>
      </c>
      <c r="W59" s="58">
        <f t="shared" si="60"/>
        <v>0.23666819939344963</v>
      </c>
      <c r="X59" s="37">
        <f t="shared" ref="X59" si="61">X53*X60</f>
        <v>0.18341785452992349</v>
      </c>
    </row>
    <row r="60" spans="1:32" ht="12.75">
      <c r="B60" s="477" t="s">
        <v>156</v>
      </c>
      <c r="C60" s="70">
        <f t="shared" ref="C60:I60" si="62">IF(ISERROR(C59/C53), "NM", (C59/C53))</f>
        <v>7.2167839895680236E-2</v>
      </c>
      <c r="D60" s="70">
        <f t="shared" si="62"/>
        <v>8.2421424288480649E-2</v>
      </c>
      <c r="E60" s="70">
        <f t="shared" si="62"/>
        <v>0.13104483097146263</v>
      </c>
      <c r="F60" s="70">
        <f t="shared" si="62"/>
        <v>0.24711404967426095</v>
      </c>
      <c r="G60" s="70">
        <f t="shared" si="62"/>
        <v>0.35460813140018255</v>
      </c>
      <c r="H60" s="70">
        <f t="shared" si="62"/>
        <v>0.39118825100133514</v>
      </c>
      <c r="I60" s="70">
        <f t="shared" si="62"/>
        <v>0.27401482962592688</v>
      </c>
      <c r="J60" s="73">
        <v>0.4</v>
      </c>
      <c r="K60" s="70">
        <f>K59/K53</f>
        <v>0.36078152191109003</v>
      </c>
      <c r="L60" s="73">
        <v>0.4</v>
      </c>
      <c r="M60" s="73">
        <v>0.4</v>
      </c>
      <c r="N60" s="73">
        <v>0.4</v>
      </c>
      <c r="O60" s="73">
        <v>0.4</v>
      </c>
      <c r="P60" s="73">
        <v>0.4</v>
      </c>
      <c r="Q60" s="73">
        <v>0.4</v>
      </c>
      <c r="R60" s="73">
        <v>0.4</v>
      </c>
      <c r="S60" s="73">
        <v>0.4</v>
      </c>
      <c r="T60" s="73">
        <v>0.4</v>
      </c>
      <c r="U60" s="73">
        <v>0.4</v>
      </c>
      <c r="V60" s="73">
        <v>0.4</v>
      </c>
      <c r="W60" s="73">
        <v>0.4</v>
      </c>
      <c r="X60" s="265">
        <v>0.4</v>
      </c>
    </row>
    <row r="61" spans="1:32" ht="12.75">
      <c r="B61" s="478" t="s">
        <v>157</v>
      </c>
      <c r="C61" s="105">
        <v>5.37</v>
      </c>
      <c r="D61" s="105">
        <v>6.67</v>
      </c>
      <c r="E61" s="480">
        <v>7.38</v>
      </c>
      <c r="F61" s="480">
        <v>9.25</v>
      </c>
      <c r="G61" s="481">
        <v>35.28</v>
      </c>
      <c r="H61" s="481">
        <v>41.53</v>
      </c>
      <c r="I61" s="481">
        <v>50.34</v>
      </c>
      <c r="J61" s="482">
        <f>I61*(1+DCF!$C$23)</f>
        <v>55.374000000000009</v>
      </c>
      <c r="K61" s="482">
        <v>70.900000000000006</v>
      </c>
      <c r="L61" s="482">
        <f>K61*(1+DCF!$C$23)</f>
        <v>77.990000000000009</v>
      </c>
      <c r="M61" s="482">
        <f>L61*(1+DCF!$C$23)</f>
        <v>85.789000000000016</v>
      </c>
      <c r="N61" s="482">
        <f>M61*(1+DCF!$C$23)</f>
        <v>94.36790000000002</v>
      </c>
      <c r="O61" s="482">
        <f>N61*(1+DCF!$C$23)</f>
        <v>103.80469000000004</v>
      </c>
      <c r="P61" s="482">
        <f>O61*(1+DCF!$C$23)</f>
        <v>114.18515900000006</v>
      </c>
      <c r="Q61" s="482">
        <f>P61*(1+DCF!$C$23)</f>
        <v>125.60367490000007</v>
      </c>
      <c r="R61" s="482">
        <f>Q61*(1+DCF!$C$23)</f>
        <v>138.16404239000008</v>
      </c>
      <c r="S61" s="482">
        <f>R61*(1+DCF!$C$23)</f>
        <v>151.98044662900008</v>
      </c>
      <c r="T61" s="482">
        <f>S61*(1+DCF!$C$23)</f>
        <v>167.17849129190012</v>
      </c>
      <c r="U61" s="482">
        <f>T61*(1+DCF!$C$23)</f>
        <v>183.89634042109014</v>
      </c>
      <c r="V61" s="482">
        <f>U61*(1+DCF!$C$23)</f>
        <v>202.28597446319918</v>
      </c>
      <c r="W61" s="482">
        <f>V61*(1+DCF!$C$23)</f>
        <v>222.51457190951911</v>
      </c>
      <c r="X61" s="482">
        <f>W61*(1+DCF!$C$23)</f>
        <v>244.76602910047103</v>
      </c>
    </row>
    <row r="62" spans="1:32" ht="12.75">
      <c r="B62" s="477" t="s">
        <v>158</v>
      </c>
      <c r="C62" s="69">
        <v>0.38</v>
      </c>
      <c r="D62" s="69">
        <v>0.35</v>
      </c>
      <c r="E62" s="69">
        <v>0.33999999999999997</v>
      </c>
      <c r="F62" s="69">
        <v>0.31999999999999995</v>
      </c>
      <c r="G62" s="69">
        <v>0.35</v>
      </c>
      <c r="H62" s="69">
        <v>0.35</v>
      </c>
      <c r="I62" s="69">
        <v>0.35</v>
      </c>
      <c r="J62" s="487">
        <v>0.35</v>
      </c>
      <c r="K62" s="487">
        <v>0.35</v>
      </c>
      <c r="L62" s="487">
        <v>0.35</v>
      </c>
      <c r="M62" s="487">
        <v>0.35</v>
      </c>
      <c r="N62" s="487">
        <v>0.35</v>
      </c>
      <c r="O62" s="487">
        <v>0.35</v>
      </c>
      <c r="P62" s="487">
        <v>0.35</v>
      </c>
      <c r="Q62" s="487">
        <v>0.35</v>
      </c>
      <c r="R62" s="487">
        <v>0.35</v>
      </c>
      <c r="S62" s="487">
        <v>0.35</v>
      </c>
      <c r="T62" s="487">
        <v>0.35</v>
      </c>
      <c r="U62" s="487">
        <v>0.35</v>
      </c>
      <c r="V62" s="487">
        <v>0.35</v>
      </c>
      <c r="W62" s="487">
        <v>0.35</v>
      </c>
      <c r="X62" s="488">
        <v>0.35</v>
      </c>
    </row>
    <row r="63" spans="1:32" ht="12.75">
      <c r="B63" s="483" t="s">
        <v>159</v>
      </c>
      <c r="C63" s="489">
        <f t="shared" ref="C63:G63" si="63">C59*C61</f>
        <v>3.50689998</v>
      </c>
      <c r="D63" s="489">
        <f t="shared" si="63"/>
        <v>5.8723813900000001</v>
      </c>
      <c r="E63" s="489">
        <f t="shared" si="63"/>
        <v>12.320828819999999</v>
      </c>
      <c r="F63" s="489">
        <f t="shared" si="63"/>
        <v>31.440259750000003</v>
      </c>
      <c r="G63" s="58">
        <f t="shared" si="63"/>
        <v>246.78360000000001</v>
      </c>
      <c r="H63" s="58">
        <f t="shared" ref="H63:M63" si="64">H59*H61</f>
        <v>255.53408999999999</v>
      </c>
      <c r="I63" s="58">
        <f t="shared" si="64"/>
        <v>165.56826000000001</v>
      </c>
      <c r="J63" s="58">
        <f t="shared" si="64"/>
        <v>246.85729200000006</v>
      </c>
      <c r="K63" s="58">
        <f t="shared" si="64"/>
        <v>323.37490000000003</v>
      </c>
      <c r="L63" s="58">
        <f t="shared" si="64"/>
        <v>304.69133200000005</v>
      </c>
      <c r="M63" s="58">
        <f t="shared" si="64"/>
        <v>259.74936053000005</v>
      </c>
      <c r="N63" s="58">
        <f t="shared" ref="N63:W63" si="65">N59*N61</f>
        <v>221.43632985182501</v>
      </c>
      <c r="O63" s="58">
        <f t="shared" si="65"/>
        <v>188.77447119868083</v>
      </c>
      <c r="P63" s="58">
        <f t="shared" si="65"/>
        <v>160.93023669687543</v>
      </c>
      <c r="Q63" s="58">
        <f t="shared" si="65"/>
        <v>137.19302678408636</v>
      </c>
      <c r="R63" s="58">
        <f t="shared" si="65"/>
        <v>116.95705533343362</v>
      </c>
      <c r="S63" s="58">
        <f t="shared" si="65"/>
        <v>99.705889671752146</v>
      </c>
      <c r="T63" s="58">
        <f t="shared" si="65"/>
        <v>84.999270945168675</v>
      </c>
      <c r="U63" s="58">
        <f t="shared" si="65"/>
        <v>72.461878480756312</v>
      </c>
      <c r="V63" s="58">
        <f t="shared" si="65"/>
        <v>61.773751404844752</v>
      </c>
      <c r="W63" s="58">
        <f t="shared" si="65"/>
        <v>52.662123072630152</v>
      </c>
      <c r="X63" s="37">
        <f t="shared" ref="X63" si="66">X59*X61</f>
        <v>44.894459919417216</v>
      </c>
    </row>
    <row r="64" spans="1:32" ht="12.75">
      <c r="B64" s="483" t="s">
        <v>160</v>
      </c>
      <c r="C64" s="106">
        <v>0</v>
      </c>
      <c r="D64" s="106">
        <v>0</v>
      </c>
      <c r="E64" s="479">
        <v>0</v>
      </c>
      <c r="F64" s="479">
        <v>0</v>
      </c>
      <c r="G64" s="58">
        <f>((G52-G61)*G59)*G62</f>
        <v>93.449702500000015</v>
      </c>
      <c r="H64" s="58">
        <f>((H52-H61)*H59)*H62</f>
        <v>166.40480849999997</v>
      </c>
      <c r="I64" s="58">
        <f>((I52-I61)*I59)*I62</f>
        <v>84.540455999999992</v>
      </c>
      <c r="J64" s="58">
        <f t="shared" ref="J64:M64" si="67">((J52-J61)*J59)*J62</f>
        <v>126.0472752</v>
      </c>
      <c r="K64" s="58">
        <f t="shared" si="67"/>
        <v>125.91019063000002</v>
      </c>
      <c r="L64" s="58">
        <f t="shared" si="67"/>
        <v>118.63550230840002</v>
      </c>
      <c r="M64" s="58">
        <f t="shared" si="67"/>
        <v>101.136765717911</v>
      </c>
      <c r="N64" s="58">
        <f t="shared" ref="N64:W64" si="68">((N52-N61)*N59)*N62</f>
        <v>86.219092774519154</v>
      </c>
      <c r="O64" s="58">
        <f t="shared" si="68"/>
        <v>73.501776590277558</v>
      </c>
      <c r="P64" s="58">
        <f t="shared" si="68"/>
        <v>62.660264543211625</v>
      </c>
      <c r="Q64" s="58">
        <f t="shared" si="68"/>
        <v>53.417875523087929</v>
      </c>
      <c r="R64" s="58">
        <f t="shared" si="68"/>
        <v>45.538738883432465</v>
      </c>
      <c r="S64" s="58">
        <f t="shared" si="68"/>
        <v>38.821774898126172</v>
      </c>
      <c r="T64" s="58">
        <f t="shared" si="68"/>
        <v>33.095563100652548</v>
      </c>
      <c r="U64" s="58">
        <f t="shared" si="68"/>
        <v>28.213967543306307</v>
      </c>
      <c r="V64" s="58">
        <f t="shared" si="68"/>
        <v>24.052407330668622</v>
      </c>
      <c r="W64" s="58">
        <f t="shared" si="68"/>
        <v>20.504677249395002</v>
      </c>
      <c r="X64" s="37">
        <f t="shared" ref="X64" si="69">((X52-X61)*X59)*X62</f>
        <v>17.480237355109242</v>
      </c>
    </row>
    <row r="65" spans="2:32" ht="12.75">
      <c r="B65" s="483" t="s">
        <v>161</v>
      </c>
      <c r="C65" s="100">
        <v>2.489824</v>
      </c>
      <c r="D65" s="100">
        <v>3.1042149999999999</v>
      </c>
      <c r="E65" s="475">
        <v>2.828125</v>
      </c>
      <c r="F65" s="475">
        <v>1.9086879999999999</v>
      </c>
      <c r="G65" s="475">
        <v>4.84</v>
      </c>
      <c r="H65" s="475">
        <v>3.6139999999999999</v>
      </c>
      <c r="I65" s="475">
        <v>3.5310000000000001</v>
      </c>
      <c r="J65" s="58">
        <f t="shared" ref="J65:M65" si="70">J53*J66</f>
        <v>2.6747999999999998</v>
      </c>
      <c r="K65" s="58">
        <v>2.359</v>
      </c>
      <c r="L65" s="58">
        <f t="shared" si="70"/>
        <v>2.3440799999999999</v>
      </c>
      <c r="M65" s="58">
        <f t="shared" si="70"/>
        <v>1.8166619999999998</v>
      </c>
      <c r="N65" s="58">
        <f t="shared" ref="N65:W65" si="71">N53*N66</f>
        <v>1.4079130499999997</v>
      </c>
      <c r="O65" s="58">
        <f t="shared" si="71"/>
        <v>1.0911326137499997</v>
      </c>
      <c r="P65" s="58">
        <f t="shared" si="71"/>
        <v>0.8456277756562498</v>
      </c>
      <c r="Q65" s="58">
        <f t="shared" si="71"/>
        <v>0.65536152613359377</v>
      </c>
      <c r="R65" s="58">
        <f t="shared" si="71"/>
        <v>0.50790518275353513</v>
      </c>
      <c r="S65" s="58">
        <f t="shared" si="71"/>
        <v>0.39362651663398962</v>
      </c>
      <c r="T65" s="58">
        <f t="shared" si="71"/>
        <v>0.30506055039134189</v>
      </c>
      <c r="U65" s="58">
        <f t="shared" si="71"/>
        <v>0.23642192655328997</v>
      </c>
      <c r="V65" s="58">
        <f t="shared" si="71"/>
        <v>0.18322699307879969</v>
      </c>
      <c r="W65" s="58">
        <f t="shared" si="71"/>
        <v>0.14200091963606978</v>
      </c>
      <c r="X65" s="37">
        <f t="shared" ref="X65" si="72">X53*X66</f>
        <v>0.11005071271795408</v>
      </c>
    </row>
    <row r="66" spans="2:32" ht="12.75">
      <c r="B66" s="490" t="s">
        <v>156</v>
      </c>
      <c r="C66" s="467">
        <f>IF(ISERROR(C65/C53), "NM", (C65/C53))</f>
        <v>0.27514603662242659</v>
      </c>
      <c r="D66" s="491">
        <f t="shared" ref="D66:I66" si="73">D65/D53</f>
        <v>0.29060527181740692</v>
      </c>
      <c r="E66" s="491">
        <f t="shared" si="73"/>
        <v>0.22199077837060788</v>
      </c>
      <c r="F66" s="491">
        <f t="shared" si="73"/>
        <v>0.13876757161693482</v>
      </c>
      <c r="G66" s="491">
        <f t="shared" si="73"/>
        <v>0.24536145189090541</v>
      </c>
      <c r="H66" s="491">
        <f t="shared" si="73"/>
        <v>0.22976667302434994</v>
      </c>
      <c r="I66" s="491">
        <f t="shared" si="73"/>
        <v>0.29417645588602853</v>
      </c>
      <c r="J66" s="492">
        <v>0.24</v>
      </c>
      <c r="K66" s="784">
        <f>K65/K53</f>
        <v>0.18660022148394242</v>
      </c>
      <c r="L66" s="492">
        <v>0.24</v>
      </c>
      <c r="M66" s="492">
        <v>0.24</v>
      </c>
      <c r="N66" s="492">
        <v>0.24</v>
      </c>
      <c r="O66" s="492">
        <v>0.24</v>
      </c>
      <c r="P66" s="492">
        <v>0.24</v>
      </c>
      <c r="Q66" s="492">
        <v>0.24</v>
      </c>
      <c r="R66" s="492">
        <v>0.24</v>
      </c>
      <c r="S66" s="492">
        <v>0.24</v>
      </c>
      <c r="T66" s="492">
        <v>0.24</v>
      </c>
      <c r="U66" s="492">
        <v>0.24</v>
      </c>
      <c r="V66" s="492">
        <v>0.24</v>
      </c>
      <c r="W66" s="492">
        <v>0.24</v>
      </c>
      <c r="X66" s="493">
        <v>0.24</v>
      </c>
    </row>
    <row r="67" spans="2:32" ht="12.75">
      <c r="B67" s="123"/>
      <c r="C67" s="70"/>
      <c r="D67" s="107"/>
      <c r="E67" s="107"/>
      <c r="F67" s="107"/>
      <c r="G67" s="130"/>
      <c r="H67" s="107"/>
      <c r="I67" s="107"/>
      <c r="J67" s="107"/>
    </row>
    <row r="68" spans="2:32" ht="12.75">
      <c r="B68" s="125" t="s">
        <v>162</v>
      </c>
      <c r="C68" s="108">
        <f t="shared" ref="C68:I68" si="74">C53-C59+C65-C57</f>
        <v>10.681894999999999</v>
      </c>
      <c r="D68" s="108">
        <f t="shared" si="74"/>
        <v>12.739831000000001</v>
      </c>
      <c r="E68" s="108">
        <f t="shared" si="74"/>
        <v>13.754568000000001</v>
      </c>
      <c r="F68" s="108">
        <f t="shared" si="74"/>
        <v>11.892167000000001</v>
      </c>
      <c r="G68" s="108">
        <f t="shared" si="74"/>
        <v>15.728999999999997</v>
      </c>
      <c r="H68" s="108">
        <f t="shared" si="74"/>
        <v>12.002999999999998</v>
      </c>
      <c r="I68" s="108">
        <f t="shared" si="74"/>
        <v>11.145</v>
      </c>
      <c r="J68" s="108"/>
      <c r="K68" s="108"/>
      <c r="L68" s="108"/>
      <c r="M68" s="108"/>
      <c r="N68" s="108"/>
    </row>
    <row r="69" spans="2:32" ht="12.75">
      <c r="B69" s="125" t="s">
        <v>163</v>
      </c>
      <c r="C69" s="108">
        <v>10.681895000000001</v>
      </c>
      <c r="D69" s="108">
        <v>12.739831000000001</v>
      </c>
      <c r="E69" s="108">
        <v>13.754568000000001</v>
      </c>
      <c r="F69" s="108">
        <v>11.892167000000001</v>
      </c>
      <c r="G69" s="108">
        <v>15.728999999999999</v>
      </c>
      <c r="H69" s="108">
        <v>12.003</v>
      </c>
      <c r="I69" s="108">
        <v>11.145</v>
      </c>
      <c r="J69" s="108"/>
      <c r="K69" s="108"/>
      <c r="L69" s="108"/>
      <c r="M69" s="108"/>
      <c r="N69" s="108"/>
    </row>
    <row r="70" spans="2:32" ht="12.75">
      <c r="B70" s="125"/>
      <c r="C70" s="108"/>
      <c r="D70" s="108"/>
      <c r="E70" s="108"/>
      <c r="F70" s="108"/>
      <c r="G70" s="108"/>
      <c r="H70" s="108"/>
      <c r="I70" s="108"/>
      <c r="J70" s="108"/>
      <c r="K70" s="108"/>
      <c r="L70" s="108"/>
      <c r="M70" s="108"/>
      <c r="N70" s="108"/>
    </row>
    <row r="71" spans="2:32" s="275" customFormat="1" ht="12.75">
      <c r="B71" s="271" t="s">
        <v>94</v>
      </c>
      <c r="C71" s="276">
        <f t="shared" ref="C71:X71" si="75">C68-C69</f>
        <v>0</v>
      </c>
      <c r="D71" s="276">
        <f t="shared" si="75"/>
        <v>0</v>
      </c>
      <c r="E71" s="276">
        <f t="shared" si="75"/>
        <v>0</v>
      </c>
      <c r="F71" s="276">
        <f t="shared" si="75"/>
        <v>0</v>
      </c>
      <c r="G71" s="273">
        <f t="shared" si="75"/>
        <v>0</v>
      </c>
      <c r="H71" s="273">
        <f t="shared" si="75"/>
        <v>0</v>
      </c>
      <c r="I71" s="276">
        <f t="shared" si="75"/>
        <v>0</v>
      </c>
      <c r="J71" s="276">
        <f t="shared" si="75"/>
        <v>0</v>
      </c>
      <c r="K71" s="276">
        <f t="shared" si="75"/>
        <v>0</v>
      </c>
      <c r="L71" s="276">
        <f t="shared" si="75"/>
        <v>0</v>
      </c>
      <c r="M71" s="276">
        <f t="shared" si="75"/>
        <v>0</v>
      </c>
      <c r="N71" s="276">
        <f t="shared" si="75"/>
        <v>0</v>
      </c>
      <c r="O71" s="276">
        <f t="shared" si="75"/>
        <v>0</v>
      </c>
      <c r="P71" s="276">
        <f t="shared" si="75"/>
        <v>0</v>
      </c>
      <c r="Q71" s="276">
        <f t="shared" si="75"/>
        <v>0</v>
      </c>
      <c r="R71" s="276">
        <f t="shared" si="75"/>
        <v>0</v>
      </c>
      <c r="S71" s="276">
        <f t="shared" si="75"/>
        <v>0</v>
      </c>
      <c r="T71" s="276">
        <f t="shared" si="75"/>
        <v>0</v>
      </c>
      <c r="U71" s="276">
        <f t="shared" si="75"/>
        <v>0</v>
      </c>
      <c r="V71" s="276">
        <f t="shared" si="75"/>
        <v>0</v>
      </c>
      <c r="W71" s="276">
        <f t="shared" si="75"/>
        <v>0</v>
      </c>
      <c r="X71" s="276">
        <f t="shared" si="75"/>
        <v>0</v>
      </c>
      <c r="AA71"/>
      <c r="AB71"/>
      <c r="AC71"/>
      <c r="AD71"/>
      <c r="AE71"/>
      <c r="AF71"/>
    </row>
    <row r="72" spans="2:32" ht="12.75">
      <c r="B72" s="126"/>
      <c r="C72" s="109"/>
      <c r="D72" s="75"/>
      <c r="E72" s="75"/>
      <c r="F72" s="75"/>
      <c r="G72" s="75"/>
      <c r="H72" s="75"/>
      <c r="I72" s="75"/>
      <c r="J72" s="75"/>
    </row>
    <row r="73" spans="2:32" ht="12.75">
      <c r="B73" s="494" t="s">
        <v>164</v>
      </c>
      <c r="C73" s="495">
        <v>0.14599999999999999</v>
      </c>
      <c r="D73" s="495">
        <v>0.17299999999999999</v>
      </c>
      <c r="E73" s="495">
        <v>0.22900000000000001</v>
      </c>
      <c r="F73" s="495">
        <v>0.28799999999999998</v>
      </c>
      <c r="G73" s="495">
        <v>8.2260000000000009</v>
      </c>
      <c r="H73" s="495">
        <v>7.9749999999999996</v>
      </c>
      <c r="I73" s="495">
        <v>4.5430000000000001</v>
      </c>
      <c r="J73" s="496">
        <v>0</v>
      </c>
      <c r="K73" s="497">
        <v>0</v>
      </c>
      <c r="L73" s="497">
        <v>0</v>
      </c>
      <c r="M73" s="497">
        <v>0</v>
      </c>
      <c r="N73" s="497">
        <v>0</v>
      </c>
      <c r="O73" s="497">
        <v>0</v>
      </c>
      <c r="P73" s="497">
        <v>0</v>
      </c>
      <c r="Q73" s="497">
        <v>0</v>
      </c>
      <c r="R73" s="497">
        <v>0</v>
      </c>
      <c r="S73" s="497">
        <v>0</v>
      </c>
      <c r="T73" s="497">
        <v>0</v>
      </c>
      <c r="U73" s="497">
        <v>0</v>
      </c>
      <c r="V73" s="497">
        <v>0</v>
      </c>
      <c r="W73" s="497">
        <v>0</v>
      </c>
      <c r="X73" s="498">
        <v>0</v>
      </c>
    </row>
    <row r="74" spans="2:32" ht="12.75">
      <c r="B74" s="483" t="s">
        <v>165</v>
      </c>
      <c r="C74" s="57">
        <f>1.24+192.121</f>
        <v>193.36100000000002</v>
      </c>
      <c r="D74" s="57">
        <v>1.506</v>
      </c>
      <c r="E74" s="57">
        <f>2.526+168.042</f>
        <v>170.56800000000001</v>
      </c>
      <c r="F74" s="57">
        <v>4.2839999999999998</v>
      </c>
      <c r="G74" s="57">
        <v>271.71300000000002</v>
      </c>
      <c r="H74" s="57">
        <v>274.74299999999999</v>
      </c>
      <c r="I74" s="57">
        <v>185.23400000000001</v>
      </c>
      <c r="J74" s="499">
        <v>0</v>
      </c>
      <c r="K74" s="266">
        <v>0</v>
      </c>
      <c r="L74" s="266">
        <v>0</v>
      </c>
      <c r="M74" s="266">
        <v>0</v>
      </c>
      <c r="N74" s="266">
        <v>0</v>
      </c>
      <c r="O74" s="266">
        <v>0</v>
      </c>
      <c r="P74" s="266">
        <v>0</v>
      </c>
      <c r="Q74" s="266">
        <v>0</v>
      </c>
      <c r="R74" s="266">
        <v>0</v>
      </c>
      <c r="S74" s="266">
        <v>0</v>
      </c>
      <c r="T74" s="266">
        <v>0</v>
      </c>
      <c r="U74" s="266">
        <v>0</v>
      </c>
      <c r="V74" s="266">
        <v>0</v>
      </c>
      <c r="W74" s="266">
        <v>0</v>
      </c>
      <c r="X74" s="267">
        <v>0</v>
      </c>
    </row>
    <row r="75" spans="2:32" ht="12.75">
      <c r="B75" s="483" t="s">
        <v>166</v>
      </c>
      <c r="C75" s="57">
        <v>3.5049999999999999</v>
      </c>
      <c r="D75" s="57">
        <v>5.87</v>
      </c>
      <c r="E75" s="57">
        <v>12.324999999999999</v>
      </c>
      <c r="F75" s="57">
        <v>31.436</v>
      </c>
      <c r="G75" s="57">
        <v>0</v>
      </c>
      <c r="H75" s="57">
        <v>0</v>
      </c>
      <c r="I75" s="58"/>
      <c r="J75" s="58">
        <f t="shared" ref="J75:N75" si="76">J59</f>
        <v>4.4580000000000002</v>
      </c>
      <c r="K75" s="58">
        <f t="shared" si="76"/>
        <v>4.5609999999999999</v>
      </c>
      <c r="L75" s="58">
        <f t="shared" si="76"/>
        <v>3.9068000000000001</v>
      </c>
      <c r="M75" s="58">
        <f t="shared" si="76"/>
        <v>3.0277699999999999</v>
      </c>
      <c r="N75" s="58">
        <f t="shared" si="76"/>
        <v>2.3465217499999995</v>
      </c>
      <c r="O75" s="58">
        <f t="shared" ref="O75:X75" si="77">O59</f>
        <v>1.8185543562499995</v>
      </c>
      <c r="P75" s="58">
        <f t="shared" si="77"/>
        <v>1.4093796260937497</v>
      </c>
      <c r="Q75" s="58">
        <f t="shared" si="77"/>
        <v>1.0922692102226563</v>
      </c>
      <c r="R75" s="58">
        <f t="shared" si="77"/>
        <v>0.84650863792255859</v>
      </c>
      <c r="S75" s="58">
        <f t="shared" si="77"/>
        <v>0.65604419438998285</v>
      </c>
      <c r="T75" s="58">
        <f t="shared" si="77"/>
        <v>0.50843425065223646</v>
      </c>
      <c r="U75" s="58">
        <f t="shared" si="77"/>
        <v>0.39403654425548335</v>
      </c>
      <c r="V75" s="58">
        <f t="shared" si="77"/>
        <v>0.30537832179799951</v>
      </c>
      <c r="W75" s="58">
        <f t="shared" si="77"/>
        <v>0.23666819939344963</v>
      </c>
      <c r="X75" s="37">
        <f t="shared" si="77"/>
        <v>0.18341785452992349</v>
      </c>
    </row>
    <row r="76" spans="2:32" ht="12.75">
      <c r="B76" s="483" t="s">
        <v>167</v>
      </c>
      <c r="C76" s="57">
        <v>0</v>
      </c>
      <c r="D76" s="57">
        <v>0</v>
      </c>
      <c r="E76" s="57">
        <v>5.077</v>
      </c>
      <c r="F76" s="57">
        <v>0</v>
      </c>
      <c r="G76" s="57">
        <v>0</v>
      </c>
      <c r="H76" s="57">
        <f t="shared" ref="H76" si="78">G76</f>
        <v>0</v>
      </c>
      <c r="I76" s="499">
        <v>0</v>
      </c>
      <c r="J76" s="499">
        <v>0</v>
      </c>
      <c r="K76" s="266">
        <v>0</v>
      </c>
      <c r="L76" s="266">
        <v>0</v>
      </c>
      <c r="M76" s="266">
        <v>0</v>
      </c>
      <c r="N76" s="266">
        <v>0</v>
      </c>
      <c r="O76" s="266">
        <v>0</v>
      </c>
      <c r="P76" s="266">
        <v>0</v>
      </c>
      <c r="Q76" s="266">
        <v>0</v>
      </c>
      <c r="R76" s="266">
        <v>0</v>
      </c>
      <c r="S76" s="266">
        <v>0</v>
      </c>
      <c r="T76" s="266">
        <v>0</v>
      </c>
      <c r="U76" s="266">
        <v>0</v>
      </c>
      <c r="V76" s="266">
        <v>0</v>
      </c>
      <c r="W76" s="266">
        <v>0</v>
      </c>
      <c r="X76" s="267">
        <v>0</v>
      </c>
    </row>
    <row r="77" spans="2:32" ht="12.75">
      <c r="B77" s="483" t="s">
        <v>168</v>
      </c>
      <c r="C77" s="57">
        <v>0</v>
      </c>
      <c r="D77" s="57">
        <v>0</v>
      </c>
      <c r="E77" s="57">
        <v>0</v>
      </c>
      <c r="F77" s="57">
        <v>0</v>
      </c>
      <c r="G77" s="57">
        <v>0</v>
      </c>
      <c r="H77" s="57">
        <v>0</v>
      </c>
      <c r="I77" s="499">
        <v>0</v>
      </c>
      <c r="J77" s="499">
        <v>0</v>
      </c>
      <c r="K77" s="266">
        <v>0</v>
      </c>
      <c r="L77" s="266">
        <v>0</v>
      </c>
      <c r="M77" s="266">
        <v>0</v>
      </c>
      <c r="N77" s="266">
        <v>0</v>
      </c>
      <c r="O77" s="266">
        <v>0</v>
      </c>
      <c r="P77" s="266">
        <v>0</v>
      </c>
      <c r="Q77" s="266">
        <v>0</v>
      </c>
      <c r="R77" s="266">
        <v>0</v>
      </c>
      <c r="S77" s="266">
        <v>0</v>
      </c>
      <c r="T77" s="266">
        <v>0</v>
      </c>
      <c r="U77" s="266">
        <v>0</v>
      </c>
      <c r="V77" s="266">
        <v>0</v>
      </c>
      <c r="W77" s="266">
        <v>0</v>
      </c>
      <c r="X77" s="267">
        <v>0</v>
      </c>
    </row>
    <row r="78" spans="2:32" ht="12.75">
      <c r="B78" s="483" t="s">
        <v>169</v>
      </c>
      <c r="C78" s="57">
        <v>0</v>
      </c>
      <c r="D78" s="57">
        <v>0</v>
      </c>
      <c r="E78" s="57">
        <v>0</v>
      </c>
      <c r="F78" s="57">
        <v>0</v>
      </c>
      <c r="G78" s="57">
        <v>0</v>
      </c>
      <c r="H78" s="57">
        <f>H77*H52</f>
        <v>0</v>
      </c>
      <c r="I78" s="499">
        <v>0</v>
      </c>
      <c r="J78" s="499">
        <v>0</v>
      </c>
      <c r="K78" s="266">
        <v>0</v>
      </c>
      <c r="L78" s="266">
        <v>0</v>
      </c>
      <c r="M78" s="266">
        <v>0</v>
      </c>
      <c r="N78" s="266">
        <v>0</v>
      </c>
      <c r="O78" s="266">
        <v>0</v>
      </c>
      <c r="P78" s="266">
        <v>0</v>
      </c>
      <c r="Q78" s="266">
        <v>0</v>
      </c>
      <c r="R78" s="266">
        <v>0</v>
      </c>
      <c r="S78" s="266">
        <v>0</v>
      </c>
      <c r="T78" s="266">
        <v>0</v>
      </c>
      <c r="U78" s="266">
        <v>0</v>
      </c>
      <c r="V78" s="266">
        <v>0</v>
      </c>
      <c r="W78" s="266">
        <v>0</v>
      </c>
      <c r="X78" s="267">
        <v>0</v>
      </c>
    </row>
    <row r="79" spans="2:32" ht="12.75">
      <c r="B79" s="483" t="s">
        <v>170</v>
      </c>
      <c r="C79" s="57">
        <v>11.849</v>
      </c>
      <c r="D79" s="57">
        <v>14.33</v>
      </c>
      <c r="E79" s="57">
        <v>19.984000000000002</v>
      </c>
      <c r="F79" s="57">
        <v>25.34</v>
      </c>
      <c r="G79" s="57">
        <v>127.883</v>
      </c>
      <c r="H79" s="57">
        <v>178.965</v>
      </c>
      <c r="I79" s="57">
        <v>235.11199999999999</v>
      </c>
      <c r="J79" s="58">
        <f>IS!AA140</f>
        <v>245</v>
      </c>
      <c r="K79" s="58">
        <f>IS!AF140</f>
        <v>290.73599999999999</v>
      </c>
      <c r="L79" s="58">
        <f>IS!AK140</f>
        <v>245</v>
      </c>
      <c r="M79" s="58">
        <f>IS!AP140</f>
        <v>245</v>
      </c>
      <c r="N79" s="58">
        <f>IS!AU140</f>
        <v>245</v>
      </c>
      <c r="O79" s="58">
        <f>IS!AZ140</f>
        <v>245</v>
      </c>
      <c r="P79" s="58">
        <f>IS!BE140</f>
        <v>245</v>
      </c>
      <c r="Q79" s="58">
        <f>IS!BJ140</f>
        <v>245</v>
      </c>
      <c r="R79" s="58">
        <f>IS!BO140</f>
        <v>245</v>
      </c>
      <c r="S79" s="58">
        <f>IS!BT140</f>
        <v>245</v>
      </c>
      <c r="T79" s="58">
        <f>IS!BY140</f>
        <v>245</v>
      </c>
      <c r="U79" s="58">
        <f>IS!CD140</f>
        <v>245</v>
      </c>
      <c r="V79" s="58">
        <f>IS!CI140</f>
        <v>245</v>
      </c>
      <c r="W79" s="58">
        <f>IS!CN140</f>
        <v>245</v>
      </c>
      <c r="X79" s="37">
        <f>IS!CS140</f>
        <v>245</v>
      </c>
    </row>
    <row r="80" spans="2:32" ht="12.75">
      <c r="B80" s="483" t="s">
        <v>223</v>
      </c>
      <c r="C80" s="57"/>
      <c r="D80" s="57"/>
      <c r="E80" s="57"/>
      <c r="F80" s="57"/>
      <c r="G80" s="57">
        <v>-1.252</v>
      </c>
      <c r="H80" s="57">
        <v>2.16</v>
      </c>
      <c r="I80" s="58">
        <v>0</v>
      </c>
      <c r="J80" s="58">
        <f>IS!AA131</f>
        <v>0</v>
      </c>
      <c r="K80" s="58">
        <f>IS!AF131</f>
        <v>0</v>
      </c>
      <c r="L80" s="58">
        <f>IS!AK131</f>
        <v>0</v>
      </c>
      <c r="M80" s="58">
        <f>IS!AP131</f>
        <v>0</v>
      </c>
      <c r="N80" s="58">
        <f>IS!AU131</f>
        <v>0</v>
      </c>
      <c r="O80" s="58">
        <f>IS!AZ131</f>
        <v>0</v>
      </c>
      <c r="P80" s="58">
        <f>IS!BE131</f>
        <v>0</v>
      </c>
      <c r="Q80" s="58">
        <f>IS!BJ131</f>
        <v>0</v>
      </c>
      <c r="R80" s="58">
        <f>IS!BO131</f>
        <v>0</v>
      </c>
      <c r="S80" s="58">
        <f>IS!BT131</f>
        <v>0</v>
      </c>
      <c r="T80" s="58">
        <f>IS!BY131</f>
        <v>0</v>
      </c>
      <c r="U80" s="58">
        <f>IS!CD131</f>
        <v>0</v>
      </c>
      <c r="V80" s="58">
        <f>IS!CI131</f>
        <v>0</v>
      </c>
      <c r="W80" s="58">
        <f>IS!CN131</f>
        <v>0</v>
      </c>
      <c r="X80" s="37">
        <f>IS!CS131</f>
        <v>0</v>
      </c>
    </row>
    <row r="81" spans="2:32" ht="12.75">
      <c r="B81" s="483" t="s">
        <v>171</v>
      </c>
      <c r="C81" s="57">
        <v>0</v>
      </c>
      <c r="D81" s="57">
        <v>0</v>
      </c>
      <c r="E81" s="57">
        <v>0</v>
      </c>
      <c r="F81" s="57">
        <v>0</v>
      </c>
      <c r="G81" s="57">
        <f>402.182+1.312</f>
        <v>403.49400000000003</v>
      </c>
      <c r="H81" s="57">
        <v>0</v>
      </c>
      <c r="I81" s="499">
        <v>0</v>
      </c>
      <c r="J81" s="499">
        <v>0</v>
      </c>
      <c r="K81" s="266">
        <v>0</v>
      </c>
      <c r="L81" s="266">
        <v>0</v>
      </c>
      <c r="M81" s="266">
        <v>0</v>
      </c>
      <c r="N81" s="266">
        <v>0</v>
      </c>
      <c r="O81" s="266">
        <v>0</v>
      </c>
      <c r="P81" s="266">
        <v>0</v>
      </c>
      <c r="Q81" s="266">
        <v>0</v>
      </c>
      <c r="R81" s="266">
        <v>0</v>
      </c>
      <c r="S81" s="266">
        <v>0</v>
      </c>
      <c r="T81" s="266">
        <v>0</v>
      </c>
      <c r="U81" s="266">
        <v>0</v>
      </c>
      <c r="V81" s="266">
        <v>0</v>
      </c>
      <c r="W81" s="266">
        <v>0</v>
      </c>
      <c r="X81" s="267">
        <v>0</v>
      </c>
    </row>
    <row r="82" spans="2:32" ht="12.75">
      <c r="B82" s="500" t="s">
        <v>172</v>
      </c>
      <c r="C82" s="501">
        <f>+C74+C78+C79+C81+C75+C76</f>
        <v>208.715</v>
      </c>
      <c r="D82" s="501">
        <f>+D74+D78+D79+D81+D75+D76</f>
        <v>21.706</v>
      </c>
      <c r="E82" s="501">
        <f>+E74+E78+E79+E81+E75+E76</f>
        <v>207.95400000000001</v>
      </c>
      <c r="F82" s="501">
        <f>+F74+F78+F79+F81+F75+F76</f>
        <v>61.06</v>
      </c>
      <c r="G82" s="501">
        <f t="shared" ref="G82:N82" si="79">+G74+G78+G79+G81+G75+G76+G80</f>
        <v>801.83800000000008</v>
      </c>
      <c r="H82" s="501">
        <f t="shared" si="79"/>
        <v>455.86799999999999</v>
      </c>
      <c r="I82" s="501">
        <f t="shared" si="79"/>
        <v>420.346</v>
      </c>
      <c r="J82" s="501">
        <f t="shared" si="79"/>
        <v>249.458</v>
      </c>
      <c r="K82" s="501">
        <f t="shared" si="79"/>
        <v>295.29699999999997</v>
      </c>
      <c r="L82" s="501">
        <f t="shared" si="79"/>
        <v>248.9068</v>
      </c>
      <c r="M82" s="501">
        <f t="shared" si="79"/>
        <v>248.02777</v>
      </c>
      <c r="N82" s="501">
        <f t="shared" si="79"/>
        <v>247.34652174999999</v>
      </c>
      <c r="O82" s="501">
        <f t="shared" ref="O82:X82" si="80">+O74+O78+O79+O81+O75+O76+O80</f>
        <v>246.81855435624999</v>
      </c>
      <c r="P82" s="501">
        <f t="shared" si="80"/>
        <v>246.40937962609374</v>
      </c>
      <c r="Q82" s="501">
        <f t="shared" si="80"/>
        <v>246.09226921022267</v>
      </c>
      <c r="R82" s="501">
        <f t="shared" si="80"/>
        <v>245.84650863792257</v>
      </c>
      <c r="S82" s="501">
        <f t="shared" si="80"/>
        <v>245.65604419438998</v>
      </c>
      <c r="T82" s="501">
        <f t="shared" si="80"/>
        <v>245.50843425065224</v>
      </c>
      <c r="U82" s="501">
        <f t="shared" si="80"/>
        <v>245.39403654425547</v>
      </c>
      <c r="V82" s="501">
        <f t="shared" si="80"/>
        <v>245.305378321798</v>
      </c>
      <c r="W82" s="501">
        <f t="shared" si="80"/>
        <v>245.23666819939345</v>
      </c>
      <c r="X82" s="722">
        <f t="shared" si="80"/>
        <v>245.18341785452992</v>
      </c>
    </row>
    <row r="83" spans="2:32" ht="12.75">
      <c r="B83" s="127"/>
      <c r="C83" s="110"/>
      <c r="D83" s="110"/>
      <c r="E83" s="110"/>
      <c r="F83" s="110"/>
      <c r="G83" s="110"/>
      <c r="H83" s="110"/>
      <c r="I83" s="110"/>
      <c r="J83" s="110"/>
      <c r="K83" s="110"/>
      <c r="L83" s="110"/>
      <c r="M83" s="110"/>
      <c r="N83" s="110"/>
    </row>
    <row r="84" spans="2:32" s="270" customFormat="1" ht="12.75">
      <c r="B84" s="271" t="s">
        <v>94</v>
      </c>
      <c r="C84" s="272"/>
      <c r="D84" s="272"/>
      <c r="E84" s="272"/>
      <c r="F84" s="272"/>
      <c r="G84" s="273">
        <f>BS!C36-4519.448-G82</f>
        <v>0</v>
      </c>
      <c r="H84" s="273">
        <f>BS!D36-BS!C36-H82</f>
        <v>0</v>
      </c>
      <c r="I84" s="272"/>
      <c r="J84" s="272"/>
      <c r="K84" s="274"/>
      <c r="L84" s="274"/>
      <c r="M84" s="274"/>
      <c r="N84" s="274"/>
      <c r="O84" s="274"/>
      <c r="P84" s="274"/>
      <c r="Q84" s="274"/>
      <c r="R84" s="274"/>
      <c r="S84" s="274"/>
      <c r="T84" s="274"/>
      <c r="U84" s="274"/>
      <c r="V84" s="274"/>
      <c r="W84" s="274"/>
      <c r="X84" s="274"/>
      <c r="AA84"/>
      <c r="AB84"/>
      <c r="AC84"/>
      <c r="AD84"/>
      <c r="AE84"/>
      <c r="AF84"/>
    </row>
    <row r="85" spans="2:32" ht="12.75">
      <c r="B85" s="87"/>
      <c r="C85" s="111"/>
      <c r="D85" s="111"/>
      <c r="E85" s="111"/>
      <c r="F85" s="111"/>
      <c r="G85" s="111"/>
      <c r="H85" s="111"/>
      <c r="I85" s="111"/>
      <c r="J85" s="111"/>
      <c r="K85" s="111"/>
      <c r="L85" s="111"/>
      <c r="M85" s="111"/>
      <c r="N85" s="111"/>
    </row>
    <row r="86" spans="2:32" ht="12.75">
      <c r="B86" s="122" t="s">
        <v>173</v>
      </c>
      <c r="C86" s="112">
        <v>79.790999999999997</v>
      </c>
      <c r="D86" s="76">
        <f>C87</f>
        <v>100.554</v>
      </c>
      <c r="E86" s="76">
        <f>D87</f>
        <v>101.607</v>
      </c>
      <c r="F86" s="76">
        <f>E87</f>
        <v>116.023</v>
      </c>
      <c r="G86" s="104">
        <v>217.286868</v>
      </c>
      <c r="H86" s="65">
        <f t="shared" ref="H86:I86" si="81">G87</f>
        <v>233.78885199999999</v>
      </c>
      <c r="I86" s="65">
        <f t="shared" si="81"/>
        <v>241.764398</v>
      </c>
      <c r="J86" s="76"/>
      <c r="K86" s="76"/>
      <c r="L86" s="76"/>
      <c r="M86" s="76"/>
      <c r="N86" s="76"/>
    </row>
    <row r="87" spans="2:32" ht="12.75">
      <c r="B87" s="122" t="s">
        <v>174</v>
      </c>
      <c r="C87" s="99">
        <v>100.554</v>
      </c>
      <c r="D87" s="77">
        <v>101.607</v>
      </c>
      <c r="E87" s="77">
        <v>116.023</v>
      </c>
      <c r="F87" s="77">
        <v>119.71</v>
      </c>
      <c r="G87" s="104">
        <v>233.78885199999999</v>
      </c>
      <c r="H87" s="104">
        <v>241.764398</v>
      </c>
      <c r="I87" s="104">
        <v>246.30681799999999</v>
      </c>
      <c r="J87" s="77"/>
      <c r="K87" s="77"/>
      <c r="L87" s="77"/>
      <c r="M87" s="77"/>
      <c r="N87" s="77"/>
    </row>
    <row r="88" spans="2:32" ht="12.75">
      <c r="B88" s="124" t="s">
        <v>175</v>
      </c>
      <c r="C88" s="101">
        <v>90.988</v>
      </c>
      <c r="D88" s="77">
        <v>101.05500000000001</v>
      </c>
      <c r="E88" s="77">
        <v>113.098</v>
      </c>
      <c r="F88" s="77">
        <v>117.851</v>
      </c>
      <c r="G88" s="65">
        <f>IS!L135</f>
        <v>224.90600000000001</v>
      </c>
      <c r="H88" s="65">
        <f>IS!Q135</f>
        <v>235.30699999999999</v>
      </c>
      <c r="I88" s="65">
        <f>IS!R135</f>
        <v>239.49299999999999</v>
      </c>
      <c r="J88" s="77"/>
      <c r="K88" s="77"/>
      <c r="L88" s="77"/>
      <c r="M88" s="77"/>
      <c r="N88" s="77"/>
    </row>
    <row r="89" spans="2:32" ht="12.75">
      <c r="B89" s="124" t="s">
        <v>176</v>
      </c>
      <c r="C89" s="101">
        <v>90.988</v>
      </c>
      <c r="D89" s="77">
        <v>101.05500000000001</v>
      </c>
      <c r="E89" s="77">
        <v>113.098</v>
      </c>
      <c r="F89" s="77">
        <v>117.851</v>
      </c>
      <c r="G89" s="65">
        <f>IS!L136</f>
        <v>224.90600000000001</v>
      </c>
      <c r="H89" s="65">
        <f>IS!Q136</f>
        <v>235.30699999999999</v>
      </c>
      <c r="I89" s="65">
        <f>IS!R136</f>
        <v>239.49299999999999</v>
      </c>
      <c r="J89" s="77"/>
      <c r="K89" s="77"/>
      <c r="L89" s="77"/>
      <c r="M89" s="77"/>
      <c r="N89" s="77"/>
    </row>
    <row r="92" spans="2:32">
      <c r="C92" s="56" t="s">
        <v>129</v>
      </c>
      <c r="D92" s="56" t="s">
        <v>130</v>
      </c>
      <c r="E92" s="56" t="s">
        <v>131</v>
      </c>
      <c r="F92" s="56" t="s">
        <v>132</v>
      </c>
    </row>
    <row r="95" spans="2:32" customFormat="1"/>
  </sheetData>
  <phoneticPr fontId="0" type="noConversion"/>
  <pageMargins left="0" right="0" top="0" bottom="0" header="0" footer="0"/>
  <pageSetup paperSize="5" scale="54"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Y363"/>
  <sheetViews>
    <sheetView zoomScaleNormal="100" workbookViewId="0">
      <pane xSplit="1" ySplit="4" topLeftCell="B89" activePane="bottomRight" state="frozen"/>
      <selection pane="topRight" activeCell="B1" sqref="B1"/>
      <selection pane="bottomLeft" activeCell="A5" sqref="A5"/>
      <selection pane="bottomRight" activeCell="Q88" sqref="Q88"/>
    </sheetView>
  </sheetViews>
  <sheetFormatPr defaultRowHeight="12.75" outlineLevelRow="2"/>
  <cols>
    <col min="1" max="1" width="9.33203125" style="649"/>
    <col min="2" max="2" width="3.5" style="649" customWidth="1"/>
    <col min="3" max="3" width="9.33203125" style="650"/>
    <col min="4" max="4" width="17.83203125" style="650" bestFit="1" customWidth="1"/>
    <col min="5" max="5" width="13.1640625" style="650" bestFit="1" customWidth="1"/>
    <col min="6" max="6" width="3.33203125" style="649" customWidth="1"/>
    <col min="7" max="7" width="10.83203125" style="649" bestFit="1" customWidth="1"/>
    <col min="8" max="8" width="10.83203125" style="649" customWidth="1"/>
    <col min="9" max="12" width="10.83203125" style="649" bestFit="1" customWidth="1"/>
    <col min="13" max="13" width="10.83203125" style="649" customWidth="1"/>
    <col min="14" max="14" width="10.83203125" style="649" bestFit="1" customWidth="1"/>
    <col min="15" max="15" width="10.83203125" style="649" customWidth="1"/>
    <col min="16" max="25" width="10.83203125" style="649" bestFit="1" customWidth="1"/>
  </cols>
  <sheetData>
    <row r="1" spans="1:25" ht="13.5" thickBot="1"/>
    <row r="2" spans="1:25" ht="13.5" thickBot="1">
      <c r="C2" s="723" t="s">
        <v>528</v>
      </c>
      <c r="D2" s="724">
        <f>DCF!C30</f>
        <v>2</v>
      </c>
    </row>
    <row r="4" spans="1:25" ht="13.5" thickBot="1">
      <c r="A4" s="651"/>
      <c r="B4" s="652" t="s">
        <v>529</v>
      </c>
      <c r="C4" s="653"/>
      <c r="D4" s="653"/>
      <c r="E4" s="653"/>
      <c r="F4" s="652"/>
      <c r="G4" s="652">
        <v>2012</v>
      </c>
      <c r="H4" s="652">
        <f>G4+1</f>
        <v>2013</v>
      </c>
      <c r="I4" s="652">
        <f t="shared" ref="I4:X4" si="0">H4+1</f>
        <v>2014</v>
      </c>
      <c r="J4" s="652">
        <f t="shared" si="0"/>
        <v>2015</v>
      </c>
      <c r="K4" s="652">
        <f t="shared" si="0"/>
        <v>2016</v>
      </c>
      <c r="L4" s="652">
        <f t="shared" si="0"/>
        <v>2017</v>
      </c>
      <c r="M4" s="652">
        <f t="shared" si="0"/>
        <v>2018</v>
      </c>
      <c r="N4" s="652">
        <f t="shared" si="0"/>
        <v>2019</v>
      </c>
      <c r="O4" s="652">
        <f t="shared" si="0"/>
        <v>2020</v>
      </c>
      <c r="P4" s="652">
        <f t="shared" si="0"/>
        <v>2021</v>
      </c>
      <c r="Q4" s="652">
        <f t="shared" si="0"/>
        <v>2022</v>
      </c>
      <c r="R4" s="652">
        <f t="shared" si="0"/>
        <v>2023</v>
      </c>
      <c r="S4" s="652">
        <f t="shared" si="0"/>
        <v>2024</v>
      </c>
      <c r="T4" s="652">
        <f t="shared" si="0"/>
        <v>2025</v>
      </c>
      <c r="U4" s="652">
        <f t="shared" si="0"/>
        <v>2026</v>
      </c>
      <c r="V4" s="652">
        <f t="shared" si="0"/>
        <v>2027</v>
      </c>
      <c r="W4" s="652">
        <f t="shared" si="0"/>
        <v>2028</v>
      </c>
      <c r="X4" s="652">
        <f t="shared" si="0"/>
        <v>2029</v>
      </c>
      <c r="Y4" s="652">
        <f>X4+1</f>
        <v>2030</v>
      </c>
    </row>
    <row r="5" spans="1:25">
      <c r="A5" s="651"/>
      <c r="B5" s="654"/>
      <c r="C5" s="655"/>
      <c r="D5" s="655"/>
      <c r="E5" s="655"/>
      <c r="F5" s="654"/>
      <c r="G5" s="654"/>
      <c r="H5" s="654"/>
      <c r="I5" s="654"/>
      <c r="J5" s="654"/>
      <c r="K5" s="654"/>
      <c r="L5" s="654"/>
      <c r="M5" s="654"/>
      <c r="N5" s="654"/>
      <c r="O5" s="654"/>
      <c r="P5" s="654"/>
      <c r="Q5" s="654"/>
      <c r="R5" s="654"/>
      <c r="S5" s="654"/>
      <c r="T5" s="654"/>
      <c r="U5" s="654"/>
      <c r="V5" s="654"/>
      <c r="W5" s="654"/>
      <c r="X5" s="654"/>
      <c r="Y5" s="654"/>
    </row>
    <row r="6" spans="1:25" ht="13.5" thickBot="1">
      <c r="A6" s="651"/>
      <c r="B6" s="656" t="s">
        <v>530</v>
      </c>
      <c r="C6" s="657"/>
      <c r="D6" s="657"/>
      <c r="E6" s="657"/>
      <c r="F6" s="656"/>
      <c r="G6" s="656"/>
      <c r="H6" s="656"/>
      <c r="I6" s="656"/>
      <c r="J6" s="656"/>
      <c r="K6" s="656"/>
      <c r="L6" s="656"/>
      <c r="M6" s="656"/>
      <c r="N6" s="656"/>
      <c r="O6" s="656"/>
      <c r="P6" s="656"/>
      <c r="Q6" s="656"/>
      <c r="R6" s="656"/>
      <c r="S6" s="656"/>
      <c r="T6" s="656"/>
      <c r="U6" s="656"/>
      <c r="V6" s="656"/>
      <c r="W6" s="656"/>
      <c r="X6" s="656"/>
      <c r="Y6" s="656"/>
    </row>
    <row r="7" spans="1:25" outlineLevel="1">
      <c r="A7" s="651"/>
      <c r="B7" s="654"/>
      <c r="C7" s="655"/>
      <c r="D7" s="655"/>
      <c r="E7" s="655"/>
      <c r="F7" s="654"/>
      <c r="G7" s="654"/>
      <c r="H7" s="654"/>
      <c r="I7" s="654"/>
      <c r="J7" s="654"/>
      <c r="K7" s="654"/>
      <c r="L7" s="654"/>
      <c r="M7" s="654"/>
      <c r="N7" s="654"/>
      <c r="O7" s="654"/>
      <c r="P7" s="654"/>
      <c r="Q7" s="654"/>
      <c r="R7" s="654"/>
      <c r="S7" s="654"/>
      <c r="T7" s="654"/>
      <c r="U7" s="654"/>
      <c r="V7" s="654"/>
      <c r="W7" s="654"/>
      <c r="X7" s="654"/>
      <c r="Y7" s="654"/>
    </row>
    <row r="8" spans="1:25" outlineLevel="1">
      <c r="A8" s="651"/>
      <c r="B8" s="658" t="s">
        <v>655</v>
      </c>
      <c r="C8" s="659"/>
      <c r="D8" s="659"/>
      <c r="E8" s="659"/>
      <c r="F8" s="658"/>
      <c r="G8" s="663">
        <f>CHOOSE($D$2,G9,G10,G11)</f>
        <v>0.93262637506696167</v>
      </c>
      <c r="H8" s="663">
        <f t="shared" ref="H8:Y8" si="1">CHOOSE($D$2,H9,H10,H11)</f>
        <v>0.93378602172957426</v>
      </c>
      <c r="I8" s="663">
        <f t="shared" si="1"/>
        <v>0.971292470801564</v>
      </c>
      <c r="J8" s="663">
        <f t="shared" si="1"/>
        <v>0.97297931271226656</v>
      </c>
      <c r="K8" s="663">
        <f t="shared" si="1"/>
        <v>0.97734448859633349</v>
      </c>
      <c r="L8" s="663">
        <f t="shared" si="1"/>
        <v>0.91500000000000004</v>
      </c>
      <c r="M8" s="663">
        <f t="shared" si="1"/>
        <v>0.9</v>
      </c>
      <c r="N8" s="663">
        <f t="shared" si="1"/>
        <v>0.9</v>
      </c>
      <c r="O8" s="663">
        <f t="shared" si="1"/>
        <v>0.9</v>
      </c>
      <c r="P8" s="663">
        <f t="shared" si="1"/>
        <v>0.9</v>
      </c>
      <c r="Q8" s="663">
        <f t="shared" si="1"/>
        <v>0.9</v>
      </c>
      <c r="R8" s="663">
        <f t="shared" si="1"/>
        <v>0.9</v>
      </c>
      <c r="S8" s="663">
        <f t="shared" si="1"/>
        <v>0.9</v>
      </c>
      <c r="T8" s="663">
        <f t="shared" si="1"/>
        <v>0.9</v>
      </c>
      <c r="U8" s="663">
        <f t="shared" si="1"/>
        <v>0.9</v>
      </c>
      <c r="V8" s="663">
        <f t="shared" si="1"/>
        <v>0.9</v>
      </c>
      <c r="W8" s="663">
        <f t="shared" si="1"/>
        <v>0.45</v>
      </c>
      <c r="X8" s="663">
        <f t="shared" si="1"/>
        <v>0.09</v>
      </c>
      <c r="Y8" s="663">
        <f t="shared" si="1"/>
        <v>0.09</v>
      </c>
    </row>
    <row r="9" spans="1:25" outlineLevel="2">
      <c r="B9" s="660"/>
      <c r="C9" s="725" t="s">
        <v>42</v>
      </c>
      <c r="D9" s="661"/>
      <c r="E9" s="661"/>
      <c r="F9" s="660"/>
      <c r="G9" s="662">
        <f>G108/G50</f>
        <v>0.93262637506696167</v>
      </c>
      <c r="H9" s="662">
        <f>H108/H50</f>
        <v>0.93378602172957426</v>
      </c>
      <c r="I9" s="662">
        <f>I108/I50</f>
        <v>0.971292470801564</v>
      </c>
      <c r="J9" s="662">
        <f>J108/J50</f>
        <v>0.97297931271226656</v>
      </c>
      <c r="K9" s="662">
        <f>K108/K50</f>
        <v>0.97734448859633349</v>
      </c>
      <c r="L9" s="662">
        <v>0.9</v>
      </c>
      <c r="M9" s="662">
        <v>0.9</v>
      </c>
      <c r="N9" s="662">
        <v>0.95</v>
      </c>
      <c r="O9" s="662">
        <v>0.95</v>
      </c>
      <c r="P9" s="662">
        <v>0.95</v>
      </c>
      <c r="Q9" s="662">
        <v>0.95</v>
      </c>
      <c r="R9" s="662">
        <v>0.95</v>
      </c>
      <c r="S9" s="662">
        <v>0.95</v>
      </c>
      <c r="T9" s="662">
        <v>0.95</v>
      </c>
      <c r="U9" s="662">
        <v>0.95</v>
      </c>
      <c r="V9" s="662">
        <v>0.95</v>
      </c>
      <c r="W9" s="662">
        <f>V9</f>
        <v>0.95</v>
      </c>
      <c r="X9" s="662">
        <f t="shared" ref="X9:Y9" si="2">W9</f>
        <v>0.95</v>
      </c>
      <c r="Y9" s="662">
        <f t="shared" si="2"/>
        <v>0.95</v>
      </c>
    </row>
    <row r="10" spans="1:25" outlineLevel="2">
      <c r="B10" s="660"/>
      <c r="C10" s="725" t="s">
        <v>43</v>
      </c>
      <c r="D10" s="661"/>
      <c r="E10" s="661"/>
      <c r="F10" s="660"/>
      <c r="G10" s="662">
        <f>G108/G50</f>
        <v>0.93262637506696167</v>
      </c>
      <c r="H10" s="662">
        <f>H108/H50</f>
        <v>0.93378602172957426</v>
      </c>
      <c r="I10" s="662">
        <f>I108/I50</f>
        <v>0.971292470801564</v>
      </c>
      <c r="J10" s="662">
        <f>J108/J50</f>
        <v>0.97297931271226656</v>
      </c>
      <c r="K10" s="662">
        <f>K108/K50</f>
        <v>0.97734448859633349</v>
      </c>
      <c r="L10" s="662">
        <v>0.91500000000000004</v>
      </c>
      <c r="M10" s="662">
        <v>0.9</v>
      </c>
      <c r="N10" s="662">
        <f>M10</f>
        <v>0.9</v>
      </c>
      <c r="O10" s="662">
        <f>N10</f>
        <v>0.9</v>
      </c>
      <c r="P10" s="662">
        <f t="shared" ref="P10:V10" si="3">O10</f>
        <v>0.9</v>
      </c>
      <c r="Q10" s="662">
        <f t="shared" si="3"/>
        <v>0.9</v>
      </c>
      <c r="R10" s="662">
        <f t="shared" si="3"/>
        <v>0.9</v>
      </c>
      <c r="S10" s="662">
        <f t="shared" si="3"/>
        <v>0.9</v>
      </c>
      <c r="T10" s="662">
        <f t="shared" si="3"/>
        <v>0.9</v>
      </c>
      <c r="U10" s="662">
        <f t="shared" si="3"/>
        <v>0.9</v>
      </c>
      <c r="V10" s="662">
        <f t="shared" si="3"/>
        <v>0.9</v>
      </c>
      <c r="W10" s="662">
        <v>0.45</v>
      </c>
      <c r="X10" s="662">
        <v>0.09</v>
      </c>
      <c r="Y10" s="662">
        <v>0.09</v>
      </c>
    </row>
    <row r="11" spans="1:25" outlineLevel="2">
      <c r="B11" s="660"/>
      <c r="C11" s="725" t="s">
        <v>44</v>
      </c>
      <c r="D11" s="661"/>
      <c r="E11" s="661"/>
      <c r="F11" s="660"/>
      <c r="G11" s="662">
        <f>G108/G50</f>
        <v>0.93262637506696167</v>
      </c>
      <c r="H11" s="662">
        <f>H108/H50</f>
        <v>0.93378602172957426</v>
      </c>
      <c r="I11" s="662">
        <f>I108/I50</f>
        <v>0.971292470801564</v>
      </c>
      <c r="J11" s="662">
        <f>J108/J50</f>
        <v>0.97297931271226656</v>
      </c>
      <c r="K11" s="662">
        <f>K108/K50</f>
        <v>0.97734448859633349</v>
      </c>
      <c r="L11" s="662">
        <f>L10*0.9</f>
        <v>0.82350000000000001</v>
      </c>
      <c r="M11" s="662">
        <f>M10*0.9</f>
        <v>0.81</v>
      </c>
      <c r="N11" s="662">
        <v>0.85</v>
      </c>
      <c r="O11" s="662">
        <v>0.85</v>
      </c>
      <c r="P11" s="662">
        <v>0.85</v>
      </c>
      <c r="Q11" s="662">
        <v>0.85</v>
      </c>
      <c r="R11" s="662">
        <v>0.85</v>
      </c>
      <c r="S11" s="662">
        <v>0.85</v>
      </c>
      <c r="T11" s="662">
        <v>0.85</v>
      </c>
      <c r="U11" s="662">
        <v>0.85</v>
      </c>
      <c r="V11" s="662">
        <v>0.85</v>
      </c>
      <c r="W11" s="662">
        <v>0.3</v>
      </c>
      <c r="X11" s="662">
        <v>0</v>
      </c>
      <c r="Y11" s="662">
        <v>0</v>
      </c>
    </row>
    <row r="12" spans="1:25" outlineLevel="1">
      <c r="B12" s="660"/>
      <c r="C12" s="725"/>
      <c r="D12" s="661"/>
      <c r="E12" s="661"/>
      <c r="F12" s="660"/>
      <c r="G12" s="662"/>
      <c r="H12" s="662"/>
      <c r="I12" s="662"/>
      <c r="J12" s="662"/>
      <c r="K12" s="662"/>
      <c r="L12" s="662"/>
      <c r="M12" s="662"/>
      <c r="N12" s="662"/>
      <c r="O12" s="662"/>
      <c r="P12" s="662"/>
      <c r="Q12" s="662"/>
      <c r="R12" s="662"/>
      <c r="S12" s="662"/>
      <c r="T12" s="662"/>
      <c r="U12" s="662"/>
      <c r="V12" s="662"/>
      <c r="W12" s="662"/>
      <c r="X12" s="662"/>
      <c r="Y12" s="662"/>
    </row>
    <row r="13" spans="1:25" outlineLevel="1">
      <c r="B13" s="658" t="s">
        <v>656</v>
      </c>
      <c r="C13" s="733"/>
      <c r="D13" s="734"/>
      <c r="E13" s="734"/>
      <c r="F13" s="693"/>
      <c r="G13" s="735"/>
      <c r="H13" s="735"/>
      <c r="I13" s="735"/>
      <c r="J13" s="735"/>
      <c r="K13" s="735"/>
      <c r="L13" s="735"/>
      <c r="M13" s="735"/>
      <c r="N13" s="735"/>
      <c r="O13" s="663">
        <f t="shared" ref="O13:Y13" si="4">CHOOSE($D$2,O14,O15,O16)</f>
        <v>0.9</v>
      </c>
      <c r="P13" s="663">
        <f t="shared" si="4"/>
        <v>0.9</v>
      </c>
      <c r="Q13" s="663">
        <f t="shared" si="4"/>
        <v>0.9</v>
      </c>
      <c r="R13" s="663">
        <f t="shared" si="4"/>
        <v>0.9</v>
      </c>
      <c r="S13" s="663">
        <f t="shared" si="4"/>
        <v>0.9</v>
      </c>
      <c r="T13" s="663">
        <f t="shared" si="4"/>
        <v>0.9</v>
      </c>
      <c r="U13" s="663">
        <f t="shared" si="4"/>
        <v>0.9</v>
      </c>
      <c r="V13" s="663">
        <f t="shared" si="4"/>
        <v>0.9</v>
      </c>
      <c r="W13" s="663">
        <f t="shared" si="4"/>
        <v>0.9</v>
      </c>
      <c r="X13" s="663">
        <f t="shared" si="4"/>
        <v>0.9</v>
      </c>
      <c r="Y13" s="663">
        <f t="shared" si="4"/>
        <v>0.9</v>
      </c>
    </row>
    <row r="14" spans="1:25" outlineLevel="1">
      <c r="B14" s="660"/>
      <c r="C14" s="725" t="s">
        <v>42</v>
      </c>
      <c r="D14" s="661"/>
      <c r="E14" s="661"/>
      <c r="F14" s="660"/>
      <c r="G14" s="662"/>
      <c r="H14" s="662"/>
      <c r="I14" s="662"/>
      <c r="J14" s="662"/>
      <c r="K14" s="662"/>
      <c r="L14" s="662"/>
      <c r="M14" s="662"/>
      <c r="N14" s="662"/>
      <c r="O14" s="662">
        <f t="shared" ref="O14:V16" si="5">O9</f>
        <v>0.95</v>
      </c>
      <c r="P14" s="662">
        <f t="shared" si="5"/>
        <v>0.95</v>
      </c>
      <c r="Q14" s="662">
        <f t="shared" si="5"/>
        <v>0.95</v>
      </c>
      <c r="R14" s="662">
        <f t="shared" si="5"/>
        <v>0.95</v>
      </c>
      <c r="S14" s="662">
        <f t="shared" si="5"/>
        <v>0.95</v>
      </c>
      <c r="T14" s="662">
        <f t="shared" si="5"/>
        <v>0.95</v>
      </c>
      <c r="U14" s="662">
        <f t="shared" si="5"/>
        <v>0.95</v>
      </c>
      <c r="V14" s="662">
        <f t="shared" si="5"/>
        <v>0.95</v>
      </c>
      <c r="W14" s="662">
        <f>V14</f>
        <v>0.95</v>
      </c>
      <c r="X14" s="662">
        <f t="shared" ref="X14:Y14" si="6">W14</f>
        <v>0.95</v>
      </c>
      <c r="Y14" s="662">
        <f t="shared" si="6"/>
        <v>0.95</v>
      </c>
    </row>
    <row r="15" spans="1:25" outlineLevel="1">
      <c r="B15" s="660"/>
      <c r="C15" s="725" t="s">
        <v>43</v>
      </c>
      <c r="D15" s="661"/>
      <c r="E15" s="661"/>
      <c r="F15" s="660"/>
      <c r="G15" s="662"/>
      <c r="H15" s="662"/>
      <c r="I15" s="662"/>
      <c r="J15" s="662"/>
      <c r="K15" s="662"/>
      <c r="L15" s="662"/>
      <c r="M15" s="662"/>
      <c r="N15" s="662"/>
      <c r="O15" s="662">
        <f t="shared" si="5"/>
        <v>0.9</v>
      </c>
      <c r="P15" s="662">
        <f t="shared" si="5"/>
        <v>0.9</v>
      </c>
      <c r="Q15" s="662">
        <f t="shared" si="5"/>
        <v>0.9</v>
      </c>
      <c r="R15" s="662">
        <f t="shared" si="5"/>
        <v>0.9</v>
      </c>
      <c r="S15" s="662">
        <f t="shared" si="5"/>
        <v>0.9</v>
      </c>
      <c r="T15" s="662">
        <f t="shared" si="5"/>
        <v>0.9</v>
      </c>
      <c r="U15" s="662">
        <f t="shared" si="5"/>
        <v>0.9</v>
      </c>
      <c r="V15" s="662">
        <f t="shared" si="5"/>
        <v>0.9</v>
      </c>
      <c r="W15" s="662">
        <f>V15</f>
        <v>0.9</v>
      </c>
      <c r="X15" s="662">
        <f t="shared" ref="X15:Y15" si="7">W15</f>
        <v>0.9</v>
      </c>
      <c r="Y15" s="662">
        <f t="shared" si="7"/>
        <v>0.9</v>
      </c>
    </row>
    <row r="16" spans="1:25" outlineLevel="1">
      <c r="B16" s="660"/>
      <c r="C16" s="725" t="s">
        <v>44</v>
      </c>
      <c r="D16" s="661"/>
      <c r="E16" s="661"/>
      <c r="F16" s="660"/>
      <c r="G16" s="662"/>
      <c r="H16" s="662"/>
      <c r="I16" s="662"/>
      <c r="J16" s="662"/>
      <c r="K16" s="662"/>
      <c r="L16" s="662"/>
      <c r="M16" s="662"/>
      <c r="N16" s="662"/>
      <c r="O16" s="662">
        <f t="shared" si="5"/>
        <v>0.85</v>
      </c>
      <c r="P16" s="662">
        <f t="shared" si="5"/>
        <v>0.85</v>
      </c>
      <c r="Q16" s="662">
        <f t="shared" si="5"/>
        <v>0.85</v>
      </c>
      <c r="R16" s="662">
        <f t="shared" si="5"/>
        <v>0.85</v>
      </c>
      <c r="S16" s="662">
        <f t="shared" si="5"/>
        <v>0.85</v>
      </c>
      <c r="T16" s="662">
        <f t="shared" si="5"/>
        <v>0.85</v>
      </c>
      <c r="U16" s="662">
        <f t="shared" si="5"/>
        <v>0.85</v>
      </c>
      <c r="V16" s="662">
        <f t="shared" si="5"/>
        <v>0.85</v>
      </c>
      <c r="W16" s="662">
        <f>V16</f>
        <v>0.85</v>
      </c>
      <c r="X16" s="662">
        <f t="shared" ref="X16:Y16" si="8">W16</f>
        <v>0.85</v>
      </c>
      <c r="Y16" s="662">
        <f t="shared" si="8"/>
        <v>0.85</v>
      </c>
    </row>
    <row r="17" spans="1:25">
      <c r="B17" s="660"/>
      <c r="C17" s="725"/>
      <c r="D17" s="661"/>
      <c r="E17" s="661"/>
      <c r="F17" s="660"/>
      <c r="G17" s="660"/>
      <c r="H17" s="660"/>
      <c r="I17" s="660"/>
      <c r="J17" s="660"/>
      <c r="K17" s="660"/>
      <c r="L17" s="660"/>
      <c r="M17" s="660"/>
      <c r="N17" s="660"/>
      <c r="O17" s="660"/>
      <c r="P17" s="660"/>
      <c r="Q17" s="660"/>
      <c r="R17" s="660"/>
      <c r="S17" s="660"/>
      <c r="T17" s="660"/>
      <c r="U17" s="660"/>
      <c r="V17" s="660"/>
      <c r="W17" s="660"/>
      <c r="X17" s="660"/>
      <c r="Y17" s="660"/>
    </row>
    <row r="18" spans="1:25" outlineLevel="1">
      <c r="A18" s="651"/>
      <c r="B18" s="658" t="s">
        <v>653</v>
      </c>
      <c r="C18" s="726"/>
      <c r="D18" s="659"/>
      <c r="E18" s="659"/>
      <c r="F18" s="658"/>
      <c r="G18" s="658"/>
      <c r="H18" s="658"/>
      <c r="I18" s="658"/>
      <c r="J18" s="663">
        <f>CHOOSE($D$2,J19,J20,J21)</f>
        <v>0.52941176470588236</v>
      </c>
      <c r="K18" s="663">
        <f t="shared" ref="K18:Y18" si="9">CHOOSE($D$2,K19,K20,K21)</f>
        <v>0.64220183486238536</v>
      </c>
      <c r="L18" s="663">
        <f t="shared" si="9"/>
        <v>0.60499999999999998</v>
      </c>
      <c r="M18" s="663">
        <f t="shared" si="9"/>
        <v>0.60499999999999998</v>
      </c>
      <c r="N18" s="663">
        <f t="shared" si="9"/>
        <v>0.60499999999999998</v>
      </c>
      <c r="O18" s="663">
        <f t="shared" si="9"/>
        <v>0.60499999999999998</v>
      </c>
      <c r="P18" s="663">
        <f t="shared" si="9"/>
        <v>0.60499999999999998</v>
      </c>
      <c r="Q18" s="663">
        <f t="shared" si="9"/>
        <v>0.60499999999999998</v>
      </c>
      <c r="R18" s="663">
        <f t="shared" si="9"/>
        <v>0.60499999999999998</v>
      </c>
      <c r="S18" s="663">
        <f t="shared" si="9"/>
        <v>0.60499999999999998</v>
      </c>
      <c r="T18" s="663">
        <f t="shared" si="9"/>
        <v>0.60499999999999998</v>
      </c>
      <c r="U18" s="663">
        <f t="shared" si="9"/>
        <v>0.60499999999999998</v>
      </c>
      <c r="V18" s="663">
        <f t="shared" si="9"/>
        <v>0.60499999999999998</v>
      </c>
      <c r="W18" s="663">
        <f t="shared" si="9"/>
        <v>0.60499999999999998</v>
      </c>
      <c r="X18" s="663">
        <f t="shared" si="9"/>
        <v>0.60499999999999998</v>
      </c>
      <c r="Y18" s="663">
        <f t="shared" si="9"/>
        <v>0.60499999999999998</v>
      </c>
    </row>
    <row r="19" spans="1:25" outlineLevel="2">
      <c r="B19" s="660"/>
      <c r="C19" s="725" t="s">
        <v>42</v>
      </c>
      <c r="D19" s="661"/>
      <c r="E19" s="661"/>
      <c r="F19" s="660"/>
      <c r="G19" s="660"/>
      <c r="H19" s="660"/>
      <c r="I19" s="660"/>
      <c r="J19" s="662">
        <f>J20</f>
        <v>0.52941176470588236</v>
      </c>
      <c r="K19" s="662">
        <f>K20</f>
        <v>0.64220183486238536</v>
      </c>
      <c r="L19" s="662">
        <f>L20+10%</f>
        <v>0.70499999999999996</v>
      </c>
      <c r="M19" s="662">
        <f>L19</f>
        <v>0.70499999999999996</v>
      </c>
      <c r="N19" s="662">
        <f t="shared" ref="N19:Y21" si="10">M19</f>
        <v>0.70499999999999996</v>
      </c>
      <c r="O19" s="662">
        <f t="shared" si="10"/>
        <v>0.70499999999999996</v>
      </c>
      <c r="P19" s="662">
        <f t="shared" si="10"/>
        <v>0.70499999999999996</v>
      </c>
      <c r="Q19" s="662">
        <f t="shared" si="10"/>
        <v>0.70499999999999996</v>
      </c>
      <c r="R19" s="662">
        <f t="shared" si="10"/>
        <v>0.70499999999999996</v>
      </c>
      <c r="S19" s="662">
        <f t="shared" si="10"/>
        <v>0.70499999999999996</v>
      </c>
      <c r="T19" s="662">
        <f t="shared" si="10"/>
        <v>0.70499999999999996</v>
      </c>
      <c r="U19" s="662">
        <f t="shared" si="10"/>
        <v>0.70499999999999996</v>
      </c>
      <c r="V19" s="662">
        <f t="shared" si="10"/>
        <v>0.70499999999999996</v>
      </c>
      <c r="W19" s="662">
        <f t="shared" si="10"/>
        <v>0.70499999999999996</v>
      </c>
      <c r="X19" s="662">
        <f t="shared" si="10"/>
        <v>0.70499999999999996</v>
      </c>
      <c r="Y19" s="662">
        <f t="shared" si="10"/>
        <v>0.70499999999999996</v>
      </c>
    </row>
    <row r="20" spans="1:25" outlineLevel="2">
      <c r="B20" s="660"/>
      <c r="C20" s="725" t="s">
        <v>43</v>
      </c>
      <c r="D20" s="661"/>
      <c r="E20" s="661"/>
      <c r="F20" s="660"/>
      <c r="G20" s="660"/>
      <c r="H20" s="660"/>
      <c r="I20" s="660"/>
      <c r="J20" s="662">
        <f>J130/J72</f>
        <v>0.52941176470588236</v>
      </c>
      <c r="K20" s="662">
        <f>K130/K72</f>
        <v>0.64220183486238536</v>
      </c>
      <c r="L20" s="662">
        <v>0.60499999999999998</v>
      </c>
      <c r="M20" s="662">
        <f>L20</f>
        <v>0.60499999999999998</v>
      </c>
      <c r="N20" s="662">
        <f t="shared" si="10"/>
        <v>0.60499999999999998</v>
      </c>
      <c r="O20" s="662">
        <f t="shared" si="10"/>
        <v>0.60499999999999998</v>
      </c>
      <c r="P20" s="662">
        <f t="shared" si="10"/>
        <v>0.60499999999999998</v>
      </c>
      <c r="Q20" s="662">
        <f t="shared" si="10"/>
        <v>0.60499999999999998</v>
      </c>
      <c r="R20" s="662">
        <f t="shared" si="10"/>
        <v>0.60499999999999998</v>
      </c>
      <c r="S20" s="662">
        <f t="shared" si="10"/>
        <v>0.60499999999999998</v>
      </c>
      <c r="T20" s="662">
        <f t="shared" si="10"/>
        <v>0.60499999999999998</v>
      </c>
      <c r="U20" s="662">
        <f t="shared" si="10"/>
        <v>0.60499999999999998</v>
      </c>
      <c r="V20" s="662">
        <f t="shared" si="10"/>
        <v>0.60499999999999998</v>
      </c>
      <c r="W20" s="662">
        <f t="shared" si="10"/>
        <v>0.60499999999999998</v>
      </c>
      <c r="X20" s="662">
        <f t="shared" si="10"/>
        <v>0.60499999999999998</v>
      </c>
      <c r="Y20" s="662">
        <f t="shared" si="10"/>
        <v>0.60499999999999998</v>
      </c>
    </row>
    <row r="21" spans="1:25" outlineLevel="2">
      <c r="B21" s="660"/>
      <c r="C21" s="725" t="s">
        <v>44</v>
      </c>
      <c r="D21" s="661"/>
      <c r="E21" s="661"/>
      <c r="F21" s="660"/>
      <c r="G21" s="660"/>
      <c r="H21" s="660"/>
      <c r="I21" s="660"/>
      <c r="J21" s="662">
        <f>J20</f>
        <v>0.52941176470588236</v>
      </c>
      <c r="K21" s="662">
        <f>K20</f>
        <v>0.64220183486238536</v>
      </c>
      <c r="L21" s="662">
        <v>0.55000000000000004</v>
      </c>
      <c r="M21" s="662">
        <f>L21</f>
        <v>0.55000000000000004</v>
      </c>
      <c r="N21" s="662">
        <f t="shared" si="10"/>
        <v>0.55000000000000004</v>
      </c>
      <c r="O21" s="662">
        <f t="shared" si="10"/>
        <v>0.55000000000000004</v>
      </c>
      <c r="P21" s="662">
        <f t="shared" si="10"/>
        <v>0.55000000000000004</v>
      </c>
      <c r="Q21" s="662">
        <f t="shared" si="10"/>
        <v>0.55000000000000004</v>
      </c>
      <c r="R21" s="662">
        <f t="shared" si="10"/>
        <v>0.55000000000000004</v>
      </c>
      <c r="S21" s="662">
        <f t="shared" si="10"/>
        <v>0.55000000000000004</v>
      </c>
      <c r="T21" s="662">
        <f t="shared" si="10"/>
        <v>0.55000000000000004</v>
      </c>
      <c r="U21" s="662">
        <f t="shared" si="10"/>
        <v>0.55000000000000004</v>
      </c>
      <c r="V21" s="662">
        <f t="shared" si="10"/>
        <v>0.55000000000000004</v>
      </c>
      <c r="W21" s="662">
        <f t="shared" si="10"/>
        <v>0.55000000000000004</v>
      </c>
      <c r="X21" s="662">
        <f t="shared" si="10"/>
        <v>0.55000000000000004</v>
      </c>
      <c r="Y21" s="662">
        <f t="shared" si="10"/>
        <v>0.55000000000000004</v>
      </c>
    </row>
    <row r="22" spans="1:25" outlineLevel="1">
      <c r="B22" s="660"/>
      <c r="C22" s="725"/>
      <c r="D22" s="661"/>
      <c r="E22" s="661"/>
      <c r="F22" s="660"/>
      <c r="G22" s="660"/>
      <c r="H22" s="660"/>
      <c r="I22" s="660"/>
      <c r="J22" s="660"/>
      <c r="K22" s="660"/>
      <c r="L22" s="660"/>
      <c r="M22" s="660"/>
      <c r="N22" s="660"/>
      <c r="O22" s="660"/>
      <c r="P22" s="660"/>
      <c r="Q22" s="660"/>
      <c r="R22" s="660"/>
      <c r="S22" s="660"/>
      <c r="T22" s="660"/>
      <c r="U22" s="660"/>
      <c r="V22" s="660"/>
      <c r="W22" s="660"/>
      <c r="X22" s="660"/>
      <c r="Y22" s="660"/>
    </row>
    <row r="23" spans="1:25" outlineLevel="1">
      <c r="A23" s="651"/>
      <c r="B23" s="658" t="s">
        <v>654</v>
      </c>
      <c r="C23" s="726"/>
      <c r="D23" s="659"/>
      <c r="E23" s="659"/>
      <c r="F23" s="658"/>
      <c r="G23" s="658"/>
      <c r="H23" s="658"/>
      <c r="I23" s="658"/>
      <c r="J23" s="658"/>
      <c r="K23" s="658"/>
      <c r="L23" s="658"/>
      <c r="M23" s="663">
        <f t="shared" ref="M23:Y23" si="11">CHOOSE($D$2,M24,M25,M26)</f>
        <v>0.65</v>
      </c>
      <c r="N23" s="663">
        <f t="shared" si="11"/>
        <v>0.8</v>
      </c>
      <c r="O23" s="663">
        <f t="shared" si="11"/>
        <v>0.9</v>
      </c>
      <c r="P23" s="663">
        <f t="shared" si="11"/>
        <v>0.9</v>
      </c>
      <c r="Q23" s="663">
        <f t="shared" si="11"/>
        <v>0.9</v>
      </c>
      <c r="R23" s="663">
        <f t="shared" si="11"/>
        <v>0.9</v>
      </c>
      <c r="S23" s="663">
        <f t="shared" si="11"/>
        <v>0.9</v>
      </c>
      <c r="T23" s="663">
        <f t="shared" si="11"/>
        <v>0.9</v>
      </c>
      <c r="U23" s="663">
        <f t="shared" si="11"/>
        <v>0.9</v>
      </c>
      <c r="V23" s="663">
        <f t="shared" si="11"/>
        <v>0.9</v>
      </c>
      <c r="W23" s="663">
        <f t="shared" si="11"/>
        <v>0.45</v>
      </c>
      <c r="X23" s="663">
        <f t="shared" si="11"/>
        <v>0.09</v>
      </c>
      <c r="Y23" s="663">
        <f t="shared" si="11"/>
        <v>1.7999999999999999E-2</v>
      </c>
    </row>
    <row r="24" spans="1:25" outlineLevel="2">
      <c r="B24" s="660"/>
      <c r="C24" s="725" t="s">
        <v>42</v>
      </c>
      <c r="D24" s="661"/>
      <c r="E24" s="661"/>
      <c r="F24" s="660"/>
      <c r="G24" s="660"/>
      <c r="H24" s="660"/>
      <c r="I24" s="660"/>
      <c r="J24" s="660"/>
      <c r="K24" s="660"/>
      <c r="L24" s="660"/>
      <c r="M24" s="662">
        <v>0.75</v>
      </c>
      <c r="N24" s="662">
        <v>0.85</v>
      </c>
      <c r="O24" s="662">
        <v>0.95</v>
      </c>
      <c r="P24" s="662">
        <f t="shared" ref="P24:Y26" si="12">O24</f>
        <v>0.95</v>
      </c>
      <c r="Q24" s="662">
        <f t="shared" si="12"/>
        <v>0.95</v>
      </c>
      <c r="R24" s="662">
        <f t="shared" si="12"/>
        <v>0.95</v>
      </c>
      <c r="S24" s="662">
        <f t="shared" si="12"/>
        <v>0.95</v>
      </c>
      <c r="T24" s="662">
        <f t="shared" si="12"/>
        <v>0.95</v>
      </c>
      <c r="U24" s="662">
        <f t="shared" si="12"/>
        <v>0.95</v>
      </c>
      <c r="V24" s="662">
        <f t="shared" si="12"/>
        <v>0.95</v>
      </c>
      <c r="W24" s="662">
        <f t="shared" si="12"/>
        <v>0.95</v>
      </c>
      <c r="X24" s="662">
        <f t="shared" si="12"/>
        <v>0.95</v>
      </c>
      <c r="Y24" s="662">
        <f t="shared" si="12"/>
        <v>0.95</v>
      </c>
    </row>
    <row r="25" spans="1:25" outlineLevel="2">
      <c r="B25" s="660"/>
      <c r="C25" s="725" t="s">
        <v>43</v>
      </c>
      <c r="D25" s="661"/>
      <c r="E25" s="661"/>
      <c r="F25" s="660"/>
      <c r="G25" s="660"/>
      <c r="H25" s="660"/>
      <c r="I25" s="660"/>
      <c r="J25" s="660"/>
      <c r="K25" s="660"/>
      <c r="L25" s="660"/>
      <c r="M25" s="662">
        <v>0.65</v>
      </c>
      <c r="N25" s="662">
        <v>0.8</v>
      </c>
      <c r="O25" s="662">
        <v>0.9</v>
      </c>
      <c r="P25" s="662">
        <f>O25</f>
        <v>0.9</v>
      </c>
      <c r="Q25" s="662">
        <f t="shared" si="12"/>
        <v>0.9</v>
      </c>
      <c r="R25" s="662">
        <f t="shared" si="12"/>
        <v>0.9</v>
      </c>
      <c r="S25" s="662">
        <f t="shared" si="12"/>
        <v>0.9</v>
      </c>
      <c r="T25" s="662">
        <f t="shared" si="12"/>
        <v>0.9</v>
      </c>
      <c r="U25" s="662">
        <f t="shared" si="12"/>
        <v>0.9</v>
      </c>
      <c r="V25" s="662">
        <f t="shared" si="12"/>
        <v>0.9</v>
      </c>
      <c r="W25" s="662">
        <f>V25/2</f>
        <v>0.45</v>
      </c>
      <c r="X25" s="662">
        <f>W25/5</f>
        <v>0.09</v>
      </c>
      <c r="Y25" s="662">
        <f>X25/5</f>
        <v>1.7999999999999999E-2</v>
      </c>
    </row>
    <row r="26" spans="1:25" outlineLevel="2">
      <c r="B26" s="660"/>
      <c r="C26" s="725" t="s">
        <v>44</v>
      </c>
      <c r="D26" s="661"/>
      <c r="E26" s="661"/>
      <c r="F26" s="660"/>
      <c r="G26" s="660"/>
      <c r="H26" s="660"/>
      <c r="I26" s="660"/>
      <c r="J26" s="660"/>
      <c r="K26" s="660"/>
      <c r="L26" s="660"/>
      <c r="M26" s="662">
        <v>0.15</v>
      </c>
      <c r="N26" s="662">
        <v>0.25</v>
      </c>
      <c r="O26" s="662">
        <v>0.4</v>
      </c>
      <c r="P26" s="662">
        <v>0.4</v>
      </c>
      <c r="Q26" s="662">
        <v>0.4</v>
      </c>
      <c r="R26" s="662">
        <f t="shared" si="12"/>
        <v>0.4</v>
      </c>
      <c r="S26" s="662">
        <f t="shared" si="12"/>
        <v>0.4</v>
      </c>
      <c r="T26" s="662">
        <f t="shared" si="12"/>
        <v>0.4</v>
      </c>
      <c r="U26" s="662">
        <f t="shared" si="12"/>
        <v>0.4</v>
      </c>
      <c r="V26" s="662">
        <f t="shared" si="12"/>
        <v>0.4</v>
      </c>
      <c r="W26" s="662">
        <f>V26/2</f>
        <v>0.2</v>
      </c>
      <c r="X26" s="662">
        <f>W26/5</f>
        <v>0.04</v>
      </c>
      <c r="Y26" s="662">
        <f>X26/5</f>
        <v>8.0000000000000002E-3</v>
      </c>
    </row>
    <row r="27" spans="1:25" outlineLevel="1">
      <c r="B27" s="660"/>
      <c r="C27" s="725"/>
      <c r="D27" s="661"/>
      <c r="E27" s="661"/>
      <c r="F27" s="660"/>
      <c r="G27" s="660"/>
      <c r="H27" s="660"/>
      <c r="I27" s="660"/>
      <c r="J27" s="660"/>
      <c r="K27" s="660"/>
      <c r="L27" s="660"/>
      <c r="M27" s="660"/>
      <c r="N27" s="660"/>
      <c r="O27" s="660"/>
      <c r="P27" s="660"/>
      <c r="Q27" s="660"/>
      <c r="R27" s="660"/>
      <c r="S27" s="660"/>
      <c r="T27" s="660"/>
      <c r="U27" s="660"/>
      <c r="V27" s="660"/>
      <c r="W27" s="660"/>
      <c r="X27" s="660"/>
      <c r="Y27" s="660"/>
    </row>
    <row r="28" spans="1:25" outlineLevel="1">
      <c r="A28" s="651"/>
      <c r="B28" s="658" t="s">
        <v>532</v>
      </c>
      <c r="C28" s="726"/>
      <c r="D28" s="659"/>
      <c r="E28" s="659"/>
      <c r="F28" s="658"/>
      <c r="G28" s="658"/>
      <c r="H28" s="658"/>
      <c r="I28" s="658"/>
      <c r="J28" s="658"/>
      <c r="K28" s="658"/>
      <c r="L28" s="658"/>
      <c r="M28" s="658"/>
      <c r="N28" s="658"/>
      <c r="O28" s="663">
        <f t="shared" ref="O28:Y28" si="13">CHOOSE($D$2,O29,O30,O31)</f>
        <v>0.9</v>
      </c>
      <c r="P28" s="663">
        <f t="shared" si="13"/>
        <v>0.8</v>
      </c>
      <c r="Q28" s="663">
        <f t="shared" si="13"/>
        <v>0.9</v>
      </c>
      <c r="R28" s="663">
        <f t="shared" si="13"/>
        <v>0.9</v>
      </c>
      <c r="S28" s="663">
        <f t="shared" si="13"/>
        <v>0.9</v>
      </c>
      <c r="T28" s="663">
        <f t="shared" si="13"/>
        <v>0.9</v>
      </c>
      <c r="U28" s="663">
        <f t="shared" si="13"/>
        <v>0.9</v>
      </c>
      <c r="V28" s="663">
        <f t="shared" si="13"/>
        <v>0.9</v>
      </c>
      <c r="W28" s="663">
        <f t="shared" si="13"/>
        <v>0.9</v>
      </c>
      <c r="X28" s="663">
        <f t="shared" si="13"/>
        <v>0.9</v>
      </c>
      <c r="Y28" s="663">
        <f t="shared" si="13"/>
        <v>0.9</v>
      </c>
    </row>
    <row r="29" spans="1:25" outlineLevel="2">
      <c r="B29" s="660"/>
      <c r="C29" s="725" t="s">
        <v>42</v>
      </c>
      <c r="D29" s="661"/>
      <c r="E29" s="661"/>
      <c r="F29" s="660"/>
      <c r="G29" s="660"/>
      <c r="H29" s="660"/>
      <c r="I29" s="660"/>
      <c r="J29" s="660"/>
      <c r="K29" s="660"/>
      <c r="L29" s="660"/>
      <c r="N29" s="736">
        <v>0.75</v>
      </c>
      <c r="O29" s="736">
        <f>O24</f>
        <v>0.95</v>
      </c>
      <c r="P29" s="736">
        <v>0.9</v>
      </c>
      <c r="Q29" s="736">
        <f t="shared" ref="Q29:Y29" si="14">Q34</f>
        <v>0.93</v>
      </c>
      <c r="R29" s="736">
        <f t="shared" si="14"/>
        <v>0.93</v>
      </c>
      <c r="S29" s="736">
        <f t="shared" si="14"/>
        <v>0.93</v>
      </c>
      <c r="T29" s="736">
        <f t="shared" si="14"/>
        <v>0.93</v>
      </c>
      <c r="U29" s="736">
        <f t="shared" si="14"/>
        <v>0.93</v>
      </c>
      <c r="V29" s="736">
        <f t="shared" si="14"/>
        <v>0.93</v>
      </c>
      <c r="W29" s="736">
        <f t="shared" si="14"/>
        <v>0.93</v>
      </c>
      <c r="X29" s="736">
        <f t="shared" si="14"/>
        <v>0.93</v>
      </c>
      <c r="Y29" s="736">
        <f t="shared" si="14"/>
        <v>0.93</v>
      </c>
    </row>
    <row r="30" spans="1:25" outlineLevel="2">
      <c r="B30" s="660"/>
      <c r="C30" s="725" t="s">
        <v>43</v>
      </c>
      <c r="D30" s="661"/>
      <c r="E30" s="661"/>
      <c r="F30" s="660"/>
      <c r="G30" s="660"/>
      <c r="H30" s="660"/>
      <c r="I30" s="660"/>
      <c r="J30" s="660"/>
      <c r="K30" s="660"/>
      <c r="L30" s="660"/>
      <c r="N30" s="736">
        <v>0.5</v>
      </c>
      <c r="O30" s="736">
        <f>O25</f>
        <v>0.9</v>
      </c>
      <c r="P30" s="736">
        <v>0.8</v>
      </c>
      <c r="Q30" s="736">
        <f t="shared" ref="Q30:Y30" si="15">Q35</f>
        <v>0.9</v>
      </c>
      <c r="R30" s="736">
        <f t="shared" si="15"/>
        <v>0.9</v>
      </c>
      <c r="S30" s="736">
        <f t="shared" si="15"/>
        <v>0.9</v>
      </c>
      <c r="T30" s="736">
        <f t="shared" si="15"/>
        <v>0.9</v>
      </c>
      <c r="U30" s="736">
        <f t="shared" si="15"/>
        <v>0.9</v>
      </c>
      <c r="V30" s="736">
        <f t="shared" si="15"/>
        <v>0.9</v>
      </c>
      <c r="W30" s="736">
        <f t="shared" si="15"/>
        <v>0.9</v>
      </c>
      <c r="X30" s="736">
        <f t="shared" si="15"/>
        <v>0.9</v>
      </c>
      <c r="Y30" s="736">
        <f t="shared" si="15"/>
        <v>0.9</v>
      </c>
    </row>
    <row r="31" spans="1:25" outlineLevel="2">
      <c r="B31" s="660"/>
      <c r="C31" s="725" t="s">
        <v>44</v>
      </c>
      <c r="D31" s="661"/>
      <c r="E31" s="661"/>
      <c r="F31" s="660"/>
      <c r="G31" s="660"/>
      <c r="H31" s="660"/>
      <c r="I31" s="660"/>
      <c r="J31" s="660"/>
      <c r="K31" s="660"/>
      <c r="L31" s="660"/>
      <c r="N31" s="736">
        <v>0.2</v>
      </c>
      <c r="O31" s="736">
        <f>O26</f>
        <v>0.4</v>
      </c>
      <c r="P31" s="736">
        <v>0.4</v>
      </c>
      <c r="Q31" s="736">
        <f t="shared" ref="Q31:Y31" si="16">Q36</f>
        <v>0.4</v>
      </c>
      <c r="R31" s="736">
        <f t="shared" si="16"/>
        <v>0.5</v>
      </c>
      <c r="S31" s="736">
        <f t="shared" si="16"/>
        <v>0.5</v>
      </c>
      <c r="T31" s="736">
        <f t="shared" si="16"/>
        <v>0.5</v>
      </c>
      <c r="U31" s="736">
        <f t="shared" si="16"/>
        <v>0.5</v>
      </c>
      <c r="V31" s="736">
        <f t="shared" si="16"/>
        <v>0.5</v>
      </c>
      <c r="W31" s="736">
        <f t="shared" si="16"/>
        <v>0.5</v>
      </c>
      <c r="X31" s="736">
        <f t="shared" si="16"/>
        <v>0.5</v>
      </c>
      <c r="Y31" s="736">
        <f t="shared" si="16"/>
        <v>0.5</v>
      </c>
    </row>
    <row r="32" spans="1:25" outlineLevel="1">
      <c r="B32" s="660"/>
      <c r="C32" s="725"/>
      <c r="D32" s="661"/>
      <c r="E32" s="661"/>
      <c r="F32" s="660"/>
      <c r="G32" s="660"/>
      <c r="H32" s="660"/>
      <c r="I32" s="660"/>
      <c r="J32" s="660"/>
      <c r="K32" s="660"/>
      <c r="L32" s="660"/>
      <c r="M32" s="660"/>
      <c r="N32" s="660"/>
      <c r="O32" s="660"/>
      <c r="P32" s="660"/>
      <c r="Q32" s="660"/>
      <c r="R32" s="660"/>
      <c r="S32" s="660"/>
      <c r="T32" s="660"/>
      <c r="U32" s="660"/>
      <c r="V32" s="660"/>
      <c r="W32" s="660"/>
      <c r="X32" s="660"/>
      <c r="Y32" s="660"/>
    </row>
    <row r="33" spans="1:25" outlineLevel="1">
      <c r="A33" s="651"/>
      <c r="B33" s="658" t="s">
        <v>533</v>
      </c>
      <c r="C33" s="726"/>
      <c r="D33" s="659"/>
      <c r="E33" s="659"/>
      <c r="F33" s="658"/>
      <c r="G33" s="658"/>
      <c r="H33" s="658"/>
      <c r="I33" s="658"/>
      <c r="J33" s="658"/>
      <c r="K33" s="658"/>
      <c r="L33" s="658"/>
      <c r="M33" s="658"/>
      <c r="N33" s="658"/>
      <c r="O33" s="663">
        <f t="shared" ref="O33:Y33" si="17">CHOOSE($D$2,O34,O35,O36)</f>
        <v>0.75</v>
      </c>
      <c r="P33" s="663">
        <f t="shared" si="17"/>
        <v>0.8</v>
      </c>
      <c r="Q33" s="663">
        <f t="shared" si="17"/>
        <v>0.9</v>
      </c>
      <c r="R33" s="663">
        <f t="shared" si="17"/>
        <v>0.9</v>
      </c>
      <c r="S33" s="663">
        <f t="shared" si="17"/>
        <v>0.9</v>
      </c>
      <c r="T33" s="663">
        <f t="shared" si="17"/>
        <v>0.9</v>
      </c>
      <c r="U33" s="663">
        <f t="shared" si="17"/>
        <v>0.9</v>
      </c>
      <c r="V33" s="663">
        <f t="shared" si="17"/>
        <v>0.9</v>
      </c>
      <c r="W33" s="663">
        <f t="shared" si="17"/>
        <v>0.9</v>
      </c>
      <c r="X33" s="663">
        <f t="shared" si="17"/>
        <v>0.9</v>
      </c>
      <c r="Y33" s="663">
        <f t="shared" si="17"/>
        <v>0.9</v>
      </c>
    </row>
    <row r="34" spans="1:25" outlineLevel="2">
      <c r="B34" s="660"/>
      <c r="C34" s="725" t="s">
        <v>42</v>
      </c>
      <c r="D34" s="661"/>
      <c r="E34" s="661"/>
      <c r="F34" s="660"/>
      <c r="G34" s="660"/>
      <c r="H34" s="660"/>
      <c r="I34" s="660"/>
      <c r="J34" s="660"/>
      <c r="K34" s="660"/>
      <c r="L34" s="660"/>
      <c r="M34" s="660"/>
      <c r="N34" s="736">
        <v>0.75</v>
      </c>
      <c r="O34" s="732">
        <v>0.75</v>
      </c>
      <c r="P34" s="732">
        <v>0.9</v>
      </c>
      <c r="Q34" s="732">
        <v>0.93</v>
      </c>
      <c r="R34" s="662">
        <f t="shared" ref="R34:Y34" si="18">Q34</f>
        <v>0.93</v>
      </c>
      <c r="S34" s="662">
        <f t="shared" si="18"/>
        <v>0.93</v>
      </c>
      <c r="T34" s="662">
        <f t="shared" si="18"/>
        <v>0.93</v>
      </c>
      <c r="U34" s="662">
        <f t="shared" si="18"/>
        <v>0.93</v>
      </c>
      <c r="V34" s="662">
        <f t="shared" si="18"/>
        <v>0.93</v>
      </c>
      <c r="W34" s="662">
        <f t="shared" si="18"/>
        <v>0.93</v>
      </c>
      <c r="X34" s="662">
        <f t="shared" si="18"/>
        <v>0.93</v>
      </c>
      <c r="Y34" s="662">
        <f t="shared" si="18"/>
        <v>0.93</v>
      </c>
    </row>
    <row r="35" spans="1:25" outlineLevel="2">
      <c r="B35" s="660"/>
      <c r="C35" s="725" t="s">
        <v>43</v>
      </c>
      <c r="D35" s="661"/>
      <c r="E35" s="661"/>
      <c r="F35" s="660"/>
      <c r="G35" s="660"/>
      <c r="H35" s="660"/>
      <c r="I35" s="660"/>
      <c r="J35" s="660"/>
      <c r="K35" s="660"/>
      <c r="L35" s="660"/>
      <c r="M35" s="660"/>
      <c r="N35" s="736">
        <v>0.3</v>
      </c>
      <c r="O35" s="732">
        <v>0.75</v>
      </c>
      <c r="P35" s="732">
        <v>0.8</v>
      </c>
      <c r="Q35" s="732">
        <v>0.9</v>
      </c>
      <c r="R35" s="662">
        <f t="shared" ref="R35:Y36" si="19">Q35</f>
        <v>0.9</v>
      </c>
      <c r="S35" s="662">
        <f t="shared" si="19"/>
        <v>0.9</v>
      </c>
      <c r="T35" s="662">
        <f t="shared" si="19"/>
        <v>0.9</v>
      </c>
      <c r="U35" s="662">
        <f t="shared" si="19"/>
        <v>0.9</v>
      </c>
      <c r="V35" s="662">
        <f t="shared" si="19"/>
        <v>0.9</v>
      </c>
      <c r="W35" s="662">
        <f t="shared" si="19"/>
        <v>0.9</v>
      </c>
      <c r="X35" s="662">
        <f t="shared" si="19"/>
        <v>0.9</v>
      </c>
      <c r="Y35" s="662">
        <f t="shared" si="19"/>
        <v>0.9</v>
      </c>
    </row>
    <row r="36" spans="1:25" outlineLevel="2">
      <c r="B36" s="660"/>
      <c r="C36" s="725" t="s">
        <v>44</v>
      </c>
      <c r="D36" s="661"/>
      <c r="E36" s="661"/>
      <c r="F36" s="660"/>
      <c r="G36" s="660"/>
      <c r="H36" s="660"/>
      <c r="I36" s="660"/>
      <c r="J36" s="660"/>
      <c r="K36" s="660"/>
      <c r="L36" s="660"/>
      <c r="M36" s="660"/>
      <c r="N36" s="736">
        <v>0.2</v>
      </c>
      <c r="O36" s="662">
        <v>0.15</v>
      </c>
      <c r="P36" s="662">
        <v>0.25</v>
      </c>
      <c r="Q36" s="662">
        <v>0.4</v>
      </c>
      <c r="R36" s="662">
        <v>0.5</v>
      </c>
      <c r="S36" s="662">
        <f t="shared" si="19"/>
        <v>0.5</v>
      </c>
      <c r="T36" s="662">
        <f t="shared" si="19"/>
        <v>0.5</v>
      </c>
      <c r="U36" s="662">
        <f t="shared" si="19"/>
        <v>0.5</v>
      </c>
      <c r="V36" s="662">
        <f t="shared" si="19"/>
        <v>0.5</v>
      </c>
      <c r="W36" s="662">
        <f t="shared" si="19"/>
        <v>0.5</v>
      </c>
      <c r="X36" s="662">
        <f t="shared" si="19"/>
        <v>0.5</v>
      </c>
      <c r="Y36" s="662">
        <f t="shared" si="19"/>
        <v>0.5</v>
      </c>
    </row>
    <row r="37" spans="1:25" outlineLevel="1">
      <c r="B37" s="660"/>
      <c r="C37" s="725"/>
      <c r="D37" s="661"/>
      <c r="E37" s="661"/>
      <c r="F37" s="660"/>
      <c r="G37" s="660"/>
      <c r="H37" s="660"/>
      <c r="I37" s="660"/>
      <c r="J37" s="660"/>
      <c r="K37" s="660"/>
      <c r="L37" s="660"/>
      <c r="M37" s="660"/>
      <c r="N37" s="660"/>
      <c r="O37" s="662"/>
      <c r="P37" s="662"/>
      <c r="Q37" s="662"/>
      <c r="R37" s="662"/>
      <c r="S37" s="662"/>
      <c r="T37" s="662"/>
      <c r="U37" s="662"/>
      <c r="V37" s="662"/>
      <c r="W37" s="662"/>
      <c r="X37" s="662"/>
      <c r="Y37" s="662"/>
    </row>
    <row r="38" spans="1:25">
      <c r="B38" s="660"/>
      <c r="C38" s="661"/>
      <c r="D38" s="661"/>
      <c r="E38" s="661"/>
      <c r="F38" s="660"/>
      <c r="G38" s="660"/>
      <c r="H38" s="660"/>
      <c r="I38" s="660"/>
      <c r="J38" s="660"/>
      <c r="K38" s="660"/>
      <c r="L38" s="660"/>
      <c r="M38" s="660"/>
      <c r="N38" s="660"/>
      <c r="O38" s="660"/>
      <c r="P38" s="660"/>
      <c r="Q38" s="660"/>
      <c r="R38" s="660"/>
      <c r="S38" s="660"/>
      <c r="T38" s="660"/>
      <c r="U38" s="660"/>
      <c r="V38" s="660"/>
      <c r="W38" s="660"/>
      <c r="X38" s="660"/>
      <c r="Y38" s="660"/>
    </row>
    <row r="39" spans="1:25" ht="13.5" thickBot="1">
      <c r="A39" s="651"/>
      <c r="B39" s="652" t="s">
        <v>534</v>
      </c>
      <c r="C39" s="653"/>
      <c r="D39" s="653"/>
      <c r="E39" s="653"/>
      <c r="F39" s="652"/>
      <c r="G39" s="652"/>
      <c r="H39" s="652"/>
      <c r="I39" s="652"/>
      <c r="J39" s="652"/>
      <c r="K39" s="652"/>
      <c r="L39" s="652"/>
      <c r="M39" s="652"/>
      <c r="N39" s="652"/>
      <c r="O39" s="652"/>
      <c r="P39" s="652"/>
      <c r="Q39" s="652"/>
      <c r="R39" s="652"/>
      <c r="S39" s="652"/>
      <c r="T39" s="652"/>
      <c r="U39" s="652"/>
      <c r="V39" s="652"/>
      <c r="W39" s="652"/>
      <c r="X39" s="652"/>
      <c r="Y39" s="652"/>
    </row>
    <row r="40" spans="1:25">
      <c r="A40" s="651"/>
      <c r="B40" s="654"/>
      <c r="C40" s="655"/>
      <c r="D40" s="655"/>
      <c r="E40" s="655"/>
      <c r="F40" s="654"/>
      <c r="G40" s="654"/>
      <c r="H40" s="654"/>
      <c r="I40" s="654"/>
      <c r="J40" s="654"/>
      <c r="K40" s="654"/>
      <c r="L40" s="654"/>
      <c r="M40" s="654"/>
      <c r="N40" s="654"/>
      <c r="O40" s="654"/>
      <c r="P40" s="654"/>
      <c r="Q40" s="654"/>
      <c r="R40" s="654"/>
      <c r="S40" s="654"/>
      <c r="T40" s="654"/>
      <c r="U40" s="654"/>
      <c r="V40" s="654"/>
      <c r="W40" s="654"/>
      <c r="X40" s="654"/>
      <c r="Y40" s="654"/>
    </row>
    <row r="41" spans="1:25">
      <c r="A41" s="651"/>
      <c r="B41" s="658" t="s">
        <v>340</v>
      </c>
      <c r="C41" s="659"/>
      <c r="D41" s="659"/>
      <c r="E41" s="659"/>
      <c r="F41" s="658"/>
      <c r="G41" s="654"/>
      <c r="H41" s="654"/>
      <c r="I41" s="654"/>
      <c r="J41" s="654"/>
      <c r="K41" s="654"/>
      <c r="L41" s="654"/>
      <c r="M41" s="654"/>
      <c r="N41" s="654"/>
      <c r="O41" s="654"/>
      <c r="P41" s="654"/>
      <c r="Q41" s="654"/>
      <c r="R41" s="654"/>
      <c r="S41" s="654"/>
      <c r="T41" s="654"/>
      <c r="U41" s="654"/>
      <c r="V41" s="654"/>
      <c r="W41" s="654"/>
      <c r="X41" s="654"/>
      <c r="Y41" s="654"/>
    </row>
    <row r="42" spans="1:25">
      <c r="C42" s="664" t="s">
        <v>535</v>
      </c>
      <c r="D42" s="664" t="s">
        <v>536</v>
      </c>
      <c r="E42" s="664" t="s">
        <v>441</v>
      </c>
    </row>
    <row r="43" spans="1:25">
      <c r="C43" s="650" t="s">
        <v>537</v>
      </c>
      <c r="D43" s="650" t="s">
        <v>230</v>
      </c>
      <c r="E43" s="665">
        <v>40939</v>
      </c>
      <c r="G43" s="649">
        <v>1000</v>
      </c>
      <c r="H43" s="649">
        <f>G43</f>
        <v>1000</v>
      </c>
      <c r="I43" s="649">
        <f t="shared" ref="I43:Y48" si="20">H43</f>
        <v>1000</v>
      </c>
      <c r="J43" s="649">
        <f t="shared" si="20"/>
        <v>1000</v>
      </c>
      <c r="K43" s="649">
        <f t="shared" si="20"/>
        <v>1000</v>
      </c>
      <c r="L43" s="649">
        <f t="shared" si="20"/>
        <v>1000</v>
      </c>
      <c r="M43" s="649">
        <f t="shared" si="20"/>
        <v>1000</v>
      </c>
      <c r="N43" s="649">
        <f t="shared" si="20"/>
        <v>1000</v>
      </c>
      <c r="O43" s="649">
        <f t="shared" si="20"/>
        <v>1000</v>
      </c>
      <c r="P43" s="649">
        <f t="shared" si="20"/>
        <v>1000</v>
      </c>
      <c r="Q43" s="649">
        <f t="shared" si="20"/>
        <v>1000</v>
      </c>
      <c r="R43" s="649">
        <f t="shared" si="20"/>
        <v>1000</v>
      </c>
      <c r="S43" s="649">
        <f t="shared" si="20"/>
        <v>1000</v>
      </c>
      <c r="T43" s="649">
        <v>0</v>
      </c>
      <c r="U43" s="649">
        <f t="shared" ref="U43" si="21">T43</f>
        <v>0</v>
      </c>
      <c r="V43" s="649">
        <f t="shared" ref="V43" si="22">U43</f>
        <v>0</v>
      </c>
      <c r="W43" s="649">
        <v>0</v>
      </c>
      <c r="X43" s="649">
        <f t="shared" si="20"/>
        <v>0</v>
      </c>
      <c r="Y43" s="649">
        <f t="shared" si="20"/>
        <v>0</v>
      </c>
    </row>
    <row r="44" spans="1:25">
      <c r="C44" s="650" t="s">
        <v>537</v>
      </c>
      <c r="D44" s="650" t="s">
        <v>538</v>
      </c>
      <c r="E44" s="665">
        <v>41691</v>
      </c>
      <c r="I44" s="649">
        <v>150</v>
      </c>
      <c r="J44" s="649">
        <f>I44</f>
        <v>150</v>
      </c>
      <c r="K44" s="649">
        <f t="shared" si="20"/>
        <v>150</v>
      </c>
      <c r="L44" s="649">
        <f t="shared" si="20"/>
        <v>150</v>
      </c>
      <c r="M44" s="649">
        <f t="shared" si="20"/>
        <v>150</v>
      </c>
      <c r="N44" s="649">
        <f t="shared" si="20"/>
        <v>150</v>
      </c>
      <c r="O44" s="649">
        <f t="shared" si="20"/>
        <v>150</v>
      </c>
      <c r="P44" s="649">
        <f t="shared" si="20"/>
        <v>150</v>
      </c>
      <c r="Q44" s="649">
        <f t="shared" si="20"/>
        <v>150</v>
      </c>
      <c r="R44" s="649">
        <f t="shared" si="20"/>
        <v>150</v>
      </c>
      <c r="S44" s="649">
        <f t="shared" si="20"/>
        <v>150</v>
      </c>
      <c r="T44" s="649">
        <v>0</v>
      </c>
      <c r="U44" s="649">
        <f t="shared" si="20"/>
        <v>0</v>
      </c>
      <c r="V44" s="649">
        <f t="shared" si="20"/>
        <v>0</v>
      </c>
      <c r="W44" s="649">
        <f t="shared" si="20"/>
        <v>0</v>
      </c>
      <c r="X44" s="649">
        <f t="shared" si="20"/>
        <v>0</v>
      </c>
      <c r="Y44" s="649">
        <f t="shared" si="20"/>
        <v>0</v>
      </c>
    </row>
    <row r="45" spans="1:25">
      <c r="C45" s="650" t="s">
        <v>537</v>
      </c>
      <c r="D45" s="650" t="s">
        <v>231</v>
      </c>
      <c r="E45" s="665">
        <v>42002</v>
      </c>
      <c r="I45" s="649">
        <v>500</v>
      </c>
      <c r="J45" s="649">
        <f>I45</f>
        <v>500</v>
      </c>
      <c r="K45" s="649">
        <f t="shared" si="20"/>
        <v>500</v>
      </c>
      <c r="L45" s="649">
        <f t="shared" si="20"/>
        <v>500</v>
      </c>
      <c r="M45" s="649">
        <f t="shared" si="20"/>
        <v>500</v>
      </c>
      <c r="N45" s="649">
        <f t="shared" si="20"/>
        <v>500</v>
      </c>
      <c r="O45" s="649">
        <f t="shared" si="20"/>
        <v>500</v>
      </c>
      <c r="P45" s="649">
        <f t="shared" si="20"/>
        <v>500</v>
      </c>
      <c r="Q45" s="649">
        <f t="shared" si="20"/>
        <v>500</v>
      </c>
      <c r="R45" s="649">
        <f t="shared" si="20"/>
        <v>500</v>
      </c>
      <c r="S45" s="649">
        <f t="shared" si="20"/>
        <v>500</v>
      </c>
      <c r="T45" s="649">
        <v>0</v>
      </c>
      <c r="U45" s="649">
        <f t="shared" si="20"/>
        <v>0</v>
      </c>
      <c r="V45" s="649">
        <f t="shared" si="20"/>
        <v>0</v>
      </c>
      <c r="W45" s="649">
        <f t="shared" si="20"/>
        <v>0</v>
      </c>
      <c r="X45" s="649">
        <f t="shared" si="20"/>
        <v>0</v>
      </c>
      <c r="Y45" s="649">
        <f t="shared" si="20"/>
        <v>0</v>
      </c>
    </row>
    <row r="46" spans="1:25">
      <c r="C46" s="650" t="s">
        <v>539</v>
      </c>
      <c r="D46" s="650" t="s">
        <v>540</v>
      </c>
      <c r="E46" s="665">
        <v>75743</v>
      </c>
      <c r="L46" s="649">
        <v>900</v>
      </c>
      <c r="M46" s="649">
        <f>L46</f>
        <v>900</v>
      </c>
      <c r="N46" s="649">
        <f t="shared" si="20"/>
        <v>900</v>
      </c>
      <c r="O46" s="649">
        <f t="shared" si="20"/>
        <v>900</v>
      </c>
      <c r="P46" s="649">
        <f t="shared" si="20"/>
        <v>900</v>
      </c>
      <c r="Q46" s="649">
        <f t="shared" si="20"/>
        <v>900</v>
      </c>
      <c r="R46" s="649">
        <f t="shared" si="20"/>
        <v>900</v>
      </c>
      <c r="S46" s="649">
        <f t="shared" si="20"/>
        <v>900</v>
      </c>
      <c r="T46" s="649">
        <f t="shared" si="20"/>
        <v>900</v>
      </c>
      <c r="U46" s="649">
        <v>0</v>
      </c>
      <c r="V46" s="649">
        <f t="shared" si="20"/>
        <v>0</v>
      </c>
      <c r="W46" s="649">
        <f t="shared" si="20"/>
        <v>0</v>
      </c>
      <c r="X46" s="649">
        <f t="shared" si="20"/>
        <v>0</v>
      </c>
      <c r="Y46" s="649">
        <f t="shared" si="20"/>
        <v>0</v>
      </c>
    </row>
    <row r="47" spans="1:25">
      <c r="C47" s="650" t="s">
        <v>539</v>
      </c>
      <c r="D47" s="650" t="s">
        <v>541</v>
      </c>
      <c r="E47" s="666" t="s">
        <v>542</v>
      </c>
      <c r="L47" s="649">
        <v>600</v>
      </c>
      <c r="M47" s="649">
        <v>600</v>
      </c>
      <c r="N47" s="649">
        <f>M47</f>
        <v>600</v>
      </c>
      <c r="O47" s="649">
        <f t="shared" si="20"/>
        <v>600</v>
      </c>
      <c r="P47" s="649">
        <f t="shared" si="20"/>
        <v>600</v>
      </c>
      <c r="Q47" s="649">
        <f t="shared" si="20"/>
        <v>600</v>
      </c>
      <c r="R47" s="649">
        <f t="shared" si="20"/>
        <v>600</v>
      </c>
      <c r="S47" s="649">
        <f t="shared" si="20"/>
        <v>600</v>
      </c>
      <c r="T47" s="649">
        <f t="shared" si="20"/>
        <v>600</v>
      </c>
      <c r="U47" s="649">
        <f t="shared" si="20"/>
        <v>600</v>
      </c>
      <c r="V47" s="649">
        <f t="shared" si="20"/>
        <v>600</v>
      </c>
      <c r="W47" s="649">
        <v>0</v>
      </c>
      <c r="X47" s="649">
        <f t="shared" si="20"/>
        <v>0</v>
      </c>
      <c r="Y47" s="649">
        <f t="shared" si="20"/>
        <v>0</v>
      </c>
    </row>
    <row r="48" spans="1:25">
      <c r="C48" s="650" t="s">
        <v>543</v>
      </c>
      <c r="E48" s="667">
        <v>2020</v>
      </c>
      <c r="O48" s="649">
        <v>410</v>
      </c>
      <c r="P48" s="649">
        <f t="shared" si="20"/>
        <v>410</v>
      </c>
      <c r="Q48" s="649">
        <f t="shared" si="20"/>
        <v>410</v>
      </c>
      <c r="R48" s="649">
        <f t="shared" si="20"/>
        <v>410</v>
      </c>
      <c r="S48" s="649">
        <f t="shared" si="20"/>
        <v>410</v>
      </c>
      <c r="T48" s="649">
        <f t="shared" si="20"/>
        <v>410</v>
      </c>
      <c r="U48" s="649">
        <f t="shared" si="20"/>
        <v>410</v>
      </c>
      <c r="V48" s="649">
        <f t="shared" si="20"/>
        <v>410</v>
      </c>
      <c r="W48" s="649">
        <f t="shared" si="20"/>
        <v>410</v>
      </c>
      <c r="X48" s="649">
        <f t="shared" si="20"/>
        <v>410</v>
      </c>
      <c r="Y48" s="649">
        <v>0</v>
      </c>
    </row>
    <row r="50" spans="2:25">
      <c r="B50" s="668" t="s">
        <v>544</v>
      </c>
      <c r="C50" s="669"/>
      <c r="D50" s="669"/>
      <c r="E50" s="669"/>
      <c r="F50" s="668"/>
      <c r="G50" s="670">
        <f t="shared" ref="G50:Y50" si="23">SUM(G43:G48)</f>
        <v>1000</v>
      </c>
      <c r="H50" s="670">
        <f t="shared" si="23"/>
        <v>1000</v>
      </c>
      <c r="I50" s="670">
        <f t="shared" si="23"/>
        <v>1650</v>
      </c>
      <c r="J50" s="670">
        <f t="shared" si="23"/>
        <v>1650</v>
      </c>
      <c r="K50" s="670">
        <f t="shared" si="23"/>
        <v>1650</v>
      </c>
      <c r="L50" s="670">
        <f t="shared" si="23"/>
        <v>3150</v>
      </c>
      <c r="M50" s="670">
        <f t="shared" si="23"/>
        <v>3150</v>
      </c>
      <c r="N50" s="670">
        <f t="shared" si="23"/>
        <v>3150</v>
      </c>
      <c r="O50" s="670">
        <f t="shared" si="23"/>
        <v>3560</v>
      </c>
      <c r="P50" s="670">
        <f t="shared" si="23"/>
        <v>3560</v>
      </c>
      <c r="Q50" s="670">
        <f t="shared" si="23"/>
        <v>3560</v>
      </c>
      <c r="R50" s="670">
        <f t="shared" si="23"/>
        <v>3560</v>
      </c>
      <c r="S50" s="670">
        <f t="shared" si="23"/>
        <v>3560</v>
      </c>
      <c r="T50" s="670">
        <f t="shared" si="23"/>
        <v>1910</v>
      </c>
      <c r="U50" s="670">
        <f t="shared" si="23"/>
        <v>1010</v>
      </c>
      <c r="V50" s="670">
        <f t="shared" si="23"/>
        <v>1010</v>
      </c>
      <c r="W50" s="670">
        <f t="shared" si="23"/>
        <v>410</v>
      </c>
      <c r="X50" s="670">
        <f t="shared" si="23"/>
        <v>410</v>
      </c>
      <c r="Y50" s="670">
        <f t="shared" si="23"/>
        <v>0</v>
      </c>
    </row>
    <row r="51" spans="2:25">
      <c r="B51" s="671" t="s">
        <v>545</v>
      </c>
    </row>
    <row r="52" spans="2:25">
      <c r="B52" s="671"/>
    </row>
    <row r="53" spans="2:25">
      <c r="B53" s="658" t="s">
        <v>656</v>
      </c>
      <c r="C53" s="659"/>
      <c r="D53" s="659"/>
      <c r="E53" s="659"/>
    </row>
    <row r="54" spans="2:25">
      <c r="C54" s="664" t="s">
        <v>535</v>
      </c>
      <c r="D54" s="664" t="s">
        <v>536</v>
      </c>
      <c r="E54" s="664" t="s">
        <v>441</v>
      </c>
    </row>
    <row r="55" spans="2:25">
      <c r="C55" s="650" t="s">
        <v>537</v>
      </c>
      <c r="D55" s="650" t="s">
        <v>230</v>
      </c>
      <c r="E55" s="667">
        <v>2025</v>
      </c>
      <c r="T55" s="649">
        <v>1000</v>
      </c>
      <c r="U55" s="649">
        <f>T55</f>
        <v>1000</v>
      </c>
      <c r="V55" s="649">
        <f t="shared" ref="V55:Y55" si="24">U55</f>
        <v>1000</v>
      </c>
      <c r="W55" s="649">
        <f t="shared" si="24"/>
        <v>1000</v>
      </c>
      <c r="X55" s="649">
        <f t="shared" si="24"/>
        <v>1000</v>
      </c>
      <c r="Y55" s="649">
        <f t="shared" si="24"/>
        <v>1000</v>
      </c>
    </row>
    <row r="56" spans="2:25">
      <c r="C56" s="650" t="s">
        <v>537</v>
      </c>
      <c r="D56" s="650" t="s">
        <v>538</v>
      </c>
      <c r="E56" s="667">
        <v>2025</v>
      </c>
      <c r="T56" s="649">
        <v>150</v>
      </c>
      <c r="U56" s="649">
        <v>150</v>
      </c>
      <c r="V56" s="649">
        <v>150</v>
      </c>
      <c r="W56" s="649">
        <v>150</v>
      </c>
      <c r="X56" s="649">
        <v>150</v>
      </c>
      <c r="Y56" s="649">
        <v>150</v>
      </c>
    </row>
    <row r="57" spans="2:25">
      <c r="C57" s="650" t="s">
        <v>537</v>
      </c>
      <c r="D57" s="650" t="s">
        <v>231</v>
      </c>
      <c r="E57" s="667">
        <v>2025</v>
      </c>
      <c r="T57" s="649">
        <v>500</v>
      </c>
      <c r="U57" s="649">
        <v>500</v>
      </c>
      <c r="V57" s="649">
        <v>500</v>
      </c>
      <c r="W57" s="649">
        <v>500</v>
      </c>
      <c r="X57" s="649">
        <v>500</v>
      </c>
      <c r="Y57" s="649">
        <v>500</v>
      </c>
    </row>
    <row r="58" spans="2:25">
      <c r="C58" s="650" t="s">
        <v>539</v>
      </c>
      <c r="D58" s="650" t="s">
        <v>540</v>
      </c>
      <c r="E58" s="667">
        <v>2026</v>
      </c>
      <c r="U58" s="649">
        <v>600</v>
      </c>
      <c r="V58" s="649">
        <v>600</v>
      </c>
      <c r="W58" s="649">
        <v>600</v>
      </c>
      <c r="X58" s="649">
        <v>600</v>
      </c>
      <c r="Y58" s="649">
        <v>600</v>
      </c>
    </row>
    <row r="59" spans="2:25">
      <c r="C59" s="650" t="s">
        <v>539</v>
      </c>
      <c r="D59" s="650" t="s">
        <v>541</v>
      </c>
      <c r="E59" s="667">
        <v>2028</v>
      </c>
      <c r="W59" s="649">
        <v>900</v>
      </c>
      <c r="X59" s="649">
        <v>900</v>
      </c>
      <c r="Y59" s="649">
        <v>900</v>
      </c>
    </row>
    <row r="60" spans="2:25">
      <c r="C60" s="650" t="s">
        <v>543</v>
      </c>
      <c r="E60" s="667">
        <v>2030</v>
      </c>
      <c r="Y60" s="649">
        <v>410</v>
      </c>
    </row>
    <row r="61" spans="2:25">
      <c r="E61" s="667"/>
    </row>
    <row r="62" spans="2:25">
      <c r="B62" s="668" t="s">
        <v>544</v>
      </c>
      <c r="C62" s="669"/>
      <c r="D62" s="669"/>
      <c r="E62" s="669"/>
      <c r="F62" s="668"/>
      <c r="G62" s="670">
        <f t="shared" ref="G62:Y62" si="25">SUM(G55:G60)</f>
        <v>0</v>
      </c>
      <c r="H62" s="670">
        <f t="shared" si="25"/>
        <v>0</v>
      </c>
      <c r="I62" s="670">
        <f t="shared" si="25"/>
        <v>0</v>
      </c>
      <c r="J62" s="670">
        <f t="shared" si="25"/>
        <v>0</v>
      </c>
      <c r="K62" s="670">
        <f t="shared" si="25"/>
        <v>0</v>
      </c>
      <c r="L62" s="670">
        <f t="shared" si="25"/>
        <v>0</v>
      </c>
      <c r="M62" s="670">
        <f t="shared" si="25"/>
        <v>0</v>
      </c>
      <c r="N62" s="670">
        <f t="shared" si="25"/>
        <v>0</v>
      </c>
      <c r="O62" s="670">
        <f t="shared" si="25"/>
        <v>0</v>
      </c>
      <c r="P62" s="670">
        <f t="shared" si="25"/>
        <v>0</v>
      </c>
      <c r="Q62" s="670">
        <f t="shared" si="25"/>
        <v>0</v>
      </c>
      <c r="R62" s="670">
        <f t="shared" si="25"/>
        <v>0</v>
      </c>
      <c r="S62" s="670">
        <f t="shared" si="25"/>
        <v>0</v>
      </c>
      <c r="T62" s="670">
        <f t="shared" si="25"/>
        <v>1650</v>
      </c>
      <c r="U62" s="670">
        <f t="shared" si="25"/>
        <v>2250</v>
      </c>
      <c r="V62" s="670">
        <f t="shared" si="25"/>
        <v>2250</v>
      </c>
      <c r="W62" s="670">
        <f t="shared" si="25"/>
        <v>3150</v>
      </c>
      <c r="X62" s="670">
        <f t="shared" si="25"/>
        <v>3150</v>
      </c>
      <c r="Y62" s="670">
        <f t="shared" si="25"/>
        <v>3560</v>
      </c>
    </row>
    <row r="63" spans="2:25">
      <c r="B63" s="671" t="s">
        <v>545</v>
      </c>
    </row>
    <row r="65" spans="1:25">
      <c r="A65" s="651"/>
      <c r="B65" s="658" t="s">
        <v>498</v>
      </c>
      <c r="C65" s="659"/>
      <c r="D65" s="659"/>
      <c r="E65" s="659"/>
      <c r="F65" s="658"/>
      <c r="G65" s="654"/>
      <c r="H65" s="654"/>
      <c r="I65" s="654"/>
      <c r="J65" s="654"/>
      <c r="K65" s="654"/>
      <c r="L65" s="654"/>
      <c r="M65" s="654"/>
      <c r="N65" s="654"/>
      <c r="O65" s="654"/>
      <c r="P65" s="654"/>
      <c r="Q65" s="654"/>
      <c r="R65" s="654"/>
      <c r="S65" s="654"/>
      <c r="T65" s="654"/>
      <c r="U65" s="654"/>
      <c r="V65" s="654"/>
      <c r="W65" s="654"/>
      <c r="X65" s="654"/>
      <c r="Y65" s="654"/>
    </row>
    <row r="66" spans="1:25">
      <c r="C66" s="664" t="s">
        <v>535</v>
      </c>
      <c r="D66" s="664" t="s">
        <v>536</v>
      </c>
      <c r="E66" s="664" t="s">
        <v>441</v>
      </c>
    </row>
    <row r="67" spans="1:25">
      <c r="C67" s="650" t="s">
        <v>546</v>
      </c>
      <c r="D67" s="650" t="s">
        <v>547</v>
      </c>
      <c r="E67" s="665">
        <v>42187</v>
      </c>
      <c r="J67" s="649">
        <v>8500</v>
      </c>
      <c r="K67" s="649">
        <f>J67</f>
        <v>8500</v>
      </c>
      <c r="L67" s="649">
        <f>K67</f>
        <v>8500</v>
      </c>
      <c r="M67" s="649">
        <f t="shared" ref="M67:N68" si="26">L67</f>
        <v>8500</v>
      </c>
      <c r="N67" s="649">
        <f>M67*0.7</f>
        <v>5950</v>
      </c>
      <c r="O67" s="649">
        <f>N67*0.5</f>
        <v>2975</v>
      </c>
      <c r="P67" s="649">
        <f t="shared" ref="P67:W70" si="27">O67*0.5</f>
        <v>1487.5</v>
      </c>
      <c r="Q67" s="686">
        <f t="shared" si="27"/>
        <v>743.75</v>
      </c>
      <c r="R67" s="686">
        <f t="shared" si="27"/>
        <v>371.875</v>
      </c>
      <c r="S67" s="649">
        <v>0</v>
      </c>
      <c r="T67" s="649">
        <v>0</v>
      </c>
      <c r="U67" s="649">
        <v>0</v>
      </c>
      <c r="V67" s="649">
        <v>0</v>
      </c>
      <c r="W67" s="649">
        <v>0</v>
      </c>
      <c r="X67" s="649">
        <v>0</v>
      </c>
      <c r="Y67" s="649">
        <v>0</v>
      </c>
    </row>
    <row r="68" spans="1:25">
      <c r="C68" s="650" t="s">
        <v>537</v>
      </c>
      <c r="E68" s="665">
        <v>42641</v>
      </c>
      <c r="K68" s="649">
        <v>2400</v>
      </c>
      <c r="L68" s="649">
        <f>K68</f>
        <v>2400</v>
      </c>
      <c r="M68" s="649">
        <f t="shared" si="26"/>
        <v>2400</v>
      </c>
      <c r="N68" s="649">
        <f t="shared" si="26"/>
        <v>2400</v>
      </c>
      <c r="O68" s="649">
        <v>2400</v>
      </c>
      <c r="P68" s="649">
        <f t="shared" si="27"/>
        <v>1200</v>
      </c>
      <c r="Q68" s="649">
        <f t="shared" si="27"/>
        <v>600</v>
      </c>
      <c r="R68" s="649">
        <f t="shared" si="27"/>
        <v>300</v>
      </c>
      <c r="S68" s="649">
        <f t="shared" si="27"/>
        <v>150</v>
      </c>
      <c r="T68" s="649">
        <v>0</v>
      </c>
      <c r="U68" s="649">
        <v>0</v>
      </c>
      <c r="V68" s="649">
        <v>0</v>
      </c>
      <c r="W68" s="649">
        <v>0</v>
      </c>
      <c r="X68" s="649">
        <v>0</v>
      </c>
      <c r="Y68" s="649">
        <v>0</v>
      </c>
    </row>
    <row r="69" spans="1:25">
      <c r="C69" s="650" t="s">
        <v>539</v>
      </c>
      <c r="E69" s="672">
        <v>2019</v>
      </c>
      <c r="N69" s="649">
        <v>1640</v>
      </c>
      <c r="O69" s="649">
        <v>1640</v>
      </c>
      <c r="P69" s="649">
        <v>1640</v>
      </c>
      <c r="Q69" s="649">
        <v>1640</v>
      </c>
      <c r="R69" s="649">
        <v>1640</v>
      </c>
      <c r="S69" s="649">
        <f t="shared" si="27"/>
        <v>820</v>
      </c>
      <c r="T69" s="649">
        <f t="shared" si="27"/>
        <v>410</v>
      </c>
      <c r="U69" s="649">
        <f t="shared" si="27"/>
        <v>205</v>
      </c>
      <c r="V69" s="649">
        <v>0</v>
      </c>
      <c r="W69" s="649">
        <v>0</v>
      </c>
      <c r="X69" s="649">
        <v>0</v>
      </c>
      <c r="Y69" s="649">
        <v>0</v>
      </c>
    </row>
    <row r="70" spans="1:25">
      <c r="C70" s="650" t="s">
        <v>543</v>
      </c>
      <c r="E70" s="672">
        <v>2021</v>
      </c>
      <c r="P70" s="649">
        <v>1090</v>
      </c>
      <c r="Q70" s="649">
        <v>1090</v>
      </c>
      <c r="R70" s="649">
        <v>1090</v>
      </c>
      <c r="S70" s="649">
        <v>1090</v>
      </c>
      <c r="T70" s="649">
        <v>1090</v>
      </c>
      <c r="U70" s="649">
        <f t="shared" si="27"/>
        <v>545</v>
      </c>
      <c r="V70" s="686">
        <f t="shared" si="27"/>
        <v>272.5</v>
      </c>
      <c r="W70" s="686">
        <f t="shared" si="27"/>
        <v>136.25</v>
      </c>
      <c r="X70" s="649">
        <v>0</v>
      </c>
      <c r="Y70" s="649">
        <v>0</v>
      </c>
    </row>
    <row r="72" spans="1:25">
      <c r="B72" s="673" t="s">
        <v>548</v>
      </c>
      <c r="C72" s="674"/>
      <c r="D72" s="674"/>
      <c r="E72" s="674"/>
      <c r="F72" s="673"/>
      <c r="G72" s="673"/>
      <c r="H72" s="673"/>
      <c r="I72" s="673"/>
      <c r="J72" s="675">
        <f>SUM(J67:J70)</f>
        <v>8500</v>
      </c>
      <c r="K72" s="675">
        <f t="shared" ref="K72:Y72" si="28">SUM(K67:K70)</f>
        <v>10900</v>
      </c>
      <c r="L72" s="675">
        <f t="shared" si="28"/>
        <v>10900</v>
      </c>
      <c r="M72" s="675">
        <f t="shared" si="28"/>
        <v>10900</v>
      </c>
      <c r="N72" s="675">
        <f>SUM(N67:N70)</f>
        <v>9990</v>
      </c>
      <c r="O72" s="675">
        <f t="shared" si="28"/>
        <v>7015</v>
      </c>
      <c r="P72" s="675">
        <f t="shared" si="28"/>
        <v>5417.5</v>
      </c>
      <c r="Q72" s="675">
        <f t="shared" si="28"/>
        <v>4073.75</v>
      </c>
      <c r="R72" s="675">
        <f t="shared" si="28"/>
        <v>3401.875</v>
      </c>
      <c r="S72" s="675">
        <f t="shared" si="28"/>
        <v>2060</v>
      </c>
      <c r="T72" s="675">
        <f t="shared" si="28"/>
        <v>1500</v>
      </c>
      <c r="U72" s="675">
        <f t="shared" si="28"/>
        <v>750</v>
      </c>
      <c r="V72" s="675">
        <f t="shared" si="28"/>
        <v>272.5</v>
      </c>
      <c r="W72" s="675">
        <f t="shared" si="28"/>
        <v>136.25</v>
      </c>
      <c r="X72" s="675">
        <f t="shared" si="28"/>
        <v>0</v>
      </c>
      <c r="Y72" s="675">
        <f t="shared" si="28"/>
        <v>0</v>
      </c>
    </row>
    <row r="73" spans="1:25">
      <c r="B73" s="676" t="s">
        <v>549</v>
      </c>
      <c r="C73" s="677"/>
      <c r="D73" s="677"/>
      <c r="E73" s="677"/>
      <c r="F73" s="678"/>
      <c r="G73" s="678"/>
      <c r="H73" s="678"/>
      <c r="I73" s="678"/>
      <c r="J73" s="679"/>
      <c r="K73" s="680">
        <v>0.25</v>
      </c>
      <c r="L73" s="680">
        <v>0.25</v>
      </c>
      <c r="M73" s="680">
        <v>0.25</v>
      </c>
      <c r="N73" s="680">
        <v>0.25</v>
      </c>
      <c r="O73" s="680">
        <v>0.25</v>
      </c>
      <c r="P73" s="680">
        <v>0.25</v>
      </c>
      <c r="Q73" s="680">
        <v>0.25</v>
      </c>
      <c r="R73" s="680">
        <v>0.25</v>
      </c>
      <c r="S73" s="680">
        <v>0.25</v>
      </c>
      <c r="T73" s="680">
        <v>0.25</v>
      </c>
      <c r="U73" s="680">
        <v>0.25</v>
      </c>
      <c r="V73" s="680">
        <v>0.25</v>
      </c>
      <c r="W73" s="680">
        <v>0.25</v>
      </c>
      <c r="X73" s="680">
        <v>0.25</v>
      </c>
      <c r="Y73" s="680">
        <v>0.25</v>
      </c>
    </row>
    <row r="74" spans="1:25">
      <c r="A74" s="660"/>
      <c r="B74" s="681" t="s">
        <v>550</v>
      </c>
      <c r="C74" s="682"/>
      <c r="D74" s="682"/>
      <c r="E74" s="682"/>
      <c r="F74" s="681"/>
      <c r="G74" s="681"/>
      <c r="H74" s="681"/>
      <c r="I74" s="681"/>
      <c r="J74" s="683"/>
      <c r="K74" s="683">
        <f t="shared" ref="K74:Y74" si="29">K72*K73</f>
        <v>2725</v>
      </c>
      <c r="L74" s="683">
        <f t="shared" si="29"/>
        <v>2725</v>
      </c>
      <c r="M74" s="683">
        <f t="shared" si="29"/>
        <v>2725</v>
      </c>
      <c r="N74" s="683">
        <f t="shared" si="29"/>
        <v>2497.5</v>
      </c>
      <c r="O74" s="683">
        <f t="shared" si="29"/>
        <v>1753.75</v>
      </c>
      <c r="P74" s="683">
        <f t="shared" si="29"/>
        <v>1354.375</v>
      </c>
      <c r="Q74" s="683">
        <f t="shared" si="29"/>
        <v>1018.4375</v>
      </c>
      <c r="R74" s="683">
        <f t="shared" si="29"/>
        <v>850.46875</v>
      </c>
      <c r="S74" s="683">
        <f t="shared" si="29"/>
        <v>515</v>
      </c>
      <c r="T74" s="683">
        <f t="shared" si="29"/>
        <v>375</v>
      </c>
      <c r="U74" s="683">
        <f t="shared" si="29"/>
        <v>187.5</v>
      </c>
      <c r="V74" s="683">
        <f t="shared" si="29"/>
        <v>68.125</v>
      </c>
      <c r="W74" s="683">
        <f t="shared" si="29"/>
        <v>34.0625</v>
      </c>
      <c r="X74" s="683">
        <f t="shared" si="29"/>
        <v>0</v>
      </c>
      <c r="Y74" s="683">
        <f t="shared" si="29"/>
        <v>0</v>
      </c>
    </row>
    <row r="75" spans="1:25">
      <c r="C75" s="649"/>
      <c r="D75" s="649"/>
      <c r="E75" s="649"/>
    </row>
    <row r="76" spans="1:25">
      <c r="A76" s="651"/>
      <c r="B76" s="658" t="s">
        <v>531</v>
      </c>
      <c r="C76" s="659"/>
      <c r="D76" s="659"/>
      <c r="E76" s="659"/>
      <c r="F76" s="658"/>
      <c r="G76" s="654"/>
      <c r="H76" s="654"/>
      <c r="I76" s="654"/>
      <c r="J76" s="654"/>
      <c r="K76" s="654"/>
      <c r="L76" s="654"/>
      <c r="M76" s="654"/>
      <c r="N76" s="654"/>
      <c r="O76" s="654"/>
      <c r="P76" s="654"/>
      <c r="Q76" s="654"/>
      <c r="R76" s="654"/>
      <c r="S76" s="654"/>
      <c r="T76" s="654"/>
      <c r="U76" s="654"/>
      <c r="V76" s="654"/>
      <c r="W76" s="654"/>
      <c r="X76" s="654"/>
      <c r="Y76" s="654"/>
    </row>
    <row r="77" spans="1:25">
      <c r="C77" s="664" t="s">
        <v>535</v>
      </c>
      <c r="D77" s="664" t="s">
        <v>536</v>
      </c>
      <c r="E77" s="664" t="s">
        <v>441</v>
      </c>
    </row>
    <row r="78" spans="1:25">
      <c r="C78" s="650" t="s">
        <v>546</v>
      </c>
      <c r="D78" s="650" t="s">
        <v>551</v>
      </c>
      <c r="E78" s="666" t="s">
        <v>542</v>
      </c>
      <c r="M78" s="684">
        <f>M74</f>
        <v>2725</v>
      </c>
      <c r="N78" s="684">
        <f t="shared" ref="N78:Y78" si="30">N74</f>
        <v>2497.5</v>
      </c>
      <c r="O78" s="684">
        <f t="shared" si="30"/>
        <v>1753.75</v>
      </c>
      <c r="P78" s="684">
        <f t="shared" si="30"/>
        <v>1354.375</v>
      </c>
      <c r="Q78" s="684">
        <f t="shared" si="30"/>
        <v>1018.4375</v>
      </c>
      <c r="R78" s="684">
        <f t="shared" si="30"/>
        <v>850.46875</v>
      </c>
      <c r="S78" s="684">
        <f t="shared" si="30"/>
        <v>515</v>
      </c>
      <c r="T78" s="684">
        <f t="shared" si="30"/>
        <v>375</v>
      </c>
      <c r="U78" s="684">
        <f t="shared" si="30"/>
        <v>187.5</v>
      </c>
      <c r="V78" s="684">
        <f t="shared" si="30"/>
        <v>68.125</v>
      </c>
      <c r="W78" s="684">
        <f t="shared" si="30"/>
        <v>34.0625</v>
      </c>
      <c r="X78" s="684">
        <f t="shared" si="30"/>
        <v>0</v>
      </c>
      <c r="Y78" s="684">
        <f t="shared" si="30"/>
        <v>0</v>
      </c>
    </row>
    <row r="79" spans="1:25">
      <c r="C79" s="650" t="s">
        <v>546</v>
      </c>
      <c r="D79" s="650" t="s">
        <v>552</v>
      </c>
      <c r="E79" s="666" t="s">
        <v>542</v>
      </c>
      <c r="M79" s="649">
        <v>0</v>
      </c>
      <c r="N79" s="649">
        <v>0</v>
      </c>
      <c r="O79" s="649">
        <v>0</v>
      </c>
      <c r="P79" s="649">
        <v>0</v>
      </c>
      <c r="Q79" s="649">
        <v>0</v>
      </c>
      <c r="R79" s="649">
        <v>0</v>
      </c>
      <c r="S79" s="649">
        <v>0</v>
      </c>
      <c r="T79" s="649">
        <v>0</v>
      </c>
      <c r="U79" s="649">
        <v>0</v>
      </c>
      <c r="V79" s="649">
        <v>0</v>
      </c>
      <c r="W79" s="649">
        <v>0</v>
      </c>
      <c r="X79" s="649">
        <v>0</v>
      </c>
      <c r="Y79" s="649">
        <v>0</v>
      </c>
    </row>
    <row r="80" spans="1:25">
      <c r="C80" s="650" t="s">
        <v>537</v>
      </c>
      <c r="E80" s="685"/>
    </row>
    <row r="81" spans="1:25">
      <c r="C81" s="650" t="s">
        <v>539</v>
      </c>
      <c r="E81" s="672"/>
    </row>
    <row r="82" spans="1:25">
      <c r="C82" s="650" t="s">
        <v>543</v>
      </c>
      <c r="E82" s="672"/>
    </row>
    <row r="84" spans="1:25">
      <c r="B84" s="668" t="s">
        <v>553</v>
      </c>
      <c r="C84" s="669"/>
      <c r="D84" s="669"/>
      <c r="E84" s="669"/>
      <c r="F84" s="668"/>
      <c r="G84" s="668"/>
      <c r="H84" s="668"/>
      <c r="I84" s="668"/>
      <c r="J84" s="668"/>
      <c r="K84" s="668"/>
      <c r="L84" s="668"/>
      <c r="M84" s="670">
        <f>SUM(M78:M82)</f>
        <v>2725</v>
      </c>
      <c r="N84" s="670">
        <f t="shared" ref="N84:Y84" si="31">SUM(N78:N82)</f>
        <v>2497.5</v>
      </c>
      <c r="O84" s="670">
        <f t="shared" si="31"/>
        <v>1753.75</v>
      </c>
      <c r="P84" s="670">
        <f t="shared" si="31"/>
        <v>1354.375</v>
      </c>
      <c r="Q84" s="670">
        <f t="shared" si="31"/>
        <v>1018.4375</v>
      </c>
      <c r="R84" s="670">
        <f t="shared" si="31"/>
        <v>850.46875</v>
      </c>
      <c r="S84" s="670">
        <f t="shared" si="31"/>
        <v>515</v>
      </c>
      <c r="T84" s="670">
        <f t="shared" si="31"/>
        <v>375</v>
      </c>
      <c r="U84" s="670">
        <f t="shared" si="31"/>
        <v>187.5</v>
      </c>
      <c r="V84" s="670">
        <f t="shared" si="31"/>
        <v>68.125</v>
      </c>
      <c r="W84" s="670">
        <f t="shared" si="31"/>
        <v>34.0625</v>
      </c>
      <c r="X84" s="670">
        <f t="shared" si="31"/>
        <v>0</v>
      </c>
      <c r="Y84" s="670">
        <f t="shared" si="31"/>
        <v>0</v>
      </c>
    </row>
    <row r="85" spans="1:25">
      <c r="B85" s="671" t="s">
        <v>554</v>
      </c>
    </row>
    <row r="86" spans="1:25">
      <c r="B86" s="671"/>
    </row>
    <row r="87" spans="1:25">
      <c r="B87" s="658" t="s">
        <v>555</v>
      </c>
      <c r="C87" s="659"/>
      <c r="D87" s="659"/>
      <c r="E87" s="659"/>
    </row>
    <row r="88" spans="1:25">
      <c r="C88" s="664" t="s">
        <v>535</v>
      </c>
      <c r="D88" s="664" t="s">
        <v>536</v>
      </c>
      <c r="E88" s="664" t="s">
        <v>441</v>
      </c>
      <c r="O88" s="684"/>
    </row>
    <row r="89" spans="1:25">
      <c r="C89" s="650" t="s">
        <v>546</v>
      </c>
      <c r="D89" s="650" t="s">
        <v>547</v>
      </c>
      <c r="E89" s="666" t="s">
        <v>682</v>
      </c>
      <c r="N89" s="684">
        <f>M89+(M67-N67)</f>
        <v>2550</v>
      </c>
      <c r="O89" s="684">
        <f>N89+(N67-O67)</f>
        <v>5525</v>
      </c>
      <c r="P89" s="684">
        <f t="shared" ref="P89:Y89" si="32">O89+(O67-P67)</f>
        <v>7012.5</v>
      </c>
      <c r="Q89" s="684">
        <f t="shared" si="32"/>
        <v>7756.25</v>
      </c>
      <c r="R89" s="684">
        <f t="shared" si="32"/>
        <v>8128.125</v>
      </c>
      <c r="S89" s="684">
        <f t="shared" si="32"/>
        <v>8500</v>
      </c>
      <c r="T89" s="684">
        <f t="shared" si="32"/>
        <v>8500</v>
      </c>
      <c r="U89" s="684">
        <f t="shared" si="32"/>
        <v>8500</v>
      </c>
      <c r="V89" s="684">
        <f t="shared" si="32"/>
        <v>8500</v>
      </c>
      <c r="W89" s="684">
        <f t="shared" si="32"/>
        <v>8500</v>
      </c>
      <c r="X89" s="684">
        <f t="shared" si="32"/>
        <v>8500</v>
      </c>
      <c r="Y89" s="684">
        <f t="shared" si="32"/>
        <v>8500</v>
      </c>
    </row>
    <row r="90" spans="1:25">
      <c r="C90" s="650" t="s">
        <v>537</v>
      </c>
      <c r="E90" s="666" t="s">
        <v>556</v>
      </c>
      <c r="P90" s="649">
        <v>480</v>
      </c>
      <c r="Q90" s="649">
        <v>960</v>
      </c>
      <c r="R90" s="649">
        <v>1440</v>
      </c>
      <c r="S90" s="649">
        <v>1920</v>
      </c>
      <c r="T90" s="649">
        <v>2400</v>
      </c>
      <c r="U90" s="649">
        <f>T90</f>
        <v>2400</v>
      </c>
      <c r="V90" s="649">
        <f t="shared" ref="V90:Y90" si="33">U90</f>
        <v>2400</v>
      </c>
      <c r="W90" s="649">
        <f t="shared" si="33"/>
        <v>2400</v>
      </c>
      <c r="X90" s="649">
        <f t="shared" si="33"/>
        <v>2400</v>
      </c>
      <c r="Y90" s="649">
        <f t="shared" si="33"/>
        <v>2400</v>
      </c>
    </row>
    <row r="91" spans="1:25">
      <c r="C91" s="650" t="s">
        <v>539</v>
      </c>
      <c r="S91" s="649">
        <v>328</v>
      </c>
      <c r="T91" s="649">
        <v>656</v>
      </c>
      <c r="U91" s="649">
        <v>984</v>
      </c>
      <c r="V91" s="649">
        <v>1312</v>
      </c>
      <c r="W91" s="649">
        <v>1640</v>
      </c>
      <c r="X91" s="649">
        <v>1640</v>
      </c>
      <c r="Y91" s="649">
        <v>1640</v>
      </c>
    </row>
    <row r="92" spans="1:25">
      <c r="C92" s="650" t="s">
        <v>543</v>
      </c>
      <c r="U92" s="649">
        <f>0.2*(1090)</f>
        <v>218</v>
      </c>
      <c r="V92" s="649">
        <f>0.4*1090</f>
        <v>436</v>
      </c>
      <c r="W92" s="649">
        <f>0.6*1090</f>
        <v>654</v>
      </c>
      <c r="X92" s="649">
        <f>0.8*1090</f>
        <v>872</v>
      </c>
      <c r="Y92" s="649">
        <v>1090</v>
      </c>
    </row>
    <row r="94" spans="1:25">
      <c r="B94" s="668" t="s">
        <v>657</v>
      </c>
      <c r="C94" s="669"/>
      <c r="D94" s="669"/>
      <c r="E94" s="669"/>
      <c r="F94" s="668"/>
      <c r="G94" s="668"/>
      <c r="H94" s="668"/>
      <c r="I94" s="668"/>
      <c r="J94" s="668"/>
      <c r="K94" s="668"/>
      <c r="L94" s="668"/>
      <c r="M94" s="668"/>
      <c r="N94" s="668"/>
      <c r="O94" s="670">
        <f>SUM(O89:O92)</f>
        <v>5525</v>
      </c>
      <c r="P94" s="670">
        <f t="shared" ref="P94:Y94" si="34">SUM(P89:P92)</f>
        <v>7492.5</v>
      </c>
      <c r="Q94" s="670">
        <f t="shared" si="34"/>
        <v>8716.25</v>
      </c>
      <c r="R94" s="670">
        <f t="shared" si="34"/>
        <v>9568.125</v>
      </c>
      <c r="S94" s="670">
        <f t="shared" si="34"/>
        <v>10748</v>
      </c>
      <c r="T94" s="670">
        <f t="shared" si="34"/>
        <v>11556</v>
      </c>
      <c r="U94" s="670">
        <f t="shared" si="34"/>
        <v>12102</v>
      </c>
      <c r="V94" s="670">
        <f t="shared" si="34"/>
        <v>12648</v>
      </c>
      <c r="W94" s="670">
        <f t="shared" si="34"/>
        <v>13194</v>
      </c>
      <c r="X94" s="670">
        <f t="shared" si="34"/>
        <v>13412</v>
      </c>
      <c r="Y94" s="670">
        <f t="shared" si="34"/>
        <v>13630</v>
      </c>
    </row>
    <row r="96" spans="1:25">
      <c r="A96" s="651"/>
      <c r="B96" s="658" t="s">
        <v>555</v>
      </c>
      <c r="C96" s="659"/>
      <c r="D96" s="659"/>
      <c r="E96" s="659"/>
      <c r="F96" s="658"/>
      <c r="G96" s="654"/>
      <c r="H96" s="654"/>
      <c r="I96" s="654"/>
      <c r="J96" s="654"/>
      <c r="K96" s="654"/>
      <c r="L96" s="654"/>
      <c r="M96" s="654"/>
      <c r="N96" s="654"/>
      <c r="O96" s="654"/>
      <c r="P96" s="654"/>
      <c r="Q96" s="654"/>
      <c r="R96" s="654"/>
      <c r="S96" s="654"/>
      <c r="T96" s="654"/>
      <c r="U96" s="654"/>
      <c r="V96" s="654"/>
      <c r="W96" s="654"/>
      <c r="X96" s="654"/>
      <c r="Y96" s="654"/>
    </row>
    <row r="97" spans="1:25">
      <c r="C97" s="664" t="s">
        <v>535</v>
      </c>
      <c r="D97" s="664" t="s">
        <v>536</v>
      </c>
      <c r="E97" s="664" t="s">
        <v>441</v>
      </c>
    </row>
    <row r="98" spans="1:25">
      <c r="C98" s="650" t="s">
        <v>546</v>
      </c>
      <c r="D98" s="650" t="s">
        <v>557</v>
      </c>
      <c r="E98" s="666" t="s">
        <v>682</v>
      </c>
      <c r="N98" s="686">
        <f>N67/N72*10000</f>
        <v>5955.9559559559557</v>
      </c>
      <c r="O98" s="686">
        <f>N98</f>
        <v>5955.9559559559557</v>
      </c>
      <c r="P98" s="686">
        <f>O98</f>
        <v>5955.9559559559557</v>
      </c>
      <c r="Q98" s="686">
        <f t="shared" ref="Q98:Y101" si="35">P98</f>
        <v>5955.9559559559557</v>
      </c>
      <c r="R98" s="686">
        <f t="shared" si="35"/>
        <v>5955.9559559559557</v>
      </c>
      <c r="S98" s="686">
        <f t="shared" si="35"/>
        <v>5955.9559559559557</v>
      </c>
      <c r="T98" s="686">
        <f t="shared" si="35"/>
        <v>5955.9559559559557</v>
      </c>
      <c r="U98" s="686">
        <f t="shared" si="35"/>
        <v>5955.9559559559557</v>
      </c>
      <c r="V98" s="686">
        <f t="shared" si="35"/>
        <v>5955.9559559559557</v>
      </c>
      <c r="W98" s="686">
        <f t="shared" si="35"/>
        <v>5955.9559559559557</v>
      </c>
      <c r="X98" s="686">
        <f t="shared" si="35"/>
        <v>5955.9559559559557</v>
      </c>
      <c r="Y98" s="686">
        <f t="shared" si="35"/>
        <v>5955.9559559559557</v>
      </c>
    </row>
    <row r="99" spans="1:25">
      <c r="C99" s="650" t="s">
        <v>537</v>
      </c>
      <c r="E99" s="685"/>
      <c r="O99" s="684"/>
      <c r="Q99" s="684">
        <f>Q68/Q72*10000</f>
        <v>1472.8444308069961</v>
      </c>
      <c r="R99" s="684">
        <f>Q99</f>
        <v>1472.8444308069961</v>
      </c>
      <c r="S99" s="684">
        <f t="shared" si="35"/>
        <v>1472.8444308069961</v>
      </c>
      <c r="T99" s="684">
        <f t="shared" si="35"/>
        <v>1472.8444308069961</v>
      </c>
      <c r="U99" s="684">
        <f t="shared" si="35"/>
        <v>1472.8444308069961</v>
      </c>
      <c r="V99" s="684">
        <f t="shared" si="35"/>
        <v>1472.8444308069961</v>
      </c>
      <c r="W99" s="684">
        <f t="shared" si="35"/>
        <v>1472.8444308069961</v>
      </c>
      <c r="X99" s="684">
        <f t="shared" si="35"/>
        <v>1472.8444308069961</v>
      </c>
      <c r="Y99" s="684">
        <f t="shared" si="35"/>
        <v>1472.8444308069961</v>
      </c>
    </row>
    <row r="100" spans="1:25">
      <c r="C100" s="650" t="s">
        <v>539</v>
      </c>
      <c r="E100" s="672"/>
      <c r="O100" s="684"/>
      <c r="T100" s="684">
        <f>T69/T72*10000</f>
        <v>2733.333333333333</v>
      </c>
      <c r="U100" s="684">
        <f>T100</f>
        <v>2733.333333333333</v>
      </c>
      <c r="V100" s="684">
        <f>U100</f>
        <v>2733.333333333333</v>
      </c>
      <c r="W100" s="684">
        <f t="shared" si="35"/>
        <v>2733.333333333333</v>
      </c>
      <c r="X100" s="684">
        <f t="shared" si="35"/>
        <v>2733.333333333333</v>
      </c>
      <c r="Y100" s="684">
        <f t="shared" si="35"/>
        <v>2733.333333333333</v>
      </c>
    </row>
    <row r="101" spans="1:25">
      <c r="C101" s="650" t="s">
        <v>543</v>
      </c>
      <c r="E101" s="672"/>
      <c r="O101" s="684"/>
      <c r="U101" s="684">
        <f>U70/U72*10000</f>
        <v>7266.666666666667</v>
      </c>
      <c r="V101" s="684">
        <f>U101</f>
        <v>7266.666666666667</v>
      </c>
      <c r="W101" s="684">
        <f t="shared" si="35"/>
        <v>7266.666666666667</v>
      </c>
      <c r="X101" s="684">
        <f t="shared" si="35"/>
        <v>7266.666666666667</v>
      </c>
      <c r="Y101" s="684">
        <f t="shared" si="35"/>
        <v>7266.666666666667</v>
      </c>
    </row>
    <row r="103" spans="1:25">
      <c r="B103" s="668" t="s">
        <v>658</v>
      </c>
      <c r="C103" s="669"/>
      <c r="D103" s="669"/>
      <c r="E103" s="669"/>
      <c r="F103" s="668"/>
      <c r="G103" s="668"/>
      <c r="H103" s="668"/>
      <c r="I103" s="668"/>
      <c r="J103" s="668"/>
      <c r="K103" s="668"/>
      <c r="L103" s="668"/>
      <c r="M103" s="668"/>
      <c r="N103" s="668"/>
      <c r="O103" s="670">
        <f>SUM(O98:O101)*O359</f>
        <v>5062.5625625625626</v>
      </c>
      <c r="P103" s="670">
        <f t="shared" ref="P103:Y103" si="36">SUM(P98:P101)*P359</f>
        <v>5062.5625625625626</v>
      </c>
      <c r="Q103" s="670">
        <f t="shared" si="36"/>
        <v>6314.4803287485092</v>
      </c>
      <c r="R103" s="670">
        <f t="shared" si="36"/>
        <v>6314.4803287485092</v>
      </c>
      <c r="S103" s="670">
        <f t="shared" si="36"/>
        <v>6314.4803287485092</v>
      </c>
      <c r="T103" s="670">
        <f t="shared" si="36"/>
        <v>8637.8136620818423</v>
      </c>
      <c r="U103" s="670">
        <f t="shared" si="36"/>
        <v>14814.480328748508</v>
      </c>
      <c r="V103" s="670">
        <f t="shared" si="36"/>
        <v>14814.480328748508</v>
      </c>
      <c r="W103" s="670">
        <f t="shared" si="36"/>
        <v>14814.480328748508</v>
      </c>
      <c r="X103" s="670">
        <f t="shared" si="36"/>
        <v>14814.480328748508</v>
      </c>
      <c r="Y103" s="670">
        <f t="shared" si="36"/>
        <v>14814.480328748508</v>
      </c>
    </row>
    <row r="105" spans="1:25" ht="13.5" thickBot="1">
      <c r="B105" s="687" t="s">
        <v>232</v>
      </c>
      <c r="C105" s="688"/>
      <c r="D105" s="688"/>
      <c r="E105" s="688"/>
      <c r="F105" s="687"/>
      <c r="G105" s="687"/>
      <c r="H105" s="687"/>
      <c r="I105" s="687"/>
      <c r="J105" s="687"/>
      <c r="K105" s="687"/>
      <c r="L105" s="687"/>
      <c r="M105" s="687"/>
      <c r="N105" s="687"/>
      <c r="O105" s="687"/>
      <c r="P105" s="687"/>
      <c r="Q105" s="687"/>
      <c r="R105" s="687"/>
      <c r="S105" s="687"/>
      <c r="T105" s="687"/>
      <c r="U105" s="687"/>
      <c r="V105" s="687"/>
      <c r="W105" s="687"/>
      <c r="X105" s="687"/>
      <c r="Y105" s="687"/>
    </row>
    <row r="107" spans="1:25">
      <c r="A107" s="651"/>
      <c r="B107" s="658" t="s">
        <v>340</v>
      </c>
      <c r="C107" s="659"/>
      <c r="D107" s="659"/>
      <c r="E107" s="659"/>
      <c r="F107" s="658"/>
      <c r="G107" s="658"/>
      <c r="H107" s="658"/>
      <c r="I107" s="658"/>
      <c r="J107" s="658"/>
      <c r="K107" s="658"/>
      <c r="L107" s="658"/>
      <c r="M107" s="658"/>
      <c r="N107" s="658"/>
      <c r="O107" s="658"/>
      <c r="P107" s="658"/>
      <c r="Q107" s="658"/>
      <c r="R107" s="658"/>
      <c r="S107" s="658"/>
      <c r="T107" s="658"/>
      <c r="U107" s="658"/>
      <c r="V107" s="658"/>
      <c r="W107" s="658"/>
      <c r="X107" s="658"/>
      <c r="Y107" s="658"/>
    </row>
    <row r="108" spans="1:25">
      <c r="C108" s="689" t="s">
        <v>558</v>
      </c>
      <c r="G108" s="728">
        <f>(G117*1000000)/(G110*G115)</f>
        <v>932.62637506696171</v>
      </c>
      <c r="H108" s="728">
        <f>(H117*1000000)/(H110*H115)</f>
        <v>933.78602172957426</v>
      </c>
      <c r="I108" s="728">
        <f>(I117*1000000)/(I110*I115)</f>
        <v>1602.6325768225806</v>
      </c>
      <c r="J108" s="728">
        <f>(J117*1000000)/(J110*J115)</f>
        <v>1605.4158659752397</v>
      </c>
      <c r="K108" s="728">
        <f>(K117*1000000)/(K110*K115)</f>
        <v>1612.6184061839504</v>
      </c>
      <c r="L108" s="728">
        <f>L50*L8+L13*L62</f>
        <v>2882.25</v>
      </c>
      <c r="M108" s="728">
        <f t="shared" ref="M108:Y108" si="37">M50*M8</f>
        <v>2835</v>
      </c>
      <c r="N108" s="728">
        <f t="shared" si="37"/>
        <v>2835</v>
      </c>
      <c r="O108" s="728">
        <f t="shared" si="37"/>
        <v>3204</v>
      </c>
      <c r="P108" s="728">
        <f t="shared" si="37"/>
        <v>3204</v>
      </c>
      <c r="Q108" s="728">
        <f t="shared" si="37"/>
        <v>3204</v>
      </c>
      <c r="R108" s="728">
        <f t="shared" si="37"/>
        <v>3204</v>
      </c>
      <c r="S108" s="728">
        <f t="shared" si="37"/>
        <v>3204</v>
      </c>
      <c r="T108" s="728">
        <f t="shared" si="37"/>
        <v>1719</v>
      </c>
      <c r="U108" s="728">
        <f t="shared" si="37"/>
        <v>909</v>
      </c>
      <c r="V108" s="728">
        <f t="shared" si="37"/>
        <v>909</v>
      </c>
      <c r="W108" s="728">
        <f t="shared" si="37"/>
        <v>184.5</v>
      </c>
      <c r="X108" s="728">
        <f t="shared" si="37"/>
        <v>36.9</v>
      </c>
      <c r="Y108" s="728">
        <f t="shared" si="37"/>
        <v>0</v>
      </c>
    </row>
    <row r="109" spans="1:25">
      <c r="C109" s="689"/>
      <c r="G109" s="650"/>
      <c r="H109" s="650"/>
      <c r="I109" s="650"/>
      <c r="J109" s="650"/>
      <c r="K109" s="650"/>
      <c r="L109" s="650"/>
      <c r="M109" s="650"/>
      <c r="N109" s="650"/>
      <c r="O109" s="650"/>
      <c r="P109" s="650"/>
      <c r="Q109" s="650"/>
      <c r="R109" s="650"/>
      <c r="S109" s="650"/>
      <c r="T109" s="650"/>
      <c r="U109" s="650"/>
      <c r="V109" s="650"/>
      <c r="W109" s="650"/>
      <c r="X109" s="650"/>
      <c r="Y109" s="650"/>
    </row>
    <row r="110" spans="1:25">
      <c r="C110" s="689" t="s">
        <v>559</v>
      </c>
      <c r="G110" s="729">
        <v>8.5</v>
      </c>
      <c r="H110" s="729">
        <v>11</v>
      </c>
      <c r="I110" s="729">
        <f>(11*I43+10*I44+I45)/I50</f>
        <v>7.8787878787878789</v>
      </c>
      <c r="J110" s="729">
        <v>11</v>
      </c>
      <c r="K110" s="729">
        <v>12</v>
      </c>
      <c r="L110" s="729">
        <v>8.3249999999999993</v>
      </c>
      <c r="M110" s="729">
        <f>(12*SUM(M43:M46)+6*M47)/M50</f>
        <v>10.857142857142858</v>
      </c>
      <c r="N110" s="729">
        <f>(11.5*SUM(N43:N47)+6*N48)/N50</f>
        <v>11.5</v>
      </c>
      <c r="O110" s="729">
        <f>(11.5*SUM(O43:O47)+6*O48)/O50</f>
        <v>10.866573033707866</v>
      </c>
      <c r="P110" s="729">
        <v>11.5</v>
      </c>
      <c r="Q110" s="729">
        <f>P110</f>
        <v>11.5</v>
      </c>
      <c r="R110" s="729">
        <f t="shared" ref="R110:Y110" si="38">Q110</f>
        <v>11.5</v>
      </c>
      <c r="S110" s="729">
        <f t="shared" si="38"/>
        <v>11.5</v>
      </c>
      <c r="T110" s="729">
        <f t="shared" si="38"/>
        <v>11.5</v>
      </c>
      <c r="U110" s="729">
        <f t="shared" si="38"/>
        <v>11.5</v>
      </c>
      <c r="V110" s="729">
        <f t="shared" si="38"/>
        <v>11.5</v>
      </c>
      <c r="W110" s="729">
        <f t="shared" si="38"/>
        <v>11.5</v>
      </c>
      <c r="X110" s="729">
        <f t="shared" si="38"/>
        <v>11.5</v>
      </c>
      <c r="Y110" s="729">
        <f t="shared" si="38"/>
        <v>11.5</v>
      </c>
    </row>
    <row r="111" spans="1:25">
      <c r="C111" s="689"/>
    </row>
    <row r="112" spans="1:25">
      <c r="C112" s="689" t="s">
        <v>560</v>
      </c>
      <c r="G112" s="690">
        <f>408.33*56</f>
        <v>22866.48</v>
      </c>
      <c r="H112" s="151">
        <f>426.72*56</f>
        <v>23896.32</v>
      </c>
      <c r="I112" s="151">
        <f>H112*(1+I113)</f>
        <v>23896.32</v>
      </c>
      <c r="J112" s="151">
        <f t="shared" ref="J112:Y112" si="39">I112*(1+J113)</f>
        <v>23896.32</v>
      </c>
      <c r="K112" s="151">
        <f t="shared" si="39"/>
        <v>23896.32</v>
      </c>
      <c r="L112" s="151">
        <f t="shared" si="39"/>
        <v>23896.32</v>
      </c>
      <c r="M112" s="151">
        <f t="shared" si="39"/>
        <v>23896.32</v>
      </c>
      <c r="N112" s="151">
        <f t="shared" si="39"/>
        <v>23896.32</v>
      </c>
      <c r="O112" s="151">
        <f t="shared" si="39"/>
        <v>23896.32</v>
      </c>
      <c r="P112" s="151">
        <f t="shared" si="39"/>
        <v>23896.32</v>
      </c>
      <c r="Q112" s="151">
        <f t="shared" si="39"/>
        <v>23896.32</v>
      </c>
      <c r="R112" s="151">
        <f t="shared" si="39"/>
        <v>23896.32</v>
      </c>
      <c r="S112" s="151">
        <f t="shared" si="39"/>
        <v>23896.32</v>
      </c>
      <c r="T112" s="151">
        <f t="shared" si="39"/>
        <v>23896.32</v>
      </c>
      <c r="U112" s="151">
        <f t="shared" si="39"/>
        <v>23896.32</v>
      </c>
      <c r="V112" s="151">
        <f t="shared" si="39"/>
        <v>23896.32</v>
      </c>
      <c r="W112" s="151">
        <f t="shared" si="39"/>
        <v>23896.32</v>
      </c>
      <c r="X112" s="151">
        <f t="shared" si="39"/>
        <v>23896.32</v>
      </c>
      <c r="Y112" s="151">
        <f t="shared" si="39"/>
        <v>23896.32</v>
      </c>
    </row>
    <row r="113" spans="2:25">
      <c r="C113" s="691" t="s">
        <v>233</v>
      </c>
      <c r="G113" s="650"/>
      <c r="H113" s="152">
        <f>H112/G112-1</f>
        <v>4.5037102343692625E-2</v>
      </c>
      <c r="I113" s="144">
        <v>0</v>
      </c>
      <c r="J113" s="144">
        <f>I113</f>
        <v>0</v>
      </c>
      <c r="K113" s="144">
        <f t="shared" ref="K113:L113" si="40">J113</f>
        <v>0</v>
      </c>
      <c r="L113" s="144">
        <f t="shared" si="40"/>
        <v>0</v>
      </c>
      <c r="M113" s="152">
        <f>L113</f>
        <v>0</v>
      </c>
      <c r="N113" s="152">
        <f t="shared" ref="N113:Y113" si="41">M113</f>
        <v>0</v>
      </c>
      <c r="O113" s="152">
        <f t="shared" si="41"/>
        <v>0</v>
      </c>
      <c r="P113" s="152">
        <f t="shared" si="41"/>
        <v>0</v>
      </c>
      <c r="Q113" s="152">
        <f t="shared" si="41"/>
        <v>0</v>
      </c>
      <c r="R113" s="152">
        <f t="shared" si="41"/>
        <v>0</v>
      </c>
      <c r="S113" s="152">
        <f t="shared" si="41"/>
        <v>0</v>
      </c>
      <c r="T113" s="152">
        <f t="shared" si="41"/>
        <v>0</v>
      </c>
      <c r="U113" s="152">
        <f t="shared" si="41"/>
        <v>0</v>
      </c>
      <c r="V113" s="152">
        <f t="shared" si="41"/>
        <v>0</v>
      </c>
      <c r="W113" s="152">
        <f t="shared" si="41"/>
        <v>0</v>
      </c>
      <c r="X113" s="152">
        <f t="shared" si="41"/>
        <v>0</v>
      </c>
      <c r="Y113" s="152">
        <f t="shared" si="41"/>
        <v>0</v>
      </c>
    </row>
    <row r="114" spans="2:25">
      <c r="C114" s="691" t="s">
        <v>234</v>
      </c>
      <c r="G114" s="146">
        <v>0.1</v>
      </c>
      <c r="H114" s="146">
        <v>0.12</v>
      </c>
      <c r="I114" s="146">
        <f>(12%+15%)/2</f>
        <v>0.13500000000000001</v>
      </c>
      <c r="J114" s="146">
        <f t="shared" ref="J114:Y114" si="42">I114</f>
        <v>0.13500000000000001</v>
      </c>
      <c r="K114" s="146">
        <f t="shared" si="42"/>
        <v>0.13500000000000001</v>
      </c>
      <c r="L114" s="146">
        <f t="shared" si="42"/>
        <v>0.13500000000000001</v>
      </c>
      <c r="M114" s="146">
        <f t="shared" si="42"/>
        <v>0.13500000000000001</v>
      </c>
      <c r="N114" s="146">
        <f t="shared" si="42"/>
        <v>0.13500000000000001</v>
      </c>
      <c r="O114" s="146">
        <f t="shared" si="42"/>
        <v>0.13500000000000001</v>
      </c>
      <c r="P114" s="146">
        <f t="shared" si="42"/>
        <v>0.13500000000000001</v>
      </c>
      <c r="Q114" s="146">
        <f t="shared" si="42"/>
        <v>0.13500000000000001</v>
      </c>
      <c r="R114" s="146">
        <f t="shared" si="42"/>
        <v>0.13500000000000001</v>
      </c>
      <c r="S114" s="146">
        <f t="shared" si="42"/>
        <v>0.13500000000000001</v>
      </c>
      <c r="T114" s="146">
        <f t="shared" si="42"/>
        <v>0.13500000000000001</v>
      </c>
      <c r="U114" s="146">
        <f t="shared" si="42"/>
        <v>0.13500000000000001</v>
      </c>
      <c r="V114" s="146">
        <f t="shared" si="42"/>
        <v>0.13500000000000001</v>
      </c>
      <c r="W114" s="146">
        <f t="shared" si="42"/>
        <v>0.13500000000000001</v>
      </c>
      <c r="X114" s="146">
        <f t="shared" si="42"/>
        <v>0.13500000000000001</v>
      </c>
      <c r="Y114" s="146">
        <f t="shared" si="42"/>
        <v>0.13500000000000001</v>
      </c>
    </row>
    <row r="115" spans="2:25">
      <c r="C115" s="689" t="s">
        <v>561</v>
      </c>
      <c r="G115" s="690">
        <f>G112*(1-G114)</f>
        <v>20579.831999999999</v>
      </c>
      <c r="H115" s="151">
        <f>H112*(1-H114)</f>
        <v>21028.761600000002</v>
      </c>
      <c r="I115" s="151">
        <f t="shared" ref="I115:Y115" si="43">I112*(1-I114)</f>
        <v>20670.316800000001</v>
      </c>
      <c r="J115" s="151">
        <f t="shared" si="43"/>
        <v>20670.316800000001</v>
      </c>
      <c r="K115" s="151">
        <f t="shared" si="43"/>
        <v>20670.316800000001</v>
      </c>
      <c r="L115" s="151">
        <f t="shared" si="43"/>
        <v>20670.316800000001</v>
      </c>
      <c r="M115" s="151">
        <f t="shared" si="43"/>
        <v>20670.316800000001</v>
      </c>
      <c r="N115" s="151">
        <f t="shared" si="43"/>
        <v>20670.316800000001</v>
      </c>
      <c r="O115" s="151">
        <f t="shared" si="43"/>
        <v>20670.316800000001</v>
      </c>
      <c r="P115" s="151">
        <f t="shared" si="43"/>
        <v>20670.316800000001</v>
      </c>
      <c r="Q115" s="151">
        <f t="shared" si="43"/>
        <v>20670.316800000001</v>
      </c>
      <c r="R115" s="151">
        <f t="shared" si="43"/>
        <v>20670.316800000001</v>
      </c>
      <c r="S115" s="151">
        <f t="shared" si="43"/>
        <v>20670.316800000001</v>
      </c>
      <c r="T115" s="151">
        <f t="shared" si="43"/>
        <v>20670.316800000001</v>
      </c>
      <c r="U115" s="151">
        <f t="shared" si="43"/>
        <v>20670.316800000001</v>
      </c>
      <c r="V115" s="151">
        <f t="shared" si="43"/>
        <v>20670.316800000001</v>
      </c>
      <c r="W115" s="151">
        <f t="shared" si="43"/>
        <v>20670.316800000001</v>
      </c>
      <c r="X115" s="151">
        <f t="shared" si="43"/>
        <v>20670.316800000001</v>
      </c>
      <c r="Y115" s="151">
        <f t="shared" si="43"/>
        <v>20670.316800000001</v>
      </c>
    </row>
    <row r="117" spans="2:25">
      <c r="B117" s="668" t="s">
        <v>562</v>
      </c>
      <c r="C117" s="669"/>
      <c r="D117" s="669"/>
      <c r="E117" s="669"/>
      <c r="F117" s="668"/>
      <c r="G117" s="692">
        <v>163.143</v>
      </c>
      <c r="H117" s="692">
        <v>216</v>
      </c>
      <c r="I117" s="692">
        <v>261</v>
      </c>
      <c r="J117" s="692">
        <v>365.029</v>
      </c>
      <c r="K117" s="692">
        <v>400</v>
      </c>
      <c r="L117" s="692">
        <f>L108*L110*L115/1000000</f>
        <v>495.97869646835994</v>
      </c>
      <c r="M117" s="692">
        <f>M108*M110*M115/1000000</f>
        <v>636.23235110399992</v>
      </c>
      <c r="N117" s="692">
        <f>N108*N110*N115/1000000</f>
        <v>673.904003472</v>
      </c>
      <c r="O117" s="692">
        <f>O108*O110*O115/1000000</f>
        <v>719.66808486720004</v>
      </c>
      <c r="P117" s="692">
        <f>P108*P110*P115/1000000</f>
        <v>761.61849281280001</v>
      </c>
      <c r="Q117" s="692">
        <f t="shared" ref="Q117:X117" si="44">Q108*Q110*Q115/1000000</f>
        <v>761.61849281280001</v>
      </c>
      <c r="R117" s="692">
        <f t="shared" si="44"/>
        <v>761.61849281280001</v>
      </c>
      <c r="S117" s="692">
        <f t="shared" si="44"/>
        <v>761.61849281280001</v>
      </c>
      <c r="T117" s="692">
        <f t="shared" si="44"/>
        <v>408.62115766080007</v>
      </c>
      <c r="U117" s="692">
        <f t="shared" si="44"/>
        <v>216.0771566688</v>
      </c>
      <c r="V117" s="692">
        <f t="shared" si="44"/>
        <v>216.0771566688</v>
      </c>
      <c r="W117" s="692">
        <f t="shared" si="44"/>
        <v>43.8572446704</v>
      </c>
      <c r="X117" s="692">
        <f t="shared" si="44"/>
        <v>8.7714489340799986</v>
      </c>
      <c r="Y117" s="692">
        <f>Y108*Y110*Y115/1000000</f>
        <v>0</v>
      </c>
    </row>
    <row r="118" spans="2:25">
      <c r="B118" s="678"/>
      <c r="C118" s="677"/>
      <c r="D118" s="677"/>
      <c r="E118" s="677"/>
      <c r="F118" s="678"/>
      <c r="G118" s="741"/>
      <c r="H118" s="741"/>
      <c r="I118" s="741"/>
      <c r="J118" s="741"/>
      <c r="K118" s="741"/>
      <c r="L118" s="741"/>
      <c r="M118" s="741"/>
      <c r="N118" s="741"/>
      <c r="O118" s="741"/>
      <c r="P118" s="741"/>
      <c r="Q118" s="741"/>
      <c r="R118" s="741"/>
      <c r="S118" s="741"/>
      <c r="T118" s="741"/>
      <c r="U118" s="741"/>
      <c r="V118" s="741"/>
      <c r="W118" s="741"/>
      <c r="X118" s="741"/>
      <c r="Y118" s="741"/>
    </row>
    <row r="119" spans="2:25">
      <c r="B119" s="658" t="s">
        <v>656</v>
      </c>
      <c r="C119" s="659"/>
      <c r="D119" s="659"/>
      <c r="E119" s="659"/>
      <c r="F119" s="681"/>
      <c r="G119" s="751"/>
      <c r="H119" s="751"/>
      <c r="I119" s="751"/>
      <c r="J119" s="751"/>
      <c r="K119" s="751"/>
      <c r="L119" s="751"/>
      <c r="M119" s="751"/>
      <c r="N119" s="751"/>
      <c r="O119" s="751"/>
      <c r="P119" s="751"/>
      <c r="Q119" s="751"/>
      <c r="R119" s="751"/>
      <c r="S119" s="751"/>
      <c r="T119" s="751"/>
      <c r="U119" s="751"/>
      <c r="V119" s="751"/>
      <c r="W119" s="751"/>
      <c r="X119" s="751"/>
      <c r="Y119" s="751"/>
    </row>
    <row r="120" spans="2:25">
      <c r="C120" s="689" t="s">
        <v>558</v>
      </c>
      <c r="F120" s="678"/>
      <c r="G120" s="741"/>
      <c r="H120" s="741"/>
      <c r="I120" s="741"/>
      <c r="J120" s="741"/>
      <c r="K120" s="741"/>
      <c r="L120" s="741"/>
      <c r="M120" s="741"/>
      <c r="N120" s="741"/>
      <c r="O120" s="741"/>
      <c r="P120" s="741"/>
      <c r="Q120" s="741"/>
      <c r="R120" s="741"/>
      <c r="S120" s="741"/>
      <c r="T120" s="742">
        <f t="shared" ref="T120:Y120" si="45">T13*T62</f>
        <v>1485</v>
      </c>
      <c r="U120" s="742">
        <f t="shared" si="45"/>
        <v>2025</v>
      </c>
      <c r="V120" s="742">
        <f t="shared" si="45"/>
        <v>2025</v>
      </c>
      <c r="W120" s="742">
        <f t="shared" si="45"/>
        <v>2835</v>
      </c>
      <c r="X120" s="742">
        <f t="shared" si="45"/>
        <v>2835</v>
      </c>
      <c r="Y120" s="742">
        <f t="shared" si="45"/>
        <v>3204</v>
      </c>
    </row>
    <row r="121" spans="2:25">
      <c r="C121" s="689"/>
      <c r="F121" s="678"/>
      <c r="G121" s="741"/>
      <c r="H121" s="741"/>
      <c r="I121" s="741"/>
      <c r="J121" s="741"/>
      <c r="K121" s="741"/>
      <c r="L121" s="741"/>
      <c r="M121" s="741"/>
      <c r="N121" s="741"/>
      <c r="O121" s="741"/>
      <c r="P121" s="741"/>
      <c r="Q121" s="741"/>
      <c r="R121" s="741"/>
      <c r="S121" s="741"/>
      <c r="T121" s="741"/>
      <c r="U121" s="741"/>
      <c r="V121" s="741"/>
      <c r="W121" s="741"/>
      <c r="X121" s="741"/>
      <c r="Y121" s="741"/>
    </row>
    <row r="122" spans="2:25">
      <c r="C122" s="689" t="s">
        <v>559</v>
      </c>
      <c r="F122" s="678"/>
      <c r="G122" s="741"/>
      <c r="H122" s="741"/>
      <c r="I122" s="741"/>
      <c r="J122" s="741"/>
      <c r="K122" s="741"/>
      <c r="L122" s="741"/>
      <c r="M122" s="741"/>
      <c r="N122" s="741"/>
      <c r="O122" s="741"/>
      <c r="P122" s="741"/>
      <c r="Q122" s="741"/>
      <c r="R122" s="741"/>
      <c r="S122" s="741"/>
      <c r="T122" s="743">
        <f>T110</f>
        <v>11.5</v>
      </c>
      <c r="U122" s="743">
        <f t="shared" ref="U122:Y122" si="46">U110</f>
        <v>11.5</v>
      </c>
      <c r="V122" s="743">
        <f t="shared" si="46"/>
        <v>11.5</v>
      </c>
      <c r="W122" s="743">
        <f t="shared" si="46"/>
        <v>11.5</v>
      </c>
      <c r="X122" s="743">
        <f t="shared" si="46"/>
        <v>11.5</v>
      </c>
      <c r="Y122" s="743">
        <f t="shared" si="46"/>
        <v>11.5</v>
      </c>
    </row>
    <row r="123" spans="2:25">
      <c r="C123" s="689"/>
      <c r="F123" s="678"/>
      <c r="G123" s="741"/>
      <c r="H123" s="741"/>
      <c r="I123" s="741"/>
      <c r="J123" s="741"/>
      <c r="K123" s="741"/>
      <c r="L123" s="741"/>
      <c r="M123" s="741"/>
      <c r="N123" s="741"/>
      <c r="O123" s="741"/>
      <c r="P123" s="741"/>
      <c r="Q123" s="741"/>
      <c r="R123" s="741"/>
      <c r="S123" s="741"/>
      <c r="T123" s="741"/>
      <c r="U123" s="741"/>
      <c r="V123" s="741"/>
      <c r="W123" s="741"/>
      <c r="X123" s="741"/>
      <c r="Y123" s="741"/>
    </row>
    <row r="124" spans="2:25">
      <c r="C124" s="689" t="s">
        <v>561</v>
      </c>
      <c r="F124" s="678"/>
      <c r="G124" s="741"/>
      <c r="H124" s="741"/>
      <c r="I124" s="741"/>
      <c r="J124" s="741"/>
      <c r="K124" s="741"/>
      <c r="L124" s="741"/>
      <c r="M124" s="741"/>
      <c r="N124" s="741"/>
      <c r="O124" s="741"/>
      <c r="P124" s="741"/>
      <c r="Q124" s="741"/>
      <c r="R124" s="741"/>
      <c r="S124" s="741"/>
      <c r="T124" s="744">
        <f>T115*1.1</f>
        <v>22737.348480000004</v>
      </c>
      <c r="U124" s="744">
        <f t="shared" ref="U124:Y124" si="47">U115*1.1</f>
        <v>22737.348480000004</v>
      </c>
      <c r="V124" s="744">
        <f t="shared" si="47"/>
        <v>22737.348480000004</v>
      </c>
      <c r="W124" s="744">
        <f t="shared" si="47"/>
        <v>22737.348480000004</v>
      </c>
      <c r="X124" s="744">
        <f t="shared" si="47"/>
        <v>22737.348480000004</v>
      </c>
      <c r="Y124" s="744">
        <f t="shared" si="47"/>
        <v>22737.348480000004</v>
      </c>
    </row>
    <row r="125" spans="2:25">
      <c r="F125" s="678"/>
      <c r="G125" s="741"/>
      <c r="H125" s="741"/>
      <c r="I125" s="741"/>
      <c r="J125" s="741"/>
      <c r="K125" s="741"/>
      <c r="L125" s="741"/>
      <c r="M125" s="741"/>
      <c r="N125" s="741"/>
      <c r="O125" s="741"/>
      <c r="P125" s="741"/>
      <c r="Q125" s="741"/>
      <c r="R125" s="741"/>
      <c r="S125" s="741"/>
      <c r="T125" s="741"/>
      <c r="U125" s="741"/>
      <c r="V125" s="741"/>
      <c r="W125" s="741"/>
      <c r="X125" s="741"/>
      <c r="Y125" s="741"/>
    </row>
    <row r="126" spans="2:25">
      <c r="B126" s="668" t="s">
        <v>662</v>
      </c>
      <c r="C126" s="669"/>
      <c r="D126" s="669"/>
      <c r="E126" s="669"/>
      <c r="F126" s="668"/>
      <c r="G126" s="692"/>
      <c r="H126" s="692"/>
      <c r="I126" s="692"/>
      <c r="J126" s="692"/>
      <c r="K126" s="692"/>
      <c r="L126" s="692"/>
      <c r="M126" s="692"/>
      <c r="N126" s="692"/>
      <c r="O126" s="692"/>
      <c r="P126" s="692"/>
      <c r="Q126" s="692"/>
      <c r="R126" s="692"/>
      <c r="S126" s="692"/>
      <c r="T126" s="692">
        <f>T120*T122*T124/1000000</f>
        <v>388.29706866720011</v>
      </c>
      <c r="U126" s="692">
        <f t="shared" ref="U126:Y126" si="48">U120*U122*U124/1000000</f>
        <v>529.49600272800012</v>
      </c>
      <c r="V126" s="692">
        <f t="shared" si="48"/>
        <v>529.49600272800012</v>
      </c>
      <c r="W126" s="692">
        <f t="shared" si="48"/>
        <v>741.29440381920017</v>
      </c>
      <c r="X126" s="692">
        <f t="shared" si="48"/>
        <v>741.29440381920017</v>
      </c>
      <c r="Y126" s="692">
        <f t="shared" si="48"/>
        <v>837.7803420940802</v>
      </c>
    </row>
    <row r="127" spans="2:25">
      <c r="B127" s="678"/>
      <c r="C127" s="677"/>
      <c r="D127" s="677"/>
      <c r="E127" s="677"/>
      <c r="F127" s="678"/>
      <c r="G127" s="741"/>
      <c r="H127" s="741"/>
      <c r="I127" s="741"/>
      <c r="J127" s="741"/>
      <c r="K127" s="741"/>
      <c r="L127" s="741"/>
      <c r="M127" s="741"/>
      <c r="N127" s="741"/>
      <c r="O127" s="741"/>
      <c r="P127" s="741"/>
      <c r="Q127" s="741"/>
      <c r="R127" s="741"/>
      <c r="S127" s="741"/>
      <c r="T127" s="741"/>
      <c r="U127" s="741"/>
      <c r="V127" s="741"/>
      <c r="W127" s="741"/>
      <c r="X127" s="741"/>
      <c r="Y127" s="741"/>
    </row>
    <row r="129" spans="2:25">
      <c r="B129" s="658" t="s">
        <v>498</v>
      </c>
      <c r="C129" s="659"/>
      <c r="D129" s="659"/>
      <c r="E129" s="659"/>
      <c r="F129" s="693"/>
      <c r="G129" s="693"/>
      <c r="H129" s="693"/>
      <c r="I129" s="693"/>
      <c r="J129" s="693"/>
      <c r="K129" s="693"/>
      <c r="L129" s="693"/>
      <c r="M129" s="693"/>
      <c r="N129" s="693"/>
      <c r="O129" s="693"/>
      <c r="P129" s="693"/>
      <c r="Q129" s="693"/>
      <c r="R129" s="693"/>
      <c r="S129" s="693"/>
      <c r="T129" s="693"/>
      <c r="U129" s="693"/>
      <c r="V129" s="693"/>
      <c r="W129" s="693"/>
      <c r="X129" s="693"/>
      <c r="Y129" s="693"/>
    </row>
    <row r="130" spans="2:25">
      <c r="C130" s="689" t="s">
        <v>558</v>
      </c>
      <c r="J130" s="684">
        <v>4500</v>
      </c>
      <c r="K130" s="684">
        <v>7000</v>
      </c>
      <c r="L130" s="684">
        <f t="shared" ref="L130:Y130" si="49">L18*L72</f>
        <v>6594.5</v>
      </c>
      <c r="M130" s="684">
        <f t="shared" si="49"/>
        <v>6594.5</v>
      </c>
      <c r="N130" s="684">
        <f t="shared" si="49"/>
        <v>6043.95</v>
      </c>
      <c r="O130" s="684">
        <f t="shared" si="49"/>
        <v>4244.0749999999998</v>
      </c>
      <c r="P130" s="684">
        <f t="shared" si="49"/>
        <v>3277.5875000000001</v>
      </c>
      <c r="Q130" s="684">
        <f t="shared" si="49"/>
        <v>2464.6187500000001</v>
      </c>
      <c r="R130" s="684">
        <f t="shared" si="49"/>
        <v>2058.1343750000001</v>
      </c>
      <c r="S130" s="684">
        <f t="shared" si="49"/>
        <v>1246.3</v>
      </c>
      <c r="T130" s="684">
        <f t="shared" si="49"/>
        <v>907.5</v>
      </c>
      <c r="U130" s="684">
        <f t="shared" si="49"/>
        <v>453.75</v>
      </c>
      <c r="V130" s="684">
        <f t="shared" si="49"/>
        <v>164.86249999999998</v>
      </c>
      <c r="W130" s="684">
        <f t="shared" si="49"/>
        <v>82.431249999999991</v>
      </c>
      <c r="X130" s="684">
        <f t="shared" si="49"/>
        <v>0</v>
      </c>
      <c r="Y130" s="684">
        <f t="shared" si="49"/>
        <v>0</v>
      </c>
    </row>
    <row r="131" spans="2:25">
      <c r="C131" s="689"/>
    </row>
    <row r="132" spans="2:25">
      <c r="C132" s="689" t="s">
        <v>559</v>
      </c>
      <c r="J132" s="731">
        <f>(J139*1000000)/(J130*J137)</f>
        <v>4.6015275402793909</v>
      </c>
      <c r="K132" s="731">
        <f>(K139*1000000)/(K130*K137)</f>
        <v>7.6133144207074182</v>
      </c>
      <c r="L132" s="731">
        <v>10</v>
      </c>
      <c r="M132" s="731">
        <v>10</v>
      </c>
      <c r="N132" s="731">
        <f>(10*(N67+N68)+5*N69)/N72</f>
        <v>9.1791791791791795</v>
      </c>
      <c r="O132" s="731">
        <v>10</v>
      </c>
      <c r="P132" s="727">
        <f>(10*(P67+P68+P69)+5*P70)/P72</f>
        <v>8.9940009229349336</v>
      </c>
      <c r="Q132" s="727">
        <v>10</v>
      </c>
      <c r="R132" s="727">
        <f>Q132</f>
        <v>10</v>
      </c>
      <c r="S132" s="727">
        <f t="shared" ref="S132:Y132" si="50">R132</f>
        <v>10</v>
      </c>
      <c r="T132" s="727">
        <f t="shared" si="50"/>
        <v>10</v>
      </c>
      <c r="U132" s="727">
        <f t="shared" si="50"/>
        <v>10</v>
      </c>
      <c r="V132" s="727">
        <f t="shared" si="50"/>
        <v>10</v>
      </c>
      <c r="W132" s="727">
        <f t="shared" si="50"/>
        <v>10</v>
      </c>
      <c r="X132" s="727">
        <f t="shared" si="50"/>
        <v>10</v>
      </c>
      <c r="Y132" s="727">
        <f t="shared" si="50"/>
        <v>10</v>
      </c>
    </row>
    <row r="133" spans="2:25">
      <c r="C133" s="689"/>
    </row>
    <row r="134" spans="2:25">
      <c r="C134" s="689" t="s">
        <v>563</v>
      </c>
      <c r="J134" s="730">
        <v>19923.080000000002</v>
      </c>
      <c r="K134" s="151">
        <f>J134</f>
        <v>19923.080000000002</v>
      </c>
      <c r="L134" s="151">
        <f>K134*0.5+20919.23*0.5</f>
        <v>20421.154999999999</v>
      </c>
      <c r="M134" s="730">
        <v>20919.23</v>
      </c>
      <c r="N134" s="151">
        <f>M134</f>
        <v>20919.23</v>
      </c>
      <c r="O134" s="151">
        <f t="shared" ref="O134:Y134" si="51">N134</f>
        <v>20919.23</v>
      </c>
      <c r="P134" s="151">
        <f t="shared" si="51"/>
        <v>20919.23</v>
      </c>
      <c r="Q134" s="151">
        <f t="shared" si="51"/>
        <v>20919.23</v>
      </c>
      <c r="R134" s="151">
        <f t="shared" si="51"/>
        <v>20919.23</v>
      </c>
      <c r="S134" s="151">
        <f t="shared" si="51"/>
        <v>20919.23</v>
      </c>
      <c r="T134" s="151">
        <f t="shared" si="51"/>
        <v>20919.23</v>
      </c>
      <c r="U134" s="151">
        <f t="shared" si="51"/>
        <v>20919.23</v>
      </c>
      <c r="V134" s="151">
        <f t="shared" si="51"/>
        <v>20919.23</v>
      </c>
      <c r="W134" s="151">
        <f t="shared" si="51"/>
        <v>20919.23</v>
      </c>
      <c r="X134" s="151">
        <f t="shared" si="51"/>
        <v>20919.23</v>
      </c>
      <c r="Y134" s="151">
        <f t="shared" si="51"/>
        <v>20919.23</v>
      </c>
    </row>
    <row r="135" spans="2:25">
      <c r="C135" s="691" t="s">
        <v>233</v>
      </c>
      <c r="J135" s="144"/>
      <c r="K135" s="152">
        <f>K134/J134-1</f>
        <v>0</v>
      </c>
      <c r="L135" s="152">
        <f t="shared" ref="L135:Y135" si="52">L134/K134-1</f>
        <v>2.4999899613914911E-2</v>
      </c>
      <c r="M135" s="152">
        <f t="shared" si="52"/>
        <v>2.4390148353508945E-2</v>
      </c>
      <c r="N135" s="152">
        <f t="shared" si="52"/>
        <v>0</v>
      </c>
      <c r="O135" s="152">
        <f t="shared" si="52"/>
        <v>0</v>
      </c>
      <c r="P135" s="152">
        <f t="shared" si="52"/>
        <v>0</v>
      </c>
      <c r="Q135" s="152">
        <f t="shared" si="52"/>
        <v>0</v>
      </c>
      <c r="R135" s="152">
        <f t="shared" si="52"/>
        <v>0</v>
      </c>
      <c r="S135" s="152">
        <f t="shared" si="52"/>
        <v>0</v>
      </c>
      <c r="T135" s="152">
        <f t="shared" si="52"/>
        <v>0</v>
      </c>
      <c r="U135" s="152">
        <f t="shared" si="52"/>
        <v>0</v>
      </c>
      <c r="V135" s="152">
        <f t="shared" si="52"/>
        <v>0</v>
      </c>
      <c r="W135" s="152">
        <f t="shared" si="52"/>
        <v>0</v>
      </c>
      <c r="X135" s="152">
        <f t="shared" si="52"/>
        <v>0</v>
      </c>
      <c r="Y135" s="152">
        <f t="shared" si="52"/>
        <v>0</v>
      </c>
    </row>
    <row r="136" spans="2:25">
      <c r="C136" s="691" t="s">
        <v>234</v>
      </c>
      <c r="J136" s="144">
        <v>0.15</v>
      </c>
      <c r="K136" s="144">
        <f>J136</f>
        <v>0.15</v>
      </c>
      <c r="L136" s="144">
        <f t="shared" ref="L136:Y136" si="53">K136</f>
        <v>0.15</v>
      </c>
      <c r="M136" s="144">
        <f t="shared" si="53"/>
        <v>0.15</v>
      </c>
      <c r="N136" s="144">
        <f t="shared" si="53"/>
        <v>0.15</v>
      </c>
      <c r="O136" s="144">
        <f t="shared" si="53"/>
        <v>0.15</v>
      </c>
      <c r="P136" s="144">
        <f t="shared" si="53"/>
        <v>0.15</v>
      </c>
      <c r="Q136" s="144">
        <f t="shared" si="53"/>
        <v>0.15</v>
      </c>
      <c r="R136" s="144">
        <f t="shared" si="53"/>
        <v>0.15</v>
      </c>
      <c r="S136" s="144">
        <f t="shared" si="53"/>
        <v>0.15</v>
      </c>
      <c r="T136" s="144">
        <f t="shared" si="53"/>
        <v>0.15</v>
      </c>
      <c r="U136" s="144">
        <f t="shared" si="53"/>
        <v>0.15</v>
      </c>
      <c r="V136" s="144">
        <f t="shared" si="53"/>
        <v>0.15</v>
      </c>
      <c r="W136" s="144">
        <f t="shared" si="53"/>
        <v>0.15</v>
      </c>
      <c r="X136" s="144">
        <f t="shared" si="53"/>
        <v>0.15</v>
      </c>
      <c r="Y136" s="144">
        <f t="shared" si="53"/>
        <v>0.15</v>
      </c>
    </row>
    <row r="137" spans="2:25">
      <c r="C137" s="689" t="s">
        <v>564</v>
      </c>
      <c r="J137" s="151">
        <f>J134*(1-J136)</f>
        <v>16934.618000000002</v>
      </c>
      <c r="K137" s="151">
        <f t="shared" ref="K137:Y137" si="54">K134*(1-K136)</f>
        <v>16934.618000000002</v>
      </c>
      <c r="L137" s="151">
        <f t="shared" si="54"/>
        <v>17357.981749999999</v>
      </c>
      <c r="M137" s="151">
        <f t="shared" si="54"/>
        <v>17781.345499999999</v>
      </c>
      <c r="N137" s="151">
        <f t="shared" si="54"/>
        <v>17781.345499999999</v>
      </c>
      <c r="O137" s="151">
        <f t="shared" si="54"/>
        <v>17781.345499999999</v>
      </c>
      <c r="P137" s="151">
        <f t="shared" si="54"/>
        <v>17781.345499999999</v>
      </c>
      <c r="Q137" s="151">
        <f t="shared" si="54"/>
        <v>17781.345499999999</v>
      </c>
      <c r="R137" s="151">
        <f t="shared" si="54"/>
        <v>17781.345499999999</v>
      </c>
      <c r="S137" s="151">
        <f t="shared" si="54"/>
        <v>17781.345499999999</v>
      </c>
      <c r="T137" s="151">
        <f t="shared" si="54"/>
        <v>17781.345499999999</v>
      </c>
      <c r="U137" s="151">
        <f t="shared" si="54"/>
        <v>17781.345499999999</v>
      </c>
      <c r="V137" s="151">
        <f t="shared" si="54"/>
        <v>17781.345499999999</v>
      </c>
      <c r="W137" s="151">
        <f t="shared" si="54"/>
        <v>17781.345499999999</v>
      </c>
      <c r="X137" s="151">
        <f t="shared" si="54"/>
        <v>17781.345499999999</v>
      </c>
      <c r="Y137" s="151">
        <f t="shared" si="54"/>
        <v>17781.345499999999</v>
      </c>
    </row>
    <row r="139" spans="2:25">
      <c r="B139" s="668" t="s">
        <v>565</v>
      </c>
      <c r="C139" s="669"/>
      <c r="D139" s="669"/>
      <c r="E139" s="669"/>
      <c r="F139" s="669"/>
      <c r="G139" s="669"/>
      <c r="H139" s="669"/>
      <c r="I139" s="669"/>
      <c r="J139" s="692">
        <v>350.66300000000001</v>
      </c>
      <c r="K139" s="694">
        <v>902.5</v>
      </c>
      <c r="L139" s="692">
        <f>L130*L132*L137/1000000</f>
        <v>1144.6721065037498</v>
      </c>
      <c r="M139" s="692">
        <f>M130*M132*M137/1000000</f>
        <v>1172.5908289975</v>
      </c>
      <c r="N139" s="692">
        <f t="shared" ref="N139:Y139" si="55">N130*N132*N137/1000000</f>
        <v>986.48237632174994</v>
      </c>
      <c r="O139" s="692">
        <f t="shared" si="55"/>
        <v>754.65363902912497</v>
      </c>
      <c r="P139" s="692">
        <f t="shared" si="55"/>
        <v>524.1696159899376</v>
      </c>
      <c r="Q139" s="692">
        <f>Q130*Q132*Q137/1000000</f>
        <v>438.24237519528123</v>
      </c>
      <c r="R139" s="692">
        <f t="shared" si="55"/>
        <v>365.96398407301564</v>
      </c>
      <c r="S139" s="692">
        <f t="shared" si="55"/>
        <v>221.6089089665</v>
      </c>
      <c r="T139" s="692">
        <f t="shared" si="55"/>
        <v>161.36571041249999</v>
      </c>
      <c r="U139" s="692">
        <f t="shared" si="55"/>
        <v>80.682855206249997</v>
      </c>
      <c r="V139" s="692">
        <f t="shared" si="55"/>
        <v>29.314770724937496</v>
      </c>
      <c r="W139" s="692">
        <f t="shared" si="55"/>
        <v>14.657385362468748</v>
      </c>
      <c r="X139" s="692">
        <f t="shared" si="55"/>
        <v>0</v>
      </c>
      <c r="Y139" s="692">
        <f t="shared" si="55"/>
        <v>0</v>
      </c>
    </row>
    <row r="141" spans="2:25">
      <c r="B141" s="658" t="s">
        <v>531</v>
      </c>
      <c r="C141" s="659"/>
      <c r="D141" s="659"/>
      <c r="E141" s="659"/>
      <c r="F141" s="659"/>
      <c r="G141" s="659"/>
      <c r="H141" s="659"/>
      <c r="I141" s="659"/>
      <c r="J141" s="659"/>
      <c r="K141" s="659"/>
      <c r="L141" s="659"/>
      <c r="M141" s="659"/>
      <c r="N141" s="659"/>
      <c r="O141" s="659"/>
      <c r="P141" s="659"/>
      <c r="Q141" s="659"/>
      <c r="R141" s="659"/>
      <c r="S141" s="659"/>
      <c r="T141" s="659"/>
      <c r="U141" s="659"/>
      <c r="V141" s="659"/>
      <c r="W141" s="659"/>
      <c r="X141" s="659"/>
      <c r="Y141" s="659"/>
    </row>
    <row r="142" spans="2:25">
      <c r="C142" s="689" t="s">
        <v>558</v>
      </c>
      <c r="M142" s="684">
        <f t="shared" ref="M142:Y142" si="56">M23*M84</f>
        <v>1771.25</v>
      </c>
      <c r="N142" s="684">
        <f t="shared" si="56"/>
        <v>1998</v>
      </c>
      <c r="O142" s="684">
        <f t="shared" si="56"/>
        <v>1578.375</v>
      </c>
      <c r="P142" s="684">
        <f t="shared" si="56"/>
        <v>1218.9375</v>
      </c>
      <c r="Q142" s="684">
        <f t="shared" si="56"/>
        <v>916.59375</v>
      </c>
      <c r="R142" s="684">
        <f t="shared" si="56"/>
        <v>765.421875</v>
      </c>
      <c r="S142" s="684">
        <f t="shared" si="56"/>
        <v>463.5</v>
      </c>
      <c r="T142" s="684">
        <f t="shared" si="56"/>
        <v>337.5</v>
      </c>
      <c r="U142" s="684">
        <f t="shared" si="56"/>
        <v>168.75</v>
      </c>
      <c r="V142" s="684">
        <f t="shared" si="56"/>
        <v>61.3125</v>
      </c>
      <c r="W142" s="684">
        <f t="shared" si="56"/>
        <v>15.328125</v>
      </c>
      <c r="X142" s="684">
        <f t="shared" si="56"/>
        <v>0</v>
      </c>
      <c r="Y142" s="684">
        <f t="shared" si="56"/>
        <v>0</v>
      </c>
    </row>
    <row r="143" spans="2:25">
      <c r="C143" s="689"/>
    </row>
    <row r="144" spans="2:25">
      <c r="C144" s="689" t="s">
        <v>559</v>
      </c>
      <c r="M144" s="649">
        <v>6.5</v>
      </c>
      <c r="N144" s="649">
        <v>11</v>
      </c>
      <c r="O144" s="649">
        <f>N144</f>
        <v>11</v>
      </c>
      <c r="P144" s="649">
        <f t="shared" ref="P144:Y144" si="57">O144</f>
        <v>11</v>
      </c>
      <c r="Q144" s="649">
        <f t="shared" si="57"/>
        <v>11</v>
      </c>
      <c r="R144" s="649">
        <f t="shared" si="57"/>
        <v>11</v>
      </c>
      <c r="S144" s="649">
        <f t="shared" si="57"/>
        <v>11</v>
      </c>
      <c r="T144" s="649">
        <f t="shared" si="57"/>
        <v>11</v>
      </c>
      <c r="U144" s="649">
        <f t="shared" si="57"/>
        <v>11</v>
      </c>
      <c r="V144" s="649">
        <f t="shared" si="57"/>
        <v>11</v>
      </c>
      <c r="W144" s="649">
        <f t="shared" si="57"/>
        <v>11</v>
      </c>
      <c r="X144" s="649">
        <f t="shared" si="57"/>
        <v>11</v>
      </c>
      <c r="Y144" s="649">
        <f t="shared" si="57"/>
        <v>11</v>
      </c>
    </row>
    <row r="145" spans="2:25">
      <c r="C145" s="689"/>
    </row>
    <row r="146" spans="2:25">
      <c r="C146" s="689" t="s">
        <v>652</v>
      </c>
      <c r="M146" s="690">
        <f t="shared" ref="M146:Y146" si="58">M137</f>
        <v>17781.345499999999</v>
      </c>
      <c r="N146" s="690">
        <f t="shared" si="58"/>
        <v>17781.345499999999</v>
      </c>
      <c r="O146" s="690">
        <f t="shared" si="58"/>
        <v>17781.345499999999</v>
      </c>
      <c r="P146" s="690">
        <f t="shared" si="58"/>
        <v>17781.345499999999</v>
      </c>
      <c r="Q146" s="690">
        <f t="shared" si="58"/>
        <v>17781.345499999999</v>
      </c>
      <c r="R146" s="690">
        <f t="shared" si="58"/>
        <v>17781.345499999999</v>
      </c>
      <c r="S146" s="690">
        <f t="shared" si="58"/>
        <v>17781.345499999999</v>
      </c>
      <c r="T146" s="690">
        <f t="shared" si="58"/>
        <v>17781.345499999999</v>
      </c>
      <c r="U146" s="690">
        <f t="shared" si="58"/>
        <v>17781.345499999999</v>
      </c>
      <c r="V146" s="690">
        <f t="shared" si="58"/>
        <v>17781.345499999999</v>
      </c>
      <c r="W146" s="690">
        <f t="shared" si="58"/>
        <v>17781.345499999999</v>
      </c>
      <c r="X146" s="690">
        <f t="shared" si="58"/>
        <v>17781.345499999999</v>
      </c>
      <c r="Y146" s="690">
        <f t="shared" si="58"/>
        <v>17781.345499999999</v>
      </c>
    </row>
    <row r="148" spans="2:25">
      <c r="B148" s="668" t="s">
        <v>568</v>
      </c>
      <c r="C148" s="669"/>
      <c r="D148" s="669"/>
      <c r="E148" s="669"/>
      <c r="F148" s="669"/>
      <c r="G148" s="669"/>
      <c r="H148" s="669"/>
      <c r="I148" s="669"/>
      <c r="J148" s="669"/>
      <c r="K148" s="669"/>
      <c r="L148" s="669"/>
      <c r="M148" s="694">
        <f t="shared" ref="M148:Y148" si="59">M142*M144*M146/1000000</f>
        <v>204.71885340968748</v>
      </c>
      <c r="N148" s="694">
        <f t="shared" si="59"/>
        <v>390.79841139899997</v>
      </c>
      <c r="O148" s="694">
        <f t="shared" si="59"/>
        <v>308.72194323918745</v>
      </c>
      <c r="P148" s="694">
        <f t="shared" si="59"/>
        <v>238.41783713446873</v>
      </c>
      <c r="Q148" s="694">
        <f t="shared" si="59"/>
        <v>179.28097167079687</v>
      </c>
      <c r="R148" s="694">
        <f t="shared" si="59"/>
        <v>149.71253893896093</v>
      </c>
      <c r="S148" s="694">
        <f t="shared" si="59"/>
        <v>90.658190031749996</v>
      </c>
      <c r="T148" s="694">
        <f t="shared" si="59"/>
        <v>66.013245168749989</v>
      </c>
      <c r="U148" s="694">
        <f t="shared" si="59"/>
        <v>33.006622584374995</v>
      </c>
      <c r="V148" s="694">
        <f t="shared" si="59"/>
        <v>11.992406205656248</v>
      </c>
      <c r="W148" s="694">
        <f t="shared" si="59"/>
        <v>2.9981015514140621</v>
      </c>
      <c r="X148" s="694">
        <f t="shared" si="59"/>
        <v>0</v>
      </c>
      <c r="Y148" s="694">
        <f t="shared" si="59"/>
        <v>0</v>
      </c>
    </row>
    <row r="150" spans="2:25">
      <c r="B150" s="658" t="s">
        <v>569</v>
      </c>
      <c r="C150" s="659"/>
      <c r="D150" s="659"/>
      <c r="E150" s="659"/>
      <c r="F150" s="659"/>
      <c r="G150" s="659"/>
      <c r="H150" s="659"/>
      <c r="I150" s="659"/>
      <c r="J150" s="659"/>
      <c r="K150" s="659"/>
      <c r="L150" s="659"/>
      <c r="M150" s="659"/>
      <c r="N150" s="659"/>
      <c r="O150" s="659"/>
      <c r="P150" s="659"/>
      <c r="Q150" s="659"/>
      <c r="R150" s="659"/>
      <c r="S150" s="659"/>
      <c r="T150" s="659"/>
      <c r="U150" s="659"/>
      <c r="V150" s="659"/>
      <c r="W150" s="659"/>
      <c r="X150" s="659"/>
      <c r="Y150" s="659"/>
    </row>
    <row r="151" spans="2:25">
      <c r="C151" s="689" t="s">
        <v>558</v>
      </c>
      <c r="O151" s="684">
        <f t="shared" ref="O151:Y151" si="60">O33*O103+O94*O28</f>
        <v>8769.4219219219231</v>
      </c>
      <c r="P151" s="684">
        <f t="shared" si="60"/>
        <v>10044.050050050049</v>
      </c>
      <c r="Q151" s="684">
        <f t="shared" si="60"/>
        <v>13527.657295873658</v>
      </c>
      <c r="R151" s="684">
        <f t="shared" si="60"/>
        <v>14294.344795873658</v>
      </c>
      <c r="S151" s="684">
        <f t="shared" si="60"/>
        <v>15356.232295873659</v>
      </c>
      <c r="T151" s="684">
        <f t="shared" si="60"/>
        <v>18174.432295873659</v>
      </c>
      <c r="U151" s="684">
        <f t="shared" si="60"/>
        <v>24224.832295873661</v>
      </c>
      <c r="V151" s="684">
        <f t="shared" si="60"/>
        <v>24716.232295873659</v>
      </c>
      <c r="W151" s="684">
        <f t="shared" si="60"/>
        <v>25207.632295873656</v>
      </c>
      <c r="X151" s="684">
        <f t="shared" si="60"/>
        <v>25403.832295873661</v>
      </c>
      <c r="Y151" s="684">
        <f t="shared" si="60"/>
        <v>25600.032295873658</v>
      </c>
    </row>
    <row r="152" spans="2:25">
      <c r="C152" s="689"/>
    </row>
    <row r="153" spans="2:25">
      <c r="C153" s="689" t="s">
        <v>559</v>
      </c>
      <c r="O153" s="729">
        <v>6</v>
      </c>
      <c r="P153" s="729">
        <f>(11.5*SUM(P89)+6*P90)/P94</f>
        <v>11.147647647647648</v>
      </c>
      <c r="Q153" s="729">
        <f>(11.5*(Q89+P90)+6*(Q90-P90))/Q94</f>
        <v>11.197117453033128</v>
      </c>
      <c r="R153" s="729">
        <f>(11.5*(R89+Q90)+6*(R90-Q90))/R94</f>
        <v>11.22408387223202</v>
      </c>
      <c r="S153" s="729">
        <f>(11.5*(S89+R90)+6*(S90-R90)+S91*6)/S94</f>
        <v>11.086527726088574</v>
      </c>
      <c r="T153" s="729">
        <f>(11.5*(T89+S90+S91)+6*(T90-S90)+(T91-S91)*6)/T94</f>
        <v>11.115437867774316</v>
      </c>
      <c r="U153" s="729">
        <f>(11.5*(U89+T90+T91)+6*(U90-T90)+(U91-T91)*6+U92*6)/U94</f>
        <v>11.25185919682697</v>
      </c>
      <c r="V153" s="729">
        <f>(11.5*(V89+U90+U91+U92)+6*(V90-U90)+(V91-U91)*6+(V92-U92)*6)/V94</f>
        <v>11.262571157495255</v>
      </c>
      <c r="W153" s="729">
        <f>(11.5*(W89+V90+V91+V92)+6*(W90-V90)+(W91-V91)*6+(W92-V92)*6)/W94</f>
        <v>11.272396543883584</v>
      </c>
      <c r="X153" s="729">
        <f>(11.5*(X89+W90+W91+W92)+6*(X90-W90)+(X91-W91)*6+(X92-W92)*6)/X94</f>
        <v>11.410602445571131</v>
      </c>
      <c r="Y153" s="729">
        <f>(11.5*(Y89+X90+X91+X92)+6*(Y90-X90)+(Y91-X91)*6+(Y92-X92)*6)/Y94</f>
        <v>11.412032281731475</v>
      </c>
    </row>
    <row r="154" spans="2:25">
      <c r="C154" s="689"/>
    </row>
    <row r="155" spans="2:25">
      <c r="C155" s="689" t="s">
        <v>570</v>
      </c>
    </row>
    <row r="156" spans="2:25">
      <c r="C156" s="691" t="s">
        <v>233</v>
      </c>
    </row>
    <row r="157" spans="2:25">
      <c r="C157" s="691" t="s">
        <v>234</v>
      </c>
    </row>
    <row r="158" spans="2:25">
      <c r="C158" s="689" t="s">
        <v>571</v>
      </c>
      <c r="O158" s="690">
        <f>1.15*O146</f>
        <v>20448.547325</v>
      </c>
      <c r="P158" s="690">
        <f t="shared" ref="P158:Y158" si="61">1.15*P146</f>
        <v>20448.547325</v>
      </c>
      <c r="Q158" s="690">
        <f t="shared" si="61"/>
        <v>20448.547325</v>
      </c>
      <c r="R158" s="690">
        <f t="shared" si="61"/>
        <v>20448.547325</v>
      </c>
      <c r="S158" s="690">
        <f t="shared" si="61"/>
        <v>20448.547325</v>
      </c>
      <c r="T158" s="690">
        <f t="shared" si="61"/>
        <v>20448.547325</v>
      </c>
      <c r="U158" s="690">
        <f t="shared" si="61"/>
        <v>20448.547325</v>
      </c>
      <c r="V158" s="690">
        <f t="shared" si="61"/>
        <v>20448.547325</v>
      </c>
      <c r="W158" s="690">
        <f t="shared" si="61"/>
        <v>20448.547325</v>
      </c>
      <c r="X158" s="690">
        <f t="shared" si="61"/>
        <v>20448.547325</v>
      </c>
      <c r="Y158" s="690">
        <f t="shared" si="61"/>
        <v>20448.547325</v>
      </c>
    </row>
    <row r="160" spans="2:25">
      <c r="B160" s="668" t="s">
        <v>572</v>
      </c>
      <c r="C160" s="669"/>
      <c r="D160" s="669"/>
      <c r="E160" s="669"/>
      <c r="F160" s="669"/>
      <c r="G160" s="669"/>
      <c r="H160" s="669"/>
      <c r="I160" s="669"/>
      <c r="J160" s="669"/>
      <c r="K160" s="669"/>
      <c r="L160" s="669"/>
      <c r="M160" s="669"/>
      <c r="N160" s="669"/>
      <c r="O160" s="694">
        <f>O151*O153*O158/1000000</f>
        <v>1075.9316350998774</v>
      </c>
      <c r="P160" s="694">
        <f t="shared" ref="P160:Y160" si="62">P151*P153*P158/1000000</f>
        <v>2289.5733547439272</v>
      </c>
      <c r="Q160" s="694">
        <f>Q151*Q153*Q158/1000000</f>
        <v>3097.3571597510499</v>
      </c>
      <c r="R160" s="694">
        <f t="shared" si="62"/>
        <v>3280.7838454285943</v>
      </c>
      <c r="S160" s="694">
        <f t="shared" si="62"/>
        <v>3481.3098711421762</v>
      </c>
      <c r="T160" s="694">
        <f t="shared" si="62"/>
        <v>4130.9495424565066</v>
      </c>
      <c r="U160" s="694">
        <f t="shared" si="62"/>
        <v>5573.750560105791</v>
      </c>
      <c r="V160" s="694">
        <f t="shared" si="62"/>
        <v>5692.2278670825581</v>
      </c>
      <c r="W160" s="694">
        <f t="shared" si="62"/>
        <v>5810.4634574352694</v>
      </c>
      <c r="X160" s="694">
        <f t="shared" si="62"/>
        <v>5927.4823910532805</v>
      </c>
      <c r="Y160" s="694">
        <f t="shared" si="62"/>
        <v>5974.0102805461465</v>
      </c>
    </row>
    <row r="162" spans="2:25">
      <c r="B162" s="651" t="s">
        <v>573</v>
      </c>
      <c r="C162" s="695"/>
      <c r="D162" s="695"/>
      <c r="E162" s="695"/>
      <c r="F162" s="651"/>
      <c r="G162" s="696">
        <f>G117+G139+G148+G160+G126</f>
        <v>163.143</v>
      </c>
      <c r="H162" s="696">
        <f t="shared" ref="H162:Y162" si="63">H117+H139+H148+H160+H126</f>
        <v>216</v>
      </c>
      <c r="I162" s="696">
        <f t="shared" si="63"/>
        <v>261</v>
      </c>
      <c r="J162" s="696">
        <f t="shared" si="63"/>
        <v>715.69200000000001</v>
      </c>
      <c r="K162" s="696">
        <f t="shared" si="63"/>
        <v>1302.5</v>
      </c>
      <c r="L162" s="696">
        <f t="shared" si="63"/>
        <v>1640.6508029721097</v>
      </c>
      <c r="M162" s="696">
        <f t="shared" si="63"/>
        <v>2013.5420335111874</v>
      </c>
      <c r="N162" s="696">
        <f t="shared" si="63"/>
        <v>2051.1847911927498</v>
      </c>
      <c r="O162" s="696">
        <f t="shared" si="63"/>
        <v>2858.9753022353898</v>
      </c>
      <c r="P162" s="696">
        <f t="shared" si="63"/>
        <v>3813.7793006811335</v>
      </c>
      <c r="Q162" s="696">
        <f t="shared" si="63"/>
        <v>4476.4989994299285</v>
      </c>
      <c r="R162" s="696">
        <f t="shared" si="63"/>
        <v>4558.0788612533706</v>
      </c>
      <c r="S162" s="696">
        <f t="shared" si="63"/>
        <v>4555.1954629532265</v>
      </c>
      <c r="T162" s="696">
        <f t="shared" si="63"/>
        <v>5155.2467243657566</v>
      </c>
      <c r="U162" s="696">
        <f t="shared" si="63"/>
        <v>6433.0131972932168</v>
      </c>
      <c r="V162" s="696">
        <f t="shared" si="63"/>
        <v>6479.1082034099518</v>
      </c>
      <c r="W162" s="696">
        <f t="shared" si="63"/>
        <v>6613.2705928387522</v>
      </c>
      <c r="X162" s="696">
        <f t="shared" si="63"/>
        <v>6677.5482438065601</v>
      </c>
      <c r="Y162" s="696">
        <f t="shared" si="63"/>
        <v>6811.7906226402265</v>
      </c>
    </row>
    <row r="164" spans="2:25" ht="13.5" thickBot="1">
      <c r="B164" s="652" t="s">
        <v>463</v>
      </c>
      <c r="C164" s="653"/>
      <c r="D164" s="653"/>
      <c r="E164" s="653"/>
      <c r="F164" s="652"/>
      <c r="G164" s="652">
        <v>2012</v>
      </c>
      <c r="H164" s="652">
        <f>G164+1</f>
        <v>2013</v>
      </c>
      <c r="I164" s="652">
        <f t="shared" ref="I164:X164" si="64">H164+1</f>
        <v>2014</v>
      </c>
      <c r="J164" s="652">
        <f t="shared" si="64"/>
        <v>2015</v>
      </c>
      <c r="K164" s="652">
        <f t="shared" si="64"/>
        <v>2016</v>
      </c>
      <c r="L164" s="652">
        <f t="shared" si="64"/>
        <v>2017</v>
      </c>
      <c r="M164" s="652">
        <f t="shared" si="64"/>
        <v>2018</v>
      </c>
      <c r="N164" s="652">
        <f t="shared" si="64"/>
        <v>2019</v>
      </c>
      <c r="O164" s="652">
        <f t="shared" si="64"/>
        <v>2020</v>
      </c>
      <c r="P164" s="652">
        <f t="shared" si="64"/>
        <v>2021</v>
      </c>
      <c r="Q164" s="652">
        <f t="shared" si="64"/>
        <v>2022</v>
      </c>
      <c r="R164" s="652">
        <f t="shared" si="64"/>
        <v>2023</v>
      </c>
      <c r="S164" s="652">
        <f t="shared" si="64"/>
        <v>2024</v>
      </c>
      <c r="T164" s="652">
        <f t="shared" si="64"/>
        <v>2025</v>
      </c>
      <c r="U164" s="652">
        <f t="shared" si="64"/>
        <v>2026</v>
      </c>
      <c r="V164" s="652">
        <f t="shared" si="64"/>
        <v>2027</v>
      </c>
      <c r="W164" s="652">
        <f t="shared" si="64"/>
        <v>2028</v>
      </c>
      <c r="X164" s="652">
        <f t="shared" si="64"/>
        <v>2029</v>
      </c>
      <c r="Y164" s="652">
        <f>X164+1</f>
        <v>2030</v>
      </c>
    </row>
    <row r="166" spans="2:25" ht="13.5" thickBot="1">
      <c r="B166" s="656" t="s">
        <v>530</v>
      </c>
      <c r="C166" s="657"/>
      <c r="D166" s="657"/>
      <c r="E166" s="657"/>
      <c r="F166" s="657"/>
      <c r="G166" s="656"/>
      <c r="H166" s="656"/>
      <c r="I166" s="656"/>
      <c r="J166" s="656"/>
      <c r="K166" s="656"/>
      <c r="L166" s="656"/>
      <c r="M166" s="656"/>
      <c r="N166" s="656"/>
      <c r="O166" s="656"/>
      <c r="P166" s="656"/>
      <c r="Q166" s="656"/>
      <c r="R166" s="656"/>
      <c r="S166" s="656"/>
      <c r="T166" s="656"/>
      <c r="U166" s="656"/>
      <c r="V166" s="656"/>
      <c r="W166" s="656"/>
      <c r="X166" s="656"/>
      <c r="Y166" s="656"/>
    </row>
    <row r="167" spans="2:25">
      <c r="B167" s="654"/>
      <c r="C167" s="655"/>
      <c r="D167" s="655"/>
      <c r="E167" s="655"/>
    </row>
    <row r="168" spans="2:25">
      <c r="B168" s="658" t="s">
        <v>340</v>
      </c>
      <c r="C168" s="659"/>
      <c r="D168" s="659"/>
      <c r="E168" s="659"/>
      <c r="F168" s="659"/>
      <c r="G168" s="697">
        <f>CHOOSE($D$2,G169,G170,G171)</f>
        <v>0.49563086812370477</v>
      </c>
      <c r="H168" s="697">
        <f t="shared" ref="H168:Y168" si="65">CHOOSE($D$2,H169,H170,H171)</f>
        <v>0.55178192896429024</v>
      </c>
      <c r="I168" s="697">
        <f t="shared" si="65"/>
        <v>0.6801700240468429</v>
      </c>
      <c r="J168" s="697">
        <f t="shared" si="65"/>
        <v>0.70673964936757661</v>
      </c>
      <c r="K168" s="697">
        <f t="shared" si="65"/>
        <v>0.71330762139396109</v>
      </c>
      <c r="L168" s="697">
        <f t="shared" si="65"/>
        <v>0.7</v>
      </c>
      <c r="M168" s="697">
        <f t="shared" si="65"/>
        <v>0.7</v>
      </c>
      <c r="N168" s="697">
        <f t="shared" si="65"/>
        <v>0.7</v>
      </c>
      <c r="O168" s="697">
        <f t="shared" si="65"/>
        <v>0.7</v>
      </c>
      <c r="P168" s="697">
        <f t="shared" si="65"/>
        <v>0.7</v>
      </c>
      <c r="Q168" s="697">
        <f t="shared" si="65"/>
        <v>0.7</v>
      </c>
      <c r="R168" s="697">
        <f t="shared" si="65"/>
        <v>0.7</v>
      </c>
      <c r="S168" s="697">
        <f t="shared" si="65"/>
        <v>0.7</v>
      </c>
      <c r="T168" s="697">
        <f t="shared" si="65"/>
        <v>0.7</v>
      </c>
      <c r="U168" s="697">
        <f t="shared" si="65"/>
        <v>0.7</v>
      </c>
      <c r="V168" s="697">
        <f t="shared" si="65"/>
        <v>0.7</v>
      </c>
      <c r="W168" s="697">
        <f t="shared" si="65"/>
        <v>0.7</v>
      </c>
      <c r="X168" s="697">
        <f t="shared" si="65"/>
        <v>0.7</v>
      </c>
      <c r="Y168" s="697">
        <f t="shared" si="65"/>
        <v>0.7</v>
      </c>
    </row>
    <row r="169" spans="2:25">
      <c r="B169" s="660"/>
      <c r="C169" s="661" t="s">
        <v>42</v>
      </c>
      <c r="D169" s="661"/>
      <c r="E169" s="661"/>
      <c r="F169" s="661"/>
      <c r="G169" s="698">
        <f>G170</f>
        <v>0.49563086812370477</v>
      </c>
      <c r="H169" s="698">
        <f t="shared" ref="H169:K169" si="66">H170</f>
        <v>0.55178192896429024</v>
      </c>
      <c r="I169" s="698">
        <f t="shared" si="66"/>
        <v>0.6801700240468429</v>
      </c>
      <c r="J169" s="698">
        <f t="shared" si="66"/>
        <v>0.70673964936757661</v>
      </c>
      <c r="K169" s="698">
        <f t="shared" si="66"/>
        <v>0.71330762139396109</v>
      </c>
      <c r="L169" s="698">
        <v>0.8</v>
      </c>
      <c r="M169" s="698">
        <v>0.85</v>
      </c>
      <c r="N169" s="698">
        <f>M169</f>
        <v>0.85</v>
      </c>
      <c r="O169" s="698">
        <f t="shared" ref="O169:Y170" si="67">N169</f>
        <v>0.85</v>
      </c>
      <c r="P169" s="698">
        <f t="shared" si="67"/>
        <v>0.85</v>
      </c>
      <c r="Q169" s="698">
        <f t="shared" si="67"/>
        <v>0.85</v>
      </c>
      <c r="R169" s="698">
        <f t="shared" si="67"/>
        <v>0.85</v>
      </c>
      <c r="S169" s="698">
        <f t="shared" si="67"/>
        <v>0.85</v>
      </c>
      <c r="T169" s="698">
        <f t="shared" si="67"/>
        <v>0.85</v>
      </c>
      <c r="U169" s="698">
        <f t="shared" si="67"/>
        <v>0.85</v>
      </c>
      <c r="V169" s="698">
        <f t="shared" si="67"/>
        <v>0.85</v>
      </c>
      <c r="W169" s="698">
        <f t="shared" si="67"/>
        <v>0.85</v>
      </c>
      <c r="X169" s="698">
        <f t="shared" si="67"/>
        <v>0.85</v>
      </c>
      <c r="Y169" s="698">
        <f t="shared" si="67"/>
        <v>0.85</v>
      </c>
    </row>
    <row r="170" spans="2:25">
      <c r="B170" s="660"/>
      <c r="C170" s="661" t="s">
        <v>43</v>
      </c>
      <c r="D170" s="661"/>
      <c r="E170" s="661"/>
      <c r="F170" s="661"/>
      <c r="G170" s="698">
        <f>G270/G210</f>
        <v>0.49563086812370477</v>
      </c>
      <c r="H170" s="698">
        <f>H270/H210</f>
        <v>0.55178192896429024</v>
      </c>
      <c r="I170" s="698">
        <f>I270/I210</f>
        <v>0.6801700240468429</v>
      </c>
      <c r="J170" s="698">
        <f>J270/J210</f>
        <v>0.70673964936757661</v>
      </c>
      <c r="K170" s="698">
        <f>K270/K210</f>
        <v>0.71330762139396109</v>
      </c>
      <c r="L170" s="698">
        <v>0.7</v>
      </c>
      <c r="M170" s="698">
        <f t="shared" ref="M170:Y171" si="68">L170</f>
        <v>0.7</v>
      </c>
      <c r="N170" s="698">
        <f t="shared" si="68"/>
        <v>0.7</v>
      </c>
      <c r="O170" s="698">
        <f t="shared" si="67"/>
        <v>0.7</v>
      </c>
      <c r="P170" s="698">
        <f t="shared" si="67"/>
        <v>0.7</v>
      </c>
      <c r="Q170" s="698">
        <f t="shared" si="67"/>
        <v>0.7</v>
      </c>
      <c r="R170" s="698">
        <f t="shared" si="67"/>
        <v>0.7</v>
      </c>
      <c r="S170" s="698">
        <f t="shared" si="67"/>
        <v>0.7</v>
      </c>
      <c r="T170" s="698">
        <f t="shared" si="67"/>
        <v>0.7</v>
      </c>
      <c r="U170" s="698">
        <f>T170</f>
        <v>0.7</v>
      </c>
      <c r="V170" s="698">
        <f t="shared" si="67"/>
        <v>0.7</v>
      </c>
      <c r="W170" s="698">
        <f t="shared" si="67"/>
        <v>0.7</v>
      </c>
      <c r="X170" s="698">
        <f t="shared" si="67"/>
        <v>0.7</v>
      </c>
      <c r="Y170" s="698">
        <f t="shared" si="67"/>
        <v>0.7</v>
      </c>
    </row>
    <row r="171" spans="2:25">
      <c r="B171" s="660"/>
      <c r="C171" s="661" t="s">
        <v>44</v>
      </c>
      <c r="D171" s="661"/>
      <c r="E171" s="661"/>
      <c r="F171" s="661"/>
      <c r="G171" s="698">
        <f>G170</f>
        <v>0.49563086812370477</v>
      </c>
      <c r="H171" s="698">
        <f t="shared" ref="H171:K171" si="69">H170</f>
        <v>0.55178192896429024</v>
      </c>
      <c r="I171" s="698">
        <f t="shared" si="69"/>
        <v>0.6801700240468429</v>
      </c>
      <c r="J171" s="698">
        <f t="shared" si="69"/>
        <v>0.70673964936757661</v>
      </c>
      <c r="K171" s="698">
        <f t="shared" si="69"/>
        <v>0.71330762139396109</v>
      </c>
      <c r="L171" s="698">
        <v>0.65</v>
      </c>
      <c r="M171" s="698">
        <v>0.6</v>
      </c>
      <c r="N171" s="698">
        <f>M171</f>
        <v>0.6</v>
      </c>
      <c r="O171" s="698">
        <f t="shared" si="68"/>
        <v>0.6</v>
      </c>
      <c r="P171" s="698">
        <f t="shared" si="68"/>
        <v>0.6</v>
      </c>
      <c r="Q171" s="698">
        <f t="shared" si="68"/>
        <v>0.6</v>
      </c>
      <c r="R171" s="698">
        <f t="shared" si="68"/>
        <v>0.6</v>
      </c>
      <c r="S171" s="698">
        <f t="shared" si="68"/>
        <v>0.6</v>
      </c>
      <c r="T171" s="698">
        <f t="shared" si="68"/>
        <v>0.6</v>
      </c>
      <c r="U171" s="698">
        <f t="shared" si="68"/>
        <v>0.6</v>
      </c>
      <c r="V171" s="698">
        <f t="shared" si="68"/>
        <v>0.6</v>
      </c>
      <c r="W171" s="698">
        <f t="shared" si="68"/>
        <v>0.6</v>
      </c>
      <c r="X171" s="698">
        <f t="shared" si="68"/>
        <v>0.6</v>
      </c>
      <c r="Y171" s="698">
        <f t="shared" si="68"/>
        <v>0.6</v>
      </c>
    </row>
    <row r="172" spans="2:25">
      <c r="B172" s="660"/>
      <c r="C172" s="661"/>
      <c r="D172" s="661"/>
      <c r="E172" s="661"/>
      <c r="F172" s="661"/>
      <c r="G172" s="661"/>
      <c r="H172" s="661"/>
      <c r="I172" s="661"/>
      <c r="J172" s="661"/>
      <c r="K172" s="661"/>
      <c r="L172" s="661"/>
      <c r="M172" s="661"/>
      <c r="N172" s="661"/>
      <c r="O172" s="661"/>
      <c r="P172" s="661"/>
      <c r="Q172" s="661"/>
      <c r="R172" s="661"/>
      <c r="S172" s="661"/>
      <c r="T172" s="661"/>
      <c r="U172" s="661"/>
      <c r="V172" s="661"/>
      <c r="W172" s="661"/>
      <c r="X172" s="661"/>
      <c r="Y172" s="661"/>
    </row>
    <row r="173" spans="2:25">
      <c r="B173" s="658" t="s">
        <v>656</v>
      </c>
      <c r="C173" s="733"/>
      <c r="D173" s="734"/>
      <c r="E173" s="734"/>
      <c r="F173" s="693"/>
      <c r="G173" s="735"/>
      <c r="H173" s="735"/>
      <c r="I173" s="735"/>
      <c r="J173" s="735"/>
      <c r="K173" s="735"/>
      <c r="L173" s="735"/>
      <c r="M173" s="735"/>
      <c r="N173" s="735"/>
      <c r="O173" s="663">
        <f t="shared" ref="O173:Y173" si="70">CHOOSE($D$2,O174,O175,O176)</f>
        <v>0.7</v>
      </c>
      <c r="P173" s="663">
        <f t="shared" si="70"/>
        <v>0.7</v>
      </c>
      <c r="Q173" s="663">
        <f t="shared" si="70"/>
        <v>0.7</v>
      </c>
      <c r="R173" s="663">
        <f t="shared" si="70"/>
        <v>0.7</v>
      </c>
      <c r="S173" s="663">
        <f t="shared" si="70"/>
        <v>0.7</v>
      </c>
      <c r="T173" s="663">
        <f t="shared" si="70"/>
        <v>0.7</v>
      </c>
      <c r="U173" s="663">
        <f t="shared" si="70"/>
        <v>0.7</v>
      </c>
      <c r="V173" s="663">
        <f t="shared" si="70"/>
        <v>0.7</v>
      </c>
      <c r="W173" s="663">
        <f t="shared" si="70"/>
        <v>0.7</v>
      </c>
      <c r="X173" s="663">
        <f t="shared" si="70"/>
        <v>0.7</v>
      </c>
      <c r="Y173" s="663">
        <f t="shared" si="70"/>
        <v>0.7</v>
      </c>
    </row>
    <row r="174" spans="2:25">
      <c r="B174" s="660"/>
      <c r="C174" s="725" t="s">
        <v>42</v>
      </c>
      <c r="D174" s="661"/>
      <c r="E174" s="661"/>
      <c r="F174" s="660"/>
      <c r="G174" s="662"/>
      <c r="H174" s="661"/>
      <c r="I174" s="661"/>
      <c r="J174" s="661"/>
      <c r="K174" s="661"/>
      <c r="L174" s="661"/>
      <c r="M174" s="661"/>
      <c r="N174" s="661"/>
      <c r="O174" s="662">
        <f>O169</f>
        <v>0.85</v>
      </c>
      <c r="P174" s="662">
        <f t="shared" ref="P174:Y174" si="71">P169</f>
        <v>0.85</v>
      </c>
      <c r="Q174" s="662">
        <f t="shared" si="71"/>
        <v>0.85</v>
      </c>
      <c r="R174" s="662">
        <f t="shared" si="71"/>
        <v>0.85</v>
      </c>
      <c r="S174" s="662">
        <f t="shared" si="71"/>
        <v>0.85</v>
      </c>
      <c r="T174" s="662">
        <f t="shared" si="71"/>
        <v>0.85</v>
      </c>
      <c r="U174" s="662">
        <f t="shared" si="71"/>
        <v>0.85</v>
      </c>
      <c r="V174" s="662">
        <f t="shared" si="71"/>
        <v>0.85</v>
      </c>
      <c r="W174" s="662">
        <f t="shared" si="71"/>
        <v>0.85</v>
      </c>
      <c r="X174" s="662">
        <f t="shared" si="71"/>
        <v>0.85</v>
      </c>
      <c r="Y174" s="662">
        <f t="shared" si="71"/>
        <v>0.85</v>
      </c>
    </row>
    <row r="175" spans="2:25">
      <c r="B175" s="660"/>
      <c r="C175" s="725" t="s">
        <v>43</v>
      </c>
      <c r="D175" s="661"/>
      <c r="E175" s="661"/>
      <c r="F175" s="660"/>
      <c r="G175" s="662"/>
      <c r="H175" s="661"/>
      <c r="I175" s="661"/>
      <c r="J175" s="661"/>
      <c r="K175" s="661"/>
      <c r="L175" s="661"/>
      <c r="M175" s="661"/>
      <c r="N175" s="661"/>
      <c r="O175" s="662">
        <f>O170</f>
        <v>0.7</v>
      </c>
      <c r="P175" s="662">
        <f t="shared" ref="P175:Y175" si="72">P170</f>
        <v>0.7</v>
      </c>
      <c r="Q175" s="662">
        <f t="shared" si="72"/>
        <v>0.7</v>
      </c>
      <c r="R175" s="662">
        <f t="shared" si="72"/>
        <v>0.7</v>
      </c>
      <c r="S175" s="662">
        <f t="shared" si="72"/>
        <v>0.7</v>
      </c>
      <c r="T175" s="662">
        <f t="shared" si="72"/>
        <v>0.7</v>
      </c>
      <c r="U175" s="662">
        <f t="shared" si="72"/>
        <v>0.7</v>
      </c>
      <c r="V175" s="662">
        <f t="shared" si="72"/>
        <v>0.7</v>
      </c>
      <c r="W175" s="662">
        <f t="shared" si="72"/>
        <v>0.7</v>
      </c>
      <c r="X175" s="662">
        <f t="shared" si="72"/>
        <v>0.7</v>
      </c>
      <c r="Y175" s="662">
        <f t="shared" si="72"/>
        <v>0.7</v>
      </c>
    </row>
    <row r="176" spans="2:25">
      <c r="B176" s="660"/>
      <c r="C176" s="725" t="s">
        <v>44</v>
      </c>
      <c r="D176" s="661"/>
      <c r="E176" s="661"/>
      <c r="F176" s="660"/>
      <c r="G176" s="662"/>
      <c r="H176" s="661"/>
      <c r="I176" s="661"/>
      <c r="J176" s="661"/>
      <c r="K176" s="661"/>
      <c r="L176" s="661"/>
      <c r="M176" s="661"/>
      <c r="N176" s="661"/>
      <c r="O176" s="662">
        <f>O171</f>
        <v>0.6</v>
      </c>
      <c r="P176" s="662">
        <f t="shared" ref="P176:Y176" si="73">P171</f>
        <v>0.6</v>
      </c>
      <c r="Q176" s="662">
        <f t="shared" si="73"/>
        <v>0.6</v>
      </c>
      <c r="R176" s="662">
        <f t="shared" si="73"/>
        <v>0.6</v>
      </c>
      <c r="S176" s="662">
        <f t="shared" si="73"/>
        <v>0.6</v>
      </c>
      <c r="T176" s="662">
        <f t="shared" si="73"/>
        <v>0.6</v>
      </c>
      <c r="U176" s="662">
        <f t="shared" si="73"/>
        <v>0.6</v>
      </c>
      <c r="V176" s="662">
        <f t="shared" si="73"/>
        <v>0.6</v>
      </c>
      <c r="W176" s="662">
        <f t="shared" si="73"/>
        <v>0.6</v>
      </c>
      <c r="X176" s="662">
        <f t="shared" si="73"/>
        <v>0.6</v>
      </c>
      <c r="Y176" s="662">
        <f t="shared" si="73"/>
        <v>0.6</v>
      </c>
    </row>
    <row r="177" spans="2:25">
      <c r="B177" s="660"/>
      <c r="C177" s="661"/>
      <c r="D177" s="661"/>
      <c r="E177" s="661"/>
      <c r="F177" s="661"/>
      <c r="G177" s="661"/>
      <c r="H177" s="661"/>
      <c r="I177" s="661"/>
      <c r="J177" s="661"/>
      <c r="K177" s="661"/>
      <c r="L177" s="661"/>
      <c r="M177" s="661"/>
      <c r="N177" s="661"/>
      <c r="O177" s="661"/>
      <c r="P177" s="661"/>
      <c r="Q177" s="661"/>
      <c r="R177" s="661"/>
      <c r="S177" s="661"/>
      <c r="T177" s="661"/>
      <c r="U177" s="661"/>
      <c r="V177" s="661"/>
      <c r="W177" s="661"/>
      <c r="X177" s="661"/>
      <c r="Y177" s="661"/>
    </row>
    <row r="178" spans="2:25">
      <c r="B178" s="658" t="s">
        <v>498</v>
      </c>
      <c r="C178" s="659"/>
      <c r="D178" s="659"/>
      <c r="E178" s="659"/>
      <c r="F178" s="659"/>
      <c r="G178" s="659"/>
      <c r="H178" s="659"/>
      <c r="I178" s="659"/>
      <c r="J178" s="659"/>
      <c r="K178" s="697">
        <f>CHOOSE($D$2,K179,K180,K181)</f>
        <v>0.05</v>
      </c>
      <c r="L178" s="697">
        <f t="shared" ref="L178:Y178" si="74">CHOOSE($D$2,L179,L180,L181)</f>
        <v>0.10249999999999999</v>
      </c>
      <c r="M178" s="697">
        <f t="shared" si="74"/>
        <v>0.14249999999999999</v>
      </c>
      <c r="N178" s="697">
        <f t="shared" si="74"/>
        <v>0.19750000000000001</v>
      </c>
      <c r="O178" s="697">
        <f t="shared" si="74"/>
        <v>0.215</v>
      </c>
      <c r="P178" s="697">
        <f t="shared" si="74"/>
        <v>0.32</v>
      </c>
      <c r="Q178" s="697">
        <f t="shared" si="74"/>
        <v>0.35</v>
      </c>
      <c r="R178" s="697">
        <f t="shared" si="74"/>
        <v>0.4</v>
      </c>
      <c r="S178" s="697">
        <f t="shared" si="74"/>
        <v>0.45</v>
      </c>
      <c r="T178" s="697">
        <f t="shared" si="74"/>
        <v>0.5</v>
      </c>
      <c r="U178" s="697">
        <f t="shared" si="74"/>
        <v>0.5</v>
      </c>
      <c r="V178" s="697">
        <f t="shared" si="74"/>
        <v>0.5</v>
      </c>
      <c r="W178" s="697">
        <f t="shared" si="74"/>
        <v>0.5</v>
      </c>
      <c r="X178" s="697">
        <f t="shared" si="74"/>
        <v>0.5</v>
      </c>
      <c r="Y178" s="697">
        <f t="shared" si="74"/>
        <v>0.5</v>
      </c>
    </row>
    <row r="179" spans="2:25">
      <c r="B179" s="660"/>
      <c r="C179" s="661" t="s">
        <v>42</v>
      </c>
      <c r="D179" s="661"/>
      <c r="E179" s="661"/>
      <c r="F179" s="661"/>
      <c r="G179" s="661"/>
      <c r="H179" s="661"/>
      <c r="I179" s="661"/>
      <c r="J179" s="661"/>
      <c r="K179" s="698">
        <f>K180</f>
        <v>0.05</v>
      </c>
      <c r="L179" s="698">
        <v>0.13</v>
      </c>
      <c r="M179" s="698">
        <v>0.2</v>
      </c>
      <c r="N179" s="698">
        <v>0.3</v>
      </c>
      <c r="O179" s="698">
        <v>0.37</v>
      </c>
      <c r="P179" s="698">
        <v>0.45</v>
      </c>
      <c r="Q179" s="698">
        <v>0.5</v>
      </c>
      <c r="R179" s="698">
        <v>0.55000000000000004</v>
      </c>
      <c r="S179" s="698">
        <v>0.6</v>
      </c>
      <c r="T179" s="698">
        <v>0.65</v>
      </c>
      <c r="U179" s="698">
        <f>T179</f>
        <v>0.65</v>
      </c>
      <c r="V179" s="698">
        <f t="shared" ref="V179:Y180" si="75">U179</f>
        <v>0.65</v>
      </c>
      <c r="W179" s="698">
        <f t="shared" si="75"/>
        <v>0.65</v>
      </c>
      <c r="X179" s="698">
        <f t="shared" si="75"/>
        <v>0.65</v>
      </c>
      <c r="Y179" s="698">
        <f t="shared" si="75"/>
        <v>0.65</v>
      </c>
    </row>
    <row r="180" spans="2:25">
      <c r="B180" s="660"/>
      <c r="C180" s="661" t="s">
        <v>43</v>
      </c>
      <c r="D180" s="661"/>
      <c r="E180" s="661"/>
      <c r="F180" s="661"/>
      <c r="G180" s="661"/>
      <c r="H180" s="661"/>
      <c r="I180" s="661"/>
      <c r="J180" s="661"/>
      <c r="K180" s="698">
        <f>K290/K232</f>
        <v>0.05</v>
      </c>
      <c r="L180" s="698">
        <v>0.10249999999999999</v>
      </c>
      <c r="M180" s="698">
        <v>0.14249999999999999</v>
      </c>
      <c r="N180" s="698">
        <v>0.19750000000000001</v>
      </c>
      <c r="O180" s="698">
        <v>0.215</v>
      </c>
      <c r="P180" s="698">
        <v>0.32</v>
      </c>
      <c r="Q180" s="698">
        <v>0.35</v>
      </c>
      <c r="R180" s="698">
        <v>0.4</v>
      </c>
      <c r="S180" s="698">
        <v>0.45</v>
      </c>
      <c r="T180" s="698">
        <v>0.5</v>
      </c>
      <c r="U180" s="698">
        <f>T180</f>
        <v>0.5</v>
      </c>
      <c r="V180" s="698">
        <f t="shared" si="75"/>
        <v>0.5</v>
      </c>
      <c r="W180" s="698">
        <f t="shared" si="75"/>
        <v>0.5</v>
      </c>
      <c r="X180" s="698">
        <f t="shared" si="75"/>
        <v>0.5</v>
      </c>
      <c r="Y180" s="698">
        <f t="shared" si="75"/>
        <v>0.5</v>
      </c>
    </row>
    <row r="181" spans="2:25">
      <c r="B181" s="660"/>
      <c r="C181" s="661" t="s">
        <v>44</v>
      </c>
      <c r="D181" s="661"/>
      <c r="E181" s="661"/>
      <c r="F181" s="661"/>
      <c r="G181" s="661"/>
      <c r="H181" s="661"/>
      <c r="I181" s="661"/>
      <c r="J181" s="661"/>
      <c r="K181" s="698">
        <f>K180</f>
        <v>0.05</v>
      </c>
      <c r="L181" s="698">
        <v>7.0000000000000007E-2</v>
      </c>
      <c r="M181" s="698">
        <v>0.1</v>
      </c>
      <c r="N181" s="698">
        <v>0.125</v>
      </c>
      <c r="O181" s="698">
        <v>0.15</v>
      </c>
      <c r="P181" s="698">
        <v>0.17499999999999999</v>
      </c>
      <c r="Q181" s="698">
        <v>0.2</v>
      </c>
      <c r="R181" s="698">
        <f>Q181</f>
        <v>0.2</v>
      </c>
      <c r="S181" s="698">
        <v>0.22500000000000001</v>
      </c>
      <c r="T181" s="698">
        <v>0.25</v>
      </c>
      <c r="U181" s="698">
        <f t="shared" ref="U181:Y181" si="76">T181</f>
        <v>0.25</v>
      </c>
      <c r="V181" s="698">
        <f t="shared" si="76"/>
        <v>0.25</v>
      </c>
      <c r="W181" s="698">
        <f t="shared" si="76"/>
        <v>0.25</v>
      </c>
      <c r="X181" s="698">
        <f t="shared" si="76"/>
        <v>0.25</v>
      </c>
      <c r="Y181" s="698">
        <f t="shared" si="76"/>
        <v>0.25</v>
      </c>
    </row>
    <row r="182" spans="2:25">
      <c r="B182" s="660"/>
      <c r="C182" s="661"/>
      <c r="D182" s="661"/>
      <c r="E182" s="661"/>
      <c r="F182" s="661"/>
      <c r="G182" s="661"/>
      <c r="H182" s="661"/>
      <c r="I182" s="661"/>
      <c r="J182" s="661"/>
      <c r="K182" s="661"/>
      <c r="L182" s="698"/>
      <c r="M182" s="698"/>
      <c r="N182" s="698"/>
      <c r="O182" s="698"/>
      <c r="P182" s="698"/>
      <c r="Q182" s="698"/>
      <c r="R182" s="698"/>
      <c r="S182" s="698"/>
      <c r="T182" s="698"/>
      <c r="U182" s="698"/>
      <c r="V182" s="698"/>
      <c r="W182" s="698"/>
      <c r="X182" s="698"/>
      <c r="Y182" s="698"/>
    </row>
    <row r="183" spans="2:25">
      <c r="B183" s="658" t="s">
        <v>531</v>
      </c>
      <c r="C183" s="659"/>
      <c r="D183" s="659"/>
      <c r="E183" s="659"/>
      <c r="F183" s="659"/>
      <c r="G183" s="659"/>
      <c r="H183" s="659"/>
      <c r="I183" s="659"/>
      <c r="J183" s="659"/>
      <c r="K183" s="659"/>
      <c r="L183" s="659"/>
      <c r="M183" s="659"/>
      <c r="N183" s="697">
        <f t="shared" ref="N183:Y183" si="77">CHOOSE($D$2,N184,N185,N186)</f>
        <v>0.1</v>
      </c>
      <c r="O183" s="697">
        <f t="shared" si="77"/>
        <v>0.25</v>
      </c>
      <c r="P183" s="697">
        <f t="shared" si="77"/>
        <v>0.4</v>
      </c>
      <c r="Q183" s="697">
        <f t="shared" si="77"/>
        <v>0.5</v>
      </c>
      <c r="R183" s="697">
        <f t="shared" si="77"/>
        <v>0.6</v>
      </c>
      <c r="S183" s="697">
        <f t="shared" si="77"/>
        <v>0.6</v>
      </c>
      <c r="T183" s="697">
        <f t="shared" si="77"/>
        <v>0.6</v>
      </c>
      <c r="U183" s="697">
        <f t="shared" si="77"/>
        <v>0.6</v>
      </c>
      <c r="V183" s="697">
        <f t="shared" si="77"/>
        <v>0.6</v>
      </c>
      <c r="W183" s="697">
        <f t="shared" si="77"/>
        <v>0.6</v>
      </c>
      <c r="X183" s="697">
        <f t="shared" si="77"/>
        <v>0.6</v>
      </c>
      <c r="Y183" s="697">
        <f t="shared" si="77"/>
        <v>0.6</v>
      </c>
    </row>
    <row r="184" spans="2:25">
      <c r="B184" s="660"/>
      <c r="C184" s="661" t="s">
        <v>42</v>
      </c>
      <c r="D184" s="661"/>
      <c r="E184" s="661"/>
      <c r="F184" s="661"/>
      <c r="G184" s="661"/>
      <c r="H184" s="661"/>
      <c r="I184" s="661"/>
      <c r="J184" s="661"/>
      <c r="K184" s="661"/>
      <c r="L184" s="661"/>
      <c r="M184" s="661"/>
      <c r="N184" s="698">
        <v>0.15</v>
      </c>
      <c r="O184" s="698">
        <v>0.3</v>
      </c>
      <c r="P184" s="698">
        <v>0.45</v>
      </c>
      <c r="Q184" s="698">
        <v>0.6</v>
      </c>
      <c r="R184" s="698">
        <v>0.75</v>
      </c>
      <c r="S184" s="698">
        <f>R184</f>
        <v>0.75</v>
      </c>
      <c r="T184" s="698">
        <f t="shared" ref="T184:Y186" si="78">S184</f>
        <v>0.75</v>
      </c>
      <c r="U184" s="698">
        <f t="shared" si="78"/>
        <v>0.75</v>
      </c>
      <c r="V184" s="698">
        <f t="shared" si="78"/>
        <v>0.75</v>
      </c>
      <c r="W184" s="698">
        <f t="shared" si="78"/>
        <v>0.75</v>
      </c>
      <c r="X184" s="698">
        <f t="shared" si="78"/>
        <v>0.75</v>
      </c>
      <c r="Y184" s="698">
        <f t="shared" si="78"/>
        <v>0.75</v>
      </c>
    </row>
    <row r="185" spans="2:25">
      <c r="B185" s="660"/>
      <c r="C185" s="661" t="s">
        <v>43</v>
      </c>
      <c r="D185" s="661"/>
      <c r="E185" s="661"/>
      <c r="F185" s="661"/>
      <c r="G185" s="661"/>
      <c r="H185" s="661"/>
      <c r="I185" s="661"/>
      <c r="J185" s="661"/>
      <c r="K185" s="661"/>
      <c r="L185" s="661"/>
      <c r="M185" s="661"/>
      <c r="N185" s="698">
        <v>0.1</v>
      </c>
      <c r="O185" s="698">
        <v>0.25</v>
      </c>
      <c r="P185" s="698">
        <v>0.4</v>
      </c>
      <c r="Q185" s="698">
        <v>0.5</v>
      </c>
      <c r="R185" s="698">
        <v>0.6</v>
      </c>
      <c r="S185" s="698">
        <f>R185</f>
        <v>0.6</v>
      </c>
      <c r="T185" s="698">
        <f t="shared" si="78"/>
        <v>0.6</v>
      </c>
      <c r="U185" s="698">
        <f t="shared" si="78"/>
        <v>0.6</v>
      </c>
      <c r="V185" s="698">
        <f t="shared" si="78"/>
        <v>0.6</v>
      </c>
      <c r="W185" s="698">
        <f t="shared" si="78"/>
        <v>0.6</v>
      </c>
      <c r="X185" s="698">
        <f t="shared" si="78"/>
        <v>0.6</v>
      </c>
      <c r="Y185" s="698">
        <f t="shared" si="78"/>
        <v>0.6</v>
      </c>
    </row>
    <row r="186" spans="2:25">
      <c r="B186" s="660"/>
      <c r="C186" s="661" t="s">
        <v>44</v>
      </c>
      <c r="D186" s="661"/>
      <c r="E186" s="661"/>
      <c r="F186" s="661"/>
      <c r="G186" s="661"/>
      <c r="H186" s="661"/>
      <c r="I186" s="661"/>
      <c r="J186" s="661"/>
      <c r="K186" s="661"/>
      <c r="L186" s="661"/>
      <c r="M186" s="661"/>
      <c r="N186" s="698">
        <v>0.05</v>
      </c>
      <c r="O186" s="698">
        <v>0.1</v>
      </c>
      <c r="P186" s="698">
        <v>0.15</v>
      </c>
      <c r="Q186" s="698">
        <v>0.2</v>
      </c>
      <c r="R186" s="698">
        <v>0.25</v>
      </c>
      <c r="S186" s="698">
        <f>R186</f>
        <v>0.25</v>
      </c>
      <c r="T186" s="698">
        <f t="shared" si="78"/>
        <v>0.25</v>
      </c>
      <c r="U186" s="698">
        <f t="shared" si="78"/>
        <v>0.25</v>
      </c>
      <c r="V186" s="698">
        <f t="shared" si="78"/>
        <v>0.25</v>
      </c>
      <c r="W186" s="698">
        <f t="shared" si="78"/>
        <v>0.25</v>
      </c>
      <c r="X186" s="698">
        <f t="shared" si="78"/>
        <v>0.25</v>
      </c>
      <c r="Y186" s="698">
        <f t="shared" si="78"/>
        <v>0.25</v>
      </c>
    </row>
    <row r="187" spans="2:25">
      <c r="B187" s="660"/>
      <c r="C187" s="661"/>
      <c r="D187" s="661"/>
      <c r="E187" s="661"/>
      <c r="F187" s="661"/>
      <c r="G187" s="661"/>
      <c r="H187" s="661"/>
      <c r="I187" s="661"/>
      <c r="J187" s="661"/>
      <c r="K187" s="661"/>
      <c r="L187" s="661"/>
      <c r="M187" s="661"/>
      <c r="N187" s="661"/>
      <c r="O187" s="661"/>
      <c r="P187" s="661"/>
      <c r="Q187" s="661"/>
      <c r="R187" s="661"/>
      <c r="S187" s="661"/>
      <c r="T187" s="661"/>
      <c r="U187" s="661"/>
      <c r="V187" s="661"/>
      <c r="W187" s="661"/>
      <c r="X187" s="661"/>
      <c r="Y187" s="661"/>
    </row>
    <row r="188" spans="2:25">
      <c r="B188" s="658" t="s">
        <v>532</v>
      </c>
      <c r="C188" s="659"/>
      <c r="D188" s="659"/>
      <c r="E188" s="659"/>
      <c r="F188" s="659"/>
      <c r="G188" s="659"/>
      <c r="H188" s="659"/>
      <c r="I188" s="659"/>
      <c r="J188" s="659"/>
      <c r="K188" s="659"/>
      <c r="L188" s="659"/>
      <c r="M188" s="659"/>
      <c r="N188" s="659"/>
      <c r="O188" s="659"/>
      <c r="P188" s="663">
        <f t="shared" ref="P188:Y188" si="79">CHOOSE($D$2,P189,P190,P191)</f>
        <v>0.15</v>
      </c>
      <c r="Q188" s="663">
        <f t="shared" si="79"/>
        <v>0.2</v>
      </c>
      <c r="R188" s="663">
        <f t="shared" si="79"/>
        <v>0.4</v>
      </c>
      <c r="S188" s="663">
        <f t="shared" si="79"/>
        <v>0.55000000000000004</v>
      </c>
      <c r="T188" s="663">
        <f t="shared" si="79"/>
        <v>0.65</v>
      </c>
      <c r="U188" s="663">
        <f t="shared" si="79"/>
        <v>0.7</v>
      </c>
      <c r="V188" s="663">
        <f t="shared" si="79"/>
        <v>0.7</v>
      </c>
      <c r="W188" s="663">
        <f t="shared" si="79"/>
        <v>0.7</v>
      </c>
      <c r="X188" s="663">
        <f t="shared" si="79"/>
        <v>0.7</v>
      </c>
      <c r="Y188" s="663">
        <f t="shared" si="79"/>
        <v>0.7</v>
      </c>
    </row>
    <row r="189" spans="2:25">
      <c r="B189" s="660"/>
      <c r="C189" s="661" t="s">
        <v>42</v>
      </c>
      <c r="D189" s="661"/>
      <c r="E189" s="661"/>
      <c r="F189" s="661"/>
      <c r="G189" s="661"/>
      <c r="H189" s="661"/>
      <c r="I189" s="661"/>
      <c r="J189" s="661"/>
      <c r="K189" s="661"/>
      <c r="L189" s="661"/>
      <c r="M189" s="661"/>
      <c r="N189" s="661"/>
      <c r="O189" s="661"/>
      <c r="P189" s="736">
        <f>P184</f>
        <v>0.45</v>
      </c>
      <c r="Q189" s="736">
        <v>0.55000000000000004</v>
      </c>
      <c r="R189" s="736">
        <f t="shared" ref="R189" si="80">R194</f>
        <v>0.55000000000000004</v>
      </c>
      <c r="S189" s="736">
        <f t="shared" ref="S189" si="81">S194</f>
        <v>0.55000000000000004</v>
      </c>
      <c r="T189" s="736">
        <v>0.75</v>
      </c>
      <c r="U189" s="736">
        <v>0.8</v>
      </c>
      <c r="V189" s="736">
        <f>U189</f>
        <v>0.8</v>
      </c>
      <c r="W189" s="736">
        <f t="shared" ref="W189:Y189" si="82">V189</f>
        <v>0.8</v>
      </c>
      <c r="X189" s="736">
        <f t="shared" si="82"/>
        <v>0.8</v>
      </c>
      <c r="Y189" s="736">
        <f t="shared" si="82"/>
        <v>0.8</v>
      </c>
    </row>
    <row r="190" spans="2:25">
      <c r="B190" s="660"/>
      <c r="C190" s="661" t="s">
        <v>43</v>
      </c>
      <c r="D190" s="661"/>
      <c r="E190" s="661"/>
      <c r="F190" s="661"/>
      <c r="G190" s="661"/>
      <c r="H190" s="661"/>
      <c r="I190" s="661"/>
      <c r="J190" s="661"/>
      <c r="K190" s="661"/>
      <c r="L190" s="661"/>
      <c r="M190" s="661"/>
      <c r="N190" s="661"/>
      <c r="O190" s="661"/>
      <c r="P190" s="736">
        <v>0.15</v>
      </c>
      <c r="Q190" s="736">
        <v>0.2</v>
      </c>
      <c r="R190" s="736">
        <f t="shared" ref="R190" si="83">R195</f>
        <v>0.4</v>
      </c>
      <c r="S190" s="736">
        <f t="shared" ref="S190:Y190" si="84">S195</f>
        <v>0.55000000000000004</v>
      </c>
      <c r="T190" s="736">
        <f t="shared" si="84"/>
        <v>0.65</v>
      </c>
      <c r="U190" s="736">
        <f t="shared" si="84"/>
        <v>0.7</v>
      </c>
      <c r="V190" s="736">
        <f t="shared" si="84"/>
        <v>0.7</v>
      </c>
      <c r="W190" s="736">
        <f t="shared" si="84"/>
        <v>0.7</v>
      </c>
      <c r="X190" s="736">
        <f t="shared" si="84"/>
        <v>0.7</v>
      </c>
      <c r="Y190" s="736">
        <f t="shared" si="84"/>
        <v>0.7</v>
      </c>
    </row>
    <row r="191" spans="2:25">
      <c r="B191" s="660"/>
      <c r="C191" s="661" t="s">
        <v>44</v>
      </c>
      <c r="D191" s="661"/>
      <c r="E191" s="661"/>
      <c r="F191" s="661"/>
      <c r="G191" s="661"/>
      <c r="H191" s="661"/>
      <c r="I191" s="661"/>
      <c r="J191" s="661"/>
      <c r="K191" s="661"/>
      <c r="L191" s="661"/>
      <c r="M191" s="661"/>
      <c r="N191" s="661"/>
      <c r="O191" s="661"/>
      <c r="P191" s="736">
        <f>P186</f>
        <v>0.15</v>
      </c>
      <c r="Q191" s="736">
        <v>0.15</v>
      </c>
      <c r="R191" s="736">
        <f t="shared" ref="R191" si="85">R196</f>
        <v>0.15</v>
      </c>
      <c r="S191" s="736">
        <f t="shared" ref="S191:Y191" si="86">S196</f>
        <v>0.2</v>
      </c>
      <c r="T191" s="736">
        <f t="shared" si="86"/>
        <v>0.25</v>
      </c>
      <c r="U191" s="736">
        <f t="shared" si="86"/>
        <v>0.25</v>
      </c>
      <c r="V191" s="736">
        <f t="shared" si="86"/>
        <v>0.25</v>
      </c>
      <c r="W191" s="736">
        <f t="shared" si="86"/>
        <v>0.25</v>
      </c>
      <c r="X191" s="736">
        <f t="shared" si="86"/>
        <v>0.25</v>
      </c>
      <c r="Y191" s="736">
        <f t="shared" si="86"/>
        <v>0.25</v>
      </c>
    </row>
    <row r="192" spans="2:25">
      <c r="B192" s="660"/>
      <c r="C192" s="661"/>
      <c r="D192" s="661"/>
      <c r="E192" s="661"/>
      <c r="F192" s="661"/>
      <c r="G192" s="661"/>
      <c r="H192" s="661"/>
      <c r="I192" s="661"/>
      <c r="J192" s="661"/>
      <c r="K192" s="661"/>
      <c r="L192" s="661"/>
      <c r="M192" s="661"/>
      <c r="N192" s="661"/>
      <c r="O192" s="661"/>
      <c r="P192" s="661"/>
      <c r="Q192" s="661"/>
      <c r="R192" s="661"/>
      <c r="S192" s="661"/>
      <c r="T192" s="661"/>
      <c r="U192" s="661"/>
      <c r="V192" s="661"/>
      <c r="W192" s="661"/>
      <c r="X192" s="661"/>
      <c r="Y192" s="661"/>
    </row>
    <row r="193" spans="2:25">
      <c r="B193" s="658" t="s">
        <v>533</v>
      </c>
      <c r="C193" s="659"/>
      <c r="D193" s="659"/>
      <c r="E193" s="659"/>
      <c r="F193" s="659"/>
      <c r="G193" s="659"/>
      <c r="H193" s="659"/>
      <c r="I193" s="659"/>
      <c r="J193" s="659"/>
      <c r="K193" s="659"/>
      <c r="L193" s="659"/>
      <c r="M193" s="659"/>
      <c r="N193" s="659"/>
      <c r="O193" s="697"/>
      <c r="P193" s="697">
        <f t="shared" ref="P193:Y193" si="87">CHOOSE($D$2,P194,P195,P196)</f>
        <v>0.15</v>
      </c>
      <c r="Q193" s="697">
        <f t="shared" si="87"/>
        <v>0.25</v>
      </c>
      <c r="R193" s="697">
        <f t="shared" si="87"/>
        <v>0.4</v>
      </c>
      <c r="S193" s="697">
        <f t="shared" si="87"/>
        <v>0.55000000000000004</v>
      </c>
      <c r="T193" s="697">
        <f t="shared" si="87"/>
        <v>0.65</v>
      </c>
      <c r="U193" s="697">
        <f t="shared" si="87"/>
        <v>0.7</v>
      </c>
      <c r="V193" s="697">
        <f t="shared" si="87"/>
        <v>0.7</v>
      </c>
      <c r="W193" s="697">
        <f t="shared" si="87"/>
        <v>0.7</v>
      </c>
      <c r="X193" s="697">
        <f t="shared" si="87"/>
        <v>0.7</v>
      </c>
      <c r="Y193" s="697">
        <f t="shared" si="87"/>
        <v>0.7</v>
      </c>
    </row>
    <row r="194" spans="2:25">
      <c r="B194" s="660"/>
      <c r="C194" s="661" t="s">
        <v>42</v>
      </c>
      <c r="D194" s="661"/>
      <c r="E194" s="661"/>
      <c r="F194" s="661"/>
      <c r="G194" s="661"/>
      <c r="H194" s="661"/>
      <c r="I194" s="661"/>
      <c r="J194" s="661"/>
      <c r="K194" s="661"/>
      <c r="L194" s="661"/>
      <c r="M194" s="661"/>
      <c r="N194" s="661"/>
      <c r="O194" s="698"/>
      <c r="P194" s="698">
        <v>0.2</v>
      </c>
      <c r="Q194" s="698">
        <f>P189</f>
        <v>0.45</v>
      </c>
      <c r="R194" s="698">
        <f t="shared" ref="R194:Y194" si="88">Q189</f>
        <v>0.55000000000000004</v>
      </c>
      <c r="S194" s="698">
        <f t="shared" si="88"/>
        <v>0.55000000000000004</v>
      </c>
      <c r="T194" s="698">
        <f t="shared" si="88"/>
        <v>0.55000000000000004</v>
      </c>
      <c r="U194" s="698">
        <f t="shared" si="88"/>
        <v>0.75</v>
      </c>
      <c r="V194" s="698">
        <f t="shared" si="88"/>
        <v>0.8</v>
      </c>
      <c r="W194" s="698">
        <f t="shared" si="88"/>
        <v>0.8</v>
      </c>
      <c r="X194" s="698">
        <f t="shared" si="88"/>
        <v>0.8</v>
      </c>
      <c r="Y194" s="698">
        <f t="shared" si="88"/>
        <v>0.8</v>
      </c>
    </row>
    <row r="195" spans="2:25">
      <c r="B195" s="660"/>
      <c r="C195" s="661" t="s">
        <v>43</v>
      </c>
      <c r="D195" s="661"/>
      <c r="E195" s="661"/>
      <c r="F195" s="661"/>
      <c r="G195" s="661"/>
      <c r="H195" s="661"/>
      <c r="I195" s="661"/>
      <c r="J195" s="661"/>
      <c r="K195" s="661"/>
      <c r="L195" s="661"/>
      <c r="M195" s="661"/>
      <c r="N195" s="661"/>
      <c r="O195" s="698"/>
      <c r="P195" s="698">
        <v>0.15</v>
      </c>
      <c r="Q195" s="698">
        <v>0.25</v>
      </c>
      <c r="R195" s="698">
        <v>0.4</v>
      </c>
      <c r="S195" s="698">
        <v>0.55000000000000004</v>
      </c>
      <c r="T195" s="698">
        <v>0.65</v>
      </c>
      <c r="U195" s="698">
        <v>0.7</v>
      </c>
      <c r="V195" s="698">
        <f t="shared" ref="V195:Y196" si="89">U195</f>
        <v>0.7</v>
      </c>
      <c r="W195" s="698">
        <f t="shared" si="89"/>
        <v>0.7</v>
      </c>
      <c r="X195" s="698">
        <f t="shared" si="89"/>
        <v>0.7</v>
      </c>
      <c r="Y195" s="698">
        <f t="shared" si="89"/>
        <v>0.7</v>
      </c>
    </row>
    <row r="196" spans="2:25">
      <c r="B196" s="660"/>
      <c r="C196" s="661" t="s">
        <v>44</v>
      </c>
      <c r="D196" s="661"/>
      <c r="E196" s="661"/>
      <c r="F196" s="661"/>
      <c r="G196" s="661"/>
      <c r="H196" s="661"/>
      <c r="I196" s="661"/>
      <c r="J196" s="661"/>
      <c r="K196" s="661"/>
      <c r="L196" s="661"/>
      <c r="M196" s="661"/>
      <c r="N196" s="661"/>
      <c r="O196" s="698"/>
      <c r="P196" s="698">
        <v>0.05</v>
      </c>
      <c r="Q196" s="698">
        <v>0.1</v>
      </c>
      <c r="R196" s="698">
        <v>0.15</v>
      </c>
      <c r="S196" s="698">
        <v>0.2</v>
      </c>
      <c r="T196" s="698">
        <v>0.25</v>
      </c>
      <c r="U196" s="698">
        <f>T196</f>
        <v>0.25</v>
      </c>
      <c r="V196" s="698">
        <f t="shared" si="89"/>
        <v>0.25</v>
      </c>
      <c r="W196" s="698">
        <f t="shared" si="89"/>
        <v>0.25</v>
      </c>
      <c r="X196" s="698">
        <f t="shared" si="89"/>
        <v>0.25</v>
      </c>
      <c r="Y196" s="698">
        <f t="shared" si="89"/>
        <v>0.25</v>
      </c>
    </row>
    <row r="197" spans="2:25">
      <c r="F197" s="650"/>
      <c r="G197" s="650"/>
      <c r="H197" s="650"/>
      <c r="I197" s="650"/>
      <c r="J197" s="650"/>
      <c r="K197" s="650"/>
      <c r="L197" s="650"/>
      <c r="M197" s="650"/>
      <c r="N197" s="650"/>
      <c r="O197" s="650"/>
      <c r="P197" s="650"/>
      <c r="Q197" s="650"/>
      <c r="R197" s="650"/>
      <c r="S197" s="650"/>
      <c r="T197" s="650"/>
      <c r="U197" s="650"/>
      <c r="V197" s="650"/>
      <c r="W197" s="650"/>
      <c r="X197" s="650"/>
      <c r="Y197" s="650"/>
    </row>
    <row r="198" spans="2:25" ht="13.5" thickBot="1">
      <c r="B198" s="652" t="s">
        <v>574</v>
      </c>
      <c r="C198" s="653"/>
      <c r="D198" s="653"/>
      <c r="E198" s="653"/>
      <c r="F198" s="653"/>
      <c r="G198" s="653"/>
      <c r="H198" s="653"/>
      <c r="I198" s="653"/>
      <c r="J198" s="653"/>
      <c r="K198" s="653"/>
      <c r="L198" s="653"/>
      <c r="M198" s="653"/>
      <c r="N198" s="653"/>
      <c r="O198" s="653"/>
      <c r="P198" s="653"/>
      <c r="Q198" s="653"/>
      <c r="R198" s="653"/>
      <c r="S198" s="653"/>
      <c r="T198" s="653"/>
      <c r="U198" s="653"/>
      <c r="V198" s="653"/>
      <c r="W198" s="653"/>
      <c r="X198" s="653"/>
      <c r="Y198" s="653"/>
    </row>
    <row r="199" spans="2:25">
      <c r="B199" s="654"/>
      <c r="C199" s="655"/>
      <c r="D199" s="655"/>
      <c r="E199" s="655"/>
      <c r="F199" s="654"/>
    </row>
    <row r="200" spans="2:25">
      <c r="B200" s="658" t="s">
        <v>340</v>
      </c>
      <c r="C200" s="659"/>
      <c r="D200" s="659"/>
      <c r="E200" s="659"/>
      <c r="F200" s="659"/>
      <c r="G200" s="659"/>
      <c r="H200" s="659"/>
      <c r="I200" s="659"/>
      <c r="J200" s="659"/>
      <c r="K200" s="659"/>
      <c r="L200" s="659"/>
      <c r="M200" s="659"/>
      <c r="N200" s="659"/>
      <c r="O200" s="659"/>
      <c r="P200" s="659"/>
      <c r="Q200" s="659"/>
      <c r="R200" s="659"/>
      <c r="S200" s="659"/>
      <c r="T200" s="659"/>
      <c r="U200" s="659"/>
      <c r="V200" s="659"/>
      <c r="W200" s="659"/>
      <c r="X200" s="659"/>
      <c r="Y200" s="659"/>
    </row>
    <row r="201" spans="2:25">
      <c r="C201" s="664" t="s">
        <v>535</v>
      </c>
      <c r="D201" s="664" t="s">
        <v>536</v>
      </c>
      <c r="E201" s="664" t="s">
        <v>441</v>
      </c>
    </row>
    <row r="202" spans="2:25">
      <c r="C202" s="650" t="s">
        <v>537</v>
      </c>
      <c r="D202" s="650" t="s">
        <v>230</v>
      </c>
      <c r="E202" s="665"/>
      <c r="G202" s="649">
        <v>1000</v>
      </c>
      <c r="H202" s="649">
        <f>G202</f>
        <v>1000</v>
      </c>
      <c r="I202" s="649">
        <f t="shared" ref="I202:X202" si="90">H202</f>
        <v>1000</v>
      </c>
      <c r="J202" s="649">
        <f t="shared" si="90"/>
        <v>1000</v>
      </c>
      <c r="K202" s="649">
        <f t="shared" si="90"/>
        <v>1000</v>
      </c>
      <c r="L202" s="649">
        <f t="shared" si="90"/>
        <v>1000</v>
      </c>
      <c r="M202" s="649">
        <f t="shared" si="90"/>
        <v>1000</v>
      </c>
      <c r="N202" s="649">
        <f t="shared" si="90"/>
        <v>1000</v>
      </c>
      <c r="O202" s="649">
        <f t="shared" si="90"/>
        <v>1000</v>
      </c>
      <c r="P202" s="649">
        <f t="shared" si="90"/>
        <v>1000</v>
      </c>
      <c r="Q202" s="649">
        <f t="shared" si="90"/>
        <v>1000</v>
      </c>
      <c r="R202" s="649">
        <f t="shared" si="90"/>
        <v>1000</v>
      </c>
      <c r="S202" s="649">
        <f t="shared" si="90"/>
        <v>1000</v>
      </c>
      <c r="T202" s="649">
        <v>0</v>
      </c>
      <c r="U202" s="649">
        <f t="shared" si="90"/>
        <v>0</v>
      </c>
      <c r="V202" s="649">
        <f t="shared" si="90"/>
        <v>0</v>
      </c>
      <c r="W202" s="649">
        <f t="shared" si="90"/>
        <v>0</v>
      </c>
      <c r="X202" s="649">
        <f t="shared" si="90"/>
        <v>0</v>
      </c>
      <c r="Y202" s="649">
        <f t="shared" ref="K202:Y206" si="91">X202</f>
        <v>0</v>
      </c>
    </row>
    <row r="203" spans="2:25">
      <c r="C203" s="650" t="s">
        <v>537</v>
      </c>
      <c r="D203" s="650" t="s">
        <v>538</v>
      </c>
      <c r="E203" s="665"/>
      <c r="I203" s="649">
        <v>250</v>
      </c>
      <c r="J203" s="649">
        <f>I203</f>
        <v>250</v>
      </c>
      <c r="K203" s="649">
        <f t="shared" si="91"/>
        <v>250</v>
      </c>
      <c r="L203" s="649">
        <f t="shared" si="91"/>
        <v>250</v>
      </c>
      <c r="M203" s="649">
        <f t="shared" si="91"/>
        <v>250</v>
      </c>
      <c r="N203" s="649">
        <f t="shared" si="91"/>
        <v>250</v>
      </c>
      <c r="O203" s="649">
        <f t="shared" si="91"/>
        <v>250</v>
      </c>
      <c r="P203" s="649">
        <f t="shared" si="91"/>
        <v>250</v>
      </c>
      <c r="Q203" s="649">
        <f t="shared" si="91"/>
        <v>250</v>
      </c>
      <c r="R203" s="649">
        <f t="shared" si="91"/>
        <v>250</v>
      </c>
      <c r="S203" s="649">
        <f t="shared" si="91"/>
        <v>250</v>
      </c>
      <c r="T203" s="649">
        <v>0</v>
      </c>
      <c r="U203" s="649">
        <f t="shared" si="91"/>
        <v>0</v>
      </c>
      <c r="V203" s="649">
        <f t="shared" si="91"/>
        <v>0</v>
      </c>
      <c r="W203" s="649">
        <f t="shared" si="91"/>
        <v>0</v>
      </c>
      <c r="X203" s="649">
        <f t="shared" si="91"/>
        <v>0</v>
      </c>
      <c r="Y203" s="649">
        <f t="shared" si="91"/>
        <v>0</v>
      </c>
    </row>
    <row r="204" spans="2:25">
      <c r="C204" s="650" t="s">
        <v>575</v>
      </c>
      <c r="D204" s="650" t="s">
        <v>231</v>
      </c>
      <c r="E204" s="665">
        <v>42326</v>
      </c>
      <c r="J204" s="649">
        <v>350</v>
      </c>
      <c r="K204" s="649">
        <f t="shared" si="91"/>
        <v>350</v>
      </c>
      <c r="L204" s="649">
        <f t="shared" si="91"/>
        <v>350</v>
      </c>
      <c r="M204" s="649">
        <f t="shared" si="91"/>
        <v>350</v>
      </c>
      <c r="N204" s="649">
        <f t="shared" si="91"/>
        <v>350</v>
      </c>
      <c r="O204" s="649">
        <f t="shared" si="91"/>
        <v>350</v>
      </c>
      <c r="P204" s="649">
        <f t="shared" si="91"/>
        <v>350</v>
      </c>
      <c r="Q204" s="649">
        <f t="shared" si="91"/>
        <v>350</v>
      </c>
      <c r="R204" s="649">
        <f t="shared" si="91"/>
        <v>350</v>
      </c>
      <c r="S204" s="649">
        <f t="shared" si="91"/>
        <v>350</v>
      </c>
      <c r="T204" s="649">
        <v>0</v>
      </c>
      <c r="U204" s="649">
        <f t="shared" si="91"/>
        <v>0</v>
      </c>
      <c r="V204" s="649">
        <f t="shared" si="91"/>
        <v>0</v>
      </c>
      <c r="W204" s="649">
        <f t="shared" si="91"/>
        <v>0</v>
      </c>
      <c r="X204" s="649">
        <f t="shared" si="91"/>
        <v>0</v>
      </c>
      <c r="Y204" s="649">
        <f t="shared" si="91"/>
        <v>0</v>
      </c>
    </row>
    <row r="205" spans="2:25">
      <c r="C205" s="650" t="s">
        <v>539</v>
      </c>
      <c r="D205" s="650" t="s">
        <v>538</v>
      </c>
      <c r="E205" s="665">
        <v>42326</v>
      </c>
      <c r="J205" s="649">
        <v>125</v>
      </c>
      <c r="K205" s="649">
        <f t="shared" si="91"/>
        <v>125</v>
      </c>
      <c r="L205" s="649">
        <f t="shared" si="91"/>
        <v>125</v>
      </c>
      <c r="M205" s="649">
        <f t="shared" si="91"/>
        <v>125</v>
      </c>
      <c r="N205" s="649">
        <f t="shared" si="91"/>
        <v>125</v>
      </c>
      <c r="O205" s="649">
        <f t="shared" si="91"/>
        <v>125</v>
      </c>
      <c r="P205" s="649">
        <f t="shared" si="91"/>
        <v>125</v>
      </c>
      <c r="Q205" s="649">
        <f t="shared" si="91"/>
        <v>125</v>
      </c>
      <c r="R205" s="649">
        <f t="shared" si="91"/>
        <v>125</v>
      </c>
      <c r="S205" s="649">
        <f t="shared" si="91"/>
        <v>125</v>
      </c>
      <c r="T205" s="649">
        <f t="shared" si="91"/>
        <v>125</v>
      </c>
      <c r="U205" s="649">
        <v>0</v>
      </c>
      <c r="V205" s="649">
        <f t="shared" si="91"/>
        <v>0</v>
      </c>
      <c r="W205" s="649">
        <f t="shared" si="91"/>
        <v>0</v>
      </c>
      <c r="X205" s="649">
        <f t="shared" si="91"/>
        <v>0</v>
      </c>
      <c r="Y205" s="649">
        <f t="shared" si="91"/>
        <v>0</v>
      </c>
    </row>
    <row r="206" spans="2:25">
      <c r="C206" s="650" t="s">
        <v>543</v>
      </c>
      <c r="D206" s="650" t="s">
        <v>538</v>
      </c>
      <c r="E206" s="745">
        <v>2020</v>
      </c>
      <c r="O206" s="649">
        <v>590</v>
      </c>
      <c r="P206" s="649">
        <f t="shared" si="91"/>
        <v>590</v>
      </c>
      <c r="Q206" s="649">
        <f t="shared" si="91"/>
        <v>590</v>
      </c>
      <c r="R206" s="649">
        <f t="shared" si="91"/>
        <v>590</v>
      </c>
      <c r="S206" s="649">
        <f t="shared" si="91"/>
        <v>590</v>
      </c>
      <c r="T206" s="649">
        <f t="shared" si="91"/>
        <v>590</v>
      </c>
      <c r="U206" s="649">
        <f t="shared" si="91"/>
        <v>590</v>
      </c>
      <c r="V206" s="649">
        <f t="shared" si="91"/>
        <v>590</v>
      </c>
      <c r="W206" s="649">
        <v>0</v>
      </c>
      <c r="X206" s="649">
        <f t="shared" si="91"/>
        <v>0</v>
      </c>
      <c r="Y206" s="649">
        <f t="shared" si="91"/>
        <v>0</v>
      </c>
    </row>
    <row r="207" spans="2:25">
      <c r="C207" s="650" t="s">
        <v>539</v>
      </c>
      <c r="D207" s="650" t="s">
        <v>540</v>
      </c>
      <c r="E207" s="649"/>
    </row>
    <row r="208" spans="2:25">
      <c r="C208" s="650" t="s">
        <v>539</v>
      </c>
      <c r="D208" s="650" t="s">
        <v>541</v>
      </c>
      <c r="E208" s="666"/>
    </row>
    <row r="210" spans="2:25">
      <c r="B210" s="668" t="s">
        <v>544</v>
      </c>
      <c r="C210" s="669"/>
      <c r="D210" s="669"/>
      <c r="E210" s="669"/>
      <c r="F210" s="669"/>
      <c r="G210" s="699">
        <f>SUM(G202:G208)</f>
        <v>1000</v>
      </c>
      <c r="H210" s="699">
        <f t="shared" ref="H210:Y210" si="92">SUM(H202:H208)</f>
        <v>1000</v>
      </c>
      <c r="I210" s="699">
        <f t="shared" si="92"/>
        <v>1250</v>
      </c>
      <c r="J210" s="699">
        <f t="shared" si="92"/>
        <v>1725</v>
      </c>
      <c r="K210" s="699">
        <f t="shared" si="92"/>
        <v>1725</v>
      </c>
      <c r="L210" s="699">
        <f t="shared" si="92"/>
        <v>1725</v>
      </c>
      <c r="M210" s="699">
        <f t="shared" si="92"/>
        <v>1725</v>
      </c>
      <c r="N210" s="699">
        <f t="shared" si="92"/>
        <v>1725</v>
      </c>
      <c r="O210" s="699">
        <f t="shared" si="92"/>
        <v>2315</v>
      </c>
      <c r="P210" s="699">
        <f t="shared" si="92"/>
        <v>2315</v>
      </c>
      <c r="Q210" s="699">
        <f t="shared" si="92"/>
        <v>2315</v>
      </c>
      <c r="R210" s="699">
        <f t="shared" si="92"/>
        <v>2315</v>
      </c>
      <c r="S210" s="699">
        <f t="shared" si="92"/>
        <v>2315</v>
      </c>
      <c r="T210" s="699">
        <f t="shared" si="92"/>
        <v>715</v>
      </c>
      <c r="U210" s="699">
        <f t="shared" si="92"/>
        <v>590</v>
      </c>
      <c r="V210" s="699">
        <f t="shared" si="92"/>
        <v>590</v>
      </c>
      <c r="W210" s="699">
        <f t="shared" si="92"/>
        <v>0</v>
      </c>
      <c r="X210" s="699">
        <f t="shared" si="92"/>
        <v>0</v>
      </c>
      <c r="Y210" s="699">
        <f t="shared" si="92"/>
        <v>0</v>
      </c>
    </row>
    <row r="211" spans="2:25">
      <c r="B211" s="671" t="s">
        <v>545</v>
      </c>
    </row>
    <row r="212" spans="2:25">
      <c r="B212" s="671"/>
    </row>
    <row r="213" spans="2:25">
      <c r="B213" s="658" t="s">
        <v>656</v>
      </c>
      <c r="C213" s="659"/>
      <c r="D213" s="659"/>
      <c r="E213" s="659"/>
    </row>
    <row r="214" spans="2:25">
      <c r="C214" s="664" t="s">
        <v>535</v>
      </c>
      <c r="D214" s="664" t="s">
        <v>536</v>
      </c>
      <c r="E214" s="664" t="s">
        <v>441</v>
      </c>
    </row>
    <row r="215" spans="2:25">
      <c r="C215" s="650" t="s">
        <v>537</v>
      </c>
      <c r="D215" s="650" t="s">
        <v>230</v>
      </c>
      <c r="E215" s="667">
        <v>2025</v>
      </c>
      <c r="T215" s="649">
        <v>1000</v>
      </c>
      <c r="U215" s="649">
        <v>1000</v>
      </c>
      <c r="V215" s="649">
        <v>1000</v>
      </c>
      <c r="W215" s="649">
        <v>1000</v>
      </c>
      <c r="X215" s="649">
        <v>1000</v>
      </c>
      <c r="Y215" s="649">
        <v>1000</v>
      </c>
    </row>
    <row r="216" spans="2:25">
      <c r="C216" s="650" t="s">
        <v>537</v>
      </c>
      <c r="D216" s="650" t="s">
        <v>538</v>
      </c>
      <c r="E216" s="667">
        <v>2025</v>
      </c>
      <c r="T216" s="649">
        <v>250</v>
      </c>
      <c r="U216" s="649">
        <v>250</v>
      </c>
      <c r="V216" s="649">
        <v>250</v>
      </c>
      <c r="W216" s="649">
        <v>250</v>
      </c>
      <c r="X216" s="649">
        <v>250</v>
      </c>
      <c r="Y216" s="649">
        <v>250</v>
      </c>
    </row>
    <row r="217" spans="2:25">
      <c r="C217" s="650" t="s">
        <v>537</v>
      </c>
      <c r="D217" s="650" t="s">
        <v>231</v>
      </c>
      <c r="E217" s="667">
        <v>2025</v>
      </c>
      <c r="T217" s="649">
        <v>350</v>
      </c>
      <c r="U217" s="649">
        <v>350</v>
      </c>
      <c r="V217" s="649">
        <v>350</v>
      </c>
      <c r="W217" s="649">
        <v>350</v>
      </c>
      <c r="X217" s="649">
        <v>350</v>
      </c>
      <c r="Y217" s="649">
        <v>350</v>
      </c>
    </row>
    <row r="218" spans="2:25">
      <c r="C218" s="650" t="s">
        <v>539</v>
      </c>
      <c r="D218" s="650" t="s">
        <v>540</v>
      </c>
      <c r="E218" s="667">
        <v>2026</v>
      </c>
      <c r="U218" s="649">
        <v>125</v>
      </c>
      <c r="V218" s="649">
        <v>125</v>
      </c>
      <c r="W218" s="649">
        <v>125</v>
      </c>
      <c r="X218" s="649">
        <v>125</v>
      </c>
      <c r="Y218" s="649">
        <v>125</v>
      </c>
    </row>
    <row r="219" spans="2:25">
      <c r="C219" s="650" t="s">
        <v>539</v>
      </c>
      <c r="D219" s="650" t="s">
        <v>541</v>
      </c>
      <c r="E219" s="667">
        <v>2028</v>
      </c>
      <c r="W219" s="649">
        <v>590</v>
      </c>
      <c r="X219" s="649">
        <v>590</v>
      </c>
      <c r="Y219" s="649">
        <v>590</v>
      </c>
    </row>
    <row r="220" spans="2:25">
      <c r="C220" s="650" t="s">
        <v>543</v>
      </c>
      <c r="E220" s="667">
        <v>2030</v>
      </c>
    </row>
    <row r="221" spans="2:25">
      <c r="B221" s="668" t="s">
        <v>544</v>
      </c>
      <c r="C221" s="669"/>
      <c r="D221" s="669"/>
      <c r="E221" s="669"/>
      <c r="F221" s="669"/>
      <c r="G221" s="699">
        <f>SUM(G213:G219)</f>
        <v>0</v>
      </c>
      <c r="H221" s="699">
        <f t="shared" ref="H221:Y221" si="93">SUM(H213:H219)</f>
        <v>0</v>
      </c>
      <c r="I221" s="699">
        <f t="shared" si="93"/>
        <v>0</v>
      </c>
      <c r="J221" s="699">
        <f t="shared" si="93"/>
        <v>0</v>
      </c>
      <c r="K221" s="699">
        <f t="shared" si="93"/>
        <v>0</v>
      </c>
      <c r="L221" s="699">
        <f t="shared" si="93"/>
        <v>0</v>
      </c>
      <c r="M221" s="699">
        <f t="shared" si="93"/>
        <v>0</v>
      </c>
      <c r="N221" s="699">
        <f t="shared" si="93"/>
        <v>0</v>
      </c>
      <c r="O221" s="699">
        <f t="shared" si="93"/>
        <v>0</v>
      </c>
      <c r="P221" s="699">
        <f t="shared" si="93"/>
        <v>0</v>
      </c>
      <c r="Q221" s="699">
        <f t="shared" si="93"/>
        <v>0</v>
      </c>
      <c r="R221" s="699">
        <f t="shared" si="93"/>
        <v>0</v>
      </c>
      <c r="S221" s="699">
        <f t="shared" si="93"/>
        <v>0</v>
      </c>
      <c r="T221" s="699">
        <f t="shared" si="93"/>
        <v>1600</v>
      </c>
      <c r="U221" s="699">
        <f t="shared" si="93"/>
        <v>1725</v>
      </c>
      <c r="V221" s="699">
        <f t="shared" si="93"/>
        <v>1725</v>
      </c>
      <c r="W221" s="699">
        <f t="shared" si="93"/>
        <v>2315</v>
      </c>
      <c r="X221" s="699">
        <f t="shared" si="93"/>
        <v>2315</v>
      </c>
      <c r="Y221" s="699">
        <f t="shared" si="93"/>
        <v>2315</v>
      </c>
    </row>
    <row r="222" spans="2:25">
      <c r="B222" s="671" t="s">
        <v>545</v>
      </c>
    </row>
    <row r="225" spans="2:25">
      <c r="B225" s="658" t="s">
        <v>498</v>
      </c>
      <c r="C225" s="659"/>
      <c r="D225" s="659"/>
      <c r="E225" s="659"/>
      <c r="F225" s="658"/>
      <c r="G225" s="658"/>
      <c r="H225" s="658"/>
      <c r="I225" s="658"/>
      <c r="J225" s="658"/>
      <c r="K225" s="658"/>
      <c r="L225" s="658"/>
      <c r="M225" s="658"/>
      <c r="N225" s="658"/>
      <c r="O225" s="658"/>
      <c r="P225" s="658"/>
      <c r="Q225" s="658"/>
      <c r="R225" s="658"/>
      <c r="S225" s="658"/>
      <c r="T225" s="658"/>
      <c r="U225" s="658"/>
      <c r="V225" s="658"/>
      <c r="W225" s="658"/>
      <c r="X225" s="658"/>
      <c r="Y225" s="658"/>
    </row>
    <row r="226" spans="2:25">
      <c r="C226" s="664" t="s">
        <v>535</v>
      </c>
      <c r="D226" s="664" t="s">
        <v>536</v>
      </c>
      <c r="E226" s="664"/>
    </row>
    <row r="227" spans="2:25">
      <c r="C227" s="650" t="s">
        <v>546</v>
      </c>
      <c r="D227" s="650" t="s">
        <v>547</v>
      </c>
      <c r="E227" s="665"/>
      <c r="J227" s="649">
        <v>12000</v>
      </c>
      <c r="K227" s="649">
        <f>J227</f>
        <v>12000</v>
      </c>
      <c r="L227" s="649">
        <f t="shared" ref="L227:N228" si="94">K227</f>
        <v>12000</v>
      </c>
      <c r="M227" s="649">
        <f t="shared" si="94"/>
        <v>12000</v>
      </c>
      <c r="N227" s="649">
        <f t="shared" si="94"/>
        <v>12000</v>
      </c>
      <c r="O227" s="649">
        <v>12000</v>
      </c>
      <c r="P227" s="649">
        <f>0.8*12000</f>
        <v>9600</v>
      </c>
      <c r="Q227" s="649">
        <f>0.6*12000</f>
        <v>7200</v>
      </c>
      <c r="R227" s="649">
        <f>0.4*12000</f>
        <v>4800</v>
      </c>
      <c r="S227" s="649">
        <f>0.2*12000</f>
        <v>2400</v>
      </c>
      <c r="T227" s="649">
        <v>0</v>
      </c>
      <c r="U227" s="649">
        <v>0</v>
      </c>
      <c r="V227" s="649">
        <v>0</v>
      </c>
      <c r="W227" s="649">
        <v>0</v>
      </c>
      <c r="X227" s="649">
        <v>0</v>
      </c>
      <c r="Y227" s="649">
        <v>0</v>
      </c>
    </row>
    <row r="228" spans="2:25">
      <c r="C228" s="650" t="s">
        <v>537</v>
      </c>
      <c r="E228" s="665"/>
      <c r="M228" s="649">
        <v>3400</v>
      </c>
      <c r="N228" s="649">
        <f t="shared" si="94"/>
        <v>3400</v>
      </c>
      <c r="O228" s="649">
        <v>3400</v>
      </c>
      <c r="P228" s="649">
        <v>3400</v>
      </c>
      <c r="Q228" s="649">
        <f>0.8*3400</f>
        <v>2720</v>
      </c>
      <c r="R228" s="649">
        <f>0.6*3400</f>
        <v>2040</v>
      </c>
      <c r="S228" s="649">
        <f>0.4*3400</f>
        <v>1360</v>
      </c>
      <c r="T228" s="649">
        <f>0.2*3400</f>
        <v>680</v>
      </c>
      <c r="U228" s="649">
        <v>0</v>
      </c>
      <c r="V228" s="649">
        <v>0</v>
      </c>
      <c r="W228" s="649">
        <v>0</v>
      </c>
      <c r="X228" s="649">
        <v>0</v>
      </c>
      <c r="Y228" s="649">
        <v>0</v>
      </c>
    </row>
    <row r="229" spans="2:25">
      <c r="C229" s="650" t="s">
        <v>539</v>
      </c>
      <c r="E229" s="672"/>
      <c r="N229" s="649">
        <v>2320</v>
      </c>
      <c r="O229" s="649">
        <v>2320</v>
      </c>
      <c r="P229" s="649">
        <v>2320</v>
      </c>
      <c r="Q229" s="649">
        <v>2320</v>
      </c>
      <c r="R229" s="649">
        <v>2320</v>
      </c>
      <c r="S229" s="649">
        <f>0.8*2320</f>
        <v>1856</v>
      </c>
      <c r="T229" s="649">
        <f>0.6*2320</f>
        <v>1392</v>
      </c>
      <c r="U229" s="649">
        <f>0.4*2320</f>
        <v>928</v>
      </c>
      <c r="V229" s="649">
        <f>0.2*2320</f>
        <v>464</v>
      </c>
      <c r="W229" s="649">
        <v>0</v>
      </c>
      <c r="X229" s="649">
        <v>0</v>
      </c>
      <c r="Y229" s="649">
        <v>0</v>
      </c>
    </row>
    <row r="230" spans="2:25">
      <c r="C230" s="650" t="s">
        <v>543</v>
      </c>
      <c r="E230" s="672"/>
      <c r="O230" s="649">
        <v>1550</v>
      </c>
      <c r="P230" s="649">
        <v>1550</v>
      </c>
      <c r="Q230" s="649">
        <v>1550</v>
      </c>
      <c r="R230" s="649">
        <v>1550</v>
      </c>
      <c r="S230" s="649">
        <v>1550</v>
      </c>
      <c r="T230" s="649">
        <v>1550</v>
      </c>
      <c r="U230" s="649">
        <f>0.8*1550</f>
        <v>1240</v>
      </c>
      <c r="V230" s="649">
        <f>0.6*1550</f>
        <v>930</v>
      </c>
      <c r="W230" s="649">
        <f>0.4*1550</f>
        <v>620</v>
      </c>
      <c r="X230" s="649">
        <f>0.2*1550</f>
        <v>310</v>
      </c>
      <c r="Y230" s="649">
        <v>0</v>
      </c>
    </row>
    <row r="232" spans="2:25">
      <c r="B232" s="673" t="s">
        <v>548</v>
      </c>
      <c r="C232" s="674"/>
      <c r="D232" s="674"/>
      <c r="E232" s="674"/>
      <c r="F232" s="674"/>
      <c r="G232" s="674"/>
      <c r="H232" s="674"/>
      <c r="I232" s="674"/>
      <c r="J232" s="700">
        <f>SUM(J227:J230)</f>
        <v>12000</v>
      </c>
      <c r="K232" s="700">
        <f t="shared" ref="K232:Y232" si="95">SUM(K227:K230)</f>
        <v>12000</v>
      </c>
      <c r="L232" s="700">
        <f t="shared" si="95"/>
        <v>12000</v>
      </c>
      <c r="M232" s="700">
        <f t="shared" si="95"/>
        <v>15400</v>
      </c>
      <c r="N232" s="700">
        <f t="shared" si="95"/>
        <v>17720</v>
      </c>
      <c r="O232" s="700">
        <f t="shared" si="95"/>
        <v>19270</v>
      </c>
      <c r="P232" s="700">
        <f t="shared" si="95"/>
        <v>16870</v>
      </c>
      <c r="Q232" s="700">
        <f t="shared" si="95"/>
        <v>13790</v>
      </c>
      <c r="R232" s="700">
        <f t="shared" si="95"/>
        <v>10710</v>
      </c>
      <c r="S232" s="700">
        <f t="shared" si="95"/>
        <v>7166</v>
      </c>
      <c r="T232" s="700">
        <f t="shared" si="95"/>
        <v>3622</v>
      </c>
      <c r="U232" s="700">
        <f t="shared" si="95"/>
        <v>2168</v>
      </c>
      <c r="V232" s="700">
        <f t="shared" si="95"/>
        <v>1394</v>
      </c>
      <c r="W232" s="700">
        <f t="shared" si="95"/>
        <v>620</v>
      </c>
      <c r="X232" s="700">
        <f t="shared" si="95"/>
        <v>310</v>
      </c>
      <c r="Y232" s="700">
        <f t="shared" si="95"/>
        <v>0</v>
      </c>
    </row>
    <row r="233" spans="2:25">
      <c r="B233" s="676" t="s">
        <v>549</v>
      </c>
      <c r="C233" s="677"/>
      <c r="D233" s="677"/>
      <c r="E233" s="677"/>
      <c r="F233" s="678"/>
      <c r="G233" s="678"/>
      <c r="H233" s="678"/>
      <c r="I233" s="678"/>
      <c r="J233" s="679"/>
      <c r="K233" s="680">
        <v>0.25</v>
      </c>
      <c r="L233" s="680">
        <v>0.25</v>
      </c>
      <c r="M233" s="680">
        <v>0.25</v>
      </c>
      <c r="N233" s="680">
        <v>0.25</v>
      </c>
      <c r="O233" s="680">
        <v>0.25</v>
      </c>
      <c r="P233" s="680">
        <v>0.25</v>
      </c>
      <c r="Q233" s="680">
        <v>0.25</v>
      </c>
      <c r="R233" s="680">
        <v>0.25</v>
      </c>
      <c r="S233" s="680">
        <v>0.25</v>
      </c>
      <c r="T233" s="680">
        <v>0.25</v>
      </c>
      <c r="U233" s="680">
        <v>0.25</v>
      </c>
      <c r="V233" s="680">
        <v>0.25</v>
      </c>
      <c r="W233" s="680">
        <v>0.25</v>
      </c>
      <c r="X233" s="680">
        <v>0.25</v>
      </c>
      <c r="Y233" s="680">
        <v>0.25</v>
      </c>
    </row>
    <row r="234" spans="2:25">
      <c r="B234" s="681" t="s">
        <v>550</v>
      </c>
      <c r="C234" s="682"/>
      <c r="D234" s="682"/>
      <c r="E234" s="682"/>
      <c r="F234" s="681"/>
      <c r="G234" s="681"/>
      <c r="H234" s="681"/>
      <c r="I234" s="681"/>
      <c r="J234" s="683"/>
      <c r="K234" s="683">
        <f t="shared" ref="K234:Y234" si="96">K232*K233</f>
        <v>3000</v>
      </c>
      <c r="L234" s="683">
        <f t="shared" si="96"/>
        <v>3000</v>
      </c>
      <c r="M234" s="683">
        <f t="shared" si="96"/>
        <v>3850</v>
      </c>
      <c r="N234" s="683">
        <f t="shared" si="96"/>
        <v>4430</v>
      </c>
      <c r="O234" s="683">
        <f t="shared" si="96"/>
        <v>4817.5</v>
      </c>
      <c r="P234" s="683">
        <f t="shared" si="96"/>
        <v>4217.5</v>
      </c>
      <c r="Q234" s="683">
        <f t="shared" si="96"/>
        <v>3447.5</v>
      </c>
      <c r="R234" s="683">
        <f t="shared" si="96"/>
        <v>2677.5</v>
      </c>
      <c r="S234" s="683">
        <f t="shared" si="96"/>
        <v>1791.5</v>
      </c>
      <c r="T234" s="683">
        <f t="shared" si="96"/>
        <v>905.5</v>
      </c>
      <c r="U234" s="683">
        <f t="shared" si="96"/>
        <v>542</v>
      </c>
      <c r="V234" s="683">
        <f t="shared" si="96"/>
        <v>348.5</v>
      </c>
      <c r="W234" s="683">
        <f t="shared" si="96"/>
        <v>155</v>
      </c>
      <c r="X234" s="683">
        <f t="shared" si="96"/>
        <v>77.5</v>
      </c>
      <c r="Y234" s="683">
        <f t="shared" si="96"/>
        <v>0</v>
      </c>
    </row>
    <row r="236" spans="2:25">
      <c r="B236" s="658" t="s">
        <v>531</v>
      </c>
      <c r="C236" s="659"/>
      <c r="D236" s="659"/>
      <c r="E236" s="659"/>
      <c r="F236" s="659"/>
      <c r="G236" s="659"/>
      <c r="H236" s="659"/>
      <c r="I236" s="659"/>
      <c r="J236" s="659"/>
      <c r="K236" s="659"/>
      <c r="L236" s="659"/>
      <c r="M236" s="659"/>
      <c r="N236" s="659"/>
      <c r="O236" s="659"/>
      <c r="P236" s="659"/>
      <c r="Q236" s="659"/>
      <c r="R236" s="659"/>
      <c r="S236" s="659"/>
      <c r="T236" s="659"/>
      <c r="U236" s="659"/>
      <c r="V236" s="659"/>
      <c r="W236" s="659"/>
      <c r="X236" s="659"/>
      <c r="Y236" s="659"/>
    </row>
    <row r="237" spans="2:25">
      <c r="C237" s="664" t="s">
        <v>535</v>
      </c>
      <c r="D237" s="664" t="s">
        <v>536</v>
      </c>
      <c r="E237" s="664"/>
    </row>
    <row r="238" spans="2:25">
      <c r="C238" s="650" t="s">
        <v>546</v>
      </c>
      <c r="D238" s="650" t="s">
        <v>551</v>
      </c>
      <c r="E238" s="666"/>
      <c r="N238" s="684">
        <f t="shared" ref="N238:Y238" si="97">N234</f>
        <v>4430</v>
      </c>
      <c r="O238" s="684">
        <f t="shared" si="97"/>
        <v>4817.5</v>
      </c>
      <c r="P238" s="684">
        <f t="shared" si="97"/>
        <v>4217.5</v>
      </c>
      <c r="Q238" s="684">
        <f t="shared" si="97"/>
        <v>3447.5</v>
      </c>
      <c r="R238" s="684">
        <f t="shared" si="97"/>
        <v>2677.5</v>
      </c>
      <c r="S238" s="684">
        <f t="shared" si="97"/>
        <v>1791.5</v>
      </c>
      <c r="T238" s="684">
        <f t="shared" si="97"/>
        <v>905.5</v>
      </c>
      <c r="U238" s="684">
        <f t="shared" si="97"/>
        <v>542</v>
      </c>
      <c r="V238" s="684">
        <f t="shared" si="97"/>
        <v>348.5</v>
      </c>
      <c r="W238" s="684">
        <f t="shared" si="97"/>
        <v>155</v>
      </c>
      <c r="X238" s="684">
        <f t="shared" si="97"/>
        <v>77.5</v>
      </c>
      <c r="Y238" s="684">
        <f t="shared" si="97"/>
        <v>0</v>
      </c>
    </row>
    <row r="239" spans="2:25">
      <c r="C239" s="650" t="s">
        <v>546</v>
      </c>
      <c r="D239" s="650" t="s">
        <v>552</v>
      </c>
      <c r="E239" s="666"/>
      <c r="N239" s="684">
        <v>2500</v>
      </c>
      <c r="O239" s="684">
        <v>2500</v>
      </c>
      <c r="P239" s="684">
        <f>0.8*2500</f>
        <v>2000</v>
      </c>
      <c r="Q239" s="684">
        <f>0.6*2500</f>
        <v>1500</v>
      </c>
      <c r="R239" s="684">
        <f>0.4*2500</f>
        <v>1000</v>
      </c>
      <c r="S239" s="684">
        <f>0.2*2500</f>
        <v>500</v>
      </c>
      <c r="T239" s="684">
        <v>0</v>
      </c>
      <c r="U239" s="684">
        <v>0</v>
      </c>
      <c r="V239" s="684">
        <v>0</v>
      </c>
      <c r="W239" s="684">
        <v>0</v>
      </c>
      <c r="X239" s="684">
        <v>0</v>
      </c>
      <c r="Y239" s="684">
        <v>0</v>
      </c>
    </row>
    <row r="240" spans="2:25">
      <c r="C240" s="650" t="s">
        <v>537</v>
      </c>
      <c r="E240" s="685"/>
    </row>
    <row r="241" spans="2:25">
      <c r="C241" s="650" t="s">
        <v>539</v>
      </c>
      <c r="E241" s="672"/>
    </row>
    <row r="242" spans="2:25">
      <c r="C242" s="650" t="s">
        <v>543</v>
      </c>
      <c r="E242" s="672"/>
    </row>
    <row r="244" spans="2:25">
      <c r="B244" s="668" t="s">
        <v>553</v>
      </c>
      <c r="C244" s="669"/>
      <c r="D244" s="669"/>
      <c r="E244" s="669"/>
      <c r="F244" s="668"/>
      <c r="G244" s="668"/>
      <c r="H244" s="668"/>
      <c r="I244" s="668"/>
      <c r="J244" s="668"/>
      <c r="K244" s="668"/>
      <c r="L244" s="668"/>
      <c r="M244" s="668"/>
      <c r="N244" s="670">
        <f>SUM(N238:N242)</f>
        <v>6930</v>
      </c>
      <c r="O244" s="670">
        <f t="shared" ref="O244:Y244" si="98">SUM(O238:O242)</f>
        <v>7317.5</v>
      </c>
      <c r="P244" s="670">
        <f t="shared" si="98"/>
        <v>6217.5</v>
      </c>
      <c r="Q244" s="670">
        <f t="shared" si="98"/>
        <v>4947.5</v>
      </c>
      <c r="R244" s="670">
        <f t="shared" si="98"/>
        <v>3677.5</v>
      </c>
      <c r="S244" s="670">
        <f t="shared" si="98"/>
        <v>2291.5</v>
      </c>
      <c r="T244" s="670">
        <f t="shared" si="98"/>
        <v>905.5</v>
      </c>
      <c r="U244" s="670">
        <f t="shared" si="98"/>
        <v>542</v>
      </c>
      <c r="V244" s="670">
        <f t="shared" si="98"/>
        <v>348.5</v>
      </c>
      <c r="W244" s="670">
        <f t="shared" si="98"/>
        <v>155</v>
      </c>
      <c r="X244" s="670">
        <f t="shared" si="98"/>
        <v>77.5</v>
      </c>
      <c r="Y244" s="670">
        <f t="shared" si="98"/>
        <v>0</v>
      </c>
    </row>
    <row r="245" spans="2:25">
      <c r="B245" s="671" t="s">
        <v>554</v>
      </c>
    </row>
    <row r="246" spans="2:25">
      <c r="B246" s="671"/>
    </row>
    <row r="247" spans="2:25">
      <c r="B247" s="658" t="s">
        <v>555</v>
      </c>
      <c r="C247" s="659"/>
      <c r="D247" s="659"/>
      <c r="E247" s="659"/>
    </row>
    <row r="248" spans="2:25">
      <c r="C248" s="664" t="s">
        <v>535</v>
      </c>
      <c r="D248" s="664" t="s">
        <v>536</v>
      </c>
      <c r="E248" s="664" t="s">
        <v>441</v>
      </c>
    </row>
    <row r="249" spans="2:25">
      <c r="C249" s="650" t="s">
        <v>546</v>
      </c>
      <c r="D249" s="650" t="s">
        <v>547</v>
      </c>
      <c r="E249" s="666" t="s">
        <v>556</v>
      </c>
      <c r="P249" s="649">
        <v>2400</v>
      </c>
      <c r="Q249" s="649">
        <v>4800</v>
      </c>
      <c r="R249" s="649">
        <v>7200</v>
      </c>
      <c r="S249" s="649">
        <v>9600</v>
      </c>
      <c r="T249" s="649">
        <v>12000</v>
      </c>
      <c r="U249" s="649">
        <v>12000</v>
      </c>
      <c r="V249" s="649">
        <v>12000</v>
      </c>
      <c r="W249" s="649">
        <v>12000</v>
      </c>
      <c r="X249" s="649">
        <v>12000</v>
      </c>
      <c r="Y249" s="649">
        <v>12000</v>
      </c>
    </row>
    <row r="250" spans="2:25">
      <c r="C250" s="650" t="s">
        <v>537</v>
      </c>
      <c r="E250" s="666" t="s">
        <v>556</v>
      </c>
      <c r="Q250" s="649">
        <v>680</v>
      </c>
      <c r="R250" s="649">
        <v>1360</v>
      </c>
      <c r="S250" s="649">
        <v>2040</v>
      </c>
      <c r="T250" s="649">
        <v>2720</v>
      </c>
      <c r="U250" s="649">
        <v>3400</v>
      </c>
      <c r="V250" s="649">
        <v>3400</v>
      </c>
      <c r="W250" s="649">
        <v>3400</v>
      </c>
      <c r="X250" s="649">
        <v>3400</v>
      </c>
      <c r="Y250" s="649">
        <v>3400</v>
      </c>
    </row>
    <row r="251" spans="2:25">
      <c r="C251" s="650" t="s">
        <v>539</v>
      </c>
      <c r="S251" s="649">
        <v>464</v>
      </c>
      <c r="T251" s="649">
        <v>928</v>
      </c>
      <c r="U251" s="649">
        <v>1392</v>
      </c>
      <c r="V251" s="649">
        <v>1856</v>
      </c>
      <c r="W251" s="649">
        <v>2320</v>
      </c>
      <c r="X251" s="649">
        <v>2320</v>
      </c>
      <c r="Y251" s="649">
        <v>2320</v>
      </c>
    </row>
    <row r="252" spans="2:25">
      <c r="C252" s="650" t="s">
        <v>543</v>
      </c>
      <c r="U252" s="649">
        <v>310</v>
      </c>
      <c r="V252" s="649">
        <v>620</v>
      </c>
      <c r="W252" s="649">
        <v>930</v>
      </c>
      <c r="X252" s="649">
        <v>1240</v>
      </c>
      <c r="Y252" s="649">
        <v>1550</v>
      </c>
    </row>
    <row r="253" spans="2:25">
      <c r="B253" s="671"/>
      <c r="C253" s="650" t="s">
        <v>659</v>
      </c>
      <c r="P253" s="649">
        <v>500</v>
      </c>
      <c r="Q253" s="649">
        <v>1000</v>
      </c>
      <c r="R253" s="649">
        <v>1500</v>
      </c>
      <c r="S253" s="649">
        <v>2000</v>
      </c>
      <c r="T253" s="684">
        <v>2500</v>
      </c>
      <c r="U253" s="684">
        <f>T253</f>
        <v>2500</v>
      </c>
      <c r="V253" s="684">
        <f t="shared" ref="V253:Y253" si="99">U253</f>
        <v>2500</v>
      </c>
      <c r="W253" s="684">
        <f t="shared" si="99"/>
        <v>2500</v>
      </c>
      <c r="X253" s="684">
        <f t="shared" si="99"/>
        <v>2500</v>
      </c>
      <c r="Y253" s="684">
        <f t="shared" si="99"/>
        <v>2500</v>
      </c>
    </row>
    <row r="254" spans="2:25">
      <c r="B254" s="671"/>
      <c r="T254" s="684"/>
      <c r="U254" s="684"/>
      <c r="V254" s="684"/>
      <c r="W254" s="684"/>
      <c r="X254" s="684"/>
      <c r="Y254" s="684"/>
    </row>
    <row r="255" spans="2:25">
      <c r="B255" s="668" t="s">
        <v>660</v>
      </c>
      <c r="C255" s="669"/>
      <c r="D255" s="669"/>
      <c r="E255" s="669"/>
      <c r="F255" s="669"/>
      <c r="G255" s="669"/>
      <c r="H255" s="669"/>
      <c r="I255" s="669"/>
      <c r="J255" s="669"/>
      <c r="K255" s="669"/>
      <c r="L255" s="669"/>
      <c r="M255" s="669"/>
      <c r="N255" s="669"/>
      <c r="O255" s="669"/>
      <c r="P255" s="702">
        <f>SUM(P250:P253)</f>
        <v>500</v>
      </c>
      <c r="Q255" s="702">
        <f t="shared" ref="Q255:Y255" si="100">SUM(Q250:Q253)</f>
        <v>1680</v>
      </c>
      <c r="R255" s="702">
        <f t="shared" si="100"/>
        <v>2860</v>
      </c>
      <c r="S255" s="702">
        <f t="shared" si="100"/>
        <v>4504</v>
      </c>
      <c r="T255" s="702">
        <f t="shared" si="100"/>
        <v>6148</v>
      </c>
      <c r="U255" s="702">
        <f t="shared" si="100"/>
        <v>7602</v>
      </c>
      <c r="V255" s="702">
        <f t="shared" si="100"/>
        <v>8376</v>
      </c>
      <c r="W255" s="702">
        <f t="shared" si="100"/>
        <v>9150</v>
      </c>
      <c r="X255" s="702">
        <f t="shared" si="100"/>
        <v>9460</v>
      </c>
      <c r="Y255" s="702">
        <f t="shared" si="100"/>
        <v>9770</v>
      </c>
    </row>
    <row r="257" spans="2:25">
      <c r="B257" s="658" t="s">
        <v>555</v>
      </c>
      <c r="C257" s="659"/>
      <c r="D257" s="659"/>
      <c r="E257" s="659"/>
      <c r="F257" s="659"/>
      <c r="G257" s="659"/>
      <c r="H257" s="659"/>
      <c r="I257" s="659"/>
      <c r="J257" s="659"/>
      <c r="K257" s="659"/>
      <c r="L257" s="659"/>
      <c r="M257" s="659"/>
      <c r="N257" s="659"/>
      <c r="O257" s="659"/>
      <c r="P257" s="659"/>
      <c r="Q257" s="659"/>
      <c r="R257" s="659"/>
      <c r="S257" s="659"/>
      <c r="T257" s="659"/>
      <c r="U257" s="659"/>
      <c r="V257" s="659"/>
      <c r="W257" s="659"/>
      <c r="X257" s="659"/>
      <c r="Y257" s="659"/>
    </row>
    <row r="258" spans="2:25">
      <c r="C258" s="664" t="s">
        <v>535</v>
      </c>
      <c r="D258" s="664" t="s">
        <v>536</v>
      </c>
      <c r="E258" s="664"/>
    </row>
    <row r="259" spans="2:25">
      <c r="C259" s="650" t="s">
        <v>546</v>
      </c>
      <c r="D259" s="650" t="s">
        <v>547</v>
      </c>
      <c r="E259" s="701" t="s">
        <v>576</v>
      </c>
    </row>
    <row r="260" spans="2:25">
      <c r="C260" s="650" t="s">
        <v>546</v>
      </c>
      <c r="D260" s="650" t="s">
        <v>557</v>
      </c>
      <c r="E260" s="701" t="s">
        <v>576</v>
      </c>
      <c r="P260" s="686">
        <v>8718.2148417228855</v>
      </c>
      <c r="Q260" s="686">
        <v>8718.2148417228855</v>
      </c>
      <c r="R260" s="686">
        <v>8718.2148417228855</v>
      </c>
      <c r="S260" s="686">
        <v>8718.2148417228855</v>
      </c>
      <c r="T260" s="686">
        <v>8718.2148417228855</v>
      </c>
      <c r="U260" s="686">
        <v>8718.2148417228855</v>
      </c>
      <c r="V260" s="686">
        <v>8718.2148417228855</v>
      </c>
      <c r="W260" s="686">
        <v>8718.2148417228855</v>
      </c>
      <c r="X260" s="686">
        <v>8718.2148417228855</v>
      </c>
      <c r="Y260" s="686">
        <v>8718.2148417228855</v>
      </c>
    </row>
    <row r="261" spans="2:25">
      <c r="C261" s="650" t="s">
        <v>537</v>
      </c>
      <c r="E261" s="685"/>
      <c r="P261" s="686"/>
      <c r="Q261" s="686"/>
      <c r="R261" s="686">
        <v>2470.1608718214843</v>
      </c>
      <c r="S261" s="686">
        <v>2470.1608718214843</v>
      </c>
      <c r="T261" s="686">
        <v>2470.1608718214843</v>
      </c>
      <c r="U261" s="686">
        <v>2470.1608718214843</v>
      </c>
      <c r="V261" s="686">
        <v>2470.1608718214843</v>
      </c>
      <c r="W261" s="686">
        <v>2470.1608718214843</v>
      </c>
      <c r="X261" s="686">
        <v>2470.1608718214843</v>
      </c>
      <c r="Y261" s="686">
        <v>2470.1608718214843</v>
      </c>
    </row>
    <row r="262" spans="2:25">
      <c r="C262" s="650" t="s">
        <v>539</v>
      </c>
      <c r="E262" s="672"/>
      <c r="P262" s="686"/>
      <c r="Q262" s="686"/>
      <c r="R262" s="686"/>
      <c r="S262" s="686"/>
      <c r="T262" s="686"/>
      <c r="U262" s="686">
        <v>1685.5215360664245</v>
      </c>
      <c r="V262" s="686">
        <v>1685.5215360664245</v>
      </c>
      <c r="W262" s="686">
        <v>1685.5215360664245</v>
      </c>
      <c r="X262" s="686">
        <v>1685.5215360664245</v>
      </c>
      <c r="Y262" s="686">
        <v>1685.5215360664245</v>
      </c>
    </row>
    <row r="263" spans="2:25">
      <c r="C263" s="650" t="s">
        <v>543</v>
      </c>
      <c r="E263" s="672"/>
      <c r="P263" s="686"/>
      <c r="Q263" s="686"/>
      <c r="R263" s="686"/>
      <c r="S263" s="686"/>
      <c r="T263" s="686"/>
      <c r="U263" s="686"/>
      <c r="V263" s="686">
        <v>1126.102750389206</v>
      </c>
      <c r="W263" s="686">
        <v>1126.102750389206</v>
      </c>
      <c r="X263" s="686">
        <v>1126.102750389206</v>
      </c>
      <c r="Y263" s="686">
        <v>1126.102750389206</v>
      </c>
    </row>
    <row r="265" spans="2:25">
      <c r="B265" s="668" t="s">
        <v>658</v>
      </c>
      <c r="C265" s="669"/>
      <c r="D265" s="669"/>
      <c r="E265" s="669"/>
      <c r="F265" s="669"/>
      <c r="G265" s="669"/>
      <c r="H265" s="669"/>
      <c r="I265" s="669"/>
      <c r="J265" s="669"/>
      <c r="K265" s="669"/>
      <c r="L265" s="669"/>
      <c r="M265" s="669"/>
      <c r="N265" s="669"/>
      <c r="O265" s="669"/>
      <c r="P265" s="702">
        <f t="shared" ref="P265:Y265" si="101">SUM(P260:P263)*P359</f>
        <v>7410.4826154644525</v>
      </c>
      <c r="Q265" s="702">
        <f t="shared" si="101"/>
        <v>7410.4826154644525</v>
      </c>
      <c r="R265" s="702">
        <f t="shared" si="101"/>
        <v>9510.1193565127141</v>
      </c>
      <c r="S265" s="702">
        <f t="shared" si="101"/>
        <v>9510.1193565127141</v>
      </c>
      <c r="T265" s="702">
        <f t="shared" si="101"/>
        <v>9510.1193565127141</v>
      </c>
      <c r="U265" s="702">
        <f t="shared" si="101"/>
        <v>10942.812662169175</v>
      </c>
      <c r="V265" s="702">
        <f t="shared" si="101"/>
        <v>11900</v>
      </c>
      <c r="W265" s="702">
        <f t="shared" si="101"/>
        <v>11900</v>
      </c>
      <c r="X265" s="702">
        <f t="shared" si="101"/>
        <v>11900</v>
      </c>
      <c r="Y265" s="702">
        <f t="shared" si="101"/>
        <v>11900</v>
      </c>
    </row>
    <row r="267" spans="2:25" ht="13.5" thickBot="1">
      <c r="B267" s="687" t="s">
        <v>232</v>
      </c>
      <c r="C267" s="688"/>
      <c r="D267" s="688"/>
      <c r="E267" s="688"/>
      <c r="F267" s="687"/>
      <c r="G267" s="687"/>
      <c r="H267" s="687"/>
      <c r="I267" s="687"/>
      <c r="J267" s="687"/>
      <c r="K267" s="687"/>
      <c r="L267" s="687"/>
      <c r="M267" s="687"/>
      <c r="N267" s="687"/>
      <c r="O267" s="687"/>
      <c r="P267" s="687"/>
      <c r="Q267" s="687"/>
      <c r="R267" s="687"/>
      <c r="S267" s="687"/>
      <c r="T267" s="687"/>
      <c r="U267" s="687"/>
      <c r="V267" s="687"/>
      <c r="W267" s="687"/>
      <c r="X267" s="687"/>
      <c r="Y267" s="687"/>
    </row>
    <row r="269" spans="2:25">
      <c r="B269" s="658" t="s">
        <v>340</v>
      </c>
      <c r="C269" s="659"/>
      <c r="D269" s="659"/>
      <c r="E269" s="659"/>
      <c r="F269" s="659"/>
      <c r="G269" s="659"/>
      <c r="H269" s="659"/>
      <c r="I269" s="659"/>
      <c r="J269" s="659"/>
      <c r="K269" s="659"/>
      <c r="L269" s="659"/>
      <c r="M269" s="659"/>
      <c r="N269" s="659"/>
      <c r="O269" s="659"/>
      <c r="P269" s="659"/>
      <c r="Q269" s="659"/>
      <c r="R269" s="659"/>
      <c r="S269" s="659"/>
      <c r="T269" s="659"/>
      <c r="U269" s="659"/>
      <c r="V269" s="659"/>
      <c r="W269" s="659"/>
      <c r="X269" s="659"/>
      <c r="Y269" s="659"/>
    </row>
    <row r="270" spans="2:25">
      <c r="C270" s="689" t="s">
        <v>558</v>
      </c>
      <c r="G270" s="684">
        <f>(G277*1000000)/(G272*G274)</f>
        <v>495.63086812370477</v>
      </c>
      <c r="H270" s="684">
        <f t="shared" ref="H270:K270" si="102">(H277*1000000)/(H272*H274)</f>
        <v>551.78192896429027</v>
      </c>
      <c r="I270" s="684">
        <f t="shared" si="102"/>
        <v>850.21253005855363</v>
      </c>
      <c r="J270" s="684">
        <f t="shared" si="102"/>
        <v>1219.1258951590696</v>
      </c>
      <c r="K270" s="684">
        <f t="shared" si="102"/>
        <v>1230.4556469045829</v>
      </c>
      <c r="L270" s="684">
        <f t="shared" ref="L270:Y270" si="103">L168*L210</f>
        <v>1207.5</v>
      </c>
      <c r="M270" s="684">
        <f t="shared" si="103"/>
        <v>1207.5</v>
      </c>
      <c r="N270" s="684">
        <f t="shared" si="103"/>
        <v>1207.5</v>
      </c>
      <c r="O270" s="684">
        <f t="shared" si="103"/>
        <v>1620.5</v>
      </c>
      <c r="P270" s="684">
        <f t="shared" si="103"/>
        <v>1620.5</v>
      </c>
      <c r="Q270" s="684">
        <f t="shared" si="103"/>
        <v>1620.5</v>
      </c>
      <c r="R270" s="684">
        <f t="shared" si="103"/>
        <v>1620.5</v>
      </c>
      <c r="S270" s="684">
        <f t="shared" si="103"/>
        <v>1620.5</v>
      </c>
      <c r="T270" s="684">
        <f t="shared" si="103"/>
        <v>500.49999999999994</v>
      </c>
      <c r="U270" s="684">
        <f t="shared" si="103"/>
        <v>413</v>
      </c>
      <c r="V270" s="684">
        <f t="shared" si="103"/>
        <v>413</v>
      </c>
      <c r="W270" s="684">
        <f t="shared" si="103"/>
        <v>0</v>
      </c>
      <c r="X270" s="684">
        <f t="shared" si="103"/>
        <v>0</v>
      </c>
      <c r="Y270" s="684">
        <f t="shared" si="103"/>
        <v>0</v>
      </c>
    </row>
    <row r="271" spans="2:25">
      <c r="C271" s="689"/>
    </row>
    <row r="272" spans="2:25">
      <c r="C272" s="689" t="s">
        <v>559</v>
      </c>
      <c r="G272" s="649">
        <v>1</v>
      </c>
      <c r="H272" s="649">
        <v>11</v>
      </c>
      <c r="I272" s="686">
        <f>(11*I202+5*I203)/I210</f>
        <v>9.8000000000000007</v>
      </c>
      <c r="J272" s="686">
        <f>(11*SUM(J202:J203)+5*(J204+J205))/J210</f>
        <v>9.3478260869565215</v>
      </c>
      <c r="K272" s="649">
        <v>11</v>
      </c>
      <c r="L272" s="686">
        <v>11</v>
      </c>
      <c r="M272" s="686">
        <v>11</v>
      </c>
      <c r="N272" s="686">
        <f>(11*SUM(N202:N205)+5*N206)/N210</f>
        <v>11</v>
      </c>
      <c r="O272" s="649">
        <v>11</v>
      </c>
      <c r="P272" s="649">
        <v>11</v>
      </c>
      <c r="Q272" s="649">
        <v>11</v>
      </c>
      <c r="R272" s="649">
        <v>11</v>
      </c>
      <c r="S272" s="649">
        <v>11</v>
      </c>
      <c r="T272" s="649">
        <v>11</v>
      </c>
      <c r="U272" s="649">
        <v>11</v>
      </c>
      <c r="V272" s="649">
        <v>11</v>
      </c>
      <c r="W272" s="649">
        <v>11</v>
      </c>
      <c r="X272" s="649">
        <v>11</v>
      </c>
      <c r="Y272" s="649">
        <v>11</v>
      </c>
    </row>
    <row r="273" spans="2:25">
      <c r="C273" s="689"/>
    </row>
    <row r="274" spans="2:25">
      <c r="C274" s="689" t="s">
        <v>577</v>
      </c>
      <c r="G274" s="690">
        <f>G112*0.75</f>
        <v>17149.86</v>
      </c>
      <c r="H274" s="151">
        <v>25603</v>
      </c>
      <c r="I274" s="151">
        <f>H274*(1+I275)</f>
        <v>24322.85</v>
      </c>
      <c r="J274" s="151">
        <f t="shared" ref="J274:Y274" si="104">I274*(1+J275)</f>
        <v>23349.935999999998</v>
      </c>
      <c r="K274" s="151">
        <f t="shared" si="104"/>
        <v>22415.938559999999</v>
      </c>
      <c r="L274" s="151">
        <f t="shared" si="104"/>
        <v>21519.301017599999</v>
      </c>
      <c r="M274" s="151">
        <f t="shared" si="104"/>
        <v>20873.721987072</v>
      </c>
      <c r="N274" s="151">
        <f t="shared" si="104"/>
        <v>20456.24754733056</v>
      </c>
      <c r="O274" s="151">
        <f t="shared" si="104"/>
        <v>20047.12259638395</v>
      </c>
      <c r="P274" s="151">
        <f t="shared" si="104"/>
        <v>19646.18014445627</v>
      </c>
      <c r="Q274" s="151">
        <f t="shared" si="104"/>
        <v>19253.256541567145</v>
      </c>
      <c r="R274" s="151">
        <f t="shared" si="104"/>
        <v>18868.191410735802</v>
      </c>
      <c r="S274" s="151">
        <f t="shared" si="104"/>
        <v>18490.827582521088</v>
      </c>
      <c r="T274" s="151">
        <f t="shared" si="104"/>
        <v>18121.011030870664</v>
      </c>
      <c r="U274" s="151">
        <f t="shared" si="104"/>
        <v>17758.590810253252</v>
      </c>
      <c r="V274" s="151">
        <f t="shared" si="104"/>
        <v>17403.418994048188</v>
      </c>
      <c r="W274" s="151">
        <f t="shared" si="104"/>
        <v>17055.350614167226</v>
      </c>
      <c r="X274" s="151">
        <f t="shared" si="104"/>
        <v>16714.243601883882</v>
      </c>
      <c r="Y274" s="151">
        <f t="shared" si="104"/>
        <v>16379.958729846203</v>
      </c>
    </row>
    <row r="275" spans="2:25">
      <c r="C275" s="691" t="s">
        <v>233</v>
      </c>
      <c r="H275" s="152"/>
      <c r="I275" s="144">
        <v>-0.05</v>
      </c>
      <c r="J275" s="144">
        <v>-0.04</v>
      </c>
      <c r="K275" s="144">
        <v>-0.04</v>
      </c>
      <c r="L275" s="144">
        <v>-0.04</v>
      </c>
      <c r="M275" s="144">
        <v>-0.03</v>
      </c>
      <c r="N275" s="144">
        <v>-1.9999999999999997E-2</v>
      </c>
      <c r="O275" s="144">
        <v>-1.9999999999999997E-2</v>
      </c>
      <c r="P275" s="144">
        <v>-1.9999999999999997E-2</v>
      </c>
      <c r="Q275" s="144">
        <f>P275</f>
        <v>-1.9999999999999997E-2</v>
      </c>
      <c r="R275" s="144">
        <f t="shared" ref="R275:Y275" si="105">Q275</f>
        <v>-1.9999999999999997E-2</v>
      </c>
      <c r="S275" s="144">
        <f t="shared" si="105"/>
        <v>-1.9999999999999997E-2</v>
      </c>
      <c r="T275" s="144">
        <f t="shared" si="105"/>
        <v>-1.9999999999999997E-2</v>
      </c>
      <c r="U275" s="144">
        <f t="shared" si="105"/>
        <v>-1.9999999999999997E-2</v>
      </c>
      <c r="V275" s="144">
        <f t="shared" si="105"/>
        <v>-1.9999999999999997E-2</v>
      </c>
      <c r="W275" s="144">
        <f t="shared" si="105"/>
        <v>-1.9999999999999997E-2</v>
      </c>
      <c r="X275" s="144">
        <f t="shared" si="105"/>
        <v>-1.9999999999999997E-2</v>
      </c>
      <c r="Y275" s="144">
        <f t="shared" si="105"/>
        <v>-1.9999999999999997E-2</v>
      </c>
    </row>
    <row r="277" spans="2:25">
      <c r="B277" s="668" t="s">
        <v>562</v>
      </c>
      <c r="C277" s="669"/>
      <c r="D277" s="669"/>
      <c r="E277" s="669"/>
      <c r="F277" s="668"/>
      <c r="G277" s="692">
        <v>8.5</v>
      </c>
      <c r="H277" s="692">
        <v>155.39999999999998</v>
      </c>
      <c r="I277" s="692">
        <v>202.65999999999997</v>
      </c>
      <c r="J277" s="692">
        <v>266.10000000000002</v>
      </c>
      <c r="K277" s="692">
        <v>303.39999999999998</v>
      </c>
      <c r="L277" s="692">
        <f>L270*L272*L274/1000000</f>
        <v>285.830115766272</v>
      </c>
      <c r="M277" s="692">
        <f t="shared" ref="M277:Y277" si="106">M270*M272*M274/1000000</f>
        <v>277.25521229328382</v>
      </c>
      <c r="N277" s="692">
        <f t="shared" si="106"/>
        <v>271.7101080474182</v>
      </c>
      <c r="O277" s="692">
        <f t="shared" si="106"/>
        <v>357.34998384184212</v>
      </c>
      <c r="P277" s="692">
        <f t="shared" si="106"/>
        <v>350.2029841650052</v>
      </c>
      <c r="Q277" s="692">
        <f t="shared" si="106"/>
        <v>343.19892448170515</v>
      </c>
      <c r="R277" s="692">
        <f t="shared" si="106"/>
        <v>336.33494599207103</v>
      </c>
      <c r="S277" s="692">
        <f t="shared" si="106"/>
        <v>329.60824707222963</v>
      </c>
      <c r="T277" s="692">
        <f t="shared" si="106"/>
        <v>99.765226230458424</v>
      </c>
      <c r="U277" s="692">
        <f t="shared" si="106"/>
        <v>80.677278050980519</v>
      </c>
      <c r="V277" s="692">
        <f t="shared" si="106"/>
        <v>79.063732489960927</v>
      </c>
      <c r="W277" s="692">
        <f t="shared" si="106"/>
        <v>0</v>
      </c>
      <c r="X277" s="692">
        <f t="shared" si="106"/>
        <v>0</v>
      </c>
      <c r="Y277" s="692">
        <f t="shared" si="106"/>
        <v>0</v>
      </c>
    </row>
    <row r="279" spans="2:25">
      <c r="B279" s="658" t="s">
        <v>656</v>
      </c>
      <c r="C279" s="659"/>
    </row>
    <row r="280" spans="2:25">
      <c r="C280" s="689" t="s">
        <v>558</v>
      </c>
      <c r="T280" s="649">
        <f>T173*T221</f>
        <v>1120</v>
      </c>
      <c r="U280" s="649">
        <f t="shared" ref="U280:Y280" si="107">U173*U221</f>
        <v>1207.5</v>
      </c>
      <c r="V280" s="649">
        <f t="shared" si="107"/>
        <v>1207.5</v>
      </c>
      <c r="W280" s="649">
        <f t="shared" si="107"/>
        <v>1620.5</v>
      </c>
      <c r="X280" s="649">
        <f t="shared" si="107"/>
        <v>1620.5</v>
      </c>
      <c r="Y280" s="649">
        <f t="shared" si="107"/>
        <v>1620.5</v>
      </c>
    </row>
    <row r="281" spans="2:25">
      <c r="C281" s="689"/>
    </row>
    <row r="282" spans="2:25">
      <c r="C282" s="689" t="s">
        <v>559</v>
      </c>
      <c r="T282" s="649">
        <f>T272</f>
        <v>11</v>
      </c>
      <c r="U282" s="649">
        <f t="shared" ref="U282:Y282" si="108">U272</f>
        <v>11</v>
      </c>
      <c r="V282" s="649">
        <f t="shared" si="108"/>
        <v>11</v>
      </c>
      <c r="W282" s="649">
        <f t="shared" si="108"/>
        <v>11</v>
      </c>
      <c r="X282" s="649">
        <f t="shared" si="108"/>
        <v>11</v>
      </c>
      <c r="Y282" s="649">
        <f t="shared" si="108"/>
        <v>11</v>
      </c>
    </row>
    <row r="283" spans="2:25">
      <c r="C283" s="689"/>
    </row>
    <row r="284" spans="2:25">
      <c r="C284" s="689" t="s">
        <v>577</v>
      </c>
      <c r="T284" s="690">
        <f>T274</f>
        <v>18121.011030870664</v>
      </c>
      <c r="U284" s="690">
        <f t="shared" ref="U284:Y285" si="109">U274</f>
        <v>17758.590810253252</v>
      </c>
      <c r="V284" s="690">
        <f t="shared" si="109"/>
        <v>17403.418994048188</v>
      </c>
      <c r="W284" s="690">
        <f t="shared" si="109"/>
        <v>17055.350614167226</v>
      </c>
      <c r="X284" s="690">
        <f t="shared" si="109"/>
        <v>16714.243601883882</v>
      </c>
      <c r="Y284" s="690">
        <f t="shared" si="109"/>
        <v>16379.958729846203</v>
      </c>
    </row>
    <row r="285" spans="2:25">
      <c r="C285" s="691" t="s">
        <v>233</v>
      </c>
      <c r="U285" s="736">
        <f>U275</f>
        <v>-1.9999999999999997E-2</v>
      </c>
      <c r="V285" s="736">
        <f t="shared" si="109"/>
        <v>-1.9999999999999997E-2</v>
      </c>
      <c r="W285" s="736">
        <f t="shared" si="109"/>
        <v>-1.9999999999999997E-2</v>
      </c>
      <c r="X285" s="736">
        <f t="shared" si="109"/>
        <v>-1.9999999999999997E-2</v>
      </c>
      <c r="Y285" s="736">
        <f t="shared" si="109"/>
        <v>-1.9999999999999997E-2</v>
      </c>
    </row>
    <row r="287" spans="2:25">
      <c r="B287" s="668" t="s">
        <v>662</v>
      </c>
      <c r="C287" s="669"/>
      <c r="D287" s="669"/>
      <c r="E287" s="669"/>
      <c r="F287" s="668"/>
      <c r="G287" s="692"/>
      <c r="H287" s="692"/>
      <c r="I287" s="692"/>
      <c r="J287" s="692"/>
      <c r="K287" s="692"/>
      <c r="L287" s="692">
        <f>L280*L282*L284/1000000</f>
        <v>0</v>
      </c>
      <c r="M287" s="692">
        <f t="shared" ref="M287:Y287" si="110">M280*M282*M284/1000000</f>
        <v>0</v>
      </c>
      <c r="N287" s="692">
        <f t="shared" si="110"/>
        <v>0</v>
      </c>
      <c r="O287" s="692">
        <f t="shared" si="110"/>
        <v>0</v>
      </c>
      <c r="P287" s="692">
        <f t="shared" si="110"/>
        <v>0</v>
      </c>
      <c r="Q287" s="692">
        <f t="shared" si="110"/>
        <v>0</v>
      </c>
      <c r="R287" s="692">
        <f t="shared" si="110"/>
        <v>0</v>
      </c>
      <c r="S287" s="692">
        <f t="shared" si="110"/>
        <v>0</v>
      </c>
      <c r="T287" s="692">
        <f t="shared" si="110"/>
        <v>223.25085590032657</v>
      </c>
      <c r="U287" s="692">
        <f t="shared" si="110"/>
        <v>235.87848243718884</v>
      </c>
      <c r="V287" s="692">
        <f t="shared" si="110"/>
        <v>231.16091278844505</v>
      </c>
      <c r="W287" s="692">
        <f t="shared" si="110"/>
        <v>304.02015237283791</v>
      </c>
      <c r="X287" s="692">
        <f t="shared" si="110"/>
        <v>297.93974932538117</v>
      </c>
      <c r="Y287" s="692">
        <f t="shared" si="110"/>
        <v>291.98095433887352</v>
      </c>
    </row>
    <row r="289" spans="2:25">
      <c r="B289" s="658" t="s">
        <v>498</v>
      </c>
      <c r="C289" s="659"/>
      <c r="D289" s="659"/>
      <c r="E289" s="659"/>
      <c r="F289" s="693"/>
      <c r="G289" s="693"/>
      <c r="H289" s="693"/>
      <c r="I289" s="693"/>
      <c r="J289" s="693"/>
      <c r="K289" s="693"/>
      <c r="L289" s="693"/>
      <c r="M289" s="693"/>
      <c r="N289" s="693"/>
      <c r="O289" s="693"/>
      <c r="P289" s="693"/>
      <c r="Q289" s="693"/>
      <c r="R289" s="693"/>
      <c r="S289" s="693"/>
      <c r="T289" s="693"/>
      <c r="U289" s="693"/>
      <c r="V289" s="693"/>
      <c r="W289" s="693"/>
      <c r="X289" s="693"/>
      <c r="Y289" s="693"/>
    </row>
    <row r="290" spans="2:25">
      <c r="C290" s="689" t="s">
        <v>558</v>
      </c>
      <c r="J290" s="684">
        <v>0</v>
      </c>
      <c r="K290" s="684">
        <v>600</v>
      </c>
      <c r="L290" s="684">
        <f t="shared" ref="L290:Y290" si="111">L178*L232</f>
        <v>1230</v>
      </c>
      <c r="M290" s="684">
        <f t="shared" si="111"/>
        <v>2194.5</v>
      </c>
      <c r="N290" s="684">
        <f t="shared" si="111"/>
        <v>3499.7000000000003</v>
      </c>
      <c r="O290" s="684">
        <f t="shared" si="111"/>
        <v>4143.05</v>
      </c>
      <c r="P290" s="684">
        <f t="shared" si="111"/>
        <v>5398.4000000000005</v>
      </c>
      <c r="Q290" s="684">
        <f t="shared" si="111"/>
        <v>4826.5</v>
      </c>
      <c r="R290" s="684">
        <f t="shared" si="111"/>
        <v>4284</v>
      </c>
      <c r="S290" s="684">
        <f t="shared" si="111"/>
        <v>3224.7000000000003</v>
      </c>
      <c r="T290" s="684">
        <f t="shared" si="111"/>
        <v>1811</v>
      </c>
      <c r="U290" s="684">
        <f t="shared" si="111"/>
        <v>1084</v>
      </c>
      <c r="V290" s="684">
        <f t="shared" si="111"/>
        <v>697</v>
      </c>
      <c r="W290" s="684">
        <f t="shared" si="111"/>
        <v>310</v>
      </c>
      <c r="X290" s="684">
        <f t="shared" si="111"/>
        <v>155</v>
      </c>
      <c r="Y290" s="684">
        <f t="shared" si="111"/>
        <v>0</v>
      </c>
    </row>
    <row r="291" spans="2:25">
      <c r="C291" s="689"/>
    </row>
    <row r="292" spans="2:25">
      <c r="C292" s="689" t="s">
        <v>559</v>
      </c>
      <c r="J292" s="684">
        <v>0</v>
      </c>
      <c r="K292" s="731">
        <f>(K297*1000000)/(K290*K294)</f>
        <v>9.6152499999999996</v>
      </c>
      <c r="L292" s="649">
        <v>9.5</v>
      </c>
      <c r="M292" s="649">
        <v>11</v>
      </c>
      <c r="N292" s="686">
        <f>(11*(N227+N228)+6*N229)/N232</f>
        <v>10.345372460496614</v>
      </c>
      <c r="O292" s="686">
        <f>(11*(O227+O228)+6*O229)/O232</f>
        <v>9.5132330046704716</v>
      </c>
      <c r="P292" s="686">
        <v>10</v>
      </c>
      <c r="Q292" s="686">
        <v>10</v>
      </c>
      <c r="R292" s="686">
        <v>10</v>
      </c>
      <c r="S292" s="686">
        <v>10</v>
      </c>
      <c r="T292" s="686">
        <v>10</v>
      </c>
      <c r="U292" s="686">
        <v>10</v>
      </c>
      <c r="V292" s="686">
        <v>10</v>
      </c>
      <c r="W292" s="686">
        <v>10</v>
      </c>
      <c r="X292" s="686">
        <v>10</v>
      </c>
      <c r="Y292" s="686">
        <v>10</v>
      </c>
    </row>
    <row r="293" spans="2:25">
      <c r="C293" s="689"/>
    </row>
    <row r="294" spans="2:25">
      <c r="C294" s="689" t="s">
        <v>564</v>
      </c>
      <c r="J294" s="151"/>
      <c r="K294" s="151">
        <f>160000/12</f>
        <v>13333.333333333334</v>
      </c>
      <c r="L294" s="151">
        <f t="shared" ref="L294:Y294" si="112">K294*(1+L295)</f>
        <v>13000</v>
      </c>
      <c r="M294" s="151">
        <f t="shared" si="112"/>
        <v>12675</v>
      </c>
      <c r="N294" s="151">
        <f t="shared" si="112"/>
        <v>12358.125</v>
      </c>
      <c r="O294" s="151">
        <f t="shared" si="112"/>
        <v>12049.171875</v>
      </c>
      <c r="P294" s="151">
        <f t="shared" si="112"/>
        <v>11747.942578124999</v>
      </c>
      <c r="Q294" s="151">
        <f t="shared" si="112"/>
        <v>11454.244013671874</v>
      </c>
      <c r="R294" s="151">
        <f t="shared" si="112"/>
        <v>11167.887913330078</v>
      </c>
      <c r="S294" s="151">
        <f t="shared" si="112"/>
        <v>10888.690715496825</v>
      </c>
      <c r="T294" s="151">
        <f t="shared" si="112"/>
        <v>10616.473447609404</v>
      </c>
      <c r="U294" s="151">
        <f t="shared" si="112"/>
        <v>10351.061611419169</v>
      </c>
      <c r="V294" s="151">
        <f t="shared" si="112"/>
        <v>10092.285071133689</v>
      </c>
      <c r="W294" s="151">
        <f t="shared" si="112"/>
        <v>9839.9779443553471</v>
      </c>
      <c r="X294" s="151">
        <f t="shared" si="112"/>
        <v>9593.9784957464635</v>
      </c>
      <c r="Y294" s="151">
        <f t="shared" si="112"/>
        <v>9354.1290333528013</v>
      </c>
    </row>
    <row r="295" spans="2:25">
      <c r="C295" s="691" t="s">
        <v>233</v>
      </c>
      <c r="J295" s="144"/>
      <c r="K295" s="144">
        <f t="shared" ref="K295:Y295" si="113">J295</f>
        <v>0</v>
      </c>
      <c r="L295" s="146">
        <v>-2.5000000000000001E-2</v>
      </c>
      <c r="M295" s="737">
        <f t="shared" si="113"/>
        <v>-2.5000000000000001E-2</v>
      </c>
      <c r="N295" s="737">
        <f t="shared" si="113"/>
        <v>-2.5000000000000001E-2</v>
      </c>
      <c r="O295" s="737">
        <f t="shared" si="113"/>
        <v>-2.5000000000000001E-2</v>
      </c>
      <c r="P295" s="737">
        <f t="shared" si="113"/>
        <v>-2.5000000000000001E-2</v>
      </c>
      <c r="Q295" s="737">
        <f t="shared" si="113"/>
        <v>-2.5000000000000001E-2</v>
      </c>
      <c r="R295" s="737">
        <f t="shared" si="113"/>
        <v>-2.5000000000000001E-2</v>
      </c>
      <c r="S295" s="737">
        <f t="shared" si="113"/>
        <v>-2.5000000000000001E-2</v>
      </c>
      <c r="T295" s="737">
        <f t="shared" si="113"/>
        <v>-2.5000000000000001E-2</v>
      </c>
      <c r="U295" s="737">
        <f t="shared" si="113"/>
        <v>-2.5000000000000001E-2</v>
      </c>
      <c r="V295" s="737">
        <f t="shared" si="113"/>
        <v>-2.5000000000000001E-2</v>
      </c>
      <c r="W295" s="737">
        <f t="shared" si="113"/>
        <v>-2.5000000000000001E-2</v>
      </c>
      <c r="X295" s="737">
        <f t="shared" si="113"/>
        <v>-2.5000000000000001E-2</v>
      </c>
      <c r="Y295" s="737">
        <f t="shared" si="113"/>
        <v>-2.5000000000000001E-2</v>
      </c>
    </row>
    <row r="297" spans="2:25">
      <c r="B297" s="668" t="s">
        <v>565</v>
      </c>
      <c r="C297" s="669"/>
      <c r="D297" s="669"/>
      <c r="E297" s="669"/>
      <c r="F297" s="669"/>
      <c r="G297" s="669"/>
      <c r="H297" s="669"/>
      <c r="I297" s="669"/>
      <c r="J297" s="692">
        <v>0</v>
      </c>
      <c r="K297" s="694">
        <v>76.921999999999997</v>
      </c>
      <c r="L297" s="692">
        <f>L290*L292*L294/1000000</f>
        <v>151.905</v>
      </c>
      <c r="M297" s="692">
        <f t="shared" ref="M297:Y297" si="114">M290*M292*M294/1000000</f>
        <v>305.96816250000001</v>
      </c>
      <c r="N297" s="692">
        <f t="shared" si="114"/>
        <v>447.43456631250007</v>
      </c>
      <c r="O297" s="692">
        <f t="shared" si="114"/>
        <v>474.90365044687496</v>
      </c>
      <c r="P297" s="692">
        <f t="shared" si="114"/>
        <v>634.2009321375001</v>
      </c>
      <c r="Q297" s="692">
        <f t="shared" si="114"/>
        <v>552.83908731987299</v>
      </c>
      <c r="R297" s="692">
        <f t="shared" si="114"/>
        <v>478.43231820706052</v>
      </c>
      <c r="S297" s="692">
        <f t="shared" si="114"/>
        <v>351.12760950262611</v>
      </c>
      <c r="T297" s="692">
        <f t="shared" si="114"/>
        <v>192.26433413620629</v>
      </c>
      <c r="U297" s="692">
        <f t="shared" si="114"/>
        <v>112.20550786778378</v>
      </c>
      <c r="V297" s="692">
        <f t="shared" si="114"/>
        <v>70.343226945801803</v>
      </c>
      <c r="W297" s="692">
        <f t="shared" si="114"/>
        <v>30.503931627501576</v>
      </c>
      <c r="X297" s="692">
        <f t="shared" si="114"/>
        <v>14.870666668407019</v>
      </c>
      <c r="Y297" s="692">
        <f t="shared" si="114"/>
        <v>0</v>
      </c>
    </row>
    <row r="299" spans="2:25">
      <c r="B299" s="658" t="s">
        <v>531</v>
      </c>
      <c r="C299" s="659"/>
      <c r="D299" s="659"/>
      <c r="E299" s="659"/>
      <c r="F299" s="659"/>
      <c r="G299" s="659"/>
      <c r="H299" s="659"/>
      <c r="I299" s="659"/>
      <c r="J299" s="659"/>
      <c r="K299" s="659"/>
      <c r="L299" s="659"/>
      <c r="M299" s="659"/>
      <c r="N299" s="659"/>
      <c r="O299" s="659"/>
      <c r="P299" s="659"/>
      <c r="Q299" s="659"/>
      <c r="R299" s="659"/>
      <c r="S299" s="659"/>
      <c r="T299" s="659"/>
      <c r="U299" s="659"/>
      <c r="V299" s="659"/>
      <c r="W299" s="659"/>
      <c r="X299" s="659"/>
      <c r="Y299" s="659"/>
    </row>
    <row r="300" spans="2:25">
      <c r="C300" s="689" t="s">
        <v>558</v>
      </c>
      <c r="M300" s="684">
        <f>M183*M244</f>
        <v>0</v>
      </c>
      <c r="N300" s="684">
        <f t="shared" ref="N300:Y300" si="115">N183*N244</f>
        <v>693</v>
      </c>
      <c r="O300" s="684">
        <f t="shared" si="115"/>
        <v>1829.375</v>
      </c>
      <c r="P300" s="684">
        <f t="shared" si="115"/>
        <v>2487</v>
      </c>
      <c r="Q300" s="684">
        <f t="shared" si="115"/>
        <v>2473.75</v>
      </c>
      <c r="R300" s="684">
        <f t="shared" si="115"/>
        <v>2206.5</v>
      </c>
      <c r="S300" s="684">
        <f t="shared" si="115"/>
        <v>1374.8999999999999</v>
      </c>
      <c r="T300" s="684">
        <f t="shared" si="115"/>
        <v>543.29999999999995</v>
      </c>
      <c r="U300" s="684">
        <f t="shared" si="115"/>
        <v>325.2</v>
      </c>
      <c r="V300" s="684">
        <f t="shared" si="115"/>
        <v>209.1</v>
      </c>
      <c r="W300" s="684">
        <f t="shared" si="115"/>
        <v>93</v>
      </c>
      <c r="X300" s="684">
        <f t="shared" si="115"/>
        <v>46.5</v>
      </c>
      <c r="Y300" s="684">
        <f t="shared" si="115"/>
        <v>0</v>
      </c>
    </row>
    <row r="301" spans="2:25">
      <c r="C301" s="689"/>
    </row>
    <row r="302" spans="2:25">
      <c r="C302" s="689" t="s">
        <v>559</v>
      </c>
      <c r="M302" s="649">
        <v>6</v>
      </c>
      <c r="N302" s="649">
        <v>11</v>
      </c>
      <c r="O302" s="649">
        <v>11.5</v>
      </c>
      <c r="P302" s="649">
        <f>O302</f>
        <v>11.5</v>
      </c>
      <c r="Q302" s="649">
        <f t="shared" ref="Q302:Y302" si="116">P302</f>
        <v>11.5</v>
      </c>
      <c r="R302" s="649">
        <f t="shared" si="116"/>
        <v>11.5</v>
      </c>
      <c r="S302" s="649">
        <f t="shared" si="116"/>
        <v>11.5</v>
      </c>
      <c r="T302" s="649">
        <f t="shared" si="116"/>
        <v>11.5</v>
      </c>
      <c r="U302" s="649">
        <f t="shared" si="116"/>
        <v>11.5</v>
      </c>
      <c r="V302" s="649">
        <f t="shared" si="116"/>
        <v>11.5</v>
      </c>
      <c r="W302" s="649">
        <f t="shared" si="116"/>
        <v>11.5</v>
      </c>
      <c r="X302" s="649">
        <f t="shared" si="116"/>
        <v>11.5</v>
      </c>
      <c r="Y302" s="649">
        <f t="shared" si="116"/>
        <v>11.5</v>
      </c>
    </row>
    <row r="303" spans="2:25">
      <c r="C303" s="689"/>
    </row>
    <row r="304" spans="2:25">
      <c r="C304" s="689" t="s">
        <v>566</v>
      </c>
    </row>
    <row r="305" spans="2:25">
      <c r="C305" s="691" t="s">
        <v>233</v>
      </c>
    </row>
    <row r="306" spans="2:25">
      <c r="C306" s="691" t="s">
        <v>234</v>
      </c>
    </row>
    <row r="307" spans="2:25">
      <c r="C307" s="689" t="s">
        <v>567</v>
      </c>
      <c r="M307" s="690">
        <f>M294</f>
        <v>12675</v>
      </c>
      <c r="N307" s="690">
        <f t="shared" ref="N307:Y307" si="117">N294</f>
        <v>12358.125</v>
      </c>
      <c r="O307" s="690">
        <f t="shared" si="117"/>
        <v>12049.171875</v>
      </c>
      <c r="P307" s="690">
        <f t="shared" si="117"/>
        <v>11747.942578124999</v>
      </c>
      <c r="Q307" s="690">
        <f t="shared" si="117"/>
        <v>11454.244013671874</v>
      </c>
      <c r="R307" s="690">
        <f t="shared" si="117"/>
        <v>11167.887913330078</v>
      </c>
      <c r="S307" s="690">
        <f t="shared" si="117"/>
        <v>10888.690715496825</v>
      </c>
      <c r="T307" s="690">
        <f t="shared" si="117"/>
        <v>10616.473447609404</v>
      </c>
      <c r="U307" s="690">
        <f t="shared" si="117"/>
        <v>10351.061611419169</v>
      </c>
      <c r="V307" s="690">
        <f t="shared" si="117"/>
        <v>10092.285071133689</v>
      </c>
      <c r="W307" s="690">
        <f t="shared" si="117"/>
        <v>9839.9779443553471</v>
      </c>
      <c r="X307" s="690">
        <f t="shared" si="117"/>
        <v>9593.9784957464635</v>
      </c>
      <c r="Y307" s="690">
        <f t="shared" si="117"/>
        <v>9354.1290333528013</v>
      </c>
    </row>
    <row r="309" spans="2:25">
      <c r="B309" s="668" t="s">
        <v>568</v>
      </c>
      <c r="C309" s="669"/>
      <c r="D309" s="669"/>
      <c r="E309" s="669"/>
      <c r="F309" s="669"/>
      <c r="G309" s="669"/>
      <c r="H309" s="669"/>
      <c r="I309" s="669"/>
      <c r="J309" s="669"/>
      <c r="K309" s="669"/>
      <c r="L309" s="669"/>
      <c r="M309" s="694">
        <f>M300*M302*M307/1000000</f>
        <v>0</v>
      </c>
      <c r="N309" s="694">
        <f t="shared" ref="N309:Y309" si="118">N300*N302*N307/1000000</f>
        <v>94.205986874999994</v>
      </c>
      <c r="O309" s="694">
        <f t="shared" si="118"/>
        <v>253.48821868652342</v>
      </c>
      <c r="P309" s="694">
        <f t="shared" si="118"/>
        <v>335.99703170566403</v>
      </c>
      <c r="Q309" s="694">
        <f t="shared" si="118"/>
        <v>325.85176548143914</v>
      </c>
      <c r="R309" s="694">
        <f t="shared" si="118"/>
        <v>283.38236382877238</v>
      </c>
      <c r="S309" s="694">
        <f t="shared" si="118"/>
        <v>172.1648999444707</v>
      </c>
      <c r="T309" s="694">
        <f t="shared" si="118"/>
        <v>66.331195276991167</v>
      </c>
      <c r="U309" s="694">
        <f t="shared" si="118"/>
        <v>38.710900214385404</v>
      </c>
      <c r="V309" s="694">
        <f t="shared" si="118"/>
        <v>24.268413296301624</v>
      </c>
      <c r="W309" s="694">
        <f t="shared" si="118"/>
        <v>10.523856411488044</v>
      </c>
      <c r="X309" s="694">
        <f t="shared" si="118"/>
        <v>5.1303800006004217</v>
      </c>
      <c r="Y309" s="694">
        <f t="shared" si="118"/>
        <v>0</v>
      </c>
    </row>
    <row r="311" spans="2:25">
      <c r="B311" s="658" t="s">
        <v>569</v>
      </c>
      <c r="C311" s="659"/>
      <c r="D311" s="659"/>
      <c r="E311" s="659"/>
      <c r="F311" s="659"/>
      <c r="G311" s="659"/>
      <c r="H311" s="659"/>
      <c r="I311" s="659"/>
      <c r="J311" s="659"/>
      <c r="K311" s="659"/>
      <c r="L311" s="659"/>
      <c r="M311" s="659"/>
      <c r="N311" s="659"/>
      <c r="O311" s="659"/>
      <c r="P311" s="659"/>
      <c r="Q311" s="659"/>
      <c r="R311" s="659"/>
      <c r="S311" s="659"/>
      <c r="T311" s="659"/>
      <c r="U311" s="659"/>
      <c r="V311" s="659"/>
      <c r="W311" s="659"/>
      <c r="X311" s="659"/>
      <c r="Y311" s="659"/>
    </row>
    <row r="312" spans="2:25">
      <c r="C312" s="689" t="s">
        <v>558</v>
      </c>
      <c r="O312" s="686"/>
      <c r="P312" s="686">
        <f t="shared" ref="P312:Y312" si="119">P193*P265+P255*P188</f>
        <v>1186.5723923196679</v>
      </c>
      <c r="Q312" s="686">
        <f t="shared" si="119"/>
        <v>2188.6206538661131</v>
      </c>
      <c r="R312" s="686">
        <f t="shared" si="119"/>
        <v>4948.0477426050857</v>
      </c>
      <c r="S312" s="686">
        <f t="shared" si="119"/>
        <v>7707.7656460819926</v>
      </c>
      <c r="T312" s="686">
        <f t="shared" si="119"/>
        <v>10177.777581733264</v>
      </c>
      <c r="U312" s="686">
        <f t="shared" si="119"/>
        <v>12981.368863518423</v>
      </c>
      <c r="V312" s="686">
        <f t="shared" si="119"/>
        <v>14193.2</v>
      </c>
      <c r="W312" s="686">
        <f t="shared" si="119"/>
        <v>14735</v>
      </c>
      <c r="X312" s="686">
        <f t="shared" si="119"/>
        <v>14952</v>
      </c>
      <c r="Y312" s="686">
        <f t="shared" si="119"/>
        <v>15169</v>
      </c>
    </row>
    <row r="313" spans="2:25">
      <c r="C313" s="689"/>
    </row>
    <row r="314" spans="2:25">
      <c r="C314" s="689" t="s">
        <v>559</v>
      </c>
      <c r="P314" s="649">
        <v>6</v>
      </c>
      <c r="Q314" s="649">
        <v>11</v>
      </c>
      <c r="R314" s="686">
        <f>Q314</f>
        <v>11</v>
      </c>
      <c r="S314" s="686">
        <f t="shared" ref="S314:Y314" si="120">R314</f>
        <v>11</v>
      </c>
      <c r="T314" s="686">
        <f t="shared" si="120"/>
        <v>11</v>
      </c>
      <c r="U314" s="686">
        <f t="shared" si="120"/>
        <v>11</v>
      </c>
      <c r="V314" s="686">
        <f t="shared" si="120"/>
        <v>11</v>
      </c>
      <c r="W314" s="686">
        <f t="shared" si="120"/>
        <v>11</v>
      </c>
      <c r="X314" s="686">
        <f t="shared" si="120"/>
        <v>11</v>
      </c>
      <c r="Y314" s="686">
        <f t="shared" si="120"/>
        <v>11</v>
      </c>
    </row>
    <row r="315" spans="2:25">
      <c r="C315" s="689"/>
    </row>
    <row r="316" spans="2:25">
      <c r="C316" s="689" t="s">
        <v>570</v>
      </c>
    </row>
    <row r="317" spans="2:25">
      <c r="C317" s="691" t="s">
        <v>233</v>
      </c>
    </row>
    <row r="318" spans="2:25">
      <c r="C318" s="691" t="s">
        <v>234</v>
      </c>
    </row>
    <row r="319" spans="2:25">
      <c r="C319" s="689" t="s">
        <v>571</v>
      </c>
      <c r="O319" s="690"/>
      <c r="P319" s="690">
        <f t="shared" ref="P319:Y319" si="121">1.2*P307</f>
        <v>14097.531093749998</v>
      </c>
      <c r="Q319" s="690">
        <f t="shared" si="121"/>
        <v>13745.092816406248</v>
      </c>
      <c r="R319" s="690">
        <f t="shared" si="121"/>
        <v>13401.465495996094</v>
      </c>
      <c r="S319" s="690">
        <f t="shared" si="121"/>
        <v>13066.428858596189</v>
      </c>
      <c r="T319" s="690">
        <f t="shared" si="121"/>
        <v>12739.768137131285</v>
      </c>
      <c r="U319" s="690">
        <f t="shared" si="121"/>
        <v>12421.273933703002</v>
      </c>
      <c r="V319" s="690">
        <f t="shared" si="121"/>
        <v>12110.742085360425</v>
      </c>
      <c r="W319" s="690">
        <f t="shared" si="121"/>
        <v>11807.973533226415</v>
      </c>
      <c r="X319" s="690">
        <f t="shared" si="121"/>
        <v>11512.774194895755</v>
      </c>
      <c r="Y319" s="690">
        <f t="shared" si="121"/>
        <v>11224.954840023362</v>
      </c>
    </row>
    <row r="321" spans="2:25">
      <c r="B321" s="668" t="s">
        <v>572</v>
      </c>
      <c r="C321" s="669"/>
      <c r="D321" s="669"/>
      <c r="E321" s="669"/>
      <c r="F321" s="669"/>
      <c r="G321" s="669"/>
      <c r="H321" s="669"/>
      <c r="I321" s="669"/>
      <c r="J321" s="669"/>
      <c r="K321" s="669"/>
      <c r="L321" s="669"/>
      <c r="M321" s="669"/>
      <c r="N321" s="669"/>
      <c r="O321" s="694"/>
      <c r="P321" s="694">
        <f t="shared" ref="P321:Y321" si="122">P312*P314*P319/1000000</f>
        <v>100.36644717427103</v>
      </c>
      <c r="Q321" s="694">
        <f t="shared" si="122"/>
        <v>330.91073430022806</v>
      </c>
      <c r="R321" s="694">
        <f t="shared" si="122"/>
        <v>729.42200204569758</v>
      </c>
      <c r="S321" s="694">
        <f t="shared" si="122"/>
        <v>1107.8426862058825</v>
      </c>
      <c r="T321" s="694">
        <f t="shared" si="122"/>
        <v>1426.2877919683199</v>
      </c>
      <c r="U321" s="694">
        <f t="shared" si="122"/>
        <v>1773.6965255702567</v>
      </c>
      <c r="V321" s="694">
        <f t="shared" si="122"/>
        <v>1890.7920302253137</v>
      </c>
      <c r="W321" s="694">
        <f t="shared" si="122"/>
        <v>1913.8953901330035</v>
      </c>
      <c r="X321" s="694">
        <f t="shared" si="122"/>
        <v>1893.5289973828947</v>
      </c>
      <c r="Y321" s="694">
        <f t="shared" si="122"/>
        <v>1872.9847396514581</v>
      </c>
    </row>
    <row r="323" spans="2:25">
      <c r="B323" s="651" t="s">
        <v>578</v>
      </c>
      <c r="C323" s="695"/>
      <c r="D323" s="695"/>
      <c r="E323" s="695"/>
      <c r="F323" s="651"/>
      <c r="G323" s="696">
        <f>G277+G297+G309+G321+G287</f>
        <v>8.5</v>
      </c>
      <c r="H323" s="696">
        <f t="shared" ref="H323:Y323" si="123">H277+H297+H309+H321+H287</f>
        <v>155.39999999999998</v>
      </c>
      <c r="I323" s="696">
        <f t="shared" si="123"/>
        <v>202.65999999999997</v>
      </c>
      <c r="J323" s="696">
        <f t="shared" si="123"/>
        <v>266.10000000000002</v>
      </c>
      <c r="K323" s="696">
        <f t="shared" si="123"/>
        <v>380.322</v>
      </c>
      <c r="L323" s="696">
        <f t="shared" si="123"/>
        <v>437.73511576627197</v>
      </c>
      <c r="M323" s="696">
        <f t="shared" si="123"/>
        <v>583.22337479328382</v>
      </c>
      <c r="N323" s="696">
        <f t="shared" si="123"/>
        <v>813.35066123491833</v>
      </c>
      <c r="O323" s="696">
        <f t="shared" si="123"/>
        <v>1085.7418529752406</v>
      </c>
      <c r="P323" s="696">
        <f t="shared" si="123"/>
        <v>1420.7673951824404</v>
      </c>
      <c r="Q323" s="696">
        <f t="shared" si="123"/>
        <v>1552.8005115832455</v>
      </c>
      <c r="R323" s="696">
        <f t="shared" si="123"/>
        <v>1827.5716300736015</v>
      </c>
      <c r="S323" s="696">
        <f t="shared" si="123"/>
        <v>1960.7434427252088</v>
      </c>
      <c r="T323" s="696">
        <f t="shared" si="123"/>
        <v>2007.8994035123023</v>
      </c>
      <c r="U323" s="696">
        <f t="shared" si="123"/>
        <v>2241.1686941405951</v>
      </c>
      <c r="V323" s="696">
        <f t="shared" si="123"/>
        <v>2295.6283157458229</v>
      </c>
      <c r="W323" s="696">
        <f t="shared" si="123"/>
        <v>2258.943330544831</v>
      </c>
      <c r="X323" s="696">
        <f t="shared" si="123"/>
        <v>2211.4697933772832</v>
      </c>
      <c r="Y323" s="696">
        <f t="shared" si="123"/>
        <v>2164.9656939903316</v>
      </c>
    </row>
    <row r="325" spans="2:25" ht="13.5" thickBot="1">
      <c r="B325" s="652" t="s">
        <v>635</v>
      </c>
      <c r="C325" s="653"/>
      <c r="D325" s="653"/>
      <c r="E325" s="653"/>
      <c r="F325" s="652"/>
      <c r="G325" s="652">
        <v>2012</v>
      </c>
      <c r="H325" s="652">
        <f>G325+1</f>
        <v>2013</v>
      </c>
      <c r="I325" s="652">
        <f t="shared" ref="I325:X325" si="124">H325+1</f>
        <v>2014</v>
      </c>
      <c r="J325" s="652">
        <f t="shared" si="124"/>
        <v>2015</v>
      </c>
      <c r="K325" s="652">
        <f t="shared" si="124"/>
        <v>2016</v>
      </c>
      <c r="L325" s="652">
        <f t="shared" si="124"/>
        <v>2017</v>
      </c>
      <c r="M325" s="652">
        <f t="shared" si="124"/>
        <v>2018</v>
      </c>
      <c r="N325" s="652">
        <f t="shared" si="124"/>
        <v>2019</v>
      </c>
      <c r="O325" s="652">
        <f t="shared" si="124"/>
        <v>2020</v>
      </c>
      <c r="P325" s="652">
        <f t="shared" si="124"/>
        <v>2021</v>
      </c>
      <c r="Q325" s="652">
        <f t="shared" si="124"/>
        <v>2022</v>
      </c>
      <c r="R325" s="652">
        <f t="shared" si="124"/>
        <v>2023</v>
      </c>
      <c r="S325" s="652">
        <f t="shared" si="124"/>
        <v>2024</v>
      </c>
      <c r="T325" s="652">
        <f t="shared" si="124"/>
        <v>2025</v>
      </c>
      <c r="U325" s="652">
        <f t="shared" si="124"/>
        <v>2026</v>
      </c>
      <c r="V325" s="652">
        <f t="shared" si="124"/>
        <v>2027</v>
      </c>
      <c r="W325" s="652">
        <f t="shared" si="124"/>
        <v>2028</v>
      </c>
      <c r="X325" s="652">
        <f t="shared" si="124"/>
        <v>2029</v>
      </c>
      <c r="Y325" s="652">
        <f>X325+1</f>
        <v>2030</v>
      </c>
    </row>
    <row r="326" spans="2:25">
      <c r="B326" s="651" t="s">
        <v>573</v>
      </c>
      <c r="C326" s="695"/>
      <c r="D326" s="695"/>
      <c r="E326" s="695"/>
      <c r="F326" s="651"/>
      <c r="G326" s="696">
        <f>SUM(G327:G331)</f>
        <v>163.143</v>
      </c>
      <c r="H326" s="696">
        <f t="shared" ref="H326:Y326" si="125">SUM(H327:H331)</f>
        <v>216</v>
      </c>
      <c r="I326" s="696">
        <f t="shared" si="125"/>
        <v>261</v>
      </c>
      <c r="J326" s="696">
        <f t="shared" si="125"/>
        <v>715.69200000000001</v>
      </c>
      <c r="K326" s="696">
        <f t="shared" si="125"/>
        <v>1302.5</v>
      </c>
      <c r="L326" s="696">
        <f t="shared" si="125"/>
        <v>1640.6508029721097</v>
      </c>
      <c r="M326" s="696">
        <f t="shared" si="125"/>
        <v>2013.5420335111874</v>
      </c>
      <c r="N326" s="696">
        <f t="shared" si="125"/>
        <v>2051.1847911927498</v>
      </c>
      <c r="O326" s="696">
        <f t="shared" si="125"/>
        <v>2858.9753022353898</v>
      </c>
      <c r="P326" s="696">
        <f t="shared" si="125"/>
        <v>3813.7793006811335</v>
      </c>
      <c r="Q326" s="696">
        <f t="shared" si="125"/>
        <v>4476.4989994299285</v>
      </c>
      <c r="R326" s="696">
        <f t="shared" si="125"/>
        <v>4558.0788612533706</v>
      </c>
      <c r="S326" s="696">
        <f t="shared" si="125"/>
        <v>4555.1954629532265</v>
      </c>
      <c r="T326" s="696">
        <f t="shared" si="125"/>
        <v>5155.2467243657566</v>
      </c>
      <c r="U326" s="696">
        <f t="shared" si="125"/>
        <v>6433.0131972932159</v>
      </c>
      <c r="V326" s="696">
        <f t="shared" si="125"/>
        <v>6479.1082034099518</v>
      </c>
      <c r="W326" s="696">
        <f t="shared" si="125"/>
        <v>6613.2705928387522</v>
      </c>
      <c r="X326" s="696">
        <f t="shared" si="125"/>
        <v>6677.548243806561</v>
      </c>
      <c r="Y326" s="696">
        <f t="shared" si="125"/>
        <v>6811.7906226402265</v>
      </c>
    </row>
    <row r="327" spans="2:25" outlineLevel="1">
      <c r="B327" s="691" t="s">
        <v>340</v>
      </c>
      <c r="G327" s="690">
        <f t="shared" ref="G327:Y327" si="126">G117</f>
        <v>163.143</v>
      </c>
      <c r="H327" s="690">
        <f t="shared" si="126"/>
        <v>216</v>
      </c>
      <c r="I327" s="690">
        <f t="shared" si="126"/>
        <v>261</v>
      </c>
      <c r="J327" s="690">
        <f t="shared" si="126"/>
        <v>365.029</v>
      </c>
      <c r="K327" s="690">
        <f t="shared" si="126"/>
        <v>400</v>
      </c>
      <c r="L327" s="690">
        <f t="shared" si="126"/>
        <v>495.97869646835994</v>
      </c>
      <c r="M327" s="690">
        <f t="shared" si="126"/>
        <v>636.23235110399992</v>
      </c>
      <c r="N327" s="690">
        <f t="shared" si="126"/>
        <v>673.904003472</v>
      </c>
      <c r="O327" s="690">
        <f t="shared" si="126"/>
        <v>719.66808486720004</v>
      </c>
      <c r="P327" s="690">
        <f t="shared" si="126"/>
        <v>761.61849281280001</v>
      </c>
      <c r="Q327" s="690">
        <f t="shared" si="126"/>
        <v>761.61849281280001</v>
      </c>
      <c r="R327" s="690">
        <f t="shared" si="126"/>
        <v>761.61849281280001</v>
      </c>
      <c r="S327" s="690">
        <f t="shared" si="126"/>
        <v>761.61849281280001</v>
      </c>
      <c r="T327" s="690">
        <f t="shared" si="126"/>
        <v>408.62115766080007</v>
      </c>
      <c r="U327" s="690">
        <f t="shared" si="126"/>
        <v>216.0771566688</v>
      </c>
      <c r="V327" s="690">
        <f t="shared" si="126"/>
        <v>216.0771566688</v>
      </c>
      <c r="W327" s="690">
        <f t="shared" si="126"/>
        <v>43.8572446704</v>
      </c>
      <c r="X327" s="690">
        <f t="shared" si="126"/>
        <v>8.7714489340799986</v>
      </c>
      <c r="Y327" s="690">
        <f t="shared" si="126"/>
        <v>0</v>
      </c>
    </row>
    <row r="328" spans="2:25" outlineLevel="1">
      <c r="B328" s="691" t="s">
        <v>656</v>
      </c>
      <c r="G328" s="690">
        <f>G126</f>
        <v>0</v>
      </c>
      <c r="H328" s="690">
        <f t="shared" ref="H328:Y328" si="127">H126</f>
        <v>0</v>
      </c>
      <c r="I328" s="690">
        <f t="shared" si="127"/>
        <v>0</v>
      </c>
      <c r="J328" s="690">
        <f t="shared" si="127"/>
        <v>0</v>
      </c>
      <c r="K328" s="690">
        <f t="shared" si="127"/>
        <v>0</v>
      </c>
      <c r="L328" s="690">
        <f t="shared" si="127"/>
        <v>0</v>
      </c>
      <c r="M328" s="690">
        <f t="shared" si="127"/>
        <v>0</v>
      </c>
      <c r="N328" s="690">
        <f t="shared" si="127"/>
        <v>0</v>
      </c>
      <c r="O328" s="690">
        <f t="shared" si="127"/>
        <v>0</v>
      </c>
      <c r="P328" s="690">
        <f t="shared" si="127"/>
        <v>0</v>
      </c>
      <c r="Q328" s="690">
        <f t="shared" si="127"/>
        <v>0</v>
      </c>
      <c r="R328" s="690">
        <f t="shared" si="127"/>
        <v>0</v>
      </c>
      <c r="S328" s="690">
        <f t="shared" si="127"/>
        <v>0</v>
      </c>
      <c r="T328" s="690">
        <f t="shared" si="127"/>
        <v>388.29706866720011</v>
      </c>
      <c r="U328" s="690">
        <f t="shared" si="127"/>
        <v>529.49600272800012</v>
      </c>
      <c r="V328" s="690">
        <f t="shared" si="127"/>
        <v>529.49600272800012</v>
      </c>
      <c r="W328" s="690">
        <f t="shared" si="127"/>
        <v>741.29440381920017</v>
      </c>
      <c r="X328" s="690">
        <f t="shared" si="127"/>
        <v>741.29440381920017</v>
      </c>
      <c r="Y328" s="690">
        <f t="shared" si="127"/>
        <v>837.7803420940802</v>
      </c>
    </row>
    <row r="329" spans="2:25" outlineLevel="1">
      <c r="B329" s="691" t="s">
        <v>498</v>
      </c>
      <c r="G329" s="690">
        <f t="shared" ref="G329:Y329" si="128">G139</f>
        <v>0</v>
      </c>
      <c r="H329" s="690">
        <f t="shared" si="128"/>
        <v>0</v>
      </c>
      <c r="I329" s="690">
        <f t="shared" si="128"/>
        <v>0</v>
      </c>
      <c r="J329" s="690">
        <f t="shared" si="128"/>
        <v>350.66300000000001</v>
      </c>
      <c r="K329" s="690">
        <f t="shared" si="128"/>
        <v>902.5</v>
      </c>
      <c r="L329" s="690">
        <f t="shared" si="128"/>
        <v>1144.6721065037498</v>
      </c>
      <c r="M329" s="690">
        <f t="shared" si="128"/>
        <v>1172.5908289975</v>
      </c>
      <c r="N329" s="690">
        <f t="shared" si="128"/>
        <v>986.48237632174994</v>
      </c>
      <c r="O329" s="690">
        <f t="shared" si="128"/>
        <v>754.65363902912497</v>
      </c>
      <c r="P329" s="690">
        <f t="shared" si="128"/>
        <v>524.1696159899376</v>
      </c>
      <c r="Q329" s="690">
        <f t="shared" si="128"/>
        <v>438.24237519528123</v>
      </c>
      <c r="R329" s="690">
        <f t="shared" si="128"/>
        <v>365.96398407301564</v>
      </c>
      <c r="S329" s="690">
        <f t="shared" si="128"/>
        <v>221.6089089665</v>
      </c>
      <c r="T329" s="690">
        <f t="shared" si="128"/>
        <v>161.36571041249999</v>
      </c>
      <c r="U329" s="690">
        <f t="shared" si="128"/>
        <v>80.682855206249997</v>
      </c>
      <c r="V329" s="690">
        <f t="shared" si="128"/>
        <v>29.314770724937496</v>
      </c>
      <c r="W329" s="690">
        <f t="shared" si="128"/>
        <v>14.657385362468748</v>
      </c>
      <c r="X329" s="690">
        <f t="shared" si="128"/>
        <v>0</v>
      </c>
      <c r="Y329" s="690">
        <f t="shared" si="128"/>
        <v>0</v>
      </c>
    </row>
    <row r="330" spans="2:25" outlineLevel="1">
      <c r="B330" s="691" t="s">
        <v>531</v>
      </c>
      <c r="G330" s="690">
        <f t="shared" ref="G330:Y330" si="129">G148</f>
        <v>0</v>
      </c>
      <c r="H330" s="690">
        <f t="shared" si="129"/>
        <v>0</v>
      </c>
      <c r="I330" s="690">
        <f t="shared" si="129"/>
        <v>0</v>
      </c>
      <c r="J330" s="690">
        <f t="shared" si="129"/>
        <v>0</v>
      </c>
      <c r="K330" s="690">
        <f t="shared" si="129"/>
        <v>0</v>
      </c>
      <c r="L330" s="690">
        <f t="shared" si="129"/>
        <v>0</v>
      </c>
      <c r="M330" s="690">
        <f t="shared" si="129"/>
        <v>204.71885340968748</v>
      </c>
      <c r="N330" s="690">
        <f t="shared" si="129"/>
        <v>390.79841139899997</v>
      </c>
      <c r="O330" s="690">
        <f t="shared" si="129"/>
        <v>308.72194323918745</v>
      </c>
      <c r="P330" s="690">
        <f t="shared" si="129"/>
        <v>238.41783713446873</v>
      </c>
      <c r="Q330" s="690">
        <f t="shared" si="129"/>
        <v>179.28097167079687</v>
      </c>
      <c r="R330" s="690">
        <f t="shared" si="129"/>
        <v>149.71253893896093</v>
      </c>
      <c r="S330" s="690">
        <f t="shared" si="129"/>
        <v>90.658190031749996</v>
      </c>
      <c r="T330" s="690">
        <f t="shared" si="129"/>
        <v>66.013245168749989</v>
      </c>
      <c r="U330" s="690">
        <f t="shared" si="129"/>
        <v>33.006622584374995</v>
      </c>
      <c r="V330" s="690">
        <f t="shared" si="129"/>
        <v>11.992406205656248</v>
      </c>
      <c r="W330" s="690">
        <f t="shared" si="129"/>
        <v>2.9981015514140621</v>
      </c>
      <c r="X330" s="690">
        <f t="shared" si="129"/>
        <v>0</v>
      </c>
      <c r="Y330" s="690">
        <f t="shared" si="129"/>
        <v>0</v>
      </c>
    </row>
    <row r="331" spans="2:25" outlineLevel="1">
      <c r="B331" s="691" t="s">
        <v>581</v>
      </c>
      <c r="G331" s="690">
        <f t="shared" ref="G331:X331" si="130">G160</f>
        <v>0</v>
      </c>
      <c r="H331" s="690">
        <f t="shared" si="130"/>
        <v>0</v>
      </c>
      <c r="I331" s="690">
        <f t="shared" si="130"/>
        <v>0</v>
      </c>
      <c r="J331" s="690">
        <f t="shared" si="130"/>
        <v>0</v>
      </c>
      <c r="K331" s="690">
        <f t="shared" si="130"/>
        <v>0</v>
      </c>
      <c r="L331" s="690">
        <f t="shared" si="130"/>
        <v>0</v>
      </c>
      <c r="M331" s="690">
        <f t="shared" si="130"/>
        <v>0</v>
      </c>
      <c r="N331" s="690">
        <f t="shared" si="130"/>
        <v>0</v>
      </c>
      <c r="O331" s="690">
        <f>O160</f>
        <v>1075.9316350998774</v>
      </c>
      <c r="P331" s="690">
        <f t="shared" si="130"/>
        <v>2289.5733547439272</v>
      </c>
      <c r="Q331" s="690">
        <f t="shared" si="130"/>
        <v>3097.3571597510499</v>
      </c>
      <c r="R331" s="690">
        <f t="shared" si="130"/>
        <v>3280.7838454285943</v>
      </c>
      <c r="S331" s="690">
        <f t="shared" si="130"/>
        <v>3481.3098711421762</v>
      </c>
      <c r="T331" s="690">
        <f t="shared" si="130"/>
        <v>4130.9495424565066</v>
      </c>
      <c r="U331" s="690">
        <f t="shared" si="130"/>
        <v>5573.750560105791</v>
      </c>
      <c r="V331" s="690">
        <f t="shared" si="130"/>
        <v>5692.2278670825581</v>
      </c>
      <c r="W331" s="690">
        <f t="shared" si="130"/>
        <v>5810.4634574352694</v>
      </c>
      <c r="X331" s="690">
        <f t="shared" si="130"/>
        <v>5927.4823910532805</v>
      </c>
      <c r="Y331" s="690">
        <f>Y160</f>
        <v>5974.0102805461465</v>
      </c>
    </row>
    <row r="332" spans="2:25">
      <c r="B332" s="651" t="s">
        <v>578</v>
      </c>
      <c r="C332" s="695"/>
      <c r="D332" s="695"/>
      <c r="E332" s="695"/>
      <c r="F332" s="651"/>
      <c r="G332" s="696">
        <f>SUM(G333:G337)</f>
        <v>8.5</v>
      </c>
      <c r="H332" s="696">
        <f t="shared" ref="H332:Y332" si="131">SUM(H333:H337)</f>
        <v>155.39999999999998</v>
      </c>
      <c r="I332" s="696">
        <f t="shared" si="131"/>
        <v>202.65999999999997</v>
      </c>
      <c r="J332" s="696">
        <f t="shared" si="131"/>
        <v>266.10000000000002</v>
      </c>
      <c r="K332" s="696">
        <f t="shared" si="131"/>
        <v>380.322</v>
      </c>
      <c r="L332" s="696">
        <f t="shared" si="131"/>
        <v>437.73511576627197</v>
      </c>
      <c r="M332" s="696">
        <f t="shared" si="131"/>
        <v>583.22337479328382</v>
      </c>
      <c r="N332" s="696">
        <f t="shared" si="131"/>
        <v>813.35066123491833</v>
      </c>
      <c r="O332" s="696">
        <f t="shared" si="131"/>
        <v>1085.7418529752406</v>
      </c>
      <c r="P332" s="696">
        <f t="shared" si="131"/>
        <v>1420.7673951824404</v>
      </c>
      <c r="Q332" s="696">
        <f t="shared" si="131"/>
        <v>1552.8005115832455</v>
      </c>
      <c r="R332" s="696">
        <f t="shared" si="131"/>
        <v>1827.5716300736015</v>
      </c>
      <c r="S332" s="696">
        <f t="shared" si="131"/>
        <v>1960.7434427252088</v>
      </c>
      <c r="T332" s="696">
        <f t="shared" si="131"/>
        <v>2007.8994035123023</v>
      </c>
      <c r="U332" s="696">
        <f t="shared" si="131"/>
        <v>2241.1686941405951</v>
      </c>
      <c r="V332" s="696">
        <f t="shared" si="131"/>
        <v>2295.6283157458233</v>
      </c>
      <c r="W332" s="696">
        <f t="shared" si="131"/>
        <v>2258.943330544831</v>
      </c>
      <c r="X332" s="696">
        <f t="shared" si="131"/>
        <v>2211.4697933772832</v>
      </c>
      <c r="Y332" s="696">
        <f t="shared" si="131"/>
        <v>2164.9656939903316</v>
      </c>
    </row>
    <row r="333" spans="2:25" outlineLevel="1">
      <c r="B333" s="691" t="s">
        <v>340</v>
      </c>
      <c r="G333" s="690">
        <f t="shared" ref="G333:Y333" si="132">G277</f>
        <v>8.5</v>
      </c>
      <c r="H333" s="690">
        <f t="shared" si="132"/>
        <v>155.39999999999998</v>
      </c>
      <c r="I333" s="690">
        <f t="shared" si="132"/>
        <v>202.65999999999997</v>
      </c>
      <c r="J333" s="690">
        <f t="shared" si="132"/>
        <v>266.10000000000002</v>
      </c>
      <c r="K333" s="690">
        <f t="shared" si="132"/>
        <v>303.39999999999998</v>
      </c>
      <c r="L333" s="690">
        <f t="shared" si="132"/>
        <v>285.830115766272</v>
      </c>
      <c r="M333" s="690">
        <f t="shared" si="132"/>
        <v>277.25521229328382</v>
      </c>
      <c r="N333" s="690">
        <f t="shared" si="132"/>
        <v>271.7101080474182</v>
      </c>
      <c r="O333" s="690">
        <f t="shared" si="132"/>
        <v>357.34998384184212</v>
      </c>
      <c r="P333" s="690">
        <f t="shared" si="132"/>
        <v>350.2029841650052</v>
      </c>
      <c r="Q333" s="690">
        <f t="shared" si="132"/>
        <v>343.19892448170515</v>
      </c>
      <c r="R333" s="690">
        <f t="shared" si="132"/>
        <v>336.33494599207103</v>
      </c>
      <c r="S333" s="690">
        <f t="shared" si="132"/>
        <v>329.60824707222963</v>
      </c>
      <c r="T333" s="690">
        <f t="shared" si="132"/>
        <v>99.765226230458424</v>
      </c>
      <c r="U333" s="690">
        <f t="shared" si="132"/>
        <v>80.677278050980519</v>
      </c>
      <c r="V333" s="690">
        <f t="shared" si="132"/>
        <v>79.063732489960927</v>
      </c>
      <c r="W333" s="690">
        <f t="shared" si="132"/>
        <v>0</v>
      </c>
      <c r="X333" s="690">
        <f t="shared" si="132"/>
        <v>0</v>
      </c>
      <c r="Y333" s="690">
        <f t="shared" si="132"/>
        <v>0</v>
      </c>
    </row>
    <row r="334" spans="2:25" outlineLevel="1">
      <c r="B334" s="691" t="s">
        <v>656</v>
      </c>
      <c r="G334" s="690">
        <f>G287</f>
        <v>0</v>
      </c>
      <c r="H334" s="690">
        <f t="shared" ref="H334:Y334" si="133">H287</f>
        <v>0</v>
      </c>
      <c r="I334" s="690">
        <f t="shared" si="133"/>
        <v>0</v>
      </c>
      <c r="J334" s="690">
        <f t="shared" si="133"/>
        <v>0</v>
      </c>
      <c r="K334" s="690">
        <f t="shared" si="133"/>
        <v>0</v>
      </c>
      <c r="L334" s="690">
        <f t="shared" si="133"/>
        <v>0</v>
      </c>
      <c r="M334" s="690">
        <f t="shared" si="133"/>
        <v>0</v>
      </c>
      <c r="N334" s="690">
        <f t="shared" si="133"/>
        <v>0</v>
      </c>
      <c r="O334" s="690">
        <f t="shared" si="133"/>
        <v>0</v>
      </c>
      <c r="P334" s="690">
        <f t="shared" si="133"/>
        <v>0</v>
      </c>
      <c r="Q334" s="690">
        <f t="shared" si="133"/>
        <v>0</v>
      </c>
      <c r="R334" s="690">
        <f t="shared" si="133"/>
        <v>0</v>
      </c>
      <c r="S334" s="690">
        <f t="shared" si="133"/>
        <v>0</v>
      </c>
      <c r="T334" s="690">
        <f t="shared" si="133"/>
        <v>223.25085590032657</v>
      </c>
      <c r="U334" s="690">
        <f t="shared" si="133"/>
        <v>235.87848243718884</v>
      </c>
      <c r="V334" s="690">
        <f t="shared" si="133"/>
        <v>231.16091278844505</v>
      </c>
      <c r="W334" s="690">
        <f t="shared" si="133"/>
        <v>304.02015237283791</v>
      </c>
      <c r="X334" s="690">
        <f t="shared" si="133"/>
        <v>297.93974932538117</v>
      </c>
      <c r="Y334" s="690">
        <f t="shared" si="133"/>
        <v>291.98095433887352</v>
      </c>
    </row>
    <row r="335" spans="2:25" outlineLevel="1">
      <c r="B335" s="691" t="s">
        <v>498</v>
      </c>
      <c r="G335" s="690">
        <f>G297</f>
        <v>0</v>
      </c>
      <c r="H335" s="690">
        <f t="shared" ref="H335:Y335" si="134">H297</f>
        <v>0</v>
      </c>
      <c r="I335" s="690">
        <f t="shared" si="134"/>
        <v>0</v>
      </c>
      <c r="J335" s="690">
        <f t="shared" si="134"/>
        <v>0</v>
      </c>
      <c r="K335" s="690">
        <f>K297</f>
        <v>76.921999999999997</v>
      </c>
      <c r="L335" s="690">
        <f t="shared" si="134"/>
        <v>151.905</v>
      </c>
      <c r="M335" s="690">
        <f t="shared" si="134"/>
        <v>305.96816250000001</v>
      </c>
      <c r="N335" s="690">
        <f t="shared" si="134"/>
        <v>447.43456631250007</v>
      </c>
      <c r="O335" s="690">
        <f t="shared" si="134"/>
        <v>474.90365044687496</v>
      </c>
      <c r="P335" s="690">
        <f t="shared" si="134"/>
        <v>634.2009321375001</v>
      </c>
      <c r="Q335" s="690">
        <f t="shared" si="134"/>
        <v>552.83908731987299</v>
      </c>
      <c r="R335" s="690">
        <f t="shared" si="134"/>
        <v>478.43231820706052</v>
      </c>
      <c r="S335" s="690">
        <f t="shared" si="134"/>
        <v>351.12760950262611</v>
      </c>
      <c r="T335" s="690">
        <f t="shared" si="134"/>
        <v>192.26433413620629</v>
      </c>
      <c r="U335" s="690">
        <f t="shared" si="134"/>
        <v>112.20550786778378</v>
      </c>
      <c r="V335" s="690">
        <f t="shared" si="134"/>
        <v>70.343226945801803</v>
      </c>
      <c r="W335" s="690">
        <f t="shared" si="134"/>
        <v>30.503931627501576</v>
      </c>
      <c r="X335" s="690">
        <f t="shared" si="134"/>
        <v>14.870666668407019</v>
      </c>
      <c r="Y335" s="690">
        <f t="shared" si="134"/>
        <v>0</v>
      </c>
    </row>
    <row r="336" spans="2:25" outlineLevel="1">
      <c r="B336" s="691" t="s">
        <v>531</v>
      </c>
      <c r="G336" s="690">
        <f>G309</f>
        <v>0</v>
      </c>
      <c r="H336" s="690">
        <f t="shared" ref="H336:Y336" si="135">H309</f>
        <v>0</v>
      </c>
      <c r="I336" s="690">
        <f t="shared" si="135"/>
        <v>0</v>
      </c>
      <c r="J336" s="690">
        <f t="shared" si="135"/>
        <v>0</v>
      </c>
      <c r="K336" s="690">
        <f t="shared" si="135"/>
        <v>0</v>
      </c>
      <c r="L336" s="690">
        <f t="shared" si="135"/>
        <v>0</v>
      </c>
      <c r="M336" s="690">
        <f t="shared" si="135"/>
        <v>0</v>
      </c>
      <c r="N336" s="690">
        <f t="shared" si="135"/>
        <v>94.205986874999994</v>
      </c>
      <c r="O336" s="690">
        <f t="shared" si="135"/>
        <v>253.48821868652342</v>
      </c>
      <c r="P336" s="690">
        <f t="shared" si="135"/>
        <v>335.99703170566403</v>
      </c>
      <c r="Q336" s="690">
        <f t="shared" si="135"/>
        <v>325.85176548143914</v>
      </c>
      <c r="R336" s="690">
        <f t="shared" si="135"/>
        <v>283.38236382877238</v>
      </c>
      <c r="S336" s="690">
        <f t="shared" si="135"/>
        <v>172.1648999444707</v>
      </c>
      <c r="T336" s="690">
        <f t="shared" si="135"/>
        <v>66.331195276991167</v>
      </c>
      <c r="U336" s="690">
        <f t="shared" si="135"/>
        <v>38.710900214385404</v>
      </c>
      <c r="V336" s="690">
        <f t="shared" si="135"/>
        <v>24.268413296301624</v>
      </c>
      <c r="W336" s="690">
        <f t="shared" si="135"/>
        <v>10.523856411488044</v>
      </c>
      <c r="X336" s="690">
        <f t="shared" si="135"/>
        <v>5.1303800006004217</v>
      </c>
      <c r="Y336" s="690">
        <f t="shared" si="135"/>
        <v>0</v>
      </c>
    </row>
    <row r="337" spans="2:25" outlineLevel="1">
      <c r="B337" s="691" t="s">
        <v>581</v>
      </c>
      <c r="G337" s="690">
        <f>G321</f>
        <v>0</v>
      </c>
      <c r="H337" s="690">
        <f t="shared" ref="H337:Y337" si="136">H321</f>
        <v>0</v>
      </c>
      <c r="I337" s="690">
        <f t="shared" si="136"/>
        <v>0</v>
      </c>
      <c r="J337" s="690">
        <f t="shared" si="136"/>
        <v>0</v>
      </c>
      <c r="K337" s="690">
        <f t="shared" si="136"/>
        <v>0</v>
      </c>
      <c r="L337" s="690">
        <f t="shared" si="136"/>
        <v>0</v>
      </c>
      <c r="M337" s="690">
        <f t="shared" si="136"/>
        <v>0</v>
      </c>
      <c r="N337" s="690">
        <f t="shared" si="136"/>
        <v>0</v>
      </c>
      <c r="O337" s="690">
        <f t="shared" si="136"/>
        <v>0</v>
      </c>
      <c r="P337" s="690">
        <f t="shared" si="136"/>
        <v>100.36644717427103</v>
      </c>
      <c r="Q337" s="690">
        <f t="shared" si="136"/>
        <v>330.91073430022806</v>
      </c>
      <c r="R337" s="690">
        <f t="shared" si="136"/>
        <v>729.42200204569758</v>
      </c>
      <c r="S337" s="690">
        <f t="shared" si="136"/>
        <v>1107.8426862058825</v>
      </c>
      <c r="T337" s="690">
        <f t="shared" si="136"/>
        <v>1426.2877919683199</v>
      </c>
      <c r="U337" s="690">
        <f t="shared" si="136"/>
        <v>1773.6965255702567</v>
      </c>
      <c r="V337" s="690">
        <f t="shared" si="136"/>
        <v>1890.7920302253137</v>
      </c>
      <c r="W337" s="690">
        <f t="shared" si="136"/>
        <v>1913.8953901330035</v>
      </c>
      <c r="X337" s="690">
        <f t="shared" si="136"/>
        <v>1893.5289973828947</v>
      </c>
      <c r="Y337" s="690">
        <f t="shared" si="136"/>
        <v>1872.9847396514581</v>
      </c>
    </row>
    <row r="338" spans="2:25">
      <c r="B338" s="651" t="s">
        <v>579</v>
      </c>
      <c r="C338" s="695"/>
      <c r="D338" s="695"/>
      <c r="E338" s="695"/>
      <c r="F338" s="651"/>
      <c r="G338" s="696">
        <f>SUM(G339:G343)</f>
        <v>0</v>
      </c>
      <c r="H338" s="696">
        <f t="shared" ref="H338:Y338" si="137">SUM(H339:H343)</f>
        <v>0</v>
      </c>
      <c r="I338" s="696">
        <f t="shared" si="137"/>
        <v>0</v>
      </c>
      <c r="J338" s="696">
        <f t="shared" si="137"/>
        <v>0</v>
      </c>
      <c r="K338" s="696">
        <f t="shared" si="137"/>
        <v>0</v>
      </c>
      <c r="L338" s="696">
        <f t="shared" si="137"/>
        <v>45.617199999999997</v>
      </c>
      <c r="M338" s="696">
        <f t="shared" si="137"/>
        <v>50.919264470784</v>
      </c>
      <c r="N338" s="696">
        <f t="shared" si="137"/>
        <v>65.253717786660474</v>
      </c>
      <c r="O338" s="696">
        <f t="shared" si="137"/>
        <v>88.127818824677291</v>
      </c>
      <c r="P338" s="696">
        <f t="shared" si="137"/>
        <v>117.50793489357011</v>
      </c>
      <c r="Q338" s="696">
        <f t="shared" si="137"/>
        <v>150.83181412236917</v>
      </c>
      <c r="R338" s="696">
        <f t="shared" si="137"/>
        <v>163.86002427036718</v>
      </c>
      <c r="S338" s="696">
        <f t="shared" si="137"/>
        <v>191.16553665716191</v>
      </c>
      <c r="T338" s="696">
        <f t="shared" si="137"/>
        <v>204.31455044932665</v>
      </c>
      <c r="U338" s="696">
        <f t="shared" si="137"/>
        <v>203.2840710069917</v>
      </c>
      <c r="V338" s="696">
        <f t="shared" si="137"/>
        <v>226.13380136533405</v>
      </c>
      <c r="W338" s="696">
        <f t="shared" si="137"/>
        <v>231.53942488683134</v>
      </c>
      <c r="X338" s="696">
        <f t="shared" si="137"/>
        <v>225.8943330544831</v>
      </c>
      <c r="Y338" s="696">
        <f t="shared" si="137"/>
        <v>221.14697933772834</v>
      </c>
    </row>
    <row r="339" spans="2:25" outlineLevel="1">
      <c r="B339" s="691" t="s">
        <v>340</v>
      </c>
      <c r="G339" s="690"/>
      <c r="H339" s="690"/>
      <c r="I339" s="690"/>
      <c r="J339" s="690"/>
      <c r="K339" s="690"/>
      <c r="L339" s="690">
        <f>0.125*K333</f>
        <v>37.924999999999997</v>
      </c>
      <c r="M339" s="690">
        <f t="shared" ref="M339:Y339" si="138">0.125*L333</f>
        <v>35.728764470784</v>
      </c>
      <c r="N339" s="690">
        <f t="shared" si="138"/>
        <v>34.656901536660477</v>
      </c>
      <c r="O339" s="690">
        <f t="shared" si="138"/>
        <v>33.963763505927275</v>
      </c>
      <c r="P339" s="690">
        <f t="shared" si="138"/>
        <v>44.668747980230265</v>
      </c>
      <c r="Q339" s="690">
        <f t="shared" si="138"/>
        <v>43.775373020625651</v>
      </c>
      <c r="R339" s="690">
        <f t="shared" si="138"/>
        <v>42.899865560213144</v>
      </c>
      <c r="S339" s="690">
        <f t="shared" si="138"/>
        <v>42.041868249008878</v>
      </c>
      <c r="T339" s="690">
        <f t="shared" si="138"/>
        <v>41.201030884028704</v>
      </c>
      <c r="U339" s="690">
        <f t="shared" si="138"/>
        <v>12.470653278807303</v>
      </c>
      <c r="V339" s="690">
        <f t="shared" si="138"/>
        <v>10.084659756372565</v>
      </c>
      <c r="W339" s="690">
        <f t="shared" si="138"/>
        <v>9.8829665612451159</v>
      </c>
      <c r="X339" s="690">
        <f t="shared" si="138"/>
        <v>0</v>
      </c>
      <c r="Y339" s="690">
        <f t="shared" si="138"/>
        <v>0</v>
      </c>
    </row>
    <row r="340" spans="2:25" outlineLevel="1">
      <c r="B340" s="691" t="s">
        <v>656</v>
      </c>
      <c r="G340" s="690"/>
      <c r="H340" s="690"/>
      <c r="I340" s="690"/>
      <c r="J340" s="690"/>
      <c r="K340" s="690"/>
      <c r="L340" s="690">
        <f>0.1*K334</f>
        <v>0</v>
      </c>
      <c r="M340" s="690">
        <f t="shared" ref="M340:Y343" si="139">0.1*L334</f>
        <v>0</v>
      </c>
      <c r="N340" s="690">
        <f t="shared" si="139"/>
        <v>0</v>
      </c>
      <c r="O340" s="690">
        <f t="shared" si="139"/>
        <v>0</v>
      </c>
      <c r="P340" s="690">
        <f t="shared" si="139"/>
        <v>0</v>
      </c>
      <c r="Q340" s="690">
        <f t="shared" si="139"/>
        <v>0</v>
      </c>
      <c r="R340" s="690">
        <f t="shared" si="139"/>
        <v>0</v>
      </c>
      <c r="S340" s="690">
        <f t="shared" si="139"/>
        <v>0</v>
      </c>
      <c r="T340" s="690">
        <f t="shared" si="139"/>
        <v>0</v>
      </c>
      <c r="U340" s="690">
        <f t="shared" si="139"/>
        <v>22.325085590032657</v>
      </c>
      <c r="V340" s="690">
        <f t="shared" si="139"/>
        <v>23.587848243718884</v>
      </c>
      <c r="W340" s="690">
        <f t="shared" si="139"/>
        <v>23.116091278844507</v>
      </c>
      <c r="X340" s="690">
        <f t="shared" si="139"/>
        <v>30.402015237283791</v>
      </c>
      <c r="Y340" s="690">
        <f t="shared" si="139"/>
        <v>29.79397493253812</v>
      </c>
    </row>
    <row r="341" spans="2:25" outlineLevel="1">
      <c r="B341" s="691" t="s">
        <v>498</v>
      </c>
      <c r="G341" s="690"/>
      <c r="H341" s="690"/>
      <c r="I341" s="690"/>
      <c r="J341" s="690"/>
      <c r="K341" s="690"/>
      <c r="L341" s="690">
        <f>0.1*K335</f>
        <v>7.6921999999999997</v>
      </c>
      <c r="M341" s="690">
        <f t="shared" si="139"/>
        <v>15.1905</v>
      </c>
      <c r="N341" s="690">
        <f t="shared" si="139"/>
        <v>30.596816250000003</v>
      </c>
      <c r="O341" s="690">
        <f t="shared" si="139"/>
        <v>44.743456631250012</v>
      </c>
      <c r="P341" s="690">
        <f t="shared" si="139"/>
        <v>47.490365044687501</v>
      </c>
      <c r="Q341" s="690">
        <f t="shared" si="139"/>
        <v>63.420093213750015</v>
      </c>
      <c r="R341" s="690">
        <f t="shared" si="139"/>
        <v>55.283908731987303</v>
      </c>
      <c r="S341" s="690">
        <f t="shared" si="139"/>
        <v>47.843231820706052</v>
      </c>
      <c r="T341" s="690">
        <f t="shared" si="139"/>
        <v>35.112760950262611</v>
      </c>
      <c r="U341" s="690">
        <f t="shared" si="139"/>
        <v>19.226433413620629</v>
      </c>
      <c r="V341" s="690">
        <f t="shared" si="139"/>
        <v>11.220550786778379</v>
      </c>
      <c r="W341" s="690">
        <f t="shared" si="139"/>
        <v>7.0343226945801804</v>
      </c>
      <c r="X341" s="690">
        <f t="shared" si="139"/>
        <v>3.0503931627501579</v>
      </c>
      <c r="Y341" s="690">
        <f t="shared" si="139"/>
        <v>1.487066666840702</v>
      </c>
    </row>
    <row r="342" spans="2:25" outlineLevel="1">
      <c r="B342" s="691" t="s">
        <v>531</v>
      </c>
      <c r="G342" s="690"/>
      <c r="H342" s="690"/>
      <c r="I342" s="690"/>
      <c r="J342" s="690"/>
      <c r="K342" s="690"/>
      <c r="L342" s="690">
        <f>0.1*K336</f>
        <v>0</v>
      </c>
      <c r="M342" s="690">
        <f t="shared" si="139"/>
        <v>0</v>
      </c>
      <c r="N342" s="690">
        <f t="shared" si="139"/>
        <v>0</v>
      </c>
      <c r="O342" s="690">
        <f t="shared" si="139"/>
        <v>9.4205986875000001</v>
      </c>
      <c r="P342" s="690">
        <f t="shared" si="139"/>
        <v>25.348821868652344</v>
      </c>
      <c r="Q342" s="690">
        <f t="shared" si="139"/>
        <v>33.599703170566407</v>
      </c>
      <c r="R342" s="690">
        <f t="shared" si="139"/>
        <v>32.585176548143913</v>
      </c>
      <c r="S342" s="690">
        <f t="shared" si="139"/>
        <v>28.338236382877241</v>
      </c>
      <c r="T342" s="690">
        <f t="shared" si="139"/>
        <v>17.21648999444707</v>
      </c>
      <c r="U342" s="690">
        <f t="shared" si="139"/>
        <v>6.6331195276991171</v>
      </c>
      <c r="V342" s="690">
        <f t="shared" si="139"/>
        <v>3.8710900214385404</v>
      </c>
      <c r="W342" s="690">
        <f t="shared" si="139"/>
        <v>2.4268413296301627</v>
      </c>
      <c r="X342" s="690">
        <f t="shared" si="139"/>
        <v>1.0523856411488044</v>
      </c>
      <c r="Y342" s="690">
        <f t="shared" si="139"/>
        <v>0.51303800006004219</v>
      </c>
    </row>
    <row r="343" spans="2:25" outlineLevel="1">
      <c r="B343" s="691" t="s">
        <v>581</v>
      </c>
      <c r="G343" s="690"/>
      <c r="H343" s="690"/>
      <c r="I343" s="690"/>
      <c r="J343" s="690"/>
      <c r="K343" s="690"/>
      <c r="L343" s="690">
        <f>0.1*K337</f>
        <v>0</v>
      </c>
      <c r="M343" s="690">
        <f t="shared" si="139"/>
        <v>0</v>
      </c>
      <c r="N343" s="690">
        <f t="shared" si="139"/>
        <v>0</v>
      </c>
      <c r="O343" s="690">
        <f t="shared" si="139"/>
        <v>0</v>
      </c>
      <c r="P343" s="690">
        <f t="shared" si="139"/>
        <v>0</v>
      </c>
      <c r="Q343" s="690">
        <f t="shared" si="139"/>
        <v>10.036644717427103</v>
      </c>
      <c r="R343" s="690">
        <f t="shared" si="139"/>
        <v>33.09107343002281</v>
      </c>
      <c r="S343" s="690">
        <f t="shared" si="139"/>
        <v>72.942200204569758</v>
      </c>
      <c r="T343" s="690">
        <f t="shared" si="139"/>
        <v>110.78426862058825</v>
      </c>
      <c r="U343" s="690">
        <f t="shared" si="139"/>
        <v>142.628779196832</v>
      </c>
      <c r="V343" s="690">
        <f t="shared" si="139"/>
        <v>177.36965255702569</v>
      </c>
      <c r="W343" s="690">
        <f t="shared" si="139"/>
        <v>189.07920302253137</v>
      </c>
      <c r="X343" s="690">
        <f t="shared" si="139"/>
        <v>191.38953901330035</v>
      </c>
      <c r="Y343" s="690">
        <f t="shared" si="139"/>
        <v>189.35289973828947</v>
      </c>
    </row>
    <row r="344" spans="2:25" ht="13.5" thickBot="1">
      <c r="B344" s="703" t="s">
        <v>580</v>
      </c>
      <c r="C344" s="704"/>
      <c r="D344" s="704"/>
      <c r="E344" s="704"/>
      <c r="F344" s="703"/>
      <c r="G344" s="705">
        <f>G326+G332+G338</f>
        <v>171.643</v>
      </c>
      <c r="H344" s="705">
        <f t="shared" ref="H344:Y344" si="140">H326+H332+H338</f>
        <v>371.4</v>
      </c>
      <c r="I344" s="705">
        <f t="shared" si="140"/>
        <v>463.65999999999997</v>
      </c>
      <c r="J344" s="705">
        <f t="shared" si="140"/>
        <v>981.79200000000003</v>
      </c>
      <c r="K344" s="705">
        <f t="shared" si="140"/>
        <v>1682.8220000000001</v>
      </c>
      <c r="L344" s="705">
        <f t="shared" si="140"/>
        <v>2124.0031187383815</v>
      </c>
      <c r="M344" s="705">
        <f t="shared" si="140"/>
        <v>2647.6846727752554</v>
      </c>
      <c r="N344" s="705">
        <f t="shared" si="140"/>
        <v>2929.7891702143288</v>
      </c>
      <c r="O344" s="705">
        <f t="shared" si="140"/>
        <v>4032.8449740353076</v>
      </c>
      <c r="P344" s="705">
        <f t="shared" si="140"/>
        <v>5352.054630757144</v>
      </c>
      <c r="Q344" s="705">
        <f t="shared" si="140"/>
        <v>6180.1313251355432</v>
      </c>
      <c r="R344" s="705">
        <f t="shared" si="140"/>
        <v>6549.5105155973388</v>
      </c>
      <c r="S344" s="705">
        <f t="shared" si="140"/>
        <v>6707.104442335597</v>
      </c>
      <c r="T344" s="705">
        <f t="shared" si="140"/>
        <v>7367.4606783273857</v>
      </c>
      <c r="U344" s="705">
        <f t="shared" si="140"/>
        <v>8877.4659624408032</v>
      </c>
      <c r="V344" s="705">
        <f t="shared" si="140"/>
        <v>9000.8703205211095</v>
      </c>
      <c r="W344" s="705">
        <f t="shared" si="140"/>
        <v>9103.7533482704148</v>
      </c>
      <c r="X344" s="705">
        <f t="shared" si="140"/>
        <v>9114.9123702383258</v>
      </c>
      <c r="Y344" s="705">
        <f t="shared" si="140"/>
        <v>9197.9032959682881</v>
      </c>
    </row>
    <row r="346" spans="2:25">
      <c r="B346" s="649" t="s">
        <v>582</v>
      </c>
      <c r="G346" s="690">
        <f>G327+G333+G339</f>
        <v>171.643</v>
      </c>
      <c r="H346" s="690">
        <f t="shared" ref="H346:Y350" si="141">H327+H333+H339</f>
        <v>371.4</v>
      </c>
      <c r="I346" s="690">
        <f t="shared" si="141"/>
        <v>463.65999999999997</v>
      </c>
      <c r="J346" s="690">
        <f t="shared" si="141"/>
        <v>631.12900000000002</v>
      </c>
      <c r="K346" s="690">
        <f t="shared" si="141"/>
        <v>703.4</v>
      </c>
      <c r="L346" s="690">
        <f t="shared" si="141"/>
        <v>819.73381223463184</v>
      </c>
      <c r="M346" s="690">
        <f t="shared" si="141"/>
        <v>949.21632786806776</v>
      </c>
      <c r="N346" s="690">
        <f t="shared" si="141"/>
        <v>980.27101305607869</v>
      </c>
      <c r="O346" s="690">
        <f t="shared" si="141"/>
        <v>1110.9818322149695</v>
      </c>
      <c r="P346" s="690">
        <f t="shared" si="141"/>
        <v>1156.4902249580355</v>
      </c>
      <c r="Q346" s="690">
        <f t="shared" si="141"/>
        <v>1148.5927903151307</v>
      </c>
      <c r="R346" s="690">
        <f t="shared" si="141"/>
        <v>1140.8533043650841</v>
      </c>
      <c r="S346" s="690">
        <f t="shared" si="141"/>
        <v>1133.2686081340387</v>
      </c>
      <c r="T346" s="690">
        <f t="shared" si="141"/>
        <v>549.58741477528724</v>
      </c>
      <c r="U346" s="690">
        <f t="shared" si="141"/>
        <v>309.22508799858781</v>
      </c>
      <c r="V346" s="690">
        <f t="shared" si="141"/>
        <v>305.22554891513352</v>
      </c>
      <c r="W346" s="690">
        <f t="shared" si="141"/>
        <v>53.740211231645119</v>
      </c>
      <c r="X346" s="690">
        <f t="shared" si="141"/>
        <v>8.7714489340799986</v>
      </c>
      <c r="Y346" s="690">
        <f t="shared" si="141"/>
        <v>0</v>
      </c>
    </row>
    <row r="347" spans="2:25">
      <c r="B347" s="649" t="s">
        <v>663</v>
      </c>
      <c r="G347" s="690">
        <f>G328+G334+G340</f>
        <v>0</v>
      </c>
      <c r="H347" s="690">
        <f t="shared" si="141"/>
        <v>0</v>
      </c>
      <c r="I347" s="690">
        <f t="shared" si="141"/>
        <v>0</v>
      </c>
      <c r="J347" s="690">
        <f t="shared" si="141"/>
        <v>0</v>
      </c>
      <c r="K347" s="690">
        <f t="shared" si="141"/>
        <v>0</v>
      </c>
      <c r="L347" s="690">
        <f t="shared" si="141"/>
        <v>0</v>
      </c>
      <c r="M347" s="690">
        <f t="shared" si="141"/>
        <v>0</v>
      </c>
      <c r="N347" s="690">
        <f t="shared" si="141"/>
        <v>0</v>
      </c>
      <c r="O347" s="690">
        <f t="shared" si="141"/>
        <v>0</v>
      </c>
      <c r="P347" s="690">
        <f t="shared" si="141"/>
        <v>0</v>
      </c>
      <c r="Q347" s="690">
        <f t="shared" si="141"/>
        <v>0</v>
      </c>
      <c r="R347" s="690">
        <f t="shared" si="141"/>
        <v>0</v>
      </c>
      <c r="S347" s="690">
        <f t="shared" si="141"/>
        <v>0</v>
      </c>
      <c r="T347" s="690">
        <f t="shared" si="141"/>
        <v>611.54792456752671</v>
      </c>
      <c r="U347" s="690">
        <f t="shared" si="141"/>
        <v>787.69957075522166</v>
      </c>
      <c r="V347" s="690">
        <f t="shared" si="141"/>
        <v>784.24476376016412</v>
      </c>
      <c r="W347" s="690">
        <f t="shared" si="141"/>
        <v>1068.4306474708826</v>
      </c>
      <c r="X347" s="690">
        <f t="shared" si="141"/>
        <v>1069.6361683818652</v>
      </c>
      <c r="Y347" s="690">
        <f t="shared" si="141"/>
        <v>1159.5552713654918</v>
      </c>
    </row>
    <row r="348" spans="2:25">
      <c r="B348" s="649" t="s">
        <v>583</v>
      </c>
      <c r="G348" s="690">
        <f>G329+G335+G341</f>
        <v>0</v>
      </c>
      <c r="H348" s="690">
        <f t="shared" si="141"/>
        <v>0</v>
      </c>
      <c r="I348" s="690">
        <f t="shared" si="141"/>
        <v>0</v>
      </c>
      <c r="J348" s="690">
        <f t="shared" si="141"/>
        <v>350.66300000000001</v>
      </c>
      <c r="K348" s="690">
        <f t="shared" si="141"/>
        <v>979.42200000000003</v>
      </c>
      <c r="L348" s="690">
        <f t="shared" si="141"/>
        <v>1304.2693065037497</v>
      </c>
      <c r="M348" s="690">
        <f t="shared" si="141"/>
        <v>1493.7494914975</v>
      </c>
      <c r="N348" s="690">
        <f t="shared" si="141"/>
        <v>1464.5137588842501</v>
      </c>
      <c r="O348" s="690">
        <f t="shared" si="141"/>
        <v>1274.3007461072498</v>
      </c>
      <c r="P348" s="690">
        <f t="shared" si="141"/>
        <v>1205.8609131721253</v>
      </c>
      <c r="Q348" s="690">
        <f t="shared" si="141"/>
        <v>1054.5015557289043</v>
      </c>
      <c r="R348" s="690">
        <f t="shared" si="141"/>
        <v>899.68021101206341</v>
      </c>
      <c r="S348" s="690">
        <f t="shared" si="141"/>
        <v>620.57975028983219</v>
      </c>
      <c r="T348" s="690">
        <f t="shared" si="141"/>
        <v>388.74280549896889</v>
      </c>
      <c r="U348" s="690">
        <f t="shared" si="141"/>
        <v>212.11479648765442</v>
      </c>
      <c r="V348" s="690">
        <f t="shared" si="141"/>
        <v>110.87854845751767</v>
      </c>
      <c r="W348" s="690">
        <f t="shared" si="141"/>
        <v>52.195639684550507</v>
      </c>
      <c r="X348" s="690">
        <f t="shared" si="141"/>
        <v>17.921059831157176</v>
      </c>
      <c r="Y348" s="690">
        <f t="shared" si="141"/>
        <v>1.487066666840702</v>
      </c>
    </row>
    <row r="349" spans="2:25">
      <c r="B349" s="649" t="s">
        <v>584</v>
      </c>
      <c r="G349" s="690">
        <f>G330+G336+G342</f>
        <v>0</v>
      </c>
      <c r="H349" s="690">
        <f t="shared" si="141"/>
        <v>0</v>
      </c>
      <c r="I349" s="690">
        <f t="shared" si="141"/>
        <v>0</v>
      </c>
      <c r="J349" s="690">
        <f t="shared" si="141"/>
        <v>0</v>
      </c>
      <c r="K349" s="690">
        <f t="shared" si="141"/>
        <v>0</v>
      </c>
      <c r="L349" s="690">
        <f t="shared" si="141"/>
        <v>0</v>
      </c>
      <c r="M349" s="690">
        <f t="shared" si="141"/>
        <v>204.71885340968748</v>
      </c>
      <c r="N349" s="690">
        <f t="shared" si="141"/>
        <v>485.00439827399998</v>
      </c>
      <c r="O349" s="690">
        <f t="shared" si="141"/>
        <v>571.6307606132109</v>
      </c>
      <c r="P349" s="690">
        <f t="shared" si="141"/>
        <v>599.76369070878502</v>
      </c>
      <c r="Q349" s="690">
        <f t="shared" si="141"/>
        <v>538.7324403228024</v>
      </c>
      <c r="R349" s="690">
        <f t="shared" si="141"/>
        <v>465.68007931587721</v>
      </c>
      <c r="S349" s="690">
        <f t="shared" si="141"/>
        <v>291.16132635909793</v>
      </c>
      <c r="T349" s="690">
        <f t="shared" si="141"/>
        <v>149.56093044018823</v>
      </c>
      <c r="U349" s="690">
        <f t="shared" si="141"/>
        <v>78.350642326459521</v>
      </c>
      <c r="V349" s="690">
        <f t="shared" si="141"/>
        <v>40.131909523396409</v>
      </c>
      <c r="W349" s="690">
        <f t="shared" si="141"/>
        <v>15.94879929253227</v>
      </c>
      <c r="X349" s="690">
        <f t="shared" si="141"/>
        <v>6.182765641749226</v>
      </c>
      <c r="Y349" s="690">
        <f t="shared" si="141"/>
        <v>0.51303800006004219</v>
      </c>
    </row>
    <row r="350" spans="2:25">
      <c r="B350" s="649" t="s">
        <v>585</v>
      </c>
      <c r="G350" s="690">
        <f>G331+G337+G343</f>
        <v>0</v>
      </c>
      <c r="H350" s="690">
        <f t="shared" si="141"/>
        <v>0</v>
      </c>
      <c r="I350" s="690">
        <f t="shared" si="141"/>
        <v>0</v>
      </c>
      <c r="J350" s="690">
        <f t="shared" si="141"/>
        <v>0</v>
      </c>
      <c r="K350" s="690">
        <f t="shared" si="141"/>
        <v>0</v>
      </c>
      <c r="L350" s="690">
        <f t="shared" si="141"/>
        <v>0</v>
      </c>
      <c r="M350" s="690">
        <f t="shared" si="141"/>
        <v>0</v>
      </c>
      <c r="N350" s="690">
        <f t="shared" si="141"/>
        <v>0</v>
      </c>
      <c r="O350" s="690">
        <f>O331+O337+O343</f>
        <v>1075.9316350998774</v>
      </c>
      <c r="P350" s="690">
        <f t="shared" si="141"/>
        <v>2389.9398019181981</v>
      </c>
      <c r="Q350" s="690">
        <f t="shared" si="141"/>
        <v>3438.3045387687048</v>
      </c>
      <c r="R350" s="690">
        <f t="shared" si="141"/>
        <v>4043.2969209043144</v>
      </c>
      <c r="S350" s="690">
        <f t="shared" si="141"/>
        <v>4662.0947575526279</v>
      </c>
      <c r="T350" s="690">
        <f t="shared" si="141"/>
        <v>5668.0216030454148</v>
      </c>
      <c r="U350" s="690">
        <f t="shared" si="141"/>
        <v>7490.0758648728788</v>
      </c>
      <c r="V350" s="690">
        <f t="shared" si="141"/>
        <v>7760.3895498648972</v>
      </c>
      <c r="W350" s="690">
        <f t="shared" si="141"/>
        <v>7913.4380505908039</v>
      </c>
      <c r="X350" s="690">
        <f t="shared" si="141"/>
        <v>8012.4009274494756</v>
      </c>
      <c r="Y350" s="690">
        <f>Y331+Y337+Y343</f>
        <v>8036.3479199358935</v>
      </c>
    </row>
    <row r="352" spans="2:25">
      <c r="B352" s="649" t="s">
        <v>586</v>
      </c>
      <c r="G352" s="690">
        <f t="shared" ref="G352:Y352" si="142">+IF(G346&lt;250,0.06*G346,IF((G346-250)&lt;250,0.085*G346,0.11*G346))</f>
        <v>10.298579999999999</v>
      </c>
      <c r="H352" s="690">
        <f t="shared" si="142"/>
        <v>31.568999999999999</v>
      </c>
      <c r="I352" s="690">
        <f t="shared" si="142"/>
        <v>39.411099999999998</v>
      </c>
      <c r="J352" s="690">
        <f t="shared" si="142"/>
        <v>69.424189999999996</v>
      </c>
      <c r="K352" s="690">
        <f t="shared" si="142"/>
        <v>77.373999999999995</v>
      </c>
      <c r="L352" s="690">
        <f t="shared" si="142"/>
        <v>90.170719345809502</v>
      </c>
      <c r="M352" s="690">
        <f t="shared" si="142"/>
        <v>104.41379606548746</v>
      </c>
      <c r="N352" s="690">
        <f t="shared" si="142"/>
        <v>107.82981143616865</v>
      </c>
      <c r="O352" s="690">
        <f t="shared" si="142"/>
        <v>122.20800154364665</v>
      </c>
      <c r="P352" s="690">
        <f t="shared" si="142"/>
        <v>127.21392474538391</v>
      </c>
      <c r="Q352" s="690">
        <f t="shared" si="142"/>
        <v>126.34520693466438</v>
      </c>
      <c r="R352" s="690">
        <f t="shared" si="142"/>
        <v>125.49386348015925</v>
      </c>
      <c r="S352" s="690">
        <f t="shared" si="142"/>
        <v>124.65954689474425</v>
      </c>
      <c r="T352" s="690">
        <f t="shared" si="142"/>
        <v>60.454615625281598</v>
      </c>
      <c r="U352" s="690">
        <f t="shared" si="142"/>
        <v>26.284132479879965</v>
      </c>
      <c r="V352" s="690">
        <f t="shared" si="142"/>
        <v>25.944171657786352</v>
      </c>
      <c r="W352" s="690">
        <f t="shared" si="142"/>
        <v>3.2244126738987071</v>
      </c>
      <c r="X352" s="690">
        <f t="shared" si="142"/>
        <v>0.52628693604479992</v>
      </c>
      <c r="Y352" s="690">
        <f t="shared" si="142"/>
        <v>0</v>
      </c>
    </row>
    <row r="353" spans="2:25">
      <c r="B353" s="649" t="s">
        <v>587</v>
      </c>
      <c r="G353" s="690">
        <f t="shared" ref="G353:I354" si="143">+IF(G348&lt;250,0.06*G348,IF((G348-250)&lt;250,0.085*G348,0.11*G348))</f>
        <v>0</v>
      </c>
      <c r="H353" s="690">
        <f t="shared" si="143"/>
        <v>0</v>
      </c>
      <c r="I353" s="690">
        <f t="shared" si="143"/>
        <v>0</v>
      </c>
      <c r="J353" s="690">
        <f>+IF(J348&lt;250,0.06*J348,IF((J348-250)&lt;250,0.085*J348,0.11*J348))</f>
        <v>29.806355000000003</v>
      </c>
      <c r="K353" s="690">
        <f t="shared" ref="K353:Y354" si="144">+IF(K348&lt;250,0.06*K348,IF((K348-250)&lt;250,0.085*K348,0.11*K348))</f>
        <v>107.73642000000001</v>
      </c>
      <c r="L353" s="690">
        <f t="shared" si="144"/>
        <v>143.46962371541247</v>
      </c>
      <c r="M353" s="690">
        <f t="shared" si="144"/>
        <v>164.31244406472501</v>
      </c>
      <c r="N353" s="690">
        <f t="shared" si="144"/>
        <v>161.09651347726751</v>
      </c>
      <c r="O353" s="690">
        <f t="shared" si="144"/>
        <v>140.17308207179747</v>
      </c>
      <c r="P353" s="690">
        <f t="shared" si="144"/>
        <v>132.64470044893378</v>
      </c>
      <c r="Q353" s="690">
        <f t="shared" si="144"/>
        <v>115.99517113017949</v>
      </c>
      <c r="R353" s="690">
        <f t="shared" si="144"/>
        <v>98.964823211326973</v>
      </c>
      <c r="S353" s="690">
        <f t="shared" si="144"/>
        <v>68.263772531881543</v>
      </c>
      <c r="T353" s="690">
        <f t="shared" si="144"/>
        <v>33.043138467412355</v>
      </c>
      <c r="U353" s="690">
        <f t="shared" si="144"/>
        <v>12.726887789259264</v>
      </c>
      <c r="V353" s="690">
        <f t="shared" si="144"/>
        <v>6.6527129074510594</v>
      </c>
      <c r="W353" s="690">
        <f t="shared" si="144"/>
        <v>3.1317383810730304</v>
      </c>
      <c r="X353" s="690">
        <f t="shared" si="144"/>
        <v>1.0752635898694305</v>
      </c>
      <c r="Y353" s="690">
        <f t="shared" si="144"/>
        <v>8.9224000010442117E-2</v>
      </c>
    </row>
    <row r="354" spans="2:25">
      <c r="B354" s="649" t="s">
        <v>588</v>
      </c>
      <c r="G354" s="690">
        <f t="shared" si="143"/>
        <v>0</v>
      </c>
      <c r="H354" s="690">
        <f t="shared" si="143"/>
        <v>0</v>
      </c>
      <c r="I354" s="690">
        <f t="shared" si="143"/>
        <v>0</v>
      </c>
      <c r="J354" s="690">
        <f>+IF(J349&lt;250,0.06*J349,IF((J349-250)&lt;250,0.085*J349,0.11*J349))</f>
        <v>0</v>
      </c>
      <c r="K354" s="690">
        <f t="shared" si="144"/>
        <v>0</v>
      </c>
      <c r="L354" s="690">
        <f t="shared" si="144"/>
        <v>0</v>
      </c>
      <c r="M354" s="690">
        <f t="shared" si="144"/>
        <v>12.283131204581249</v>
      </c>
      <c r="N354" s="690">
        <f t="shared" si="144"/>
        <v>41.225373853290002</v>
      </c>
      <c r="O354" s="690">
        <f t="shared" si="144"/>
        <v>62.879383667453197</v>
      </c>
      <c r="P354" s="690">
        <f t="shared" si="144"/>
        <v>65.974005977966357</v>
      </c>
      <c r="Q354" s="690">
        <f t="shared" si="144"/>
        <v>59.260568435508262</v>
      </c>
      <c r="R354" s="690">
        <f t="shared" si="144"/>
        <v>39.582806741849566</v>
      </c>
      <c r="S354" s="690">
        <f t="shared" si="144"/>
        <v>24.748712740523327</v>
      </c>
      <c r="T354" s="690">
        <f t="shared" si="144"/>
        <v>8.973655826411294</v>
      </c>
      <c r="U354" s="690">
        <f t="shared" si="144"/>
        <v>4.7010385395875707</v>
      </c>
      <c r="V354" s="690">
        <f t="shared" si="144"/>
        <v>2.4079145714037846</v>
      </c>
      <c r="W354" s="690">
        <f t="shared" si="144"/>
        <v>0.95692795755193616</v>
      </c>
      <c r="X354" s="690">
        <f t="shared" si="144"/>
        <v>0.37096593850495357</v>
      </c>
      <c r="Y354" s="690">
        <f t="shared" si="144"/>
        <v>3.078228000360253E-2</v>
      </c>
    </row>
    <row r="355" spans="2:25">
      <c r="B355" s="649" t="s">
        <v>589</v>
      </c>
      <c r="G355" s="690">
        <f>+IF(G350&lt;250,0.03*G350,IF((G350-250)&lt;250,0.045*G350,0.075*G350))</f>
        <v>0</v>
      </c>
      <c r="H355" s="690">
        <f t="shared" ref="H355:Y355" si="145">+IF(H350&lt;250,0.03*H350,IF((H350-250)&lt;250,0.045*H350,0.075*H350))</f>
        <v>0</v>
      </c>
      <c r="I355" s="690">
        <f t="shared" si="145"/>
        <v>0</v>
      </c>
      <c r="J355" s="690">
        <f t="shared" si="145"/>
        <v>0</v>
      </c>
      <c r="K355" s="690">
        <f t="shared" si="145"/>
        <v>0</v>
      </c>
      <c r="L355" s="690">
        <f t="shared" si="145"/>
        <v>0</v>
      </c>
      <c r="M355" s="690">
        <f t="shared" si="145"/>
        <v>0</v>
      </c>
      <c r="N355" s="690">
        <f t="shared" si="145"/>
        <v>0</v>
      </c>
      <c r="O355" s="690">
        <f t="shared" si="145"/>
        <v>80.694872632490799</v>
      </c>
      <c r="P355" s="690">
        <f t="shared" si="145"/>
        <v>179.24548514386484</v>
      </c>
      <c r="Q355" s="690">
        <f t="shared" si="145"/>
        <v>257.87284040765286</v>
      </c>
      <c r="R355" s="690">
        <f t="shared" si="145"/>
        <v>303.24726906782359</v>
      </c>
      <c r="S355" s="690">
        <f t="shared" si="145"/>
        <v>349.65710681644708</v>
      </c>
      <c r="T355" s="690">
        <f t="shared" si="145"/>
        <v>425.10162022840609</v>
      </c>
      <c r="U355" s="690">
        <f t="shared" si="145"/>
        <v>561.75568986546591</v>
      </c>
      <c r="V355" s="690">
        <f t="shared" si="145"/>
        <v>582.02921623986731</v>
      </c>
      <c r="W355" s="690">
        <f t="shared" si="145"/>
        <v>593.50785379431022</v>
      </c>
      <c r="X355" s="690">
        <f t="shared" si="145"/>
        <v>600.93006955871067</v>
      </c>
      <c r="Y355" s="690">
        <f t="shared" si="145"/>
        <v>602.72609399519195</v>
      </c>
    </row>
    <row r="356" spans="2:25">
      <c r="B356" s="153"/>
      <c r="K356" s="690"/>
    </row>
    <row r="357" spans="2:25">
      <c r="B357" s="153"/>
    </row>
    <row r="359" spans="2:25">
      <c r="B359" s="748" t="s">
        <v>661</v>
      </c>
      <c r="C359" s="749"/>
      <c r="D359" s="749"/>
      <c r="E359" s="749"/>
      <c r="F359" s="748"/>
      <c r="G359" s="750">
        <f>CHOOSE($D$2,G360,G361,G362)</f>
        <v>0.85</v>
      </c>
      <c r="H359" s="750">
        <f t="shared" ref="H359:Y359" si="146">CHOOSE($D$2,H360,H361,H362)</f>
        <v>0.85</v>
      </c>
      <c r="I359" s="750">
        <f t="shared" si="146"/>
        <v>0.85</v>
      </c>
      <c r="J359" s="750">
        <f t="shared" si="146"/>
        <v>0.85</v>
      </c>
      <c r="K359" s="750">
        <f t="shared" si="146"/>
        <v>0.85</v>
      </c>
      <c r="L359" s="750">
        <f t="shared" si="146"/>
        <v>0.85</v>
      </c>
      <c r="M359" s="750">
        <f t="shared" si="146"/>
        <v>0.85</v>
      </c>
      <c r="N359" s="750">
        <f t="shared" si="146"/>
        <v>0.85</v>
      </c>
      <c r="O359" s="750">
        <f t="shared" si="146"/>
        <v>0.85</v>
      </c>
      <c r="P359" s="750">
        <f t="shared" si="146"/>
        <v>0.85</v>
      </c>
      <c r="Q359" s="750">
        <f t="shared" si="146"/>
        <v>0.85</v>
      </c>
      <c r="R359" s="750">
        <f t="shared" si="146"/>
        <v>0.85</v>
      </c>
      <c r="S359" s="750">
        <f t="shared" si="146"/>
        <v>0.85</v>
      </c>
      <c r="T359" s="750">
        <f t="shared" si="146"/>
        <v>0.85</v>
      </c>
      <c r="U359" s="750">
        <f t="shared" si="146"/>
        <v>0.85</v>
      </c>
      <c r="V359" s="750">
        <f t="shared" si="146"/>
        <v>0.85</v>
      </c>
      <c r="W359" s="750">
        <f t="shared" si="146"/>
        <v>0.85</v>
      </c>
      <c r="X359" s="750">
        <f t="shared" si="146"/>
        <v>0.85</v>
      </c>
      <c r="Y359" s="750">
        <f t="shared" si="146"/>
        <v>0.85</v>
      </c>
    </row>
    <row r="360" spans="2:25" hidden="1" outlineLevel="1">
      <c r="B360" s="691" t="s">
        <v>42</v>
      </c>
      <c r="G360" s="736">
        <v>1</v>
      </c>
      <c r="H360" s="736">
        <v>1</v>
      </c>
      <c r="I360" s="736">
        <v>1</v>
      </c>
      <c r="J360" s="736">
        <v>1</v>
      </c>
      <c r="K360" s="736">
        <v>1</v>
      </c>
      <c r="L360" s="736">
        <v>1</v>
      </c>
      <c r="M360" s="736">
        <v>1</v>
      </c>
      <c r="N360" s="736">
        <v>1</v>
      </c>
      <c r="O360" s="736">
        <v>1</v>
      </c>
      <c r="P360" s="736">
        <v>1</v>
      </c>
      <c r="Q360" s="736">
        <v>1</v>
      </c>
      <c r="R360" s="736">
        <v>1</v>
      </c>
      <c r="S360" s="736">
        <v>1</v>
      </c>
      <c r="T360" s="736">
        <v>1</v>
      </c>
      <c r="U360" s="736">
        <v>1</v>
      </c>
      <c r="V360" s="736">
        <v>1</v>
      </c>
      <c r="W360" s="736">
        <v>1</v>
      </c>
      <c r="X360" s="736">
        <v>1</v>
      </c>
      <c r="Y360" s="736">
        <v>1</v>
      </c>
    </row>
    <row r="361" spans="2:25" hidden="1" outlineLevel="1">
      <c r="B361" s="691" t="s">
        <v>43</v>
      </c>
      <c r="G361" s="736">
        <v>0.85</v>
      </c>
      <c r="H361" s="736">
        <f>G361</f>
        <v>0.85</v>
      </c>
      <c r="I361" s="736">
        <f t="shared" ref="I361:Y361" si="147">H361</f>
        <v>0.85</v>
      </c>
      <c r="J361" s="736">
        <f t="shared" si="147"/>
        <v>0.85</v>
      </c>
      <c r="K361" s="736">
        <f t="shared" si="147"/>
        <v>0.85</v>
      </c>
      <c r="L361" s="736">
        <f t="shared" si="147"/>
        <v>0.85</v>
      </c>
      <c r="M361" s="736">
        <f t="shared" si="147"/>
        <v>0.85</v>
      </c>
      <c r="N361" s="736">
        <f t="shared" si="147"/>
        <v>0.85</v>
      </c>
      <c r="O361" s="736">
        <f t="shared" si="147"/>
        <v>0.85</v>
      </c>
      <c r="P361" s="736">
        <f t="shared" si="147"/>
        <v>0.85</v>
      </c>
      <c r="Q361" s="736">
        <f t="shared" si="147"/>
        <v>0.85</v>
      </c>
      <c r="R361" s="736">
        <f t="shared" si="147"/>
        <v>0.85</v>
      </c>
      <c r="S361" s="736">
        <f t="shared" si="147"/>
        <v>0.85</v>
      </c>
      <c r="T361" s="736">
        <f t="shared" si="147"/>
        <v>0.85</v>
      </c>
      <c r="U361" s="736">
        <f t="shared" si="147"/>
        <v>0.85</v>
      </c>
      <c r="V361" s="736">
        <f t="shared" si="147"/>
        <v>0.85</v>
      </c>
      <c r="W361" s="736">
        <f t="shared" si="147"/>
        <v>0.85</v>
      </c>
      <c r="X361" s="736">
        <f t="shared" si="147"/>
        <v>0.85</v>
      </c>
      <c r="Y361" s="736">
        <f t="shared" si="147"/>
        <v>0.85</v>
      </c>
    </row>
    <row r="362" spans="2:25" hidden="1" outlineLevel="1">
      <c r="B362" s="691" t="s">
        <v>44</v>
      </c>
      <c r="G362" s="736">
        <v>0</v>
      </c>
      <c r="H362" s="736">
        <v>0</v>
      </c>
      <c r="I362" s="736">
        <v>0</v>
      </c>
      <c r="J362" s="736">
        <v>0</v>
      </c>
      <c r="K362" s="736">
        <v>0</v>
      </c>
      <c r="L362" s="736">
        <v>0</v>
      </c>
      <c r="M362" s="736">
        <v>0</v>
      </c>
      <c r="N362" s="736">
        <v>0</v>
      </c>
      <c r="O362" s="736">
        <v>0</v>
      </c>
      <c r="P362" s="736">
        <v>0</v>
      </c>
      <c r="Q362" s="736">
        <v>0</v>
      </c>
      <c r="R362" s="736">
        <v>0</v>
      </c>
      <c r="S362" s="736">
        <v>0</v>
      </c>
      <c r="T362" s="736">
        <v>0</v>
      </c>
      <c r="U362" s="736">
        <v>0</v>
      </c>
      <c r="V362" s="736">
        <v>0</v>
      </c>
      <c r="W362" s="736">
        <v>0</v>
      </c>
      <c r="X362" s="736">
        <v>0</v>
      </c>
      <c r="Y362" s="736">
        <v>0</v>
      </c>
    </row>
    <row r="363" spans="2:25" collapsed="1"/>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3"/>
  <dimension ref="B1:II145"/>
  <sheetViews>
    <sheetView showGridLines="0" zoomScale="85" zoomScaleNormal="85" workbookViewId="0"/>
  </sheetViews>
  <sheetFormatPr defaultRowHeight="12.75" outlineLevelRow="1" outlineLevelCol="2"/>
  <cols>
    <col min="1" max="1" width="1.33203125" style="297" customWidth="1"/>
    <col min="2" max="2" width="26.83203125" style="297" customWidth="1"/>
    <col min="3" max="3" width="14.33203125" style="297" customWidth="1"/>
    <col min="4" max="4" width="20.1640625" style="297" hidden="1" customWidth="1" outlineLevel="2"/>
    <col min="5" max="5" width="22" style="297" hidden="1" customWidth="1" outlineLevel="2"/>
    <col min="6" max="6" width="19.83203125" style="297" hidden="1" customWidth="1" outlineLevel="1" collapsed="1"/>
    <col min="7" max="7" width="29.33203125" style="297" hidden="1" customWidth="1" outlineLevel="1"/>
    <col min="8" max="8" width="10.6640625" style="297" hidden="1" customWidth="1" outlineLevel="1"/>
    <col min="9" max="9" width="20.33203125" style="297" hidden="1" customWidth="1" outlineLevel="1"/>
    <col min="10" max="10" width="23.83203125" style="297" bestFit="1" customWidth="1" collapsed="1"/>
    <col min="11" max="11" width="25.83203125" style="297" bestFit="1" customWidth="1"/>
    <col min="12" max="256" width="9.33203125" style="297"/>
    <col min="257" max="257" width="1.33203125" style="297" customWidth="1"/>
    <col min="258" max="258" width="26.83203125" style="297" customWidth="1"/>
    <col min="259" max="259" width="14.33203125" style="297" customWidth="1"/>
    <col min="260" max="265" width="0" style="297" hidden="1" customWidth="1"/>
    <col min="266" max="266" width="23.83203125" style="297" bestFit="1" customWidth="1"/>
    <col min="267" max="267" width="25.83203125" style="297" bestFit="1" customWidth="1"/>
    <col min="268" max="512" width="9.33203125" style="297"/>
    <col min="513" max="513" width="1.33203125" style="297" customWidth="1"/>
    <col min="514" max="514" width="26.83203125" style="297" customWidth="1"/>
    <col min="515" max="515" width="14.33203125" style="297" customWidth="1"/>
    <col min="516" max="521" width="0" style="297" hidden="1" customWidth="1"/>
    <col min="522" max="522" width="23.83203125" style="297" bestFit="1" customWidth="1"/>
    <col min="523" max="523" width="25.83203125" style="297" bestFit="1" customWidth="1"/>
    <col min="524" max="768" width="9.33203125" style="297"/>
    <col min="769" max="769" width="1.33203125" style="297" customWidth="1"/>
    <col min="770" max="770" width="26.83203125" style="297" customWidth="1"/>
    <col min="771" max="771" width="14.33203125" style="297" customWidth="1"/>
    <col min="772" max="777" width="0" style="297" hidden="1" customWidth="1"/>
    <col min="778" max="778" width="23.83203125" style="297" bestFit="1" customWidth="1"/>
    <col min="779" max="779" width="25.83203125" style="297" bestFit="1" customWidth="1"/>
    <col min="780" max="1024" width="9.33203125" style="297"/>
    <col min="1025" max="1025" width="1.33203125" style="297" customWidth="1"/>
    <col min="1026" max="1026" width="26.83203125" style="297" customWidth="1"/>
    <col min="1027" max="1027" width="14.33203125" style="297" customWidth="1"/>
    <col min="1028" max="1033" width="0" style="297" hidden="1" customWidth="1"/>
    <col min="1034" max="1034" width="23.83203125" style="297" bestFit="1" customWidth="1"/>
    <col min="1035" max="1035" width="25.83203125" style="297" bestFit="1" customWidth="1"/>
    <col min="1036" max="1280" width="9.33203125" style="297"/>
    <col min="1281" max="1281" width="1.33203125" style="297" customWidth="1"/>
    <col min="1282" max="1282" width="26.83203125" style="297" customWidth="1"/>
    <col min="1283" max="1283" width="14.33203125" style="297" customWidth="1"/>
    <col min="1284" max="1289" width="0" style="297" hidden="1" customWidth="1"/>
    <col min="1290" max="1290" width="23.83203125" style="297" bestFit="1" customWidth="1"/>
    <col min="1291" max="1291" width="25.83203125" style="297" bestFit="1" customWidth="1"/>
    <col min="1292" max="1536" width="9.33203125" style="297"/>
    <col min="1537" max="1537" width="1.33203125" style="297" customWidth="1"/>
    <col min="1538" max="1538" width="26.83203125" style="297" customWidth="1"/>
    <col min="1539" max="1539" width="14.33203125" style="297" customWidth="1"/>
    <col min="1540" max="1545" width="0" style="297" hidden="1" customWidth="1"/>
    <col min="1546" max="1546" width="23.83203125" style="297" bestFit="1" customWidth="1"/>
    <col min="1547" max="1547" width="25.83203125" style="297" bestFit="1" customWidth="1"/>
    <col min="1548" max="1792" width="9.33203125" style="297"/>
    <col min="1793" max="1793" width="1.33203125" style="297" customWidth="1"/>
    <col min="1794" max="1794" width="26.83203125" style="297" customWidth="1"/>
    <col min="1795" max="1795" width="14.33203125" style="297" customWidth="1"/>
    <col min="1796" max="1801" width="0" style="297" hidden="1" customWidth="1"/>
    <col min="1802" max="1802" width="23.83203125" style="297" bestFit="1" customWidth="1"/>
    <col min="1803" max="1803" width="25.83203125" style="297" bestFit="1" customWidth="1"/>
    <col min="1804" max="2048" width="9.33203125" style="297"/>
    <col min="2049" max="2049" width="1.33203125" style="297" customWidth="1"/>
    <col min="2050" max="2050" width="26.83203125" style="297" customWidth="1"/>
    <col min="2051" max="2051" width="14.33203125" style="297" customWidth="1"/>
    <col min="2052" max="2057" width="0" style="297" hidden="1" customWidth="1"/>
    <col min="2058" max="2058" width="23.83203125" style="297" bestFit="1" customWidth="1"/>
    <col min="2059" max="2059" width="25.83203125" style="297" bestFit="1" customWidth="1"/>
    <col min="2060" max="2304" width="9.33203125" style="297"/>
    <col min="2305" max="2305" width="1.33203125" style="297" customWidth="1"/>
    <col min="2306" max="2306" width="26.83203125" style="297" customWidth="1"/>
    <col min="2307" max="2307" width="14.33203125" style="297" customWidth="1"/>
    <col min="2308" max="2313" width="0" style="297" hidden="1" customWidth="1"/>
    <col min="2314" max="2314" width="23.83203125" style="297" bestFit="1" customWidth="1"/>
    <col min="2315" max="2315" width="25.83203125" style="297" bestFit="1" customWidth="1"/>
    <col min="2316" max="2560" width="9.33203125" style="297"/>
    <col min="2561" max="2561" width="1.33203125" style="297" customWidth="1"/>
    <col min="2562" max="2562" width="26.83203125" style="297" customWidth="1"/>
    <col min="2563" max="2563" width="14.33203125" style="297" customWidth="1"/>
    <col min="2564" max="2569" width="0" style="297" hidden="1" customWidth="1"/>
    <col min="2570" max="2570" width="23.83203125" style="297" bestFit="1" customWidth="1"/>
    <col min="2571" max="2571" width="25.83203125" style="297" bestFit="1" customWidth="1"/>
    <col min="2572" max="2816" width="9.33203125" style="297"/>
    <col min="2817" max="2817" width="1.33203125" style="297" customWidth="1"/>
    <col min="2818" max="2818" width="26.83203125" style="297" customWidth="1"/>
    <col min="2819" max="2819" width="14.33203125" style="297" customWidth="1"/>
    <col min="2820" max="2825" width="0" style="297" hidden="1" customWidth="1"/>
    <col min="2826" max="2826" width="23.83203125" style="297" bestFit="1" customWidth="1"/>
    <col min="2827" max="2827" width="25.83203125" style="297" bestFit="1" customWidth="1"/>
    <col min="2828" max="3072" width="9.33203125" style="297"/>
    <col min="3073" max="3073" width="1.33203125" style="297" customWidth="1"/>
    <col min="3074" max="3074" width="26.83203125" style="297" customWidth="1"/>
    <col min="3075" max="3075" width="14.33203125" style="297" customWidth="1"/>
    <col min="3076" max="3081" width="0" style="297" hidden="1" customWidth="1"/>
    <col min="3082" max="3082" width="23.83203125" style="297" bestFit="1" customWidth="1"/>
    <col min="3083" max="3083" width="25.83203125" style="297" bestFit="1" customWidth="1"/>
    <col min="3084" max="3328" width="9.33203125" style="297"/>
    <col min="3329" max="3329" width="1.33203125" style="297" customWidth="1"/>
    <col min="3330" max="3330" width="26.83203125" style="297" customWidth="1"/>
    <col min="3331" max="3331" width="14.33203125" style="297" customWidth="1"/>
    <col min="3332" max="3337" width="0" style="297" hidden="1" customWidth="1"/>
    <col min="3338" max="3338" width="23.83203125" style="297" bestFit="1" customWidth="1"/>
    <col min="3339" max="3339" width="25.83203125" style="297" bestFit="1" customWidth="1"/>
    <col min="3340" max="3584" width="9.33203125" style="297"/>
    <col min="3585" max="3585" width="1.33203125" style="297" customWidth="1"/>
    <col min="3586" max="3586" width="26.83203125" style="297" customWidth="1"/>
    <col min="3587" max="3587" width="14.33203125" style="297" customWidth="1"/>
    <col min="3588" max="3593" width="0" style="297" hidden="1" customWidth="1"/>
    <col min="3594" max="3594" width="23.83203125" style="297" bestFit="1" customWidth="1"/>
    <col min="3595" max="3595" width="25.83203125" style="297" bestFit="1" customWidth="1"/>
    <col min="3596" max="3840" width="9.33203125" style="297"/>
    <col min="3841" max="3841" width="1.33203125" style="297" customWidth="1"/>
    <col min="3842" max="3842" width="26.83203125" style="297" customWidth="1"/>
    <col min="3843" max="3843" width="14.33203125" style="297" customWidth="1"/>
    <col min="3844" max="3849" width="0" style="297" hidden="1" customWidth="1"/>
    <col min="3850" max="3850" width="23.83203125" style="297" bestFit="1" customWidth="1"/>
    <col min="3851" max="3851" width="25.83203125" style="297" bestFit="1" customWidth="1"/>
    <col min="3852" max="4096" width="9.33203125" style="297"/>
    <col min="4097" max="4097" width="1.33203125" style="297" customWidth="1"/>
    <col min="4098" max="4098" width="26.83203125" style="297" customWidth="1"/>
    <col min="4099" max="4099" width="14.33203125" style="297" customWidth="1"/>
    <col min="4100" max="4105" width="0" style="297" hidden="1" customWidth="1"/>
    <col min="4106" max="4106" width="23.83203125" style="297" bestFit="1" customWidth="1"/>
    <col min="4107" max="4107" width="25.83203125" style="297" bestFit="1" customWidth="1"/>
    <col min="4108" max="4352" width="9.33203125" style="297"/>
    <col min="4353" max="4353" width="1.33203125" style="297" customWidth="1"/>
    <col min="4354" max="4354" width="26.83203125" style="297" customWidth="1"/>
    <col min="4355" max="4355" width="14.33203125" style="297" customWidth="1"/>
    <col min="4356" max="4361" width="0" style="297" hidden="1" customWidth="1"/>
    <col min="4362" max="4362" width="23.83203125" style="297" bestFit="1" customWidth="1"/>
    <col min="4363" max="4363" width="25.83203125" style="297" bestFit="1" customWidth="1"/>
    <col min="4364" max="4608" width="9.33203125" style="297"/>
    <col min="4609" max="4609" width="1.33203125" style="297" customWidth="1"/>
    <col min="4610" max="4610" width="26.83203125" style="297" customWidth="1"/>
    <col min="4611" max="4611" width="14.33203125" style="297" customWidth="1"/>
    <col min="4612" max="4617" width="0" style="297" hidden="1" customWidth="1"/>
    <col min="4618" max="4618" width="23.83203125" style="297" bestFit="1" customWidth="1"/>
    <col min="4619" max="4619" width="25.83203125" style="297" bestFit="1" customWidth="1"/>
    <col min="4620" max="4864" width="9.33203125" style="297"/>
    <col min="4865" max="4865" width="1.33203125" style="297" customWidth="1"/>
    <col min="4866" max="4866" width="26.83203125" style="297" customWidth="1"/>
    <col min="4867" max="4867" width="14.33203125" style="297" customWidth="1"/>
    <col min="4868" max="4873" width="0" style="297" hidden="1" customWidth="1"/>
    <col min="4874" max="4874" width="23.83203125" style="297" bestFit="1" customWidth="1"/>
    <col min="4875" max="4875" width="25.83203125" style="297" bestFit="1" customWidth="1"/>
    <col min="4876" max="5120" width="9.33203125" style="297"/>
    <col min="5121" max="5121" width="1.33203125" style="297" customWidth="1"/>
    <col min="5122" max="5122" width="26.83203125" style="297" customWidth="1"/>
    <col min="5123" max="5123" width="14.33203125" style="297" customWidth="1"/>
    <col min="5124" max="5129" width="0" style="297" hidden="1" customWidth="1"/>
    <col min="5130" max="5130" width="23.83203125" style="297" bestFit="1" customWidth="1"/>
    <col min="5131" max="5131" width="25.83203125" style="297" bestFit="1" customWidth="1"/>
    <col min="5132" max="5376" width="9.33203125" style="297"/>
    <col min="5377" max="5377" width="1.33203125" style="297" customWidth="1"/>
    <col min="5378" max="5378" width="26.83203125" style="297" customWidth="1"/>
    <col min="5379" max="5379" width="14.33203125" style="297" customWidth="1"/>
    <col min="5380" max="5385" width="0" style="297" hidden="1" customWidth="1"/>
    <col min="5386" max="5386" width="23.83203125" style="297" bestFit="1" customWidth="1"/>
    <col min="5387" max="5387" width="25.83203125" style="297" bestFit="1" customWidth="1"/>
    <col min="5388" max="5632" width="9.33203125" style="297"/>
    <col min="5633" max="5633" width="1.33203125" style="297" customWidth="1"/>
    <col min="5634" max="5634" width="26.83203125" style="297" customWidth="1"/>
    <col min="5635" max="5635" width="14.33203125" style="297" customWidth="1"/>
    <col min="5636" max="5641" width="0" style="297" hidden="1" customWidth="1"/>
    <col min="5642" max="5642" width="23.83203125" style="297" bestFit="1" customWidth="1"/>
    <col min="5643" max="5643" width="25.83203125" style="297" bestFit="1" customWidth="1"/>
    <col min="5644" max="5888" width="9.33203125" style="297"/>
    <col min="5889" max="5889" width="1.33203125" style="297" customWidth="1"/>
    <col min="5890" max="5890" width="26.83203125" style="297" customWidth="1"/>
    <col min="5891" max="5891" width="14.33203125" style="297" customWidth="1"/>
    <col min="5892" max="5897" width="0" style="297" hidden="1" customWidth="1"/>
    <col min="5898" max="5898" width="23.83203125" style="297" bestFit="1" customWidth="1"/>
    <col min="5899" max="5899" width="25.83203125" style="297" bestFit="1" customWidth="1"/>
    <col min="5900" max="6144" width="9.33203125" style="297"/>
    <col min="6145" max="6145" width="1.33203125" style="297" customWidth="1"/>
    <col min="6146" max="6146" width="26.83203125" style="297" customWidth="1"/>
    <col min="6147" max="6147" width="14.33203125" style="297" customWidth="1"/>
    <col min="6148" max="6153" width="0" style="297" hidden="1" customWidth="1"/>
    <col min="6154" max="6154" width="23.83203125" style="297" bestFit="1" customWidth="1"/>
    <col min="6155" max="6155" width="25.83203125" style="297" bestFit="1" customWidth="1"/>
    <col min="6156" max="6400" width="9.33203125" style="297"/>
    <col min="6401" max="6401" width="1.33203125" style="297" customWidth="1"/>
    <col min="6402" max="6402" width="26.83203125" style="297" customWidth="1"/>
    <col min="6403" max="6403" width="14.33203125" style="297" customWidth="1"/>
    <col min="6404" max="6409" width="0" style="297" hidden="1" customWidth="1"/>
    <col min="6410" max="6410" width="23.83203125" style="297" bestFit="1" customWidth="1"/>
    <col min="6411" max="6411" width="25.83203125" style="297" bestFit="1" customWidth="1"/>
    <col min="6412" max="6656" width="9.33203125" style="297"/>
    <col min="6657" max="6657" width="1.33203125" style="297" customWidth="1"/>
    <col min="6658" max="6658" width="26.83203125" style="297" customWidth="1"/>
    <col min="6659" max="6659" width="14.33203125" style="297" customWidth="1"/>
    <col min="6660" max="6665" width="0" style="297" hidden="1" customWidth="1"/>
    <col min="6666" max="6666" width="23.83203125" style="297" bestFit="1" customWidth="1"/>
    <col min="6667" max="6667" width="25.83203125" style="297" bestFit="1" customWidth="1"/>
    <col min="6668" max="6912" width="9.33203125" style="297"/>
    <col min="6913" max="6913" width="1.33203125" style="297" customWidth="1"/>
    <col min="6914" max="6914" width="26.83203125" style="297" customWidth="1"/>
    <col min="6915" max="6915" width="14.33203125" style="297" customWidth="1"/>
    <col min="6916" max="6921" width="0" style="297" hidden="1" customWidth="1"/>
    <col min="6922" max="6922" width="23.83203125" style="297" bestFit="1" customWidth="1"/>
    <col min="6923" max="6923" width="25.83203125" style="297" bestFit="1" customWidth="1"/>
    <col min="6924" max="7168" width="9.33203125" style="297"/>
    <col min="7169" max="7169" width="1.33203125" style="297" customWidth="1"/>
    <col min="7170" max="7170" width="26.83203125" style="297" customWidth="1"/>
    <col min="7171" max="7171" width="14.33203125" style="297" customWidth="1"/>
    <col min="7172" max="7177" width="0" style="297" hidden="1" customWidth="1"/>
    <col min="7178" max="7178" width="23.83203125" style="297" bestFit="1" customWidth="1"/>
    <col min="7179" max="7179" width="25.83203125" style="297" bestFit="1" customWidth="1"/>
    <col min="7180" max="7424" width="9.33203125" style="297"/>
    <col min="7425" max="7425" width="1.33203125" style="297" customWidth="1"/>
    <col min="7426" max="7426" width="26.83203125" style="297" customWidth="1"/>
    <col min="7427" max="7427" width="14.33203125" style="297" customWidth="1"/>
    <col min="7428" max="7433" width="0" style="297" hidden="1" customWidth="1"/>
    <col min="7434" max="7434" width="23.83203125" style="297" bestFit="1" customWidth="1"/>
    <col min="7435" max="7435" width="25.83203125" style="297" bestFit="1" customWidth="1"/>
    <col min="7436" max="7680" width="9.33203125" style="297"/>
    <col min="7681" max="7681" width="1.33203125" style="297" customWidth="1"/>
    <col min="7682" max="7682" width="26.83203125" style="297" customWidth="1"/>
    <col min="7683" max="7683" width="14.33203125" style="297" customWidth="1"/>
    <col min="7684" max="7689" width="0" style="297" hidden="1" customWidth="1"/>
    <col min="7690" max="7690" width="23.83203125" style="297" bestFit="1" customWidth="1"/>
    <col min="7691" max="7691" width="25.83203125" style="297" bestFit="1" customWidth="1"/>
    <col min="7692" max="7936" width="9.33203125" style="297"/>
    <col min="7937" max="7937" width="1.33203125" style="297" customWidth="1"/>
    <col min="7938" max="7938" width="26.83203125" style="297" customWidth="1"/>
    <col min="7939" max="7939" width="14.33203125" style="297" customWidth="1"/>
    <col min="7940" max="7945" width="0" style="297" hidden="1" customWidth="1"/>
    <col min="7946" max="7946" width="23.83203125" style="297" bestFit="1" customWidth="1"/>
    <col min="7947" max="7947" width="25.83203125" style="297" bestFit="1" customWidth="1"/>
    <col min="7948" max="8192" width="9.33203125" style="297"/>
    <col min="8193" max="8193" width="1.33203125" style="297" customWidth="1"/>
    <col min="8194" max="8194" width="26.83203125" style="297" customWidth="1"/>
    <col min="8195" max="8195" width="14.33203125" style="297" customWidth="1"/>
    <col min="8196" max="8201" width="0" style="297" hidden="1" customWidth="1"/>
    <col min="8202" max="8202" width="23.83203125" style="297" bestFit="1" customWidth="1"/>
    <col min="8203" max="8203" width="25.83203125" style="297" bestFit="1" customWidth="1"/>
    <col min="8204" max="8448" width="9.33203125" style="297"/>
    <col min="8449" max="8449" width="1.33203125" style="297" customWidth="1"/>
    <col min="8450" max="8450" width="26.83203125" style="297" customWidth="1"/>
    <col min="8451" max="8451" width="14.33203125" style="297" customWidth="1"/>
    <col min="8452" max="8457" width="0" style="297" hidden="1" customWidth="1"/>
    <col min="8458" max="8458" width="23.83203125" style="297" bestFit="1" customWidth="1"/>
    <col min="8459" max="8459" width="25.83203125" style="297" bestFit="1" customWidth="1"/>
    <col min="8460" max="8704" width="9.33203125" style="297"/>
    <col min="8705" max="8705" width="1.33203125" style="297" customWidth="1"/>
    <col min="8706" max="8706" width="26.83203125" style="297" customWidth="1"/>
    <col min="8707" max="8707" width="14.33203125" style="297" customWidth="1"/>
    <col min="8708" max="8713" width="0" style="297" hidden="1" customWidth="1"/>
    <col min="8714" max="8714" width="23.83203125" style="297" bestFit="1" customWidth="1"/>
    <col min="8715" max="8715" width="25.83203125" style="297" bestFit="1" customWidth="1"/>
    <col min="8716" max="8960" width="9.33203125" style="297"/>
    <col min="8961" max="8961" width="1.33203125" style="297" customWidth="1"/>
    <col min="8962" max="8962" width="26.83203125" style="297" customWidth="1"/>
    <col min="8963" max="8963" width="14.33203125" style="297" customWidth="1"/>
    <col min="8964" max="8969" width="0" style="297" hidden="1" customWidth="1"/>
    <col min="8970" max="8970" width="23.83203125" style="297" bestFit="1" customWidth="1"/>
    <col min="8971" max="8971" width="25.83203125" style="297" bestFit="1" customWidth="1"/>
    <col min="8972" max="9216" width="9.33203125" style="297"/>
    <col min="9217" max="9217" width="1.33203125" style="297" customWidth="1"/>
    <col min="9218" max="9218" width="26.83203125" style="297" customWidth="1"/>
    <col min="9219" max="9219" width="14.33203125" style="297" customWidth="1"/>
    <col min="9220" max="9225" width="0" style="297" hidden="1" customWidth="1"/>
    <col min="9226" max="9226" width="23.83203125" style="297" bestFit="1" customWidth="1"/>
    <col min="9227" max="9227" width="25.83203125" style="297" bestFit="1" customWidth="1"/>
    <col min="9228" max="9472" width="9.33203125" style="297"/>
    <col min="9473" max="9473" width="1.33203125" style="297" customWidth="1"/>
    <col min="9474" max="9474" width="26.83203125" style="297" customWidth="1"/>
    <col min="9475" max="9475" width="14.33203125" style="297" customWidth="1"/>
    <col min="9476" max="9481" width="0" style="297" hidden="1" customWidth="1"/>
    <col min="9482" max="9482" width="23.83203125" style="297" bestFit="1" customWidth="1"/>
    <col min="9483" max="9483" width="25.83203125" style="297" bestFit="1" customWidth="1"/>
    <col min="9484" max="9728" width="9.33203125" style="297"/>
    <col min="9729" max="9729" width="1.33203125" style="297" customWidth="1"/>
    <col min="9730" max="9730" width="26.83203125" style="297" customWidth="1"/>
    <col min="9731" max="9731" width="14.33203125" style="297" customWidth="1"/>
    <col min="9732" max="9737" width="0" style="297" hidden="1" customWidth="1"/>
    <col min="9738" max="9738" width="23.83203125" style="297" bestFit="1" customWidth="1"/>
    <col min="9739" max="9739" width="25.83203125" style="297" bestFit="1" customWidth="1"/>
    <col min="9740" max="9984" width="9.33203125" style="297"/>
    <col min="9985" max="9985" width="1.33203125" style="297" customWidth="1"/>
    <col min="9986" max="9986" width="26.83203125" style="297" customWidth="1"/>
    <col min="9987" max="9987" width="14.33203125" style="297" customWidth="1"/>
    <col min="9988" max="9993" width="0" style="297" hidden="1" customWidth="1"/>
    <col min="9994" max="9994" width="23.83203125" style="297" bestFit="1" customWidth="1"/>
    <col min="9995" max="9995" width="25.83203125" style="297" bestFit="1" customWidth="1"/>
    <col min="9996" max="10240" width="9.33203125" style="297"/>
    <col min="10241" max="10241" width="1.33203125" style="297" customWidth="1"/>
    <col min="10242" max="10242" width="26.83203125" style="297" customWidth="1"/>
    <col min="10243" max="10243" width="14.33203125" style="297" customWidth="1"/>
    <col min="10244" max="10249" width="0" style="297" hidden="1" customWidth="1"/>
    <col min="10250" max="10250" width="23.83203125" style="297" bestFit="1" customWidth="1"/>
    <col min="10251" max="10251" width="25.83203125" style="297" bestFit="1" customWidth="1"/>
    <col min="10252" max="10496" width="9.33203125" style="297"/>
    <col min="10497" max="10497" width="1.33203125" style="297" customWidth="1"/>
    <col min="10498" max="10498" width="26.83203125" style="297" customWidth="1"/>
    <col min="10499" max="10499" width="14.33203125" style="297" customWidth="1"/>
    <col min="10500" max="10505" width="0" style="297" hidden="1" customWidth="1"/>
    <col min="10506" max="10506" width="23.83203125" style="297" bestFit="1" customWidth="1"/>
    <col min="10507" max="10507" width="25.83203125" style="297" bestFit="1" customWidth="1"/>
    <col min="10508" max="10752" width="9.33203125" style="297"/>
    <col min="10753" max="10753" width="1.33203125" style="297" customWidth="1"/>
    <col min="10754" max="10754" width="26.83203125" style="297" customWidth="1"/>
    <col min="10755" max="10755" width="14.33203125" style="297" customWidth="1"/>
    <col min="10756" max="10761" width="0" style="297" hidden="1" customWidth="1"/>
    <col min="10762" max="10762" width="23.83203125" style="297" bestFit="1" customWidth="1"/>
    <col min="10763" max="10763" width="25.83203125" style="297" bestFit="1" customWidth="1"/>
    <col min="10764" max="11008" width="9.33203125" style="297"/>
    <col min="11009" max="11009" width="1.33203125" style="297" customWidth="1"/>
    <col min="11010" max="11010" width="26.83203125" style="297" customWidth="1"/>
    <col min="11011" max="11011" width="14.33203125" style="297" customWidth="1"/>
    <col min="11012" max="11017" width="0" style="297" hidden="1" customWidth="1"/>
    <col min="11018" max="11018" width="23.83203125" style="297" bestFit="1" customWidth="1"/>
    <col min="11019" max="11019" width="25.83203125" style="297" bestFit="1" customWidth="1"/>
    <col min="11020" max="11264" width="9.33203125" style="297"/>
    <col min="11265" max="11265" width="1.33203125" style="297" customWidth="1"/>
    <col min="11266" max="11266" width="26.83203125" style="297" customWidth="1"/>
    <col min="11267" max="11267" width="14.33203125" style="297" customWidth="1"/>
    <col min="11268" max="11273" width="0" style="297" hidden="1" customWidth="1"/>
    <col min="11274" max="11274" width="23.83203125" style="297" bestFit="1" customWidth="1"/>
    <col min="11275" max="11275" width="25.83203125" style="297" bestFit="1" customWidth="1"/>
    <col min="11276" max="11520" width="9.33203125" style="297"/>
    <col min="11521" max="11521" width="1.33203125" style="297" customWidth="1"/>
    <col min="11522" max="11522" width="26.83203125" style="297" customWidth="1"/>
    <col min="11523" max="11523" width="14.33203125" style="297" customWidth="1"/>
    <col min="11524" max="11529" width="0" style="297" hidden="1" customWidth="1"/>
    <col min="11530" max="11530" width="23.83203125" style="297" bestFit="1" customWidth="1"/>
    <col min="11531" max="11531" width="25.83203125" style="297" bestFit="1" customWidth="1"/>
    <col min="11532" max="11776" width="9.33203125" style="297"/>
    <col min="11777" max="11777" width="1.33203125" style="297" customWidth="1"/>
    <col min="11778" max="11778" width="26.83203125" style="297" customWidth="1"/>
    <col min="11779" max="11779" width="14.33203125" style="297" customWidth="1"/>
    <col min="11780" max="11785" width="0" style="297" hidden="1" customWidth="1"/>
    <col min="11786" max="11786" width="23.83203125" style="297" bestFit="1" customWidth="1"/>
    <col min="11787" max="11787" width="25.83203125" style="297" bestFit="1" customWidth="1"/>
    <col min="11788" max="12032" width="9.33203125" style="297"/>
    <col min="12033" max="12033" width="1.33203125" style="297" customWidth="1"/>
    <col min="12034" max="12034" width="26.83203125" style="297" customWidth="1"/>
    <col min="12035" max="12035" width="14.33203125" style="297" customWidth="1"/>
    <col min="12036" max="12041" width="0" style="297" hidden="1" customWidth="1"/>
    <col min="12042" max="12042" width="23.83203125" style="297" bestFit="1" customWidth="1"/>
    <col min="12043" max="12043" width="25.83203125" style="297" bestFit="1" customWidth="1"/>
    <col min="12044" max="12288" width="9.33203125" style="297"/>
    <col min="12289" max="12289" width="1.33203125" style="297" customWidth="1"/>
    <col min="12290" max="12290" width="26.83203125" style="297" customWidth="1"/>
    <col min="12291" max="12291" width="14.33203125" style="297" customWidth="1"/>
    <col min="12292" max="12297" width="0" style="297" hidden="1" customWidth="1"/>
    <col min="12298" max="12298" width="23.83203125" style="297" bestFit="1" customWidth="1"/>
    <col min="12299" max="12299" width="25.83203125" style="297" bestFit="1" customWidth="1"/>
    <col min="12300" max="12544" width="9.33203125" style="297"/>
    <col min="12545" max="12545" width="1.33203125" style="297" customWidth="1"/>
    <col min="12546" max="12546" width="26.83203125" style="297" customWidth="1"/>
    <col min="12547" max="12547" width="14.33203125" style="297" customWidth="1"/>
    <col min="12548" max="12553" width="0" style="297" hidden="1" customWidth="1"/>
    <col min="12554" max="12554" width="23.83203125" style="297" bestFit="1" customWidth="1"/>
    <col min="12555" max="12555" width="25.83203125" style="297" bestFit="1" customWidth="1"/>
    <col min="12556" max="12800" width="9.33203125" style="297"/>
    <col min="12801" max="12801" width="1.33203125" style="297" customWidth="1"/>
    <col min="12802" max="12802" width="26.83203125" style="297" customWidth="1"/>
    <col min="12803" max="12803" width="14.33203125" style="297" customWidth="1"/>
    <col min="12804" max="12809" width="0" style="297" hidden="1" customWidth="1"/>
    <col min="12810" max="12810" width="23.83203125" style="297" bestFit="1" customWidth="1"/>
    <col min="12811" max="12811" width="25.83203125" style="297" bestFit="1" customWidth="1"/>
    <col min="12812" max="13056" width="9.33203125" style="297"/>
    <col min="13057" max="13057" width="1.33203125" style="297" customWidth="1"/>
    <col min="13058" max="13058" width="26.83203125" style="297" customWidth="1"/>
    <col min="13059" max="13059" width="14.33203125" style="297" customWidth="1"/>
    <col min="13060" max="13065" width="0" style="297" hidden="1" customWidth="1"/>
    <col min="13066" max="13066" width="23.83203125" style="297" bestFit="1" customWidth="1"/>
    <col min="13067" max="13067" width="25.83203125" style="297" bestFit="1" customWidth="1"/>
    <col min="13068" max="13312" width="9.33203125" style="297"/>
    <col min="13313" max="13313" width="1.33203125" style="297" customWidth="1"/>
    <col min="13314" max="13314" width="26.83203125" style="297" customWidth="1"/>
    <col min="13315" max="13315" width="14.33203125" style="297" customWidth="1"/>
    <col min="13316" max="13321" width="0" style="297" hidden="1" customWidth="1"/>
    <col min="13322" max="13322" width="23.83203125" style="297" bestFit="1" customWidth="1"/>
    <col min="13323" max="13323" width="25.83203125" style="297" bestFit="1" customWidth="1"/>
    <col min="13324" max="13568" width="9.33203125" style="297"/>
    <col min="13569" max="13569" width="1.33203125" style="297" customWidth="1"/>
    <col min="13570" max="13570" width="26.83203125" style="297" customWidth="1"/>
    <col min="13571" max="13571" width="14.33203125" style="297" customWidth="1"/>
    <col min="13572" max="13577" width="0" style="297" hidden="1" customWidth="1"/>
    <col min="13578" max="13578" width="23.83203125" style="297" bestFit="1" customWidth="1"/>
    <col min="13579" max="13579" width="25.83203125" style="297" bestFit="1" customWidth="1"/>
    <col min="13580" max="13824" width="9.33203125" style="297"/>
    <col min="13825" max="13825" width="1.33203125" style="297" customWidth="1"/>
    <col min="13826" max="13826" width="26.83203125" style="297" customWidth="1"/>
    <col min="13827" max="13827" width="14.33203125" style="297" customWidth="1"/>
    <col min="13828" max="13833" width="0" style="297" hidden="1" customWidth="1"/>
    <col min="13834" max="13834" width="23.83203125" style="297" bestFit="1" customWidth="1"/>
    <col min="13835" max="13835" width="25.83203125" style="297" bestFit="1" customWidth="1"/>
    <col min="13836" max="14080" width="9.33203125" style="297"/>
    <col min="14081" max="14081" width="1.33203125" style="297" customWidth="1"/>
    <col min="14082" max="14082" width="26.83203125" style="297" customWidth="1"/>
    <col min="14083" max="14083" width="14.33203125" style="297" customWidth="1"/>
    <col min="14084" max="14089" width="0" style="297" hidden="1" customWidth="1"/>
    <col min="14090" max="14090" width="23.83203125" style="297" bestFit="1" customWidth="1"/>
    <col min="14091" max="14091" width="25.83203125" style="297" bestFit="1" customWidth="1"/>
    <col min="14092" max="14336" width="9.33203125" style="297"/>
    <col min="14337" max="14337" width="1.33203125" style="297" customWidth="1"/>
    <col min="14338" max="14338" width="26.83203125" style="297" customWidth="1"/>
    <col min="14339" max="14339" width="14.33203125" style="297" customWidth="1"/>
    <col min="14340" max="14345" width="0" style="297" hidden="1" customWidth="1"/>
    <col min="14346" max="14346" width="23.83203125" style="297" bestFit="1" customWidth="1"/>
    <col min="14347" max="14347" width="25.83203125" style="297" bestFit="1" customWidth="1"/>
    <col min="14348" max="14592" width="9.33203125" style="297"/>
    <col min="14593" max="14593" width="1.33203125" style="297" customWidth="1"/>
    <col min="14594" max="14594" width="26.83203125" style="297" customWidth="1"/>
    <col min="14595" max="14595" width="14.33203125" style="297" customWidth="1"/>
    <col min="14596" max="14601" width="0" style="297" hidden="1" customWidth="1"/>
    <col min="14602" max="14602" width="23.83203125" style="297" bestFit="1" customWidth="1"/>
    <col min="14603" max="14603" width="25.83203125" style="297" bestFit="1" customWidth="1"/>
    <col min="14604" max="14848" width="9.33203125" style="297"/>
    <col min="14849" max="14849" width="1.33203125" style="297" customWidth="1"/>
    <col min="14850" max="14850" width="26.83203125" style="297" customWidth="1"/>
    <col min="14851" max="14851" width="14.33203125" style="297" customWidth="1"/>
    <col min="14852" max="14857" width="0" style="297" hidden="1" customWidth="1"/>
    <col min="14858" max="14858" width="23.83203125" style="297" bestFit="1" customWidth="1"/>
    <col min="14859" max="14859" width="25.83203125" style="297" bestFit="1" customWidth="1"/>
    <col min="14860" max="15104" width="9.33203125" style="297"/>
    <col min="15105" max="15105" width="1.33203125" style="297" customWidth="1"/>
    <col min="15106" max="15106" width="26.83203125" style="297" customWidth="1"/>
    <col min="15107" max="15107" width="14.33203125" style="297" customWidth="1"/>
    <col min="15108" max="15113" width="0" style="297" hidden="1" customWidth="1"/>
    <col min="15114" max="15114" width="23.83203125" style="297" bestFit="1" customWidth="1"/>
    <col min="15115" max="15115" width="25.83203125" style="297" bestFit="1" customWidth="1"/>
    <col min="15116" max="15360" width="9.33203125" style="297"/>
    <col min="15361" max="15361" width="1.33203125" style="297" customWidth="1"/>
    <col min="15362" max="15362" width="26.83203125" style="297" customWidth="1"/>
    <col min="15363" max="15363" width="14.33203125" style="297" customWidth="1"/>
    <col min="15364" max="15369" width="0" style="297" hidden="1" customWidth="1"/>
    <col min="15370" max="15370" width="23.83203125" style="297" bestFit="1" customWidth="1"/>
    <col min="15371" max="15371" width="25.83203125" style="297" bestFit="1" customWidth="1"/>
    <col min="15372" max="15616" width="9.33203125" style="297"/>
    <col min="15617" max="15617" width="1.33203125" style="297" customWidth="1"/>
    <col min="15618" max="15618" width="26.83203125" style="297" customWidth="1"/>
    <col min="15619" max="15619" width="14.33203125" style="297" customWidth="1"/>
    <col min="15620" max="15625" width="0" style="297" hidden="1" customWidth="1"/>
    <col min="15626" max="15626" width="23.83203125" style="297" bestFit="1" customWidth="1"/>
    <col min="15627" max="15627" width="25.83203125" style="297" bestFit="1" customWidth="1"/>
    <col min="15628" max="15872" width="9.33203125" style="297"/>
    <col min="15873" max="15873" width="1.33203125" style="297" customWidth="1"/>
    <col min="15874" max="15874" width="26.83203125" style="297" customWidth="1"/>
    <col min="15875" max="15875" width="14.33203125" style="297" customWidth="1"/>
    <col min="15876" max="15881" width="0" style="297" hidden="1" customWidth="1"/>
    <col min="15882" max="15882" width="23.83203125" style="297" bestFit="1" customWidth="1"/>
    <col min="15883" max="15883" width="25.83203125" style="297" bestFit="1" customWidth="1"/>
    <col min="15884" max="16128" width="9.33203125" style="297"/>
    <col min="16129" max="16129" width="1.33203125" style="297" customWidth="1"/>
    <col min="16130" max="16130" width="26.83203125" style="297" customWidth="1"/>
    <col min="16131" max="16131" width="14.33203125" style="297" customWidth="1"/>
    <col min="16132" max="16137" width="0" style="297" hidden="1" customWidth="1"/>
    <col min="16138" max="16138" width="23.83203125" style="297" bestFit="1" customWidth="1"/>
    <col min="16139" max="16139" width="25.83203125" style="297" bestFit="1" customWidth="1"/>
    <col min="16140" max="16384" width="9.33203125" style="297"/>
  </cols>
  <sheetData>
    <row r="1" spans="2:21" ht="7.5" customHeight="1"/>
    <row r="2" spans="2:21">
      <c r="B2" s="295" t="s">
        <v>349</v>
      </c>
    </row>
    <row r="3" spans="2:21">
      <c r="B3" s="361"/>
      <c r="C3" s="361"/>
      <c r="D3" s="362">
        <v>2004</v>
      </c>
      <c r="E3" s="362">
        <v>2005</v>
      </c>
      <c r="F3" s="362">
        <v>2006</v>
      </c>
      <c r="G3" s="362">
        <v>2007</v>
      </c>
      <c r="H3" s="362">
        <v>2008</v>
      </c>
      <c r="I3" s="362">
        <v>2009</v>
      </c>
      <c r="J3" s="362" t="s">
        <v>350</v>
      </c>
      <c r="K3" s="362" t="s">
        <v>342</v>
      </c>
      <c r="L3" s="362" t="s">
        <v>343</v>
      </c>
      <c r="M3" s="362" t="s">
        <v>351</v>
      </c>
      <c r="N3" s="362" t="s">
        <v>344</v>
      </c>
      <c r="O3" s="362" t="s">
        <v>10</v>
      </c>
      <c r="P3" s="362" t="s">
        <v>11</v>
      </c>
      <c r="Q3" s="362" t="s">
        <v>12</v>
      </c>
      <c r="R3" s="362" t="s">
        <v>17</v>
      </c>
      <c r="S3" s="362" t="s">
        <v>21</v>
      </c>
      <c r="T3" s="362" t="s">
        <v>26</v>
      </c>
      <c r="U3" s="362" t="s">
        <v>276</v>
      </c>
    </row>
    <row r="4" spans="2:21" hidden="1" outlineLevel="1">
      <c r="B4" s="295" t="s">
        <v>352</v>
      </c>
      <c r="H4" s="298"/>
      <c r="I4" s="298"/>
      <c r="J4" s="298"/>
      <c r="K4" s="299"/>
      <c r="L4" s="298"/>
      <c r="M4" s="298"/>
      <c r="N4" s="298"/>
      <c r="O4" s="298"/>
      <c r="P4" s="298"/>
      <c r="Q4" s="298"/>
      <c r="R4" s="298"/>
      <c r="S4" s="298"/>
      <c r="T4" s="298"/>
      <c r="U4" s="298"/>
    </row>
    <row r="5" spans="2:21" hidden="1" outlineLevel="1">
      <c r="B5" s="300" t="s">
        <v>353</v>
      </c>
      <c r="C5" s="301"/>
      <c r="D5" s="301"/>
      <c r="E5" s="302"/>
      <c r="F5" s="302" t="s">
        <v>354</v>
      </c>
      <c r="G5" s="302" t="s">
        <v>355</v>
      </c>
      <c r="H5" s="303" t="s">
        <v>356</v>
      </c>
      <c r="I5" s="302"/>
      <c r="J5" s="302" t="s">
        <v>357</v>
      </c>
      <c r="K5" s="304" t="s">
        <v>358</v>
      </c>
      <c r="L5" s="302"/>
      <c r="M5" s="302"/>
      <c r="N5" s="302"/>
      <c r="O5" s="302"/>
      <c r="P5" s="302"/>
      <c r="Q5" s="302"/>
      <c r="R5" s="302"/>
      <c r="S5" s="302"/>
      <c r="T5" s="302"/>
      <c r="U5" s="302"/>
    </row>
    <row r="6" spans="2:21" hidden="1" outlineLevel="1">
      <c r="B6" s="305"/>
      <c r="C6" s="306"/>
      <c r="D6" s="306"/>
      <c r="E6" s="306"/>
      <c r="F6" s="304"/>
      <c r="G6" s="304"/>
      <c r="H6" s="307" t="s">
        <v>359</v>
      </c>
      <c r="I6" s="304"/>
      <c r="J6" s="298"/>
      <c r="K6" s="298" t="s">
        <v>360</v>
      </c>
      <c r="L6" s="298"/>
      <c r="M6" s="304"/>
      <c r="N6" s="304"/>
      <c r="O6" s="304"/>
      <c r="P6" s="304"/>
      <c r="Q6" s="304"/>
      <c r="R6" s="304"/>
      <c r="S6" s="304"/>
      <c r="T6" s="304"/>
      <c r="U6" s="304"/>
    </row>
    <row r="7" spans="2:21" hidden="1" outlineLevel="1">
      <c r="B7" s="305"/>
      <c r="C7" s="306"/>
      <c r="D7" s="306"/>
      <c r="E7" s="306"/>
      <c r="F7" s="304"/>
      <c r="G7" s="304"/>
      <c r="H7" s="307"/>
      <c r="I7" s="304"/>
      <c r="J7" s="298"/>
      <c r="K7" s="298" t="s">
        <v>361</v>
      </c>
      <c r="L7" s="298"/>
      <c r="M7" s="304"/>
      <c r="N7" s="304"/>
      <c r="O7" s="304"/>
      <c r="P7" s="304"/>
      <c r="Q7" s="304"/>
      <c r="R7" s="304"/>
      <c r="S7" s="304"/>
      <c r="T7" s="304"/>
      <c r="U7" s="304"/>
    </row>
    <row r="8" spans="2:21" hidden="1" outlineLevel="1">
      <c r="B8" s="308"/>
      <c r="C8" s="309"/>
      <c r="D8" s="309"/>
      <c r="E8" s="309"/>
      <c r="F8" s="299"/>
      <c r="G8" s="299"/>
      <c r="H8" s="310"/>
      <c r="I8" s="299"/>
      <c r="J8" s="299"/>
      <c r="K8" s="299"/>
      <c r="L8" s="299"/>
      <c r="M8" s="309"/>
      <c r="N8" s="299"/>
      <c r="O8" s="299"/>
      <c r="P8" s="299"/>
      <c r="Q8" s="299"/>
      <c r="R8" s="299"/>
      <c r="S8" s="299"/>
      <c r="T8" s="299"/>
      <c r="U8" s="299"/>
    </row>
    <row r="9" spans="2:21" hidden="1" outlineLevel="1">
      <c r="B9" s="300" t="s">
        <v>362</v>
      </c>
      <c r="C9" s="302"/>
      <c r="D9" s="302"/>
      <c r="E9" s="302"/>
      <c r="F9" s="302">
        <v>165</v>
      </c>
      <c r="G9" s="302">
        <v>15</v>
      </c>
      <c r="H9" s="311">
        <v>45</v>
      </c>
      <c r="I9" s="312"/>
      <c r="J9" s="313">
        <v>15</v>
      </c>
      <c r="K9" s="313">
        <v>50</v>
      </c>
      <c r="L9" s="313"/>
      <c r="M9" s="314"/>
      <c r="N9" s="313"/>
      <c r="O9" s="313"/>
      <c r="P9" s="313"/>
      <c r="Q9" s="313"/>
      <c r="R9" s="313"/>
      <c r="S9" s="313"/>
      <c r="T9" s="313"/>
      <c r="U9" s="313"/>
    </row>
    <row r="10" spans="2:21" hidden="1" outlineLevel="1">
      <c r="B10" s="305" t="s">
        <v>362</v>
      </c>
      <c r="C10" s="306"/>
      <c r="D10" s="306"/>
      <c r="E10" s="304"/>
      <c r="F10" s="304"/>
      <c r="G10" s="304"/>
      <c r="H10" s="315">
        <v>10</v>
      </c>
      <c r="I10" s="314"/>
      <c r="J10" s="314"/>
      <c r="K10" s="314">
        <v>200</v>
      </c>
      <c r="L10" s="316"/>
      <c r="M10" s="314"/>
      <c r="N10" s="314"/>
      <c r="O10" s="304"/>
      <c r="P10" s="304"/>
      <c r="Q10" s="304"/>
      <c r="R10" s="304"/>
      <c r="S10" s="304"/>
      <c r="T10" s="304"/>
      <c r="U10" s="304"/>
    </row>
    <row r="11" spans="2:21" hidden="1" outlineLevel="1">
      <c r="B11" s="305" t="s">
        <v>362</v>
      </c>
      <c r="C11" s="306"/>
      <c r="D11" s="306"/>
      <c r="E11" s="306"/>
      <c r="F11" s="304"/>
      <c r="G11" s="304"/>
      <c r="H11" s="315"/>
      <c r="I11" s="314"/>
      <c r="J11" s="314"/>
      <c r="K11" s="314">
        <v>65</v>
      </c>
      <c r="L11" s="316"/>
      <c r="M11" s="314"/>
      <c r="N11" s="316"/>
      <c r="O11" s="304"/>
      <c r="P11" s="304"/>
      <c r="Q11" s="304"/>
      <c r="R11" s="304"/>
      <c r="S11" s="304"/>
      <c r="T11" s="304"/>
      <c r="U11" s="304"/>
    </row>
    <row r="12" spans="2:21" hidden="1" outlineLevel="1">
      <c r="B12" s="305" t="s">
        <v>363</v>
      </c>
      <c r="C12" s="304"/>
      <c r="D12" s="304"/>
      <c r="E12" s="304"/>
      <c r="F12" s="304">
        <v>12</v>
      </c>
      <c r="G12" s="316"/>
      <c r="H12" s="304"/>
      <c r="I12" s="316"/>
      <c r="J12" s="316"/>
      <c r="K12" s="316"/>
      <c r="L12" s="316"/>
      <c r="M12" s="316"/>
      <c r="N12" s="316"/>
      <c r="O12" s="304"/>
      <c r="P12" s="304"/>
      <c r="Q12" s="304"/>
      <c r="R12" s="304"/>
      <c r="S12" s="304"/>
      <c r="T12" s="304"/>
      <c r="U12" s="304"/>
    </row>
    <row r="13" spans="2:21" hidden="1" outlineLevel="1">
      <c r="B13" s="305" t="s">
        <v>363</v>
      </c>
      <c r="C13" s="306"/>
      <c r="D13" s="306"/>
      <c r="E13" s="316"/>
      <c r="F13" s="304"/>
      <c r="G13" s="316"/>
      <c r="H13" s="304"/>
      <c r="I13" s="316"/>
      <c r="J13" s="316"/>
      <c r="K13" s="316"/>
      <c r="L13" s="316"/>
      <c r="M13" s="316"/>
      <c r="N13" s="316"/>
      <c r="O13" s="304"/>
      <c r="P13" s="304"/>
      <c r="Q13" s="304"/>
      <c r="R13" s="304"/>
      <c r="S13" s="304"/>
      <c r="T13" s="304"/>
      <c r="U13" s="304"/>
    </row>
    <row r="14" spans="2:21" hidden="1" outlineLevel="1">
      <c r="B14" s="305" t="s">
        <v>363</v>
      </c>
      <c r="C14" s="306"/>
      <c r="D14" s="306"/>
      <c r="E14" s="306"/>
      <c r="F14" s="304"/>
      <c r="G14" s="316"/>
      <c r="H14" s="304"/>
      <c r="I14" s="316"/>
      <c r="J14" s="316"/>
      <c r="K14" s="316"/>
      <c r="L14" s="316"/>
      <c r="M14" s="316"/>
      <c r="N14" s="316"/>
      <c r="O14" s="304"/>
      <c r="P14" s="304"/>
      <c r="Q14" s="304"/>
      <c r="R14" s="304"/>
      <c r="S14" s="304"/>
      <c r="T14" s="304"/>
      <c r="U14" s="304"/>
    </row>
    <row r="15" spans="2:21" hidden="1" outlineLevel="1">
      <c r="B15" s="308" t="s">
        <v>364</v>
      </c>
      <c r="C15" s="299"/>
      <c r="D15" s="299"/>
      <c r="E15" s="299"/>
      <c r="F15" s="299">
        <f>F9</f>
        <v>165</v>
      </c>
      <c r="G15" s="299">
        <f>G9</f>
        <v>15</v>
      </c>
      <c r="H15" s="317">
        <f>H9+H10</f>
        <v>55</v>
      </c>
      <c r="I15" s="317"/>
      <c r="J15" s="317">
        <v>15</v>
      </c>
      <c r="K15" s="317"/>
      <c r="L15" s="317"/>
      <c r="M15" s="317"/>
      <c r="N15" s="317"/>
      <c r="O15" s="317"/>
      <c r="P15" s="317"/>
      <c r="Q15" s="317"/>
      <c r="R15" s="317"/>
      <c r="S15" s="317"/>
      <c r="T15" s="317"/>
      <c r="U15" s="317"/>
    </row>
    <row r="16" spans="2:21" hidden="1" outlineLevel="1">
      <c r="B16" s="305" t="s">
        <v>365</v>
      </c>
      <c r="C16" s="304"/>
      <c r="D16" s="304"/>
      <c r="E16" s="318"/>
      <c r="F16" s="318">
        <f>($F$9/$F$12)/2</f>
        <v>6.875</v>
      </c>
      <c r="G16" s="318">
        <f t="shared" ref="G16:Q16" si="0">$F$9/$F$12</f>
        <v>13.75</v>
      </c>
      <c r="H16" s="318">
        <f t="shared" si="0"/>
        <v>13.75</v>
      </c>
      <c r="I16" s="318">
        <f t="shared" si="0"/>
        <v>13.75</v>
      </c>
      <c r="J16" s="318">
        <f t="shared" si="0"/>
        <v>13.75</v>
      </c>
      <c r="K16" s="318">
        <f t="shared" si="0"/>
        <v>13.75</v>
      </c>
      <c r="L16" s="318">
        <f t="shared" si="0"/>
        <v>13.75</v>
      </c>
      <c r="M16" s="318">
        <f t="shared" si="0"/>
        <v>13.75</v>
      </c>
      <c r="N16" s="318">
        <f t="shared" si="0"/>
        <v>13.75</v>
      </c>
      <c r="O16" s="318">
        <f t="shared" si="0"/>
        <v>13.75</v>
      </c>
      <c r="P16" s="318">
        <f t="shared" si="0"/>
        <v>13.75</v>
      </c>
      <c r="Q16" s="318">
        <f t="shared" si="0"/>
        <v>13.75</v>
      </c>
      <c r="R16" s="318">
        <f>$F$9/$F$12/2</f>
        <v>6.875</v>
      </c>
      <c r="S16" s="318"/>
      <c r="T16" s="318"/>
      <c r="U16" s="318"/>
    </row>
    <row r="17" spans="2:21" hidden="1" outlineLevel="1">
      <c r="B17" s="305" t="s">
        <v>365</v>
      </c>
      <c r="C17" s="304"/>
      <c r="D17" s="304"/>
      <c r="E17" s="319"/>
      <c r="F17" s="319"/>
      <c r="G17" s="319">
        <v>15</v>
      </c>
      <c r="H17" s="319">
        <v>45</v>
      </c>
      <c r="I17" s="319"/>
      <c r="J17" s="319">
        <v>15</v>
      </c>
      <c r="K17" s="319">
        <v>50</v>
      </c>
      <c r="L17" s="319"/>
      <c r="M17" s="318"/>
      <c r="N17" s="318"/>
      <c r="O17" s="304"/>
      <c r="P17" s="304"/>
      <c r="Q17" s="304"/>
      <c r="R17" s="304"/>
      <c r="S17" s="304"/>
      <c r="T17" s="304"/>
      <c r="U17" s="304"/>
    </row>
    <row r="18" spans="2:21" hidden="1" outlineLevel="1">
      <c r="B18" s="305" t="s">
        <v>365</v>
      </c>
      <c r="C18" s="306"/>
      <c r="D18" s="306"/>
      <c r="E18" s="306"/>
      <c r="F18" s="304"/>
      <c r="G18" s="304"/>
      <c r="H18" s="315">
        <v>10</v>
      </c>
      <c r="I18" s="318"/>
      <c r="J18" s="315"/>
      <c r="K18" s="315">
        <v>200</v>
      </c>
      <c r="L18" s="315"/>
      <c r="M18" s="318"/>
      <c r="N18" s="304"/>
      <c r="O18" s="304"/>
      <c r="P18" s="304"/>
      <c r="Q18" s="304"/>
      <c r="R18" s="304"/>
      <c r="S18" s="304"/>
      <c r="T18" s="304"/>
      <c r="U18" s="304"/>
    </row>
    <row r="19" spans="2:21" hidden="1" outlineLevel="1">
      <c r="B19" s="305" t="s">
        <v>365</v>
      </c>
      <c r="C19" s="306"/>
      <c r="D19" s="306"/>
      <c r="E19" s="306"/>
      <c r="F19" s="304"/>
      <c r="G19" s="304"/>
      <c r="H19" s="320"/>
      <c r="I19" s="315"/>
      <c r="J19" s="315"/>
      <c r="K19" s="315">
        <f>K11</f>
        <v>65</v>
      </c>
      <c r="L19" s="315"/>
      <c r="M19" s="304"/>
      <c r="N19" s="304"/>
      <c r="O19" s="304"/>
      <c r="P19" s="304"/>
      <c r="Q19" s="304"/>
      <c r="R19" s="304"/>
      <c r="S19" s="304"/>
      <c r="T19" s="304"/>
      <c r="U19" s="304"/>
    </row>
    <row r="20" spans="2:21" hidden="1" outlineLevel="1">
      <c r="B20" s="305" t="s">
        <v>365</v>
      </c>
      <c r="C20" s="306"/>
      <c r="D20" s="306"/>
      <c r="E20" s="306"/>
      <c r="F20" s="304"/>
      <c r="G20" s="304"/>
      <c r="H20" s="320"/>
      <c r="I20" s="315"/>
      <c r="J20" s="315"/>
      <c r="K20" s="315"/>
      <c r="L20" s="315"/>
      <c r="M20" s="315"/>
      <c r="N20" s="315"/>
      <c r="O20" s="315"/>
      <c r="P20" s="315"/>
      <c r="Q20" s="315"/>
      <c r="R20" s="315"/>
      <c r="S20" s="315"/>
      <c r="T20" s="315"/>
      <c r="U20" s="315"/>
    </row>
    <row r="21" spans="2:21" hidden="1" outlineLevel="1">
      <c r="B21" s="305" t="s">
        <v>365</v>
      </c>
      <c r="C21" s="306"/>
      <c r="D21" s="306"/>
      <c r="E21" s="306"/>
      <c r="F21" s="304"/>
      <c r="G21" s="304"/>
      <c r="H21" s="320"/>
      <c r="I21" s="315"/>
      <c r="J21" s="315"/>
      <c r="K21" s="315"/>
      <c r="L21" s="315"/>
      <c r="M21" s="315"/>
      <c r="N21" s="315"/>
      <c r="O21" s="315"/>
      <c r="P21" s="315"/>
      <c r="Q21" s="315"/>
      <c r="R21" s="315"/>
      <c r="S21" s="315"/>
      <c r="T21" s="315"/>
      <c r="U21" s="315"/>
    </row>
    <row r="22" spans="2:21" hidden="1" outlineLevel="1">
      <c r="B22" s="305" t="s">
        <v>365</v>
      </c>
      <c r="C22" s="306"/>
      <c r="D22" s="306"/>
      <c r="E22" s="306"/>
      <c r="F22" s="304"/>
      <c r="G22" s="304"/>
      <c r="H22" s="320"/>
      <c r="I22" s="315"/>
      <c r="J22" s="315"/>
      <c r="K22" s="315"/>
      <c r="L22" s="315"/>
      <c r="M22" s="315"/>
      <c r="N22" s="315"/>
      <c r="O22" s="315"/>
      <c r="P22" s="315"/>
      <c r="Q22" s="315"/>
      <c r="R22" s="315"/>
      <c r="S22" s="315"/>
      <c r="T22" s="315"/>
      <c r="U22" s="315"/>
    </row>
    <row r="23" spans="2:21" hidden="1" outlineLevel="1">
      <c r="B23" s="305"/>
      <c r="C23" s="306"/>
      <c r="D23" s="306"/>
      <c r="E23" s="306"/>
      <c r="F23" s="304"/>
      <c r="G23" s="304"/>
      <c r="H23" s="320"/>
      <c r="I23" s="315"/>
      <c r="J23" s="315"/>
      <c r="K23" s="315"/>
      <c r="L23" s="315"/>
      <c r="M23" s="315"/>
      <c r="N23" s="315"/>
      <c r="O23" s="315"/>
      <c r="P23" s="315"/>
      <c r="Q23" s="315"/>
      <c r="R23" s="315"/>
      <c r="S23" s="315"/>
      <c r="T23" s="315"/>
      <c r="U23" s="315"/>
    </row>
    <row r="24" spans="2:21" hidden="1" outlineLevel="1">
      <c r="B24" s="305" t="s">
        <v>366</v>
      </c>
      <c r="C24" s="306"/>
      <c r="D24" s="306"/>
      <c r="E24" s="318"/>
      <c r="F24" s="318">
        <f t="shared" ref="F24:Q24" si="1">G16</f>
        <v>13.75</v>
      </c>
      <c r="G24" s="318">
        <f t="shared" si="1"/>
        <v>13.75</v>
      </c>
      <c r="H24" s="318">
        <f t="shared" si="1"/>
        <v>13.75</v>
      </c>
      <c r="I24" s="318">
        <f t="shared" si="1"/>
        <v>13.75</v>
      </c>
      <c r="J24" s="318">
        <f t="shared" si="1"/>
        <v>13.75</v>
      </c>
      <c r="K24" s="318">
        <f t="shared" si="1"/>
        <v>13.75</v>
      </c>
      <c r="L24" s="318">
        <f t="shared" si="1"/>
        <v>13.75</v>
      </c>
      <c r="M24" s="318">
        <f t="shared" si="1"/>
        <v>13.75</v>
      </c>
      <c r="N24" s="318">
        <f t="shared" si="1"/>
        <v>13.75</v>
      </c>
      <c r="O24" s="318">
        <f t="shared" si="1"/>
        <v>13.75</v>
      </c>
      <c r="P24" s="318">
        <f t="shared" si="1"/>
        <v>13.75</v>
      </c>
      <c r="Q24" s="318">
        <f t="shared" si="1"/>
        <v>6.875</v>
      </c>
      <c r="R24" s="318">
        <f>U16</f>
        <v>0</v>
      </c>
      <c r="S24" s="318">
        <f>V16</f>
        <v>0</v>
      </c>
      <c r="T24" s="318">
        <f>W16</f>
        <v>0</v>
      </c>
      <c r="U24" s="318">
        <f>X16</f>
        <v>0</v>
      </c>
    </row>
    <row r="25" spans="2:21" hidden="1" outlineLevel="1">
      <c r="B25" s="308" t="s">
        <v>367</v>
      </c>
      <c r="C25" s="309"/>
      <c r="D25" s="309"/>
      <c r="E25" s="321"/>
      <c r="F25" s="321">
        <f>F15-F16-F24</f>
        <v>144.375</v>
      </c>
      <c r="G25" s="321">
        <f t="shared" ref="G25:P25" si="2">F25-G16</f>
        <v>130.625</v>
      </c>
      <c r="H25" s="321">
        <f t="shared" si="2"/>
        <v>116.875</v>
      </c>
      <c r="I25" s="321">
        <f t="shared" si="2"/>
        <v>103.125</v>
      </c>
      <c r="J25" s="321">
        <f t="shared" si="2"/>
        <v>89.375</v>
      </c>
      <c r="K25" s="321">
        <f t="shared" si="2"/>
        <v>75.625</v>
      </c>
      <c r="L25" s="321">
        <f t="shared" si="2"/>
        <v>61.875</v>
      </c>
      <c r="M25" s="321">
        <f t="shared" si="2"/>
        <v>48.125</v>
      </c>
      <c r="N25" s="321">
        <f t="shared" si="2"/>
        <v>34.375</v>
      </c>
      <c r="O25" s="321">
        <f t="shared" si="2"/>
        <v>20.625</v>
      </c>
      <c r="P25" s="321">
        <f t="shared" si="2"/>
        <v>6.875</v>
      </c>
      <c r="Q25" s="321">
        <v>0</v>
      </c>
      <c r="R25" s="321">
        <f>Q25</f>
        <v>0</v>
      </c>
      <c r="S25" s="321">
        <f>R25-S16</f>
        <v>0</v>
      </c>
      <c r="T25" s="321">
        <f>S25-T16</f>
        <v>0</v>
      </c>
      <c r="U25" s="321">
        <f>T25-U16</f>
        <v>0</v>
      </c>
    </row>
    <row r="26" spans="2:21" ht="13.5" hidden="1" customHeight="1" outlineLevel="1">
      <c r="B26" s="322" t="s">
        <v>368</v>
      </c>
      <c r="E26" s="323"/>
      <c r="F26" s="323">
        <f t="shared" ref="F26:Q26" si="3">F24+F25</f>
        <v>158.125</v>
      </c>
      <c r="G26" s="323">
        <f t="shared" si="3"/>
        <v>144.375</v>
      </c>
      <c r="H26" s="323">
        <f t="shared" si="3"/>
        <v>130.625</v>
      </c>
      <c r="I26" s="323">
        <f t="shared" si="3"/>
        <v>116.875</v>
      </c>
      <c r="J26" s="323">
        <f t="shared" si="3"/>
        <v>103.125</v>
      </c>
      <c r="K26" s="323">
        <f t="shared" si="3"/>
        <v>89.375</v>
      </c>
      <c r="L26" s="323">
        <f t="shared" si="3"/>
        <v>75.625</v>
      </c>
      <c r="M26" s="323">
        <f t="shared" si="3"/>
        <v>61.875</v>
      </c>
      <c r="N26" s="323">
        <f t="shared" si="3"/>
        <v>48.125</v>
      </c>
      <c r="O26" s="323">
        <f t="shared" si="3"/>
        <v>34.375</v>
      </c>
      <c r="P26" s="323">
        <f t="shared" si="3"/>
        <v>20.625</v>
      </c>
      <c r="Q26" s="323">
        <f t="shared" si="3"/>
        <v>6.875</v>
      </c>
      <c r="R26" s="324"/>
      <c r="S26" s="324"/>
      <c r="T26" s="324"/>
      <c r="U26" s="324"/>
    </row>
    <row r="27" spans="2:21" ht="13.5" hidden="1" customHeight="1" outlineLevel="1">
      <c r="B27" s="325" t="s">
        <v>369</v>
      </c>
      <c r="C27" s="326"/>
      <c r="D27" s="326"/>
      <c r="E27" s="327"/>
      <c r="F27" s="327">
        <f>F16</f>
        <v>6.875</v>
      </c>
      <c r="G27" s="327">
        <f t="shared" ref="G27:R27" si="4">SUM(G16:G18)</f>
        <v>28.75</v>
      </c>
      <c r="H27" s="327">
        <f t="shared" si="4"/>
        <v>68.75</v>
      </c>
      <c r="I27" s="327">
        <f t="shared" si="4"/>
        <v>13.75</v>
      </c>
      <c r="J27" s="327">
        <f t="shared" si="4"/>
        <v>28.75</v>
      </c>
      <c r="K27" s="327">
        <f>SUM(K16:K19)</f>
        <v>328.75</v>
      </c>
      <c r="L27" s="327">
        <f t="shared" si="4"/>
        <v>13.75</v>
      </c>
      <c r="M27" s="327">
        <f t="shared" si="4"/>
        <v>13.75</v>
      </c>
      <c r="N27" s="327">
        <f t="shared" si="4"/>
        <v>13.75</v>
      </c>
      <c r="O27" s="327">
        <f t="shared" si="4"/>
        <v>13.75</v>
      </c>
      <c r="P27" s="327">
        <f t="shared" si="4"/>
        <v>13.75</v>
      </c>
      <c r="Q27" s="327">
        <f t="shared" si="4"/>
        <v>13.75</v>
      </c>
      <c r="R27" s="327">
        <f t="shared" si="4"/>
        <v>6.875</v>
      </c>
      <c r="S27" s="327">
        <f>SUM(S16:S18)</f>
        <v>0</v>
      </c>
      <c r="T27" s="327">
        <f>SUM(T16:T18)</f>
        <v>0</v>
      </c>
      <c r="U27" s="327">
        <f>SUM(U16:U18)</f>
        <v>0</v>
      </c>
    </row>
    <row r="28" spans="2:21" collapsed="1">
      <c r="J28" s="328"/>
    </row>
    <row r="29" spans="2:21">
      <c r="B29" s="295" t="s">
        <v>370</v>
      </c>
    </row>
    <row r="30" spans="2:21">
      <c r="B30" s="297" t="s">
        <v>371</v>
      </c>
      <c r="C30" s="329"/>
      <c r="D30" s="329"/>
      <c r="E30" s="329"/>
      <c r="F30" s="329"/>
      <c r="G30" s="329"/>
    </row>
    <row r="31" spans="2:21">
      <c r="B31" s="297" t="s">
        <v>372</v>
      </c>
    </row>
    <row r="32" spans="2:21">
      <c r="B32" s="297" t="s">
        <v>373</v>
      </c>
    </row>
    <row r="33" spans="2:10">
      <c r="B33" s="297" t="s">
        <v>374</v>
      </c>
    </row>
    <row r="34" spans="2:10">
      <c r="B34" s="297" t="s">
        <v>375</v>
      </c>
    </row>
    <row r="35" spans="2:10">
      <c r="B35" s="297" t="s">
        <v>376</v>
      </c>
    </row>
    <row r="36" spans="2:10">
      <c r="B36" s="297" t="s">
        <v>377</v>
      </c>
    </row>
    <row r="37" spans="2:10">
      <c r="B37" s="297" t="s">
        <v>378</v>
      </c>
    </row>
    <row r="38" spans="2:10">
      <c r="B38" s="297" t="s">
        <v>379</v>
      </c>
    </row>
    <row r="39" spans="2:10">
      <c r="B39" s="297" t="s">
        <v>380</v>
      </c>
    </row>
    <row r="41" spans="2:10">
      <c r="B41" s="297" t="s">
        <v>381</v>
      </c>
    </row>
    <row r="42" spans="2:10">
      <c r="B42" s="297" t="s">
        <v>382</v>
      </c>
    </row>
    <row r="43" spans="2:10">
      <c r="B43" s="297" t="s">
        <v>383</v>
      </c>
    </row>
    <row r="44" spans="2:10">
      <c r="B44" s="330" t="s">
        <v>384</v>
      </c>
      <c r="J44" s="328"/>
    </row>
    <row r="45" spans="2:10">
      <c r="B45" s="330" t="s">
        <v>385</v>
      </c>
      <c r="J45" s="328"/>
    </row>
    <row r="46" spans="2:10">
      <c r="B46" s="330" t="s">
        <v>386</v>
      </c>
      <c r="J46" s="328"/>
    </row>
    <row r="47" spans="2:10">
      <c r="B47" s="330" t="s">
        <v>387</v>
      </c>
      <c r="J47" s="328"/>
    </row>
    <row r="48" spans="2:10" ht="9" customHeight="1">
      <c r="B48" s="330"/>
      <c r="J48" s="328"/>
    </row>
    <row r="49" spans="2:21">
      <c r="B49" s="361"/>
      <c r="C49" s="361"/>
      <c r="D49" s="362">
        <v>2004</v>
      </c>
      <c r="E49" s="362">
        <v>2005</v>
      </c>
      <c r="F49" s="362">
        <v>2006</v>
      </c>
      <c r="G49" s="362">
        <v>2007</v>
      </c>
      <c r="H49" s="362">
        <v>2008</v>
      </c>
      <c r="I49" s="362">
        <v>2009</v>
      </c>
      <c r="J49" s="362" t="s">
        <v>350</v>
      </c>
      <c r="K49" s="362" t="s">
        <v>342</v>
      </c>
      <c r="L49" s="362" t="s">
        <v>343</v>
      </c>
      <c r="M49" s="362" t="s">
        <v>351</v>
      </c>
      <c r="N49" s="362" t="s">
        <v>344</v>
      </c>
      <c r="O49" s="362" t="s">
        <v>10</v>
      </c>
      <c r="P49" s="362" t="s">
        <v>11</v>
      </c>
      <c r="Q49" s="362" t="s">
        <v>12</v>
      </c>
      <c r="R49" s="362" t="s">
        <v>17</v>
      </c>
      <c r="S49" s="362" t="s">
        <v>21</v>
      </c>
      <c r="T49" s="362" t="s">
        <v>26</v>
      </c>
      <c r="U49" s="362" t="s">
        <v>276</v>
      </c>
    </row>
    <row r="50" spans="2:21" hidden="1" outlineLevel="1">
      <c r="B50" s="295" t="s">
        <v>388</v>
      </c>
      <c r="C50" s="309"/>
      <c r="D50" s="309"/>
      <c r="E50" s="309"/>
      <c r="H50" s="298"/>
      <c r="I50" s="298"/>
      <c r="J50" s="298"/>
      <c r="K50" s="299"/>
      <c r="L50" s="298"/>
      <c r="M50" s="298"/>
      <c r="N50" s="298"/>
      <c r="O50" s="298"/>
      <c r="P50" s="298"/>
      <c r="Q50" s="298"/>
      <c r="R50" s="298"/>
      <c r="S50" s="298"/>
      <c r="T50" s="298"/>
      <c r="U50" s="298"/>
    </row>
    <row r="51" spans="2:21" hidden="1" outlineLevel="1">
      <c r="B51" s="300" t="s">
        <v>353</v>
      </c>
      <c r="C51" s="306"/>
      <c r="D51" s="304" t="s">
        <v>389</v>
      </c>
      <c r="E51" s="304"/>
      <c r="F51" s="302" t="s">
        <v>390</v>
      </c>
      <c r="G51" s="302"/>
      <c r="H51" s="303"/>
      <c r="I51" s="302" t="s">
        <v>391</v>
      </c>
      <c r="J51" s="302"/>
      <c r="K51" s="304"/>
      <c r="L51" s="302"/>
      <c r="M51" s="302"/>
      <c r="N51" s="302"/>
      <c r="O51" s="302"/>
      <c r="P51" s="302"/>
      <c r="Q51" s="302"/>
      <c r="R51" s="302"/>
      <c r="S51" s="302"/>
      <c r="T51" s="302"/>
      <c r="U51" s="302"/>
    </row>
    <row r="52" spans="2:21" hidden="1" outlineLevel="1">
      <c r="B52" s="305"/>
      <c r="C52" s="306"/>
      <c r="D52" s="304" t="s">
        <v>389</v>
      </c>
      <c r="E52" s="306"/>
      <c r="F52" s="304"/>
      <c r="G52" s="304"/>
      <c r="H52" s="307"/>
      <c r="I52" s="304"/>
      <c r="J52" s="298"/>
      <c r="K52" s="298"/>
      <c r="L52" s="298"/>
      <c r="M52" s="304"/>
      <c r="N52" s="304"/>
      <c r="O52" s="304"/>
      <c r="P52" s="304"/>
      <c r="Q52" s="304"/>
      <c r="R52" s="304"/>
      <c r="S52" s="304"/>
      <c r="T52" s="304"/>
      <c r="U52" s="304"/>
    </row>
    <row r="53" spans="2:21" hidden="1" outlineLevel="1">
      <c r="B53" s="305"/>
      <c r="C53" s="306"/>
      <c r="D53" s="306"/>
      <c r="E53" s="306"/>
      <c r="F53" s="304"/>
      <c r="G53" s="304"/>
      <c r="H53" s="307"/>
      <c r="I53" s="304"/>
      <c r="J53" s="298"/>
      <c r="K53" s="298"/>
      <c r="L53" s="298"/>
      <c r="M53" s="304"/>
      <c r="N53" s="304"/>
      <c r="O53" s="304"/>
      <c r="P53" s="304"/>
      <c r="Q53" s="304"/>
      <c r="R53" s="304"/>
      <c r="S53" s="304"/>
      <c r="T53" s="304"/>
      <c r="U53" s="304"/>
    </row>
    <row r="54" spans="2:21" hidden="1" outlineLevel="1">
      <c r="B54" s="308"/>
      <c r="C54" s="309"/>
      <c r="D54" s="309"/>
      <c r="E54" s="309"/>
      <c r="F54" s="299"/>
      <c r="G54" s="299"/>
      <c r="H54" s="310"/>
      <c r="I54" s="299"/>
      <c r="J54" s="299"/>
      <c r="K54" s="299"/>
      <c r="L54" s="299"/>
      <c r="M54" s="309"/>
      <c r="N54" s="299"/>
      <c r="O54" s="299"/>
      <c r="P54" s="299"/>
      <c r="Q54" s="299"/>
      <c r="R54" s="299"/>
      <c r="S54" s="299"/>
      <c r="T54" s="299"/>
      <c r="U54" s="299"/>
    </row>
    <row r="55" spans="2:21" hidden="1" outlineLevel="1">
      <c r="B55" s="300" t="s">
        <v>362</v>
      </c>
      <c r="C55" s="304"/>
      <c r="D55" s="304">
        <v>15</v>
      </c>
      <c r="E55" s="304"/>
      <c r="F55" s="302">
        <v>3</v>
      </c>
      <c r="G55" s="302"/>
      <c r="H55" s="331"/>
      <c r="I55" s="312">
        <v>105</v>
      </c>
      <c r="J55" s="313"/>
      <c r="K55" s="313"/>
      <c r="L55" s="313"/>
      <c r="M55" s="314"/>
      <c r="N55" s="313"/>
      <c r="O55" s="313"/>
      <c r="P55" s="313"/>
      <c r="Q55" s="313"/>
      <c r="R55" s="313"/>
      <c r="S55" s="313"/>
      <c r="T55" s="313"/>
      <c r="U55" s="313"/>
    </row>
    <row r="56" spans="2:21" hidden="1" outlineLevel="1">
      <c r="B56" s="305" t="s">
        <v>362</v>
      </c>
      <c r="C56" s="306"/>
      <c r="D56" s="304">
        <v>4</v>
      </c>
      <c r="E56" s="304"/>
      <c r="F56" s="304"/>
      <c r="G56" s="304"/>
      <c r="H56" s="320"/>
      <c r="I56" s="314"/>
      <c r="J56" s="314"/>
      <c r="K56" s="314"/>
      <c r="L56" s="316"/>
      <c r="M56" s="314"/>
      <c r="N56" s="314"/>
      <c r="O56" s="304"/>
      <c r="P56" s="304"/>
      <c r="Q56" s="304"/>
      <c r="R56" s="304"/>
      <c r="S56" s="304"/>
      <c r="T56" s="304"/>
      <c r="U56" s="304"/>
    </row>
    <row r="57" spans="2:21" hidden="1" outlineLevel="1">
      <c r="B57" s="305" t="s">
        <v>362</v>
      </c>
      <c r="C57" s="306"/>
      <c r="D57" s="304"/>
      <c r="E57" s="306"/>
      <c r="F57" s="304"/>
      <c r="G57" s="304"/>
      <c r="H57" s="320"/>
      <c r="I57" s="314"/>
      <c r="J57" s="314"/>
      <c r="K57" s="316"/>
      <c r="L57" s="316"/>
      <c r="M57" s="314"/>
      <c r="N57" s="316"/>
      <c r="O57" s="304"/>
      <c r="P57" s="304"/>
      <c r="Q57" s="304"/>
      <c r="R57" s="304"/>
      <c r="S57" s="304"/>
      <c r="T57" s="304"/>
      <c r="U57" s="304"/>
    </row>
    <row r="58" spans="2:21" hidden="1" outlineLevel="1">
      <c r="B58" s="305" t="s">
        <v>363</v>
      </c>
      <c r="C58" s="304"/>
      <c r="D58" s="304">
        <v>4</v>
      </c>
      <c r="E58" s="304"/>
      <c r="F58" s="304"/>
      <c r="G58" s="316"/>
      <c r="H58" s="307"/>
      <c r="I58" s="316">
        <v>3</v>
      </c>
      <c r="J58" s="316"/>
      <c r="K58" s="316"/>
      <c r="L58" s="316"/>
      <c r="M58" s="316"/>
      <c r="N58" s="316"/>
      <c r="O58" s="304"/>
      <c r="P58" s="304"/>
      <c r="Q58" s="304"/>
      <c r="R58" s="304"/>
      <c r="S58" s="304"/>
      <c r="T58" s="304"/>
      <c r="U58" s="304"/>
    </row>
    <row r="59" spans="2:21" hidden="1" outlineLevel="1">
      <c r="B59" s="305" t="s">
        <v>363</v>
      </c>
      <c r="C59" s="306"/>
      <c r="D59" s="304">
        <v>4</v>
      </c>
      <c r="E59" s="316"/>
      <c r="F59" s="304"/>
      <c r="G59" s="316"/>
      <c r="H59" s="307"/>
      <c r="I59" s="316"/>
      <c r="J59" s="316"/>
      <c r="K59" s="316"/>
      <c r="L59" s="316"/>
      <c r="M59" s="316"/>
      <c r="N59" s="316"/>
      <c r="O59" s="304"/>
      <c r="P59" s="304"/>
      <c r="Q59" s="304"/>
      <c r="R59" s="304"/>
      <c r="S59" s="304"/>
      <c r="T59" s="304"/>
      <c r="U59" s="304"/>
    </row>
    <row r="60" spans="2:21" hidden="1" outlineLevel="1">
      <c r="B60" s="305" t="s">
        <v>363</v>
      </c>
      <c r="C60" s="306"/>
      <c r="D60" s="304"/>
      <c r="E60" s="306"/>
      <c r="F60" s="304"/>
      <c r="G60" s="316"/>
      <c r="H60" s="307"/>
      <c r="I60" s="332"/>
      <c r="J60" s="316"/>
      <c r="K60" s="316"/>
      <c r="L60" s="316"/>
      <c r="M60" s="316"/>
      <c r="N60" s="316"/>
      <c r="O60" s="304"/>
      <c r="P60" s="304"/>
      <c r="Q60" s="304"/>
      <c r="R60" s="304"/>
      <c r="S60" s="304"/>
      <c r="T60" s="304"/>
      <c r="U60" s="304"/>
    </row>
    <row r="61" spans="2:21" hidden="1" outlineLevel="1">
      <c r="B61" s="308" t="s">
        <v>364</v>
      </c>
      <c r="C61" s="299"/>
      <c r="D61" s="299">
        <f>D55+D56</f>
        <v>19</v>
      </c>
      <c r="E61" s="299"/>
      <c r="F61" s="299">
        <v>3</v>
      </c>
      <c r="G61" s="299"/>
      <c r="H61" s="333"/>
      <c r="I61" s="317">
        <f>I55</f>
        <v>105</v>
      </c>
      <c r="J61" s="317"/>
      <c r="K61" s="317"/>
      <c r="L61" s="317"/>
      <c r="M61" s="317"/>
      <c r="N61" s="317"/>
      <c r="O61" s="317"/>
      <c r="P61" s="317"/>
      <c r="Q61" s="317"/>
      <c r="R61" s="317"/>
      <c r="S61" s="317"/>
      <c r="T61" s="317"/>
      <c r="U61" s="317"/>
    </row>
    <row r="62" spans="2:21" hidden="1" outlineLevel="1">
      <c r="B62" s="305" t="s">
        <v>365</v>
      </c>
      <c r="C62" s="304"/>
      <c r="D62" s="304">
        <v>4</v>
      </c>
      <c r="E62" s="318"/>
      <c r="F62" s="318">
        <v>3</v>
      </c>
      <c r="G62" s="318"/>
      <c r="H62" s="334"/>
      <c r="I62" s="318">
        <f>($I$55/$I$58)*0.5</f>
        <v>17.5</v>
      </c>
      <c r="J62" s="318">
        <f>$I$55/$I$58</f>
        <v>35</v>
      </c>
      <c r="K62" s="318">
        <f>$I$55/$I$58</f>
        <v>35</v>
      </c>
      <c r="L62" s="318">
        <f>(I55/I58)*0.5</f>
        <v>17.5</v>
      </c>
      <c r="M62" s="318"/>
      <c r="N62" s="318"/>
      <c r="O62" s="304"/>
      <c r="P62" s="318"/>
      <c r="Q62" s="304"/>
      <c r="R62" s="304"/>
      <c r="S62" s="304"/>
      <c r="T62" s="304"/>
      <c r="U62" s="304"/>
    </row>
    <row r="63" spans="2:21" hidden="1" outlineLevel="1">
      <c r="B63" s="305" t="s">
        <v>365</v>
      </c>
      <c r="C63" s="304"/>
      <c r="D63" s="304">
        <f>($D$55/$D$59)*0.5</f>
        <v>1.875</v>
      </c>
      <c r="E63" s="335">
        <f>($D$55/$D$59)</f>
        <v>3.75</v>
      </c>
      <c r="F63" s="335">
        <f>($D$55/$D$59)</f>
        <v>3.75</v>
      </c>
      <c r="G63" s="335">
        <f>($D$55/$D$59)</f>
        <v>3.75</v>
      </c>
      <c r="H63" s="304">
        <f>($D$55/$D$59)*0.5</f>
        <v>1.875</v>
      </c>
      <c r="I63" s="319"/>
      <c r="J63" s="319"/>
      <c r="K63" s="319"/>
      <c r="L63" s="319"/>
      <c r="M63" s="318"/>
      <c r="N63" s="318"/>
      <c r="O63" s="304"/>
      <c r="P63" s="304"/>
      <c r="Q63" s="304"/>
      <c r="R63" s="304"/>
      <c r="S63" s="304"/>
      <c r="T63" s="304"/>
      <c r="U63" s="304"/>
    </row>
    <row r="64" spans="2:21" hidden="1" outlineLevel="1">
      <c r="B64" s="305" t="s">
        <v>365</v>
      </c>
      <c r="C64" s="306"/>
      <c r="D64" s="304"/>
      <c r="E64" s="306"/>
      <c r="F64" s="304"/>
      <c r="G64" s="304"/>
      <c r="H64" s="320"/>
      <c r="I64" s="315"/>
      <c r="J64" s="315"/>
      <c r="K64" s="315"/>
      <c r="L64" s="315"/>
      <c r="M64" s="315"/>
      <c r="N64" s="315"/>
      <c r="O64" s="315"/>
      <c r="P64" s="315"/>
      <c r="Q64" s="315"/>
      <c r="R64" s="315"/>
      <c r="S64" s="315"/>
      <c r="T64" s="315"/>
      <c r="U64" s="315"/>
    </row>
    <row r="65" spans="2:21" hidden="1" outlineLevel="1">
      <c r="B65" s="305"/>
      <c r="C65" s="306"/>
      <c r="D65" s="304"/>
      <c r="E65" s="306"/>
      <c r="F65" s="304"/>
      <c r="G65" s="304"/>
      <c r="H65" s="320"/>
      <c r="I65" s="315"/>
      <c r="J65" s="315"/>
      <c r="K65" s="315"/>
      <c r="L65" s="315"/>
      <c r="M65" s="315"/>
      <c r="N65" s="315"/>
      <c r="O65" s="315"/>
      <c r="P65" s="315"/>
      <c r="Q65" s="315"/>
      <c r="R65" s="315"/>
      <c r="S65" s="315"/>
      <c r="T65" s="315"/>
      <c r="U65" s="315"/>
    </row>
    <row r="66" spans="2:21" hidden="1" outlineLevel="1">
      <c r="B66" s="305" t="s">
        <v>366</v>
      </c>
      <c r="C66" s="306"/>
      <c r="D66" s="335">
        <f>E63</f>
        <v>3.75</v>
      </c>
      <c r="E66" s="335">
        <f>F63</f>
        <v>3.75</v>
      </c>
      <c r="F66" s="335">
        <f>G63</f>
        <v>3.75</v>
      </c>
      <c r="G66" s="335">
        <f>H63</f>
        <v>1.875</v>
      </c>
      <c r="H66" s="334"/>
      <c r="I66" s="318">
        <f>J62</f>
        <v>35</v>
      </c>
      <c r="J66" s="318">
        <f>K62</f>
        <v>35</v>
      </c>
      <c r="K66" s="318">
        <f>L62</f>
        <v>17.5</v>
      </c>
      <c r="L66" s="318"/>
      <c r="M66" s="318"/>
      <c r="N66" s="315"/>
      <c r="O66" s="315"/>
      <c r="P66" s="315"/>
      <c r="Q66" s="315"/>
      <c r="R66" s="315"/>
      <c r="S66" s="315"/>
      <c r="T66" s="315"/>
      <c r="U66" s="315"/>
    </row>
    <row r="67" spans="2:21" hidden="1" outlineLevel="1">
      <c r="B67" s="308" t="s">
        <v>367</v>
      </c>
      <c r="C67" s="309"/>
      <c r="D67" s="336">
        <f>D55-D63-D66</f>
        <v>9.375</v>
      </c>
      <c r="E67" s="321">
        <f>D67-E66</f>
        <v>5.625</v>
      </c>
      <c r="F67" s="321">
        <f>E67-F66</f>
        <v>1.875</v>
      </c>
      <c r="G67" s="321">
        <f>F67-G66</f>
        <v>0</v>
      </c>
      <c r="H67" s="337"/>
      <c r="I67" s="321">
        <f>I61-I62-I66</f>
        <v>52.5</v>
      </c>
      <c r="J67" s="321">
        <f>I67-J66</f>
        <v>17.5</v>
      </c>
      <c r="K67" s="321"/>
      <c r="L67" s="321"/>
      <c r="M67" s="317"/>
      <c r="N67" s="317"/>
      <c r="O67" s="317"/>
      <c r="P67" s="317"/>
      <c r="Q67" s="317"/>
      <c r="R67" s="317"/>
      <c r="S67" s="317"/>
      <c r="T67" s="317"/>
      <c r="U67" s="317"/>
    </row>
    <row r="68" spans="2:21" ht="13.5" hidden="1" customHeight="1" outlineLevel="1">
      <c r="B68" s="322" t="s">
        <v>368</v>
      </c>
      <c r="D68" s="298">
        <f t="shared" ref="D68:L68" si="5">D66+D67</f>
        <v>13.125</v>
      </c>
      <c r="E68" s="298">
        <f t="shared" si="5"/>
        <v>9.375</v>
      </c>
      <c r="F68" s="298">
        <f t="shared" si="5"/>
        <v>5.625</v>
      </c>
      <c r="G68" s="298">
        <f t="shared" si="5"/>
        <v>1.875</v>
      </c>
      <c r="H68" s="298">
        <f t="shared" si="5"/>
        <v>0</v>
      </c>
      <c r="I68" s="298">
        <f t="shared" si="5"/>
        <v>87.5</v>
      </c>
      <c r="J68" s="298">
        <f t="shared" si="5"/>
        <v>52.5</v>
      </c>
      <c r="K68" s="298">
        <f t="shared" si="5"/>
        <v>17.5</v>
      </c>
      <c r="L68" s="298">
        <f t="shared" si="5"/>
        <v>0</v>
      </c>
      <c r="M68" s="324"/>
      <c r="N68" s="324"/>
      <c r="O68" s="324"/>
      <c r="P68" s="324"/>
      <c r="Q68" s="324"/>
      <c r="R68" s="324"/>
      <c r="S68" s="324"/>
      <c r="T68" s="324"/>
      <c r="U68" s="324"/>
    </row>
    <row r="69" spans="2:21" ht="13.5" hidden="1" customHeight="1" outlineLevel="1">
      <c r="B69" s="325" t="s">
        <v>369</v>
      </c>
      <c r="C69" s="326"/>
      <c r="D69" s="338">
        <f>SUM(D62:D63)</f>
        <v>5.875</v>
      </c>
      <c r="E69" s="338">
        <f>SUM(E62:E63)</f>
        <v>3.75</v>
      </c>
      <c r="F69" s="338">
        <f>SUM(F62:F63)</f>
        <v>6.75</v>
      </c>
      <c r="G69" s="338">
        <f>SUM(G62:G63)</f>
        <v>3.75</v>
      </c>
      <c r="H69" s="339">
        <v>9.9</v>
      </c>
      <c r="I69" s="327">
        <f>I62</f>
        <v>17.5</v>
      </c>
      <c r="J69" s="327">
        <f>J62</f>
        <v>35</v>
      </c>
      <c r="K69" s="327">
        <f>K62</f>
        <v>35</v>
      </c>
      <c r="L69" s="327">
        <f>L62</f>
        <v>17.5</v>
      </c>
      <c r="M69" s="327"/>
      <c r="N69" s="327"/>
      <c r="O69" s="340"/>
      <c r="P69" s="327"/>
      <c r="Q69" s="340"/>
      <c r="R69" s="340"/>
      <c r="S69" s="340"/>
      <c r="T69" s="340"/>
      <c r="U69" s="340"/>
    </row>
    <row r="70" spans="2:21" ht="13.5" hidden="1" customHeight="1" outlineLevel="1">
      <c r="B70" s="296"/>
      <c r="C70" s="341"/>
      <c r="D70" s="342"/>
      <c r="E70" s="343"/>
      <c r="F70" s="343"/>
      <c r="G70" s="343"/>
      <c r="H70" s="344"/>
      <c r="I70" s="343"/>
      <c r="J70" s="343"/>
      <c r="K70" s="343"/>
      <c r="L70" s="343"/>
      <c r="M70" s="343"/>
      <c r="N70" s="343"/>
      <c r="O70" s="345"/>
      <c r="P70" s="343"/>
      <c r="Q70" s="345"/>
      <c r="R70" s="345"/>
      <c r="S70" s="345"/>
      <c r="T70" s="345"/>
      <c r="U70" s="345"/>
    </row>
    <row r="71" spans="2:21" collapsed="1">
      <c r="B71" s="295" t="s">
        <v>392</v>
      </c>
      <c r="J71" s="328"/>
    </row>
    <row r="72" spans="2:21">
      <c r="B72" s="297" t="s">
        <v>393</v>
      </c>
    </row>
    <row r="73" spans="2:21">
      <c r="B73" s="297" t="s">
        <v>372</v>
      </c>
    </row>
    <row r="74" spans="2:21">
      <c r="B74" s="297" t="s">
        <v>394</v>
      </c>
    </row>
    <row r="75" spans="2:21">
      <c r="B75" s="297" t="s">
        <v>395</v>
      </c>
    </row>
    <row r="76" spans="2:21">
      <c r="B76" s="297" t="s">
        <v>396</v>
      </c>
    </row>
    <row r="77" spans="2:21">
      <c r="B77" s="297" t="s">
        <v>397</v>
      </c>
    </row>
    <row r="78" spans="2:21">
      <c r="B78" s="297" t="s">
        <v>398</v>
      </c>
    </row>
    <row r="79" spans="2:21">
      <c r="B79" s="297" t="s">
        <v>399</v>
      </c>
    </row>
    <row r="80" spans="2:21">
      <c r="B80" s="297" t="s">
        <v>400</v>
      </c>
    </row>
    <row r="81" spans="2:21">
      <c r="B81" s="297" t="s">
        <v>401</v>
      </c>
    </row>
    <row r="82" spans="2:21">
      <c r="B82" s="297" t="s">
        <v>402</v>
      </c>
    </row>
    <row r="83" spans="2:21">
      <c r="B83" s="297" t="s">
        <v>403</v>
      </c>
    </row>
    <row r="84" spans="2:21">
      <c r="B84" s="297" t="s">
        <v>404</v>
      </c>
    </row>
    <row r="85" spans="2:21" ht="6.75" customHeight="1"/>
    <row r="86" spans="2:21">
      <c r="B86" s="361"/>
      <c r="C86" s="361"/>
      <c r="D86" s="362">
        <v>2004</v>
      </c>
      <c r="E86" s="362">
        <v>2005</v>
      </c>
      <c r="F86" s="362">
        <v>2006</v>
      </c>
      <c r="G86" s="362">
        <v>2007</v>
      </c>
      <c r="H86" s="362">
        <v>2008</v>
      </c>
      <c r="I86" s="362">
        <v>2009</v>
      </c>
      <c r="J86" s="362" t="s">
        <v>350</v>
      </c>
      <c r="K86" s="362" t="s">
        <v>342</v>
      </c>
      <c r="L86" s="362" t="s">
        <v>343</v>
      </c>
      <c r="M86" s="362" t="s">
        <v>351</v>
      </c>
      <c r="N86" s="362" t="s">
        <v>344</v>
      </c>
      <c r="O86" s="362" t="s">
        <v>10</v>
      </c>
      <c r="P86" s="362" t="s">
        <v>11</v>
      </c>
      <c r="Q86" s="362" t="s">
        <v>12</v>
      </c>
      <c r="R86" s="362" t="s">
        <v>17</v>
      </c>
      <c r="S86" s="362" t="s">
        <v>21</v>
      </c>
      <c r="T86" s="362" t="s">
        <v>26</v>
      </c>
      <c r="U86" s="362" t="s">
        <v>276</v>
      </c>
    </row>
    <row r="87" spans="2:21" hidden="1" outlineLevel="1">
      <c r="B87" s="295" t="s">
        <v>405</v>
      </c>
      <c r="H87" s="298"/>
      <c r="I87" s="298"/>
      <c r="J87" s="298"/>
      <c r="K87" s="299"/>
      <c r="L87" s="298"/>
      <c r="M87" s="298"/>
      <c r="N87" s="298"/>
      <c r="O87" s="298"/>
      <c r="P87" s="298"/>
      <c r="Q87" s="298"/>
      <c r="R87" s="298"/>
      <c r="S87" s="298"/>
      <c r="T87" s="298"/>
      <c r="U87" s="298"/>
    </row>
    <row r="88" spans="2:21" hidden="1" outlineLevel="1">
      <c r="B88" s="300" t="s">
        <v>353</v>
      </c>
      <c r="C88" s="301"/>
      <c r="D88" s="302" t="s">
        <v>354</v>
      </c>
      <c r="E88" s="302" t="s">
        <v>406</v>
      </c>
      <c r="F88" s="302" t="s">
        <v>407</v>
      </c>
      <c r="G88" s="302" t="s">
        <v>408</v>
      </c>
      <c r="H88" s="303"/>
      <c r="I88" s="302"/>
      <c r="J88" s="302"/>
      <c r="K88" s="304"/>
      <c r="L88" s="302"/>
      <c r="M88" s="302"/>
      <c r="N88" s="302"/>
      <c r="O88" s="302"/>
      <c r="P88" s="302"/>
      <c r="Q88" s="302"/>
      <c r="R88" s="302"/>
      <c r="S88" s="302"/>
      <c r="T88" s="302"/>
      <c r="U88" s="302"/>
    </row>
    <row r="89" spans="2:21" hidden="1" outlineLevel="1">
      <c r="B89" s="305"/>
      <c r="C89" s="306"/>
      <c r="D89" s="304"/>
      <c r="E89" s="306"/>
      <c r="F89" s="304" t="s">
        <v>409</v>
      </c>
      <c r="G89" s="304"/>
      <c r="H89" s="307"/>
      <c r="I89" s="304"/>
      <c r="J89" s="298"/>
      <c r="K89" s="298"/>
      <c r="L89" s="298"/>
      <c r="M89" s="304"/>
      <c r="N89" s="304"/>
      <c r="O89" s="304"/>
      <c r="P89" s="304"/>
      <c r="Q89" s="304"/>
      <c r="R89" s="304"/>
      <c r="S89" s="304"/>
      <c r="T89" s="304"/>
      <c r="U89" s="304"/>
    </row>
    <row r="90" spans="2:21" hidden="1" outlineLevel="1">
      <c r="B90" s="305"/>
      <c r="C90" s="306"/>
      <c r="D90" s="304"/>
      <c r="E90" s="306"/>
      <c r="F90" s="304"/>
      <c r="G90" s="304"/>
      <c r="H90" s="307"/>
      <c r="I90" s="304"/>
      <c r="J90" s="298"/>
      <c r="K90" s="298"/>
      <c r="L90" s="298"/>
      <c r="M90" s="304"/>
      <c r="N90" s="304"/>
      <c r="O90" s="304"/>
      <c r="P90" s="304"/>
      <c r="Q90" s="304"/>
      <c r="R90" s="304"/>
      <c r="S90" s="304"/>
      <c r="T90" s="304"/>
      <c r="U90" s="304"/>
    </row>
    <row r="91" spans="2:21" hidden="1" outlineLevel="1">
      <c r="B91" s="308"/>
      <c r="C91" s="309"/>
      <c r="D91" s="299"/>
      <c r="E91" s="309"/>
      <c r="F91" s="299"/>
      <c r="G91" s="299"/>
      <c r="H91" s="310"/>
      <c r="I91" s="299"/>
      <c r="J91" s="299"/>
      <c r="K91" s="299"/>
      <c r="L91" s="299"/>
      <c r="M91" s="309"/>
      <c r="N91" s="299"/>
      <c r="O91" s="299"/>
      <c r="P91" s="299"/>
      <c r="Q91" s="299"/>
      <c r="R91" s="299"/>
      <c r="S91" s="299"/>
      <c r="T91" s="299"/>
      <c r="U91" s="299"/>
    </row>
    <row r="92" spans="2:21" hidden="1" outlineLevel="1">
      <c r="B92" s="300" t="s">
        <v>362</v>
      </c>
      <c r="C92" s="302"/>
      <c r="D92" s="302">
        <v>20</v>
      </c>
      <c r="E92" s="302">
        <v>19.5</v>
      </c>
      <c r="F92" s="302">
        <f>25+11.3</f>
        <v>36.299999999999997</v>
      </c>
      <c r="G92" s="302">
        <v>9</v>
      </c>
      <c r="H92" s="331">
        <v>6</v>
      </c>
      <c r="I92" s="312">
        <v>0</v>
      </c>
      <c r="J92" s="313"/>
      <c r="K92" s="313"/>
      <c r="L92" s="313"/>
      <c r="M92" s="314"/>
      <c r="N92" s="313"/>
      <c r="O92" s="313"/>
      <c r="P92" s="313"/>
      <c r="Q92" s="313"/>
      <c r="R92" s="313"/>
      <c r="S92" s="313"/>
      <c r="T92" s="313"/>
      <c r="U92" s="313"/>
    </row>
    <row r="93" spans="2:21" hidden="1" outlineLevel="1">
      <c r="B93" s="305" t="s">
        <v>362</v>
      </c>
      <c r="C93" s="306"/>
      <c r="D93" s="306"/>
      <c r="E93" s="304"/>
      <c r="F93" s="304"/>
      <c r="G93" s="304"/>
      <c r="H93" s="320"/>
      <c r="I93" s="314"/>
      <c r="J93" s="314"/>
      <c r="K93" s="314"/>
      <c r="L93" s="316"/>
      <c r="M93" s="314"/>
      <c r="N93" s="314"/>
      <c r="O93" s="304"/>
      <c r="P93" s="304"/>
      <c r="Q93" s="304"/>
      <c r="R93" s="304"/>
      <c r="S93" s="304"/>
      <c r="T93" s="304"/>
      <c r="U93" s="304"/>
    </row>
    <row r="94" spans="2:21" hidden="1" outlineLevel="1">
      <c r="B94" s="305" t="s">
        <v>362</v>
      </c>
      <c r="C94" s="306"/>
      <c r="D94" s="306"/>
      <c r="E94" s="306"/>
      <c r="F94" s="304"/>
      <c r="G94" s="304"/>
      <c r="H94" s="320"/>
      <c r="I94" s="314"/>
      <c r="J94" s="314"/>
      <c r="K94" s="316"/>
      <c r="L94" s="316"/>
      <c r="M94" s="314"/>
      <c r="N94" s="316"/>
      <c r="O94" s="304"/>
      <c r="P94" s="304"/>
      <c r="Q94" s="304"/>
      <c r="R94" s="304"/>
      <c r="S94" s="304"/>
      <c r="T94" s="304"/>
      <c r="U94" s="304"/>
    </row>
    <row r="95" spans="2:21" hidden="1" outlineLevel="1">
      <c r="B95" s="305" t="s">
        <v>363</v>
      </c>
      <c r="C95" s="304"/>
      <c r="D95" s="304">
        <v>2.4</v>
      </c>
      <c r="E95" s="304"/>
      <c r="F95" s="304"/>
      <c r="G95" s="316"/>
      <c r="H95" s="307"/>
      <c r="I95" s="316"/>
      <c r="J95" s="316"/>
      <c r="K95" s="316"/>
      <c r="L95" s="316"/>
      <c r="M95" s="316"/>
      <c r="N95" s="316"/>
      <c r="O95" s="304"/>
      <c r="P95" s="304"/>
      <c r="Q95" s="304"/>
      <c r="R95" s="304"/>
      <c r="S95" s="304"/>
      <c r="T95" s="304"/>
      <c r="U95" s="304"/>
    </row>
    <row r="96" spans="2:21" hidden="1" outlineLevel="1">
      <c r="B96" s="305" t="s">
        <v>363</v>
      </c>
      <c r="C96" s="306"/>
      <c r="D96" s="306"/>
      <c r="E96" s="316"/>
      <c r="F96" s="304"/>
      <c r="G96" s="316"/>
      <c r="H96" s="307"/>
      <c r="I96" s="316"/>
      <c r="J96" s="316"/>
      <c r="K96" s="316"/>
      <c r="L96" s="316"/>
      <c r="M96" s="316"/>
      <c r="N96" s="316"/>
      <c r="O96" s="304"/>
      <c r="P96" s="304"/>
      <c r="Q96" s="304"/>
      <c r="R96" s="304"/>
      <c r="S96" s="304"/>
      <c r="T96" s="304"/>
      <c r="U96" s="304"/>
    </row>
    <row r="97" spans="2:21" hidden="1" outlineLevel="1">
      <c r="B97" s="305" t="s">
        <v>363</v>
      </c>
      <c r="C97" s="306"/>
      <c r="D97" s="306"/>
      <c r="E97" s="306"/>
      <c r="F97" s="304"/>
      <c r="G97" s="316"/>
      <c r="H97" s="307"/>
      <c r="I97" s="332"/>
      <c r="J97" s="316"/>
      <c r="K97" s="316"/>
      <c r="L97" s="316"/>
      <c r="M97" s="316"/>
      <c r="N97" s="316"/>
      <c r="O97" s="304"/>
      <c r="P97" s="304"/>
      <c r="Q97" s="304"/>
      <c r="R97" s="304"/>
      <c r="S97" s="304"/>
      <c r="T97" s="304"/>
      <c r="U97" s="304"/>
    </row>
    <row r="98" spans="2:21" hidden="1" outlineLevel="1">
      <c r="B98" s="308" t="s">
        <v>364</v>
      </c>
      <c r="C98" s="299"/>
      <c r="D98" s="299">
        <f>D92</f>
        <v>20</v>
      </c>
      <c r="E98" s="299">
        <f>E92</f>
        <v>19.5</v>
      </c>
      <c r="F98" s="299">
        <f>F92</f>
        <v>36.299999999999997</v>
      </c>
      <c r="G98" s="299">
        <f>G92</f>
        <v>9</v>
      </c>
      <c r="H98" s="299">
        <f>H92</f>
        <v>6</v>
      </c>
      <c r="I98" s="317"/>
      <c r="J98" s="317"/>
      <c r="K98" s="317"/>
      <c r="L98" s="317"/>
      <c r="M98" s="317"/>
      <c r="N98" s="317"/>
      <c r="O98" s="317"/>
      <c r="P98" s="317"/>
      <c r="Q98" s="317"/>
      <c r="R98" s="317"/>
      <c r="S98" s="317"/>
      <c r="T98" s="317"/>
      <c r="U98" s="317"/>
    </row>
    <row r="99" spans="2:21" hidden="1" outlineLevel="1">
      <c r="B99" s="305" t="s">
        <v>365</v>
      </c>
      <c r="C99" s="304"/>
      <c r="D99" s="346">
        <f>($D$98/$D$95)</f>
        <v>8.3333333333333339</v>
      </c>
      <c r="E99" s="346">
        <f>($D$98/$D$95)</f>
        <v>8.3333333333333339</v>
      </c>
      <c r="F99" s="319">
        <f>(D92/D95)*0.4</f>
        <v>3.3333333333333339</v>
      </c>
      <c r="G99" s="319"/>
      <c r="H99" s="347"/>
      <c r="I99" s="319"/>
      <c r="J99" s="319"/>
      <c r="K99" s="319"/>
      <c r="L99" s="319"/>
      <c r="M99" s="318"/>
      <c r="N99" s="318"/>
      <c r="O99" s="304"/>
      <c r="P99" s="304"/>
      <c r="Q99" s="304"/>
      <c r="R99" s="304"/>
      <c r="S99" s="304"/>
      <c r="T99" s="304"/>
      <c r="U99" s="304"/>
    </row>
    <row r="100" spans="2:21" hidden="1" outlineLevel="1">
      <c r="B100" s="305" t="s">
        <v>365</v>
      </c>
      <c r="C100" s="304"/>
      <c r="D100" s="304"/>
      <c r="E100" s="318">
        <f>E98</f>
        <v>19.5</v>
      </c>
      <c r="F100" s="318">
        <f>F98</f>
        <v>36.299999999999997</v>
      </c>
      <c r="G100" s="318">
        <f>G98</f>
        <v>9</v>
      </c>
      <c r="H100" s="318">
        <f>H98</f>
        <v>6</v>
      </c>
      <c r="I100" s="318"/>
      <c r="J100" s="318"/>
      <c r="K100" s="318"/>
      <c r="L100" s="318"/>
      <c r="M100" s="318"/>
      <c r="N100" s="318"/>
      <c r="O100" s="304"/>
      <c r="P100" s="318"/>
      <c r="Q100" s="304"/>
      <c r="R100" s="304"/>
      <c r="S100" s="304"/>
      <c r="T100" s="304"/>
      <c r="U100" s="304"/>
    </row>
    <row r="101" spans="2:21" hidden="1" outlineLevel="1">
      <c r="B101" s="305" t="s">
        <v>365</v>
      </c>
      <c r="C101" s="306"/>
      <c r="D101" s="306"/>
      <c r="E101" s="306"/>
      <c r="F101" s="304"/>
      <c r="G101" s="304"/>
      <c r="H101" s="320"/>
      <c r="I101" s="315"/>
      <c r="J101" s="315"/>
      <c r="K101" s="315"/>
      <c r="L101" s="315"/>
      <c r="M101" s="315"/>
      <c r="N101" s="315"/>
      <c r="O101" s="315"/>
      <c r="P101" s="315"/>
      <c r="Q101" s="315"/>
      <c r="R101" s="315"/>
      <c r="S101" s="315"/>
      <c r="T101" s="315"/>
      <c r="U101" s="315"/>
    </row>
    <row r="102" spans="2:21" hidden="1" outlineLevel="1">
      <c r="B102" s="305"/>
      <c r="C102" s="306"/>
      <c r="D102" s="306"/>
      <c r="E102" s="306"/>
      <c r="F102" s="304"/>
      <c r="G102" s="304"/>
      <c r="H102" s="320"/>
      <c r="I102" s="315"/>
      <c r="J102" s="315"/>
      <c r="K102" s="315"/>
      <c r="L102" s="315"/>
      <c r="M102" s="315"/>
      <c r="N102" s="315"/>
      <c r="O102" s="315"/>
      <c r="P102" s="315"/>
      <c r="Q102" s="315"/>
      <c r="R102" s="315"/>
      <c r="S102" s="315"/>
      <c r="T102" s="315"/>
      <c r="U102" s="315"/>
    </row>
    <row r="103" spans="2:21" hidden="1" outlineLevel="1">
      <c r="B103" s="305" t="s">
        <v>366</v>
      </c>
      <c r="C103" s="306"/>
      <c r="D103" s="346">
        <f>E99</f>
        <v>8.3333333333333339</v>
      </c>
      <c r="E103" s="318">
        <f>F99</f>
        <v>3.3333333333333339</v>
      </c>
      <c r="F103" s="318"/>
      <c r="G103" s="318"/>
      <c r="H103" s="334"/>
      <c r="I103" s="318"/>
      <c r="J103" s="318"/>
      <c r="K103" s="318"/>
      <c r="L103" s="318"/>
      <c r="M103" s="318"/>
      <c r="N103" s="315"/>
      <c r="O103" s="315"/>
      <c r="P103" s="315"/>
      <c r="Q103" s="315"/>
      <c r="R103" s="315"/>
      <c r="S103" s="315"/>
      <c r="T103" s="315"/>
      <c r="U103" s="315"/>
    </row>
    <row r="104" spans="2:21" hidden="1" outlineLevel="1">
      <c r="B104" s="308" t="s">
        <v>367</v>
      </c>
      <c r="C104" s="309"/>
      <c r="D104" s="348">
        <f>F99</f>
        <v>3.3333333333333339</v>
      </c>
      <c r="E104" s="321"/>
      <c r="F104" s="321"/>
      <c r="G104" s="321"/>
      <c r="H104" s="337"/>
      <c r="I104" s="321"/>
      <c r="J104" s="321"/>
      <c r="K104" s="321"/>
      <c r="L104" s="321"/>
      <c r="M104" s="317"/>
      <c r="N104" s="317"/>
      <c r="O104" s="317"/>
      <c r="P104" s="317"/>
      <c r="Q104" s="317"/>
      <c r="R104" s="317"/>
      <c r="S104" s="317"/>
      <c r="T104" s="317"/>
      <c r="U104" s="317"/>
    </row>
    <row r="105" spans="2:21" ht="13.5" hidden="1" customHeight="1" outlineLevel="1">
      <c r="B105" s="322" t="s">
        <v>368</v>
      </c>
      <c r="D105" s="323">
        <f t="shared" ref="D105:N105" si="6">D103+D104</f>
        <v>11.666666666666668</v>
      </c>
      <c r="E105" s="323">
        <f t="shared" si="6"/>
        <v>3.3333333333333339</v>
      </c>
      <c r="F105" s="323">
        <f t="shared" si="6"/>
        <v>0</v>
      </c>
      <c r="G105" s="323">
        <f t="shared" si="6"/>
        <v>0</v>
      </c>
      <c r="H105" s="323">
        <f t="shared" si="6"/>
        <v>0</v>
      </c>
      <c r="I105" s="323">
        <f t="shared" si="6"/>
        <v>0</v>
      </c>
      <c r="J105" s="323">
        <f t="shared" si="6"/>
        <v>0</v>
      </c>
      <c r="K105" s="323">
        <f t="shared" si="6"/>
        <v>0</v>
      </c>
      <c r="L105" s="323">
        <f t="shared" si="6"/>
        <v>0</v>
      </c>
      <c r="M105" s="323">
        <f t="shared" si="6"/>
        <v>0</v>
      </c>
      <c r="N105" s="323">
        <f t="shared" si="6"/>
        <v>0</v>
      </c>
      <c r="O105" s="324"/>
      <c r="P105" s="324"/>
      <c r="Q105" s="324"/>
      <c r="R105" s="324"/>
      <c r="S105" s="324"/>
      <c r="T105" s="324"/>
      <c r="U105" s="324"/>
    </row>
    <row r="106" spans="2:21" ht="13.5" hidden="1" customHeight="1" outlineLevel="1">
      <c r="B106" s="325" t="s">
        <v>369</v>
      </c>
      <c r="C106" s="326"/>
      <c r="D106" s="338">
        <f>SUM(D99:D100)</f>
        <v>8.3333333333333339</v>
      </c>
      <c r="E106" s="338">
        <f>SUM(E99:E100)</f>
        <v>27.833333333333336</v>
      </c>
      <c r="F106" s="338">
        <f>SUM(F99:F100)</f>
        <v>39.633333333333333</v>
      </c>
      <c r="G106" s="338">
        <f>SUM(G99:G100)</f>
        <v>9</v>
      </c>
      <c r="H106" s="338">
        <f>SUM(H99:H100)</f>
        <v>6</v>
      </c>
      <c r="I106" s="327"/>
      <c r="J106" s="327"/>
      <c r="K106" s="327"/>
      <c r="L106" s="327"/>
      <c r="M106" s="327"/>
      <c r="N106" s="327"/>
      <c r="O106" s="340"/>
      <c r="P106" s="327"/>
      <c r="Q106" s="340"/>
      <c r="R106" s="340"/>
      <c r="S106" s="340"/>
      <c r="T106" s="340"/>
      <c r="U106" s="340"/>
    </row>
    <row r="107" spans="2:21" collapsed="1"/>
    <row r="108" spans="2:21">
      <c r="B108" s="295" t="s">
        <v>410</v>
      </c>
    </row>
    <row r="109" spans="2:21">
      <c r="B109" s="297" t="s">
        <v>411</v>
      </c>
    </row>
    <row r="110" spans="2:21">
      <c r="B110" s="297" t="s">
        <v>412</v>
      </c>
    </row>
    <row r="111" spans="2:21">
      <c r="B111" s="297" t="s">
        <v>413</v>
      </c>
    </row>
    <row r="112" spans="2:21">
      <c r="B112" s="297" t="s">
        <v>414</v>
      </c>
    </row>
    <row r="113" spans="2:243">
      <c r="B113" s="297" t="s">
        <v>415</v>
      </c>
    </row>
    <row r="114" spans="2:243">
      <c r="B114" s="297" t="s">
        <v>416</v>
      </c>
    </row>
    <row r="115" spans="2:243">
      <c r="B115" s="297" t="s">
        <v>417</v>
      </c>
    </row>
    <row r="116" spans="2:243">
      <c r="B116" s="297" t="s">
        <v>418</v>
      </c>
    </row>
    <row r="117" spans="2:243">
      <c r="B117" s="297" t="s">
        <v>419</v>
      </c>
    </row>
    <row r="118" spans="2:243">
      <c r="B118" s="297" t="s">
        <v>420</v>
      </c>
    </row>
    <row r="119" spans="2:243">
      <c r="B119" s="297" t="s">
        <v>421</v>
      </c>
    </row>
    <row r="120" spans="2:243">
      <c r="B120" s="297" t="s">
        <v>422</v>
      </c>
    </row>
    <row r="121" spans="2:243" ht="6.75" customHeight="1"/>
    <row r="122" spans="2:243">
      <c r="B122" s="361"/>
      <c r="C122" s="361"/>
      <c r="D122" s="362">
        <v>2004</v>
      </c>
      <c r="E122" s="362">
        <v>2005</v>
      </c>
      <c r="F122" s="362">
        <v>2006</v>
      </c>
      <c r="G122" s="362">
        <v>2007</v>
      </c>
      <c r="H122" s="362">
        <v>2008</v>
      </c>
      <c r="I122" s="362">
        <v>2009</v>
      </c>
      <c r="J122" s="362" t="s">
        <v>350</v>
      </c>
      <c r="K122" s="362" t="s">
        <v>342</v>
      </c>
      <c r="L122" s="362" t="s">
        <v>343</v>
      </c>
      <c r="M122" s="362" t="s">
        <v>351</v>
      </c>
      <c r="N122" s="362" t="s">
        <v>344</v>
      </c>
      <c r="O122" s="362" t="s">
        <v>10</v>
      </c>
      <c r="P122" s="362" t="s">
        <v>11</v>
      </c>
      <c r="Q122" s="362" t="s">
        <v>12</v>
      </c>
      <c r="R122" s="362" t="s">
        <v>17</v>
      </c>
      <c r="S122" s="362" t="s">
        <v>21</v>
      </c>
      <c r="T122" s="362" t="s">
        <v>26</v>
      </c>
      <c r="U122" s="362" t="s">
        <v>276</v>
      </c>
    </row>
    <row r="123" spans="2:243" s="350" customFormat="1">
      <c r="B123" s="349" t="s">
        <v>423</v>
      </c>
      <c r="D123" s="351"/>
      <c r="E123" s="351"/>
      <c r="F123" s="351"/>
      <c r="G123" s="351"/>
      <c r="H123" s="351"/>
      <c r="I123" s="351"/>
      <c r="J123" s="351"/>
      <c r="K123" s="351"/>
      <c r="L123" s="351"/>
      <c r="M123" s="351"/>
      <c r="N123" s="351"/>
      <c r="O123" s="351"/>
      <c r="P123" s="351"/>
      <c r="Q123" s="351"/>
      <c r="R123" s="351"/>
      <c r="S123" s="351"/>
      <c r="T123" s="351"/>
      <c r="U123" s="351"/>
    </row>
    <row r="124" spans="2:243">
      <c r="B124" s="301" t="s">
        <v>362</v>
      </c>
      <c r="C124" s="301"/>
      <c r="D124" s="301"/>
      <c r="E124" s="301"/>
      <c r="F124" s="301"/>
      <c r="G124" s="301"/>
      <c r="H124" s="302">
        <v>160</v>
      </c>
      <c r="I124" s="301"/>
      <c r="J124" s="301"/>
      <c r="K124" s="301"/>
      <c r="L124" s="301"/>
      <c r="M124" s="301"/>
      <c r="N124" s="301"/>
      <c r="O124" s="301"/>
      <c r="P124" s="301"/>
      <c r="Q124" s="301"/>
      <c r="R124" s="301"/>
      <c r="S124" s="301"/>
      <c r="T124" s="301"/>
      <c r="U124" s="301"/>
    </row>
    <row r="125" spans="2:243">
      <c r="B125" s="352" t="s">
        <v>424</v>
      </c>
      <c r="C125" s="306"/>
      <c r="D125" s="306"/>
      <c r="E125" s="306"/>
      <c r="F125" s="306"/>
      <c r="G125" s="306"/>
      <c r="H125" s="353"/>
      <c r="I125" s="353"/>
      <c r="J125" s="353"/>
      <c r="K125" s="353"/>
      <c r="L125" s="353"/>
      <c r="M125" s="353"/>
      <c r="N125" s="353">
        <f>H124-SUM(H125:M125)</f>
        <v>160</v>
      </c>
      <c r="O125" s="353">
        <f>N127</f>
        <v>0</v>
      </c>
      <c r="P125" s="353">
        <v>0</v>
      </c>
      <c r="Q125" s="353">
        <v>0</v>
      </c>
      <c r="R125" s="353">
        <v>0</v>
      </c>
      <c r="S125" s="353">
        <v>0</v>
      </c>
      <c r="T125" s="353">
        <v>0</v>
      </c>
      <c r="U125" s="353">
        <v>0</v>
      </c>
    </row>
    <row r="126" spans="2:243">
      <c r="B126" s="352" t="s">
        <v>425</v>
      </c>
      <c r="C126" s="306"/>
      <c r="D126" s="306"/>
      <c r="E126" s="306"/>
      <c r="F126" s="306"/>
      <c r="G126" s="306"/>
      <c r="H126" s="353"/>
      <c r="I126" s="353"/>
      <c r="J126" s="353"/>
      <c r="K126" s="353"/>
      <c r="L126" s="353"/>
      <c r="M126" s="353"/>
      <c r="N126" s="353">
        <f>O125</f>
        <v>0</v>
      </c>
      <c r="O126" s="353"/>
      <c r="P126" s="353"/>
      <c r="Q126" s="353"/>
      <c r="R126" s="353"/>
      <c r="S126" s="353"/>
      <c r="T126" s="353"/>
      <c r="U126" s="353"/>
      <c r="II126" s="353"/>
    </row>
    <row r="127" spans="2:243">
      <c r="B127" s="309" t="s">
        <v>426</v>
      </c>
      <c r="C127" s="309"/>
      <c r="D127" s="309"/>
      <c r="E127" s="309"/>
      <c r="F127" s="309"/>
      <c r="G127" s="309"/>
      <c r="H127" s="354"/>
      <c r="I127" s="354"/>
      <c r="J127" s="354"/>
      <c r="K127" s="354"/>
      <c r="L127" s="354"/>
      <c r="M127" s="354"/>
      <c r="N127" s="354">
        <v>0</v>
      </c>
      <c r="O127" s="354">
        <f t="shared" ref="O127:T127" si="7">IF(N127-O125&gt;0,N127-O125, 0)</f>
        <v>0</v>
      </c>
      <c r="P127" s="354">
        <f t="shared" si="7"/>
        <v>0</v>
      </c>
      <c r="Q127" s="354">
        <f t="shared" si="7"/>
        <v>0</v>
      </c>
      <c r="R127" s="354">
        <f t="shared" si="7"/>
        <v>0</v>
      </c>
      <c r="S127" s="354">
        <f t="shared" si="7"/>
        <v>0</v>
      </c>
      <c r="T127" s="354">
        <f t="shared" si="7"/>
        <v>0</v>
      </c>
      <c r="U127" s="354">
        <f>IF(T127-U125&gt;0,T127-U125, 0)</f>
        <v>0</v>
      </c>
    </row>
    <row r="128" spans="2:243">
      <c r="B128" s="355" t="s">
        <v>368</v>
      </c>
      <c r="C128" s="356"/>
      <c r="D128" s="356"/>
      <c r="E128" s="356"/>
      <c r="F128" s="356"/>
      <c r="G128" s="356"/>
      <c r="H128" s="357"/>
      <c r="I128" s="357"/>
      <c r="J128" s="357"/>
      <c r="K128" s="357"/>
      <c r="L128" s="357"/>
      <c r="M128" s="357"/>
      <c r="N128" s="357">
        <f t="shared" ref="N128:U128" si="8">N126+N127</f>
        <v>0</v>
      </c>
      <c r="O128" s="357">
        <f t="shared" si="8"/>
        <v>0</v>
      </c>
      <c r="P128" s="357">
        <f t="shared" si="8"/>
        <v>0</v>
      </c>
      <c r="Q128" s="357">
        <f t="shared" si="8"/>
        <v>0</v>
      </c>
      <c r="R128" s="357">
        <f t="shared" si="8"/>
        <v>0</v>
      </c>
      <c r="S128" s="357">
        <f t="shared" si="8"/>
        <v>0</v>
      </c>
      <c r="T128" s="357">
        <f t="shared" si="8"/>
        <v>0</v>
      </c>
      <c r="U128" s="357">
        <f t="shared" si="8"/>
        <v>0</v>
      </c>
    </row>
    <row r="129" spans="2:21">
      <c r="B129" s="306"/>
      <c r="C129" s="306"/>
      <c r="D129" s="306"/>
      <c r="E129" s="306"/>
      <c r="F129" s="306"/>
      <c r="G129" s="306"/>
      <c r="H129" s="353"/>
      <c r="I129" s="353"/>
      <c r="J129" s="353"/>
      <c r="K129" s="353"/>
      <c r="L129" s="353"/>
      <c r="M129" s="353"/>
      <c r="N129" s="353"/>
      <c r="O129" s="353"/>
      <c r="P129" s="353"/>
      <c r="Q129" s="353"/>
      <c r="R129" s="353"/>
      <c r="S129" s="353"/>
      <c r="T129" s="353"/>
      <c r="U129" s="353"/>
    </row>
    <row r="130" spans="2:21">
      <c r="B130" s="295" t="s">
        <v>423</v>
      </c>
    </row>
    <row r="131" spans="2:21">
      <c r="B131" s="297" t="s">
        <v>427</v>
      </c>
    </row>
    <row r="132" spans="2:21">
      <c r="B132" s="330" t="s">
        <v>428</v>
      </c>
    </row>
    <row r="133" spans="2:21">
      <c r="B133" s="330" t="s">
        <v>429</v>
      </c>
    </row>
    <row r="135" spans="2:21">
      <c r="B135" s="363" t="s">
        <v>430</v>
      </c>
      <c r="C135" s="363"/>
      <c r="D135" s="364">
        <f>D103+D66+D24</f>
        <v>12.083333333333334</v>
      </c>
      <c r="E135" s="365">
        <f>E103+E66+E24</f>
        <v>7.0833333333333339</v>
      </c>
      <c r="F135" s="364">
        <f>F103+F66+F24</f>
        <v>17.5</v>
      </c>
      <c r="G135" s="364">
        <f>G103+G66+G24</f>
        <v>15.625</v>
      </c>
      <c r="H135" s="364">
        <f t="shared" ref="H135:R135" si="9">H103+H66+H24+H126</f>
        <v>13.75</v>
      </c>
      <c r="I135" s="364">
        <f t="shared" si="9"/>
        <v>48.75</v>
      </c>
      <c r="J135" s="364">
        <f>J103+J66+J24+J126</f>
        <v>48.75</v>
      </c>
      <c r="K135" s="364">
        <f t="shared" si="9"/>
        <v>31.25</v>
      </c>
      <c r="L135" s="364">
        <f t="shared" si="9"/>
        <v>13.75</v>
      </c>
      <c r="M135" s="364">
        <f t="shared" si="9"/>
        <v>13.75</v>
      </c>
      <c r="N135" s="364">
        <f t="shared" si="9"/>
        <v>13.75</v>
      </c>
      <c r="O135" s="364">
        <f>O103+O66+O24+O126</f>
        <v>13.75</v>
      </c>
      <c r="P135" s="364">
        <f t="shared" si="9"/>
        <v>13.75</v>
      </c>
      <c r="Q135" s="364">
        <f t="shared" si="9"/>
        <v>6.875</v>
      </c>
      <c r="R135" s="364">
        <f t="shared" si="9"/>
        <v>0</v>
      </c>
      <c r="S135" s="364">
        <f>S103+S66+S24+S126</f>
        <v>0</v>
      </c>
      <c r="T135" s="364">
        <f>T103+T66+T24+T126</f>
        <v>0</v>
      </c>
      <c r="U135" s="364">
        <f>U103+U66+U24+U126</f>
        <v>0</v>
      </c>
    </row>
    <row r="136" spans="2:21" s="359" customFormat="1">
      <c r="B136" s="366" t="s">
        <v>94</v>
      </c>
      <c r="C136" s="366"/>
      <c r="D136" s="358"/>
      <c r="E136" s="367"/>
      <c r="F136" s="358">
        <v>33.889000000000003</v>
      </c>
      <c r="G136" s="358">
        <v>25.527999999999999</v>
      </c>
      <c r="H136" s="358">
        <v>37.677999999999997</v>
      </c>
      <c r="I136" s="358">
        <v>74.956000000000003</v>
      </c>
      <c r="J136" s="358">
        <v>74.619</v>
      </c>
      <c r="K136" s="358">
        <v>45.036999999999999</v>
      </c>
      <c r="L136" s="358">
        <v>27.565999999999999</v>
      </c>
      <c r="M136" s="358">
        <v>21.51</v>
      </c>
      <c r="N136" s="358">
        <v>17.468</v>
      </c>
      <c r="O136" s="358"/>
      <c r="P136" s="358"/>
      <c r="Q136" s="358"/>
      <c r="R136" s="358"/>
      <c r="S136" s="358"/>
      <c r="T136" s="358"/>
      <c r="U136" s="358"/>
    </row>
    <row r="137" spans="2:21">
      <c r="B137" s="363" t="s">
        <v>431</v>
      </c>
      <c r="C137" s="363"/>
      <c r="D137" s="364">
        <f>D104+D67+D25</f>
        <v>12.708333333333334</v>
      </c>
      <c r="E137" s="365">
        <f>E104+E67+E25</f>
        <v>5.625</v>
      </c>
      <c r="F137" s="364">
        <f>F104+F67+F25</f>
        <v>146.25</v>
      </c>
      <c r="G137" s="364">
        <f>G104+G67+G25</f>
        <v>130.625</v>
      </c>
      <c r="H137" s="364">
        <f t="shared" ref="H137:R137" si="10">H104+H67+H25+H127</f>
        <v>116.875</v>
      </c>
      <c r="I137" s="364">
        <f t="shared" si="10"/>
        <v>155.625</v>
      </c>
      <c r="J137" s="364">
        <f t="shared" si="10"/>
        <v>106.875</v>
      </c>
      <c r="K137" s="364">
        <f>K104+K67+K25+K127</f>
        <v>75.625</v>
      </c>
      <c r="L137" s="364">
        <f>L104+L67+L25+L127</f>
        <v>61.875</v>
      </c>
      <c r="M137" s="364">
        <f t="shared" si="10"/>
        <v>48.125</v>
      </c>
      <c r="N137" s="364">
        <f t="shared" si="10"/>
        <v>34.375</v>
      </c>
      <c r="O137" s="364">
        <f t="shared" si="10"/>
        <v>20.625</v>
      </c>
      <c r="P137" s="364">
        <f t="shared" si="10"/>
        <v>6.875</v>
      </c>
      <c r="Q137" s="364">
        <f t="shared" si="10"/>
        <v>0</v>
      </c>
      <c r="R137" s="364">
        <f t="shared" si="10"/>
        <v>0</v>
      </c>
      <c r="S137" s="364">
        <f>S104+S67+S25+S127</f>
        <v>0</v>
      </c>
      <c r="T137" s="364">
        <f>T104+T67+T25+T127</f>
        <v>0</v>
      </c>
      <c r="U137" s="364">
        <f>U104+U67+U25+U127</f>
        <v>0</v>
      </c>
    </row>
    <row r="138" spans="2:21" s="359" customFormat="1">
      <c r="B138" s="366" t="s">
        <v>94</v>
      </c>
      <c r="C138" s="366"/>
      <c r="D138" s="358"/>
      <c r="E138" s="367"/>
      <c r="F138" s="358">
        <v>116.295</v>
      </c>
      <c r="G138" s="358">
        <v>101.217</v>
      </c>
      <c r="H138" s="358">
        <v>209.79599999999999</v>
      </c>
      <c r="I138" s="358">
        <v>225.57499999999999</v>
      </c>
      <c r="J138" s="358">
        <v>160.04900000000001</v>
      </c>
      <c r="K138" s="358">
        <v>118.095</v>
      </c>
      <c r="L138" s="358">
        <v>96.242000000000004</v>
      </c>
      <c r="M138" s="358">
        <v>49.459000000000003</v>
      </c>
      <c r="N138" s="358">
        <v>27.808</v>
      </c>
      <c r="O138" s="358"/>
      <c r="P138" s="358"/>
      <c r="Q138" s="358"/>
      <c r="R138" s="358"/>
      <c r="S138" s="358"/>
      <c r="T138" s="358"/>
      <c r="U138" s="358"/>
    </row>
    <row r="139" spans="2:21">
      <c r="B139" s="363" t="s">
        <v>432</v>
      </c>
      <c r="C139" s="363"/>
      <c r="D139" s="364">
        <f t="shared" ref="D139:R139" si="11">D135+D137</f>
        <v>24.791666666666668</v>
      </c>
      <c r="E139" s="365">
        <f t="shared" si="11"/>
        <v>12.708333333333334</v>
      </c>
      <c r="F139" s="364">
        <f t="shared" si="11"/>
        <v>163.75</v>
      </c>
      <c r="G139" s="364">
        <f t="shared" si="11"/>
        <v>146.25</v>
      </c>
      <c r="H139" s="364">
        <f t="shared" si="11"/>
        <v>130.625</v>
      </c>
      <c r="I139" s="364">
        <f t="shared" si="11"/>
        <v>204.375</v>
      </c>
      <c r="J139" s="364">
        <f t="shared" si="11"/>
        <v>155.625</v>
      </c>
      <c r="K139" s="364">
        <f t="shared" si="11"/>
        <v>106.875</v>
      </c>
      <c r="L139" s="364">
        <f t="shared" si="11"/>
        <v>75.625</v>
      </c>
      <c r="M139" s="364">
        <f t="shared" si="11"/>
        <v>61.875</v>
      </c>
      <c r="N139" s="364">
        <f t="shared" si="11"/>
        <v>48.125</v>
      </c>
      <c r="O139" s="364">
        <f t="shared" si="11"/>
        <v>34.375</v>
      </c>
      <c r="P139" s="364">
        <f t="shared" si="11"/>
        <v>20.625</v>
      </c>
      <c r="Q139" s="364">
        <f t="shared" si="11"/>
        <v>6.875</v>
      </c>
      <c r="R139" s="364">
        <f t="shared" si="11"/>
        <v>0</v>
      </c>
      <c r="S139" s="364">
        <f>S135+S137</f>
        <v>0</v>
      </c>
      <c r="T139" s="364">
        <f>T135+T137</f>
        <v>0</v>
      </c>
      <c r="U139" s="364">
        <f>U135+U137</f>
        <v>0</v>
      </c>
    </row>
    <row r="140" spans="2:21" s="359" customFormat="1">
      <c r="B140" s="366" t="s">
        <v>94</v>
      </c>
      <c r="C140" s="366"/>
      <c r="D140" s="358"/>
      <c r="E140" s="367"/>
      <c r="F140" s="358">
        <v>150.184</v>
      </c>
      <c r="G140" s="358">
        <v>126.745</v>
      </c>
      <c r="H140" s="358">
        <v>247.47399999999999</v>
      </c>
      <c r="I140" s="358">
        <v>300.53100000000001</v>
      </c>
      <c r="J140" s="358">
        <v>234.66800000000001</v>
      </c>
      <c r="K140" s="358">
        <v>163.13200000000001</v>
      </c>
      <c r="L140" s="358">
        <v>123.80800000000001</v>
      </c>
      <c r="M140" s="358">
        <v>70.969000000000008</v>
      </c>
      <c r="N140" s="358">
        <v>45.275999999999996</v>
      </c>
      <c r="O140" s="358">
        <v>34.375</v>
      </c>
      <c r="P140" s="358">
        <v>20.625</v>
      </c>
      <c r="Q140" s="358">
        <v>6.875</v>
      </c>
      <c r="R140" s="358">
        <v>0</v>
      </c>
      <c r="S140" s="358">
        <v>0</v>
      </c>
      <c r="T140" s="358">
        <v>0</v>
      </c>
      <c r="U140" s="358">
        <v>0</v>
      </c>
    </row>
    <row r="141" spans="2:21">
      <c r="B141" s="363" t="s">
        <v>369</v>
      </c>
      <c r="C141" s="363"/>
      <c r="D141" s="364">
        <f t="shared" ref="D141:R141" si="12">D106+D69+D27</f>
        <v>14.208333333333334</v>
      </c>
      <c r="E141" s="365">
        <f t="shared" si="12"/>
        <v>31.583333333333336</v>
      </c>
      <c r="F141" s="364">
        <f t="shared" si="12"/>
        <v>53.258333333333333</v>
      </c>
      <c r="G141" s="364">
        <f t="shared" si="12"/>
        <v>41.5</v>
      </c>
      <c r="H141" s="364">
        <f t="shared" si="12"/>
        <v>84.65</v>
      </c>
      <c r="I141" s="364">
        <f t="shared" si="12"/>
        <v>31.25</v>
      </c>
      <c r="J141" s="364">
        <f t="shared" si="12"/>
        <v>63.75</v>
      </c>
      <c r="K141" s="364">
        <f>K106+K69+K27</f>
        <v>363.75</v>
      </c>
      <c r="L141" s="364">
        <f t="shared" si="12"/>
        <v>31.25</v>
      </c>
      <c r="M141" s="364">
        <f t="shared" si="12"/>
        <v>13.75</v>
      </c>
      <c r="N141" s="364">
        <f t="shared" si="12"/>
        <v>13.75</v>
      </c>
      <c r="O141" s="364">
        <f t="shared" si="12"/>
        <v>13.75</v>
      </c>
      <c r="P141" s="364">
        <f t="shared" si="12"/>
        <v>13.75</v>
      </c>
      <c r="Q141" s="364">
        <f>Q106+Q69+Q27</f>
        <v>13.75</v>
      </c>
      <c r="R141" s="364">
        <f t="shared" si="12"/>
        <v>6.875</v>
      </c>
      <c r="S141" s="364">
        <f>S106+S69+S27</f>
        <v>0</v>
      </c>
      <c r="T141" s="364">
        <f>T106+T69+T27</f>
        <v>0</v>
      </c>
      <c r="U141" s="364">
        <f>U106+U69+U27</f>
        <v>0</v>
      </c>
    </row>
    <row r="142" spans="2:21">
      <c r="B142" s="363" t="s">
        <v>433</v>
      </c>
      <c r="C142" s="363"/>
      <c r="D142" s="364"/>
      <c r="E142" s="365"/>
      <c r="F142" s="364"/>
      <c r="G142" s="364"/>
      <c r="H142" s="364"/>
      <c r="I142" s="364"/>
      <c r="J142" s="364">
        <f t="shared" ref="J142:R142" si="13">J125</f>
        <v>0</v>
      </c>
      <c r="K142" s="364">
        <f t="shared" si="13"/>
        <v>0</v>
      </c>
      <c r="L142" s="364">
        <f t="shared" si="13"/>
        <v>0</v>
      </c>
      <c r="M142" s="364">
        <f t="shared" si="13"/>
        <v>0</v>
      </c>
      <c r="N142" s="364">
        <f t="shared" si="13"/>
        <v>160</v>
      </c>
      <c r="O142" s="364">
        <f t="shared" si="13"/>
        <v>0</v>
      </c>
      <c r="P142" s="364">
        <f t="shared" si="13"/>
        <v>0</v>
      </c>
      <c r="Q142" s="364">
        <f t="shared" si="13"/>
        <v>0</v>
      </c>
      <c r="R142" s="364">
        <f t="shared" si="13"/>
        <v>0</v>
      </c>
      <c r="S142" s="364">
        <f>S125</f>
        <v>0</v>
      </c>
      <c r="T142" s="364">
        <f>T125</f>
        <v>0</v>
      </c>
      <c r="U142" s="364">
        <f>U125</f>
        <v>0</v>
      </c>
    </row>
    <row r="143" spans="2:21">
      <c r="D143" s="298"/>
    </row>
    <row r="145" spans="6:12">
      <c r="F145" s="360"/>
      <c r="G145" s="360"/>
      <c r="H145" s="360"/>
      <c r="I145" s="360"/>
      <c r="L145" s="360"/>
    </row>
  </sheetData>
  <pageMargins left="0.75" right="0.75" top="1" bottom="1" header="0.5" footer="0.5"/>
  <pageSetup paperSize="9" orientation="portrait" r:id="rId1"/>
  <headerFooter alignWithMargins="0"/>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B3:I27"/>
  <sheetViews>
    <sheetView showGridLines="0" zoomScale="85" zoomScaleNormal="85" workbookViewId="0"/>
  </sheetViews>
  <sheetFormatPr defaultRowHeight="12.75"/>
  <cols>
    <col min="1" max="1" width="2.1640625" style="141" customWidth="1"/>
    <col min="2" max="2" width="9.33203125" style="141"/>
    <col min="3" max="3" width="17.1640625" style="141" customWidth="1"/>
    <col min="4" max="4" width="16.83203125" style="141" customWidth="1"/>
    <col min="5" max="5" width="28.83203125" style="141" bestFit="1" customWidth="1"/>
    <col min="6" max="6" width="20.1640625" style="141" customWidth="1"/>
    <col min="7" max="7" width="12.83203125" style="141" customWidth="1"/>
    <col min="8" max="256" width="9.33203125" style="141"/>
    <col min="257" max="257" width="2.1640625" style="141" customWidth="1"/>
    <col min="258" max="258" width="9.33203125" style="141"/>
    <col min="259" max="259" width="17.1640625" style="141" customWidth="1"/>
    <col min="260" max="260" width="16.83203125" style="141" customWidth="1"/>
    <col min="261" max="261" width="28.83203125" style="141" bestFit="1" customWidth="1"/>
    <col min="262" max="262" width="20.1640625" style="141" customWidth="1"/>
    <col min="263" max="263" width="12.83203125" style="141" customWidth="1"/>
    <col min="264" max="512" width="9.33203125" style="141"/>
    <col min="513" max="513" width="2.1640625" style="141" customWidth="1"/>
    <col min="514" max="514" width="9.33203125" style="141"/>
    <col min="515" max="515" width="17.1640625" style="141" customWidth="1"/>
    <col min="516" max="516" width="16.83203125" style="141" customWidth="1"/>
    <col min="517" max="517" width="28.83203125" style="141" bestFit="1" customWidth="1"/>
    <col min="518" max="518" width="20.1640625" style="141" customWidth="1"/>
    <col min="519" max="519" width="12.83203125" style="141" customWidth="1"/>
    <col min="520" max="768" width="9.33203125" style="141"/>
    <col min="769" max="769" width="2.1640625" style="141" customWidth="1"/>
    <col min="770" max="770" width="9.33203125" style="141"/>
    <col min="771" max="771" width="17.1640625" style="141" customWidth="1"/>
    <col min="772" max="772" width="16.83203125" style="141" customWidth="1"/>
    <col min="773" max="773" width="28.83203125" style="141" bestFit="1" customWidth="1"/>
    <col min="774" max="774" width="20.1640625" style="141" customWidth="1"/>
    <col min="775" max="775" width="12.83203125" style="141" customWidth="1"/>
    <col min="776" max="1024" width="9.33203125" style="141"/>
    <col min="1025" max="1025" width="2.1640625" style="141" customWidth="1"/>
    <col min="1026" max="1026" width="9.33203125" style="141"/>
    <col min="1027" max="1027" width="17.1640625" style="141" customWidth="1"/>
    <col min="1028" max="1028" width="16.83203125" style="141" customWidth="1"/>
    <col min="1029" max="1029" width="28.83203125" style="141" bestFit="1" customWidth="1"/>
    <col min="1030" max="1030" width="20.1640625" style="141" customWidth="1"/>
    <col min="1031" max="1031" width="12.83203125" style="141" customWidth="1"/>
    <col min="1032" max="1280" width="9.33203125" style="141"/>
    <col min="1281" max="1281" width="2.1640625" style="141" customWidth="1"/>
    <col min="1282" max="1282" width="9.33203125" style="141"/>
    <col min="1283" max="1283" width="17.1640625" style="141" customWidth="1"/>
    <col min="1284" max="1284" width="16.83203125" style="141" customWidth="1"/>
    <col min="1285" max="1285" width="28.83203125" style="141" bestFit="1" customWidth="1"/>
    <col min="1286" max="1286" width="20.1640625" style="141" customWidth="1"/>
    <col min="1287" max="1287" width="12.83203125" style="141" customWidth="1"/>
    <col min="1288" max="1536" width="9.33203125" style="141"/>
    <col min="1537" max="1537" width="2.1640625" style="141" customWidth="1"/>
    <col min="1538" max="1538" width="9.33203125" style="141"/>
    <col min="1539" max="1539" width="17.1640625" style="141" customWidth="1"/>
    <col min="1540" max="1540" width="16.83203125" style="141" customWidth="1"/>
    <col min="1541" max="1541" width="28.83203125" style="141" bestFit="1" customWidth="1"/>
    <col min="1542" max="1542" width="20.1640625" style="141" customWidth="1"/>
    <col min="1543" max="1543" width="12.83203125" style="141" customWidth="1"/>
    <col min="1544" max="1792" width="9.33203125" style="141"/>
    <col min="1793" max="1793" width="2.1640625" style="141" customWidth="1"/>
    <col min="1794" max="1794" width="9.33203125" style="141"/>
    <col min="1795" max="1795" width="17.1640625" style="141" customWidth="1"/>
    <col min="1796" max="1796" width="16.83203125" style="141" customWidth="1"/>
    <col min="1797" max="1797" width="28.83203125" style="141" bestFit="1" customWidth="1"/>
    <col min="1798" max="1798" width="20.1640625" style="141" customWidth="1"/>
    <col min="1799" max="1799" width="12.83203125" style="141" customWidth="1"/>
    <col min="1800" max="2048" width="9.33203125" style="141"/>
    <col min="2049" max="2049" width="2.1640625" style="141" customWidth="1"/>
    <col min="2050" max="2050" width="9.33203125" style="141"/>
    <col min="2051" max="2051" width="17.1640625" style="141" customWidth="1"/>
    <col min="2052" max="2052" width="16.83203125" style="141" customWidth="1"/>
    <col min="2053" max="2053" width="28.83203125" style="141" bestFit="1" customWidth="1"/>
    <col min="2054" max="2054" width="20.1640625" style="141" customWidth="1"/>
    <col min="2055" max="2055" width="12.83203125" style="141" customWidth="1"/>
    <col min="2056" max="2304" width="9.33203125" style="141"/>
    <col min="2305" max="2305" width="2.1640625" style="141" customWidth="1"/>
    <col min="2306" max="2306" width="9.33203125" style="141"/>
    <col min="2307" max="2307" width="17.1640625" style="141" customWidth="1"/>
    <col min="2308" max="2308" width="16.83203125" style="141" customWidth="1"/>
    <col min="2309" max="2309" width="28.83203125" style="141" bestFit="1" customWidth="1"/>
    <col min="2310" max="2310" width="20.1640625" style="141" customWidth="1"/>
    <col min="2311" max="2311" width="12.83203125" style="141" customWidth="1"/>
    <col min="2312" max="2560" width="9.33203125" style="141"/>
    <col min="2561" max="2561" width="2.1640625" style="141" customWidth="1"/>
    <col min="2562" max="2562" width="9.33203125" style="141"/>
    <col min="2563" max="2563" width="17.1640625" style="141" customWidth="1"/>
    <col min="2564" max="2564" width="16.83203125" style="141" customWidth="1"/>
    <col min="2565" max="2565" width="28.83203125" style="141" bestFit="1" customWidth="1"/>
    <col min="2566" max="2566" width="20.1640625" style="141" customWidth="1"/>
    <col min="2567" max="2567" width="12.83203125" style="141" customWidth="1"/>
    <col min="2568" max="2816" width="9.33203125" style="141"/>
    <col min="2817" max="2817" width="2.1640625" style="141" customWidth="1"/>
    <col min="2818" max="2818" width="9.33203125" style="141"/>
    <col min="2819" max="2819" width="17.1640625" style="141" customWidth="1"/>
    <col min="2820" max="2820" width="16.83203125" style="141" customWidth="1"/>
    <col min="2821" max="2821" width="28.83203125" style="141" bestFit="1" customWidth="1"/>
    <col min="2822" max="2822" width="20.1640625" style="141" customWidth="1"/>
    <col min="2823" max="2823" width="12.83203125" style="141" customWidth="1"/>
    <col min="2824" max="3072" width="9.33203125" style="141"/>
    <col min="3073" max="3073" width="2.1640625" style="141" customWidth="1"/>
    <col min="3074" max="3074" width="9.33203125" style="141"/>
    <col min="3075" max="3075" width="17.1640625" style="141" customWidth="1"/>
    <col min="3076" max="3076" width="16.83203125" style="141" customWidth="1"/>
    <col min="3077" max="3077" width="28.83203125" style="141" bestFit="1" customWidth="1"/>
    <col min="3078" max="3078" width="20.1640625" style="141" customWidth="1"/>
    <col min="3079" max="3079" width="12.83203125" style="141" customWidth="1"/>
    <col min="3080" max="3328" width="9.33203125" style="141"/>
    <col min="3329" max="3329" width="2.1640625" style="141" customWidth="1"/>
    <col min="3330" max="3330" width="9.33203125" style="141"/>
    <col min="3331" max="3331" width="17.1640625" style="141" customWidth="1"/>
    <col min="3332" max="3332" width="16.83203125" style="141" customWidth="1"/>
    <col min="3333" max="3333" width="28.83203125" style="141" bestFit="1" customWidth="1"/>
    <col min="3334" max="3334" width="20.1640625" style="141" customWidth="1"/>
    <col min="3335" max="3335" width="12.83203125" style="141" customWidth="1"/>
    <col min="3336" max="3584" width="9.33203125" style="141"/>
    <col min="3585" max="3585" width="2.1640625" style="141" customWidth="1"/>
    <col min="3586" max="3586" width="9.33203125" style="141"/>
    <col min="3587" max="3587" width="17.1640625" style="141" customWidth="1"/>
    <col min="3588" max="3588" width="16.83203125" style="141" customWidth="1"/>
    <col min="3589" max="3589" width="28.83203125" style="141" bestFit="1" customWidth="1"/>
    <col min="3590" max="3590" width="20.1640625" style="141" customWidth="1"/>
    <col min="3591" max="3591" width="12.83203125" style="141" customWidth="1"/>
    <col min="3592" max="3840" width="9.33203125" style="141"/>
    <col min="3841" max="3841" width="2.1640625" style="141" customWidth="1"/>
    <col min="3842" max="3842" width="9.33203125" style="141"/>
    <col min="3843" max="3843" width="17.1640625" style="141" customWidth="1"/>
    <col min="3844" max="3844" width="16.83203125" style="141" customWidth="1"/>
    <col min="3845" max="3845" width="28.83203125" style="141" bestFit="1" customWidth="1"/>
    <col min="3846" max="3846" width="20.1640625" style="141" customWidth="1"/>
    <col min="3847" max="3847" width="12.83203125" style="141" customWidth="1"/>
    <col min="3848" max="4096" width="9.33203125" style="141"/>
    <col min="4097" max="4097" width="2.1640625" style="141" customWidth="1"/>
    <col min="4098" max="4098" width="9.33203125" style="141"/>
    <col min="4099" max="4099" width="17.1640625" style="141" customWidth="1"/>
    <col min="4100" max="4100" width="16.83203125" style="141" customWidth="1"/>
    <col min="4101" max="4101" width="28.83203125" style="141" bestFit="1" customWidth="1"/>
    <col min="4102" max="4102" width="20.1640625" style="141" customWidth="1"/>
    <col min="4103" max="4103" width="12.83203125" style="141" customWidth="1"/>
    <col min="4104" max="4352" width="9.33203125" style="141"/>
    <col min="4353" max="4353" width="2.1640625" style="141" customWidth="1"/>
    <col min="4354" max="4354" width="9.33203125" style="141"/>
    <col min="4355" max="4355" width="17.1640625" style="141" customWidth="1"/>
    <col min="4356" max="4356" width="16.83203125" style="141" customWidth="1"/>
    <col min="4357" max="4357" width="28.83203125" style="141" bestFit="1" customWidth="1"/>
    <col min="4358" max="4358" width="20.1640625" style="141" customWidth="1"/>
    <col min="4359" max="4359" width="12.83203125" style="141" customWidth="1"/>
    <col min="4360" max="4608" width="9.33203125" style="141"/>
    <col min="4609" max="4609" width="2.1640625" style="141" customWidth="1"/>
    <col min="4610" max="4610" width="9.33203125" style="141"/>
    <col min="4611" max="4611" width="17.1640625" style="141" customWidth="1"/>
    <col min="4612" max="4612" width="16.83203125" style="141" customWidth="1"/>
    <col min="4613" max="4613" width="28.83203125" style="141" bestFit="1" customWidth="1"/>
    <col min="4614" max="4614" width="20.1640625" style="141" customWidth="1"/>
    <col min="4615" max="4615" width="12.83203125" style="141" customWidth="1"/>
    <col min="4616" max="4864" width="9.33203125" style="141"/>
    <col min="4865" max="4865" width="2.1640625" style="141" customWidth="1"/>
    <col min="4866" max="4866" width="9.33203125" style="141"/>
    <col min="4867" max="4867" width="17.1640625" style="141" customWidth="1"/>
    <col min="4868" max="4868" width="16.83203125" style="141" customWidth="1"/>
    <col min="4869" max="4869" width="28.83203125" style="141" bestFit="1" customWidth="1"/>
    <col min="4870" max="4870" width="20.1640625" style="141" customWidth="1"/>
    <col min="4871" max="4871" width="12.83203125" style="141" customWidth="1"/>
    <col min="4872" max="5120" width="9.33203125" style="141"/>
    <col min="5121" max="5121" width="2.1640625" style="141" customWidth="1"/>
    <col min="5122" max="5122" width="9.33203125" style="141"/>
    <col min="5123" max="5123" width="17.1640625" style="141" customWidth="1"/>
    <col min="5124" max="5124" width="16.83203125" style="141" customWidth="1"/>
    <col min="5125" max="5125" width="28.83203125" style="141" bestFit="1" customWidth="1"/>
    <col min="5126" max="5126" width="20.1640625" style="141" customWidth="1"/>
    <col min="5127" max="5127" width="12.83203125" style="141" customWidth="1"/>
    <col min="5128" max="5376" width="9.33203125" style="141"/>
    <col min="5377" max="5377" width="2.1640625" style="141" customWidth="1"/>
    <col min="5378" max="5378" width="9.33203125" style="141"/>
    <col min="5379" max="5379" width="17.1640625" style="141" customWidth="1"/>
    <col min="5380" max="5380" width="16.83203125" style="141" customWidth="1"/>
    <col min="5381" max="5381" width="28.83203125" style="141" bestFit="1" customWidth="1"/>
    <col min="5382" max="5382" width="20.1640625" style="141" customWidth="1"/>
    <col min="5383" max="5383" width="12.83203125" style="141" customWidth="1"/>
    <col min="5384" max="5632" width="9.33203125" style="141"/>
    <col min="5633" max="5633" width="2.1640625" style="141" customWidth="1"/>
    <col min="5634" max="5634" width="9.33203125" style="141"/>
    <col min="5635" max="5635" width="17.1640625" style="141" customWidth="1"/>
    <col min="5636" max="5636" width="16.83203125" style="141" customWidth="1"/>
    <col min="5637" max="5637" width="28.83203125" style="141" bestFit="1" customWidth="1"/>
    <col min="5638" max="5638" width="20.1640625" style="141" customWidth="1"/>
    <col min="5639" max="5639" width="12.83203125" style="141" customWidth="1"/>
    <col min="5640" max="5888" width="9.33203125" style="141"/>
    <col min="5889" max="5889" width="2.1640625" style="141" customWidth="1"/>
    <col min="5890" max="5890" width="9.33203125" style="141"/>
    <col min="5891" max="5891" width="17.1640625" style="141" customWidth="1"/>
    <col min="5892" max="5892" width="16.83203125" style="141" customWidth="1"/>
    <col min="5893" max="5893" width="28.83203125" style="141" bestFit="1" customWidth="1"/>
    <col min="5894" max="5894" width="20.1640625" style="141" customWidth="1"/>
    <col min="5895" max="5895" width="12.83203125" style="141" customWidth="1"/>
    <col min="5896" max="6144" width="9.33203125" style="141"/>
    <col min="6145" max="6145" width="2.1640625" style="141" customWidth="1"/>
    <col min="6146" max="6146" width="9.33203125" style="141"/>
    <col min="6147" max="6147" width="17.1640625" style="141" customWidth="1"/>
    <col min="6148" max="6148" width="16.83203125" style="141" customWidth="1"/>
    <col min="6149" max="6149" width="28.83203125" style="141" bestFit="1" customWidth="1"/>
    <col min="6150" max="6150" width="20.1640625" style="141" customWidth="1"/>
    <col min="6151" max="6151" width="12.83203125" style="141" customWidth="1"/>
    <col min="6152" max="6400" width="9.33203125" style="141"/>
    <col min="6401" max="6401" width="2.1640625" style="141" customWidth="1"/>
    <col min="6402" max="6402" width="9.33203125" style="141"/>
    <col min="6403" max="6403" width="17.1640625" style="141" customWidth="1"/>
    <col min="6404" max="6404" width="16.83203125" style="141" customWidth="1"/>
    <col min="6405" max="6405" width="28.83203125" style="141" bestFit="1" customWidth="1"/>
    <col min="6406" max="6406" width="20.1640625" style="141" customWidth="1"/>
    <col min="6407" max="6407" width="12.83203125" style="141" customWidth="1"/>
    <col min="6408" max="6656" width="9.33203125" style="141"/>
    <col min="6657" max="6657" width="2.1640625" style="141" customWidth="1"/>
    <col min="6658" max="6658" width="9.33203125" style="141"/>
    <col min="6659" max="6659" width="17.1640625" style="141" customWidth="1"/>
    <col min="6660" max="6660" width="16.83203125" style="141" customWidth="1"/>
    <col min="6661" max="6661" width="28.83203125" style="141" bestFit="1" customWidth="1"/>
    <col min="6662" max="6662" width="20.1640625" style="141" customWidth="1"/>
    <col min="6663" max="6663" width="12.83203125" style="141" customWidth="1"/>
    <col min="6664" max="6912" width="9.33203125" style="141"/>
    <col min="6913" max="6913" width="2.1640625" style="141" customWidth="1"/>
    <col min="6914" max="6914" width="9.33203125" style="141"/>
    <col min="6915" max="6915" width="17.1640625" style="141" customWidth="1"/>
    <col min="6916" max="6916" width="16.83203125" style="141" customWidth="1"/>
    <col min="6917" max="6917" width="28.83203125" style="141" bestFit="1" customWidth="1"/>
    <col min="6918" max="6918" width="20.1640625" style="141" customWidth="1"/>
    <col min="6919" max="6919" width="12.83203125" style="141" customWidth="1"/>
    <col min="6920" max="7168" width="9.33203125" style="141"/>
    <col min="7169" max="7169" width="2.1640625" style="141" customWidth="1"/>
    <col min="7170" max="7170" width="9.33203125" style="141"/>
    <col min="7171" max="7171" width="17.1640625" style="141" customWidth="1"/>
    <col min="7172" max="7172" width="16.83203125" style="141" customWidth="1"/>
    <col min="7173" max="7173" width="28.83203125" style="141" bestFit="1" customWidth="1"/>
    <col min="7174" max="7174" width="20.1640625" style="141" customWidth="1"/>
    <col min="7175" max="7175" width="12.83203125" style="141" customWidth="1"/>
    <col min="7176" max="7424" width="9.33203125" style="141"/>
    <col min="7425" max="7425" width="2.1640625" style="141" customWidth="1"/>
    <col min="7426" max="7426" width="9.33203125" style="141"/>
    <col min="7427" max="7427" width="17.1640625" style="141" customWidth="1"/>
    <col min="7428" max="7428" width="16.83203125" style="141" customWidth="1"/>
    <col min="7429" max="7429" width="28.83203125" style="141" bestFit="1" customWidth="1"/>
    <col min="7430" max="7430" width="20.1640625" style="141" customWidth="1"/>
    <col min="7431" max="7431" width="12.83203125" style="141" customWidth="1"/>
    <col min="7432" max="7680" width="9.33203125" style="141"/>
    <col min="7681" max="7681" width="2.1640625" style="141" customWidth="1"/>
    <col min="7682" max="7682" width="9.33203125" style="141"/>
    <col min="7683" max="7683" width="17.1640625" style="141" customWidth="1"/>
    <col min="7684" max="7684" width="16.83203125" style="141" customWidth="1"/>
    <col min="7685" max="7685" width="28.83203125" style="141" bestFit="1" customWidth="1"/>
    <col min="7686" max="7686" width="20.1640625" style="141" customWidth="1"/>
    <col min="7687" max="7687" width="12.83203125" style="141" customWidth="1"/>
    <col min="7688" max="7936" width="9.33203125" style="141"/>
    <col min="7937" max="7937" width="2.1640625" style="141" customWidth="1"/>
    <col min="7938" max="7938" width="9.33203125" style="141"/>
    <col min="7939" max="7939" width="17.1640625" style="141" customWidth="1"/>
    <col min="7940" max="7940" width="16.83203125" style="141" customWidth="1"/>
    <col min="7941" max="7941" width="28.83203125" style="141" bestFit="1" customWidth="1"/>
    <col min="7942" max="7942" width="20.1640625" style="141" customWidth="1"/>
    <col min="7943" max="7943" width="12.83203125" style="141" customWidth="1"/>
    <col min="7944" max="8192" width="9.33203125" style="141"/>
    <col min="8193" max="8193" width="2.1640625" style="141" customWidth="1"/>
    <col min="8194" max="8194" width="9.33203125" style="141"/>
    <col min="8195" max="8195" width="17.1640625" style="141" customWidth="1"/>
    <col min="8196" max="8196" width="16.83203125" style="141" customWidth="1"/>
    <col min="8197" max="8197" width="28.83203125" style="141" bestFit="1" customWidth="1"/>
    <col min="8198" max="8198" width="20.1640625" style="141" customWidth="1"/>
    <col min="8199" max="8199" width="12.83203125" style="141" customWidth="1"/>
    <col min="8200" max="8448" width="9.33203125" style="141"/>
    <col min="8449" max="8449" width="2.1640625" style="141" customWidth="1"/>
    <col min="8450" max="8450" width="9.33203125" style="141"/>
    <col min="8451" max="8451" width="17.1640625" style="141" customWidth="1"/>
    <col min="8452" max="8452" width="16.83203125" style="141" customWidth="1"/>
    <col min="8453" max="8453" width="28.83203125" style="141" bestFit="1" customWidth="1"/>
    <col min="8454" max="8454" width="20.1640625" style="141" customWidth="1"/>
    <col min="8455" max="8455" width="12.83203125" style="141" customWidth="1"/>
    <col min="8456" max="8704" width="9.33203125" style="141"/>
    <col min="8705" max="8705" width="2.1640625" style="141" customWidth="1"/>
    <col min="8706" max="8706" width="9.33203125" style="141"/>
    <col min="8707" max="8707" width="17.1640625" style="141" customWidth="1"/>
    <col min="8708" max="8708" width="16.83203125" style="141" customWidth="1"/>
    <col min="8709" max="8709" width="28.83203125" style="141" bestFit="1" customWidth="1"/>
    <col min="8710" max="8710" width="20.1640625" style="141" customWidth="1"/>
    <col min="8711" max="8711" width="12.83203125" style="141" customWidth="1"/>
    <col min="8712" max="8960" width="9.33203125" style="141"/>
    <col min="8961" max="8961" width="2.1640625" style="141" customWidth="1"/>
    <col min="8962" max="8962" width="9.33203125" style="141"/>
    <col min="8963" max="8963" width="17.1640625" style="141" customWidth="1"/>
    <col min="8964" max="8964" width="16.83203125" style="141" customWidth="1"/>
    <col min="8965" max="8965" width="28.83203125" style="141" bestFit="1" customWidth="1"/>
    <col min="8966" max="8966" width="20.1640625" style="141" customWidth="1"/>
    <col min="8967" max="8967" width="12.83203125" style="141" customWidth="1"/>
    <col min="8968" max="9216" width="9.33203125" style="141"/>
    <col min="9217" max="9217" width="2.1640625" style="141" customWidth="1"/>
    <col min="9218" max="9218" width="9.33203125" style="141"/>
    <col min="9219" max="9219" width="17.1640625" style="141" customWidth="1"/>
    <col min="9220" max="9220" width="16.83203125" style="141" customWidth="1"/>
    <col min="9221" max="9221" width="28.83203125" style="141" bestFit="1" customWidth="1"/>
    <col min="9222" max="9222" width="20.1640625" style="141" customWidth="1"/>
    <col min="9223" max="9223" width="12.83203125" style="141" customWidth="1"/>
    <col min="9224" max="9472" width="9.33203125" style="141"/>
    <col min="9473" max="9473" width="2.1640625" style="141" customWidth="1"/>
    <col min="9474" max="9474" width="9.33203125" style="141"/>
    <col min="9475" max="9475" width="17.1640625" style="141" customWidth="1"/>
    <col min="9476" max="9476" width="16.83203125" style="141" customWidth="1"/>
    <col min="9477" max="9477" width="28.83203125" style="141" bestFit="1" customWidth="1"/>
    <col min="9478" max="9478" width="20.1640625" style="141" customWidth="1"/>
    <col min="9479" max="9479" width="12.83203125" style="141" customWidth="1"/>
    <col min="9480" max="9728" width="9.33203125" style="141"/>
    <col min="9729" max="9729" width="2.1640625" style="141" customWidth="1"/>
    <col min="9730" max="9730" width="9.33203125" style="141"/>
    <col min="9731" max="9731" width="17.1640625" style="141" customWidth="1"/>
    <col min="9732" max="9732" width="16.83203125" style="141" customWidth="1"/>
    <col min="9733" max="9733" width="28.83203125" style="141" bestFit="1" customWidth="1"/>
    <col min="9734" max="9734" width="20.1640625" style="141" customWidth="1"/>
    <col min="9735" max="9735" width="12.83203125" style="141" customWidth="1"/>
    <col min="9736" max="9984" width="9.33203125" style="141"/>
    <col min="9985" max="9985" width="2.1640625" style="141" customWidth="1"/>
    <col min="9986" max="9986" width="9.33203125" style="141"/>
    <col min="9987" max="9987" width="17.1640625" style="141" customWidth="1"/>
    <col min="9988" max="9988" width="16.83203125" style="141" customWidth="1"/>
    <col min="9989" max="9989" width="28.83203125" style="141" bestFit="1" customWidth="1"/>
    <col min="9990" max="9990" width="20.1640625" style="141" customWidth="1"/>
    <col min="9991" max="9991" width="12.83203125" style="141" customWidth="1"/>
    <col min="9992" max="10240" width="9.33203125" style="141"/>
    <col min="10241" max="10241" width="2.1640625" style="141" customWidth="1"/>
    <col min="10242" max="10242" width="9.33203125" style="141"/>
    <col min="10243" max="10243" width="17.1640625" style="141" customWidth="1"/>
    <col min="10244" max="10244" width="16.83203125" style="141" customWidth="1"/>
    <col min="10245" max="10245" width="28.83203125" style="141" bestFit="1" customWidth="1"/>
    <col min="10246" max="10246" width="20.1640625" style="141" customWidth="1"/>
    <col min="10247" max="10247" width="12.83203125" style="141" customWidth="1"/>
    <col min="10248" max="10496" width="9.33203125" style="141"/>
    <col min="10497" max="10497" width="2.1640625" style="141" customWidth="1"/>
    <col min="10498" max="10498" width="9.33203125" style="141"/>
    <col min="10499" max="10499" width="17.1640625" style="141" customWidth="1"/>
    <col min="10500" max="10500" width="16.83203125" style="141" customWidth="1"/>
    <col min="10501" max="10501" width="28.83203125" style="141" bestFit="1" customWidth="1"/>
    <col min="10502" max="10502" width="20.1640625" style="141" customWidth="1"/>
    <col min="10503" max="10503" width="12.83203125" style="141" customWidth="1"/>
    <col min="10504" max="10752" width="9.33203125" style="141"/>
    <col min="10753" max="10753" width="2.1640625" style="141" customWidth="1"/>
    <col min="10754" max="10754" width="9.33203125" style="141"/>
    <col min="10755" max="10755" width="17.1640625" style="141" customWidth="1"/>
    <col min="10756" max="10756" width="16.83203125" style="141" customWidth="1"/>
    <col min="10757" max="10757" width="28.83203125" style="141" bestFit="1" customWidth="1"/>
    <col min="10758" max="10758" width="20.1640625" style="141" customWidth="1"/>
    <col min="10759" max="10759" width="12.83203125" style="141" customWidth="1"/>
    <col min="10760" max="11008" width="9.33203125" style="141"/>
    <col min="11009" max="11009" width="2.1640625" style="141" customWidth="1"/>
    <col min="11010" max="11010" width="9.33203125" style="141"/>
    <col min="11011" max="11011" width="17.1640625" style="141" customWidth="1"/>
    <col min="11012" max="11012" width="16.83203125" style="141" customWidth="1"/>
    <col min="11013" max="11013" width="28.83203125" style="141" bestFit="1" customWidth="1"/>
    <col min="11014" max="11014" width="20.1640625" style="141" customWidth="1"/>
    <col min="11015" max="11015" width="12.83203125" style="141" customWidth="1"/>
    <col min="11016" max="11264" width="9.33203125" style="141"/>
    <col min="11265" max="11265" width="2.1640625" style="141" customWidth="1"/>
    <col min="11266" max="11266" width="9.33203125" style="141"/>
    <col min="11267" max="11267" width="17.1640625" style="141" customWidth="1"/>
    <col min="11268" max="11268" width="16.83203125" style="141" customWidth="1"/>
    <col min="11269" max="11269" width="28.83203125" style="141" bestFit="1" customWidth="1"/>
    <col min="11270" max="11270" width="20.1640625" style="141" customWidth="1"/>
    <col min="11271" max="11271" width="12.83203125" style="141" customWidth="1"/>
    <col min="11272" max="11520" width="9.33203125" style="141"/>
    <col min="11521" max="11521" width="2.1640625" style="141" customWidth="1"/>
    <col min="11522" max="11522" width="9.33203125" style="141"/>
    <col min="11523" max="11523" width="17.1640625" style="141" customWidth="1"/>
    <col min="11524" max="11524" width="16.83203125" style="141" customWidth="1"/>
    <col min="11525" max="11525" width="28.83203125" style="141" bestFit="1" customWidth="1"/>
    <col min="11526" max="11526" width="20.1640625" style="141" customWidth="1"/>
    <col min="11527" max="11527" width="12.83203125" style="141" customWidth="1"/>
    <col min="11528" max="11776" width="9.33203125" style="141"/>
    <col min="11777" max="11777" width="2.1640625" style="141" customWidth="1"/>
    <col min="11778" max="11778" width="9.33203125" style="141"/>
    <col min="11779" max="11779" width="17.1640625" style="141" customWidth="1"/>
    <col min="11780" max="11780" width="16.83203125" style="141" customWidth="1"/>
    <col min="11781" max="11781" width="28.83203125" style="141" bestFit="1" customWidth="1"/>
    <col min="11782" max="11782" width="20.1640625" style="141" customWidth="1"/>
    <col min="11783" max="11783" width="12.83203125" style="141" customWidth="1"/>
    <col min="11784" max="12032" width="9.33203125" style="141"/>
    <col min="12033" max="12033" width="2.1640625" style="141" customWidth="1"/>
    <col min="12034" max="12034" width="9.33203125" style="141"/>
    <col min="12035" max="12035" width="17.1640625" style="141" customWidth="1"/>
    <col min="12036" max="12036" width="16.83203125" style="141" customWidth="1"/>
    <col min="12037" max="12037" width="28.83203125" style="141" bestFit="1" customWidth="1"/>
    <col min="12038" max="12038" width="20.1640625" style="141" customWidth="1"/>
    <col min="12039" max="12039" width="12.83203125" style="141" customWidth="1"/>
    <col min="12040" max="12288" width="9.33203125" style="141"/>
    <col min="12289" max="12289" width="2.1640625" style="141" customWidth="1"/>
    <col min="12290" max="12290" width="9.33203125" style="141"/>
    <col min="12291" max="12291" width="17.1640625" style="141" customWidth="1"/>
    <col min="12292" max="12292" width="16.83203125" style="141" customWidth="1"/>
    <col min="12293" max="12293" width="28.83203125" style="141" bestFit="1" customWidth="1"/>
    <col min="12294" max="12294" width="20.1640625" style="141" customWidth="1"/>
    <col min="12295" max="12295" width="12.83203125" style="141" customWidth="1"/>
    <col min="12296" max="12544" width="9.33203125" style="141"/>
    <col min="12545" max="12545" width="2.1640625" style="141" customWidth="1"/>
    <col min="12546" max="12546" width="9.33203125" style="141"/>
    <col min="12547" max="12547" width="17.1640625" style="141" customWidth="1"/>
    <col min="12548" max="12548" width="16.83203125" style="141" customWidth="1"/>
    <col min="12549" max="12549" width="28.83203125" style="141" bestFit="1" customWidth="1"/>
    <col min="12550" max="12550" width="20.1640625" style="141" customWidth="1"/>
    <col min="12551" max="12551" width="12.83203125" style="141" customWidth="1"/>
    <col min="12552" max="12800" width="9.33203125" style="141"/>
    <col min="12801" max="12801" width="2.1640625" style="141" customWidth="1"/>
    <col min="12802" max="12802" width="9.33203125" style="141"/>
    <col min="12803" max="12803" width="17.1640625" style="141" customWidth="1"/>
    <col min="12804" max="12804" width="16.83203125" style="141" customWidth="1"/>
    <col min="12805" max="12805" width="28.83203125" style="141" bestFit="1" customWidth="1"/>
    <col min="12806" max="12806" width="20.1640625" style="141" customWidth="1"/>
    <col min="12807" max="12807" width="12.83203125" style="141" customWidth="1"/>
    <col min="12808" max="13056" width="9.33203125" style="141"/>
    <col min="13057" max="13057" width="2.1640625" style="141" customWidth="1"/>
    <col min="13058" max="13058" width="9.33203125" style="141"/>
    <col min="13059" max="13059" width="17.1640625" style="141" customWidth="1"/>
    <col min="13060" max="13060" width="16.83203125" style="141" customWidth="1"/>
    <col min="13061" max="13061" width="28.83203125" style="141" bestFit="1" customWidth="1"/>
    <col min="13062" max="13062" width="20.1640625" style="141" customWidth="1"/>
    <col min="13063" max="13063" width="12.83203125" style="141" customWidth="1"/>
    <col min="13064" max="13312" width="9.33203125" style="141"/>
    <col min="13313" max="13313" width="2.1640625" style="141" customWidth="1"/>
    <col min="13314" max="13314" width="9.33203125" style="141"/>
    <col min="13315" max="13315" width="17.1640625" style="141" customWidth="1"/>
    <col min="13316" max="13316" width="16.83203125" style="141" customWidth="1"/>
    <col min="13317" max="13317" width="28.83203125" style="141" bestFit="1" customWidth="1"/>
    <col min="13318" max="13318" width="20.1640625" style="141" customWidth="1"/>
    <col min="13319" max="13319" width="12.83203125" style="141" customWidth="1"/>
    <col min="13320" max="13568" width="9.33203125" style="141"/>
    <col min="13569" max="13569" width="2.1640625" style="141" customWidth="1"/>
    <col min="13570" max="13570" width="9.33203125" style="141"/>
    <col min="13571" max="13571" width="17.1640625" style="141" customWidth="1"/>
    <col min="13572" max="13572" width="16.83203125" style="141" customWidth="1"/>
    <col min="13573" max="13573" width="28.83203125" style="141" bestFit="1" customWidth="1"/>
    <col min="13574" max="13574" width="20.1640625" style="141" customWidth="1"/>
    <col min="13575" max="13575" width="12.83203125" style="141" customWidth="1"/>
    <col min="13576" max="13824" width="9.33203125" style="141"/>
    <col min="13825" max="13825" width="2.1640625" style="141" customWidth="1"/>
    <col min="13826" max="13826" width="9.33203125" style="141"/>
    <col min="13827" max="13827" width="17.1640625" style="141" customWidth="1"/>
    <col min="13828" max="13828" width="16.83203125" style="141" customWidth="1"/>
    <col min="13829" max="13829" width="28.83203125" style="141" bestFit="1" customWidth="1"/>
    <col min="13830" max="13830" width="20.1640625" style="141" customWidth="1"/>
    <col min="13831" max="13831" width="12.83203125" style="141" customWidth="1"/>
    <col min="13832" max="14080" width="9.33203125" style="141"/>
    <col min="14081" max="14081" width="2.1640625" style="141" customWidth="1"/>
    <col min="14082" max="14082" width="9.33203125" style="141"/>
    <col min="14083" max="14083" width="17.1640625" style="141" customWidth="1"/>
    <col min="14084" max="14084" width="16.83203125" style="141" customWidth="1"/>
    <col min="14085" max="14085" width="28.83203125" style="141" bestFit="1" customWidth="1"/>
    <col min="14086" max="14086" width="20.1640625" style="141" customWidth="1"/>
    <col min="14087" max="14087" width="12.83203125" style="141" customWidth="1"/>
    <col min="14088" max="14336" width="9.33203125" style="141"/>
    <col min="14337" max="14337" width="2.1640625" style="141" customWidth="1"/>
    <col min="14338" max="14338" width="9.33203125" style="141"/>
    <col min="14339" max="14339" width="17.1640625" style="141" customWidth="1"/>
    <col min="14340" max="14340" width="16.83203125" style="141" customWidth="1"/>
    <col min="14341" max="14341" width="28.83203125" style="141" bestFit="1" customWidth="1"/>
    <col min="14342" max="14342" width="20.1640625" style="141" customWidth="1"/>
    <col min="14343" max="14343" width="12.83203125" style="141" customWidth="1"/>
    <col min="14344" max="14592" width="9.33203125" style="141"/>
    <col min="14593" max="14593" width="2.1640625" style="141" customWidth="1"/>
    <col min="14594" max="14594" width="9.33203125" style="141"/>
    <col min="14595" max="14595" width="17.1640625" style="141" customWidth="1"/>
    <col min="14596" max="14596" width="16.83203125" style="141" customWidth="1"/>
    <col min="14597" max="14597" width="28.83203125" style="141" bestFit="1" customWidth="1"/>
    <col min="14598" max="14598" width="20.1640625" style="141" customWidth="1"/>
    <col min="14599" max="14599" width="12.83203125" style="141" customWidth="1"/>
    <col min="14600" max="14848" width="9.33203125" style="141"/>
    <col min="14849" max="14849" width="2.1640625" style="141" customWidth="1"/>
    <col min="14850" max="14850" width="9.33203125" style="141"/>
    <col min="14851" max="14851" width="17.1640625" style="141" customWidth="1"/>
    <col min="14852" max="14852" width="16.83203125" style="141" customWidth="1"/>
    <col min="14853" max="14853" width="28.83203125" style="141" bestFit="1" customWidth="1"/>
    <col min="14854" max="14854" width="20.1640625" style="141" customWidth="1"/>
    <col min="14855" max="14855" width="12.83203125" style="141" customWidth="1"/>
    <col min="14856" max="15104" width="9.33203125" style="141"/>
    <col min="15105" max="15105" width="2.1640625" style="141" customWidth="1"/>
    <col min="15106" max="15106" width="9.33203125" style="141"/>
    <col min="15107" max="15107" width="17.1640625" style="141" customWidth="1"/>
    <col min="15108" max="15108" width="16.83203125" style="141" customWidth="1"/>
    <col min="15109" max="15109" width="28.83203125" style="141" bestFit="1" customWidth="1"/>
    <col min="15110" max="15110" width="20.1640625" style="141" customWidth="1"/>
    <col min="15111" max="15111" width="12.83203125" style="141" customWidth="1"/>
    <col min="15112" max="15360" width="9.33203125" style="141"/>
    <col min="15361" max="15361" width="2.1640625" style="141" customWidth="1"/>
    <col min="15362" max="15362" width="9.33203125" style="141"/>
    <col min="15363" max="15363" width="17.1640625" style="141" customWidth="1"/>
    <col min="15364" max="15364" width="16.83203125" style="141" customWidth="1"/>
    <col min="15365" max="15365" width="28.83203125" style="141" bestFit="1" customWidth="1"/>
    <col min="15366" max="15366" width="20.1640625" style="141" customWidth="1"/>
    <col min="15367" max="15367" width="12.83203125" style="141" customWidth="1"/>
    <col min="15368" max="15616" width="9.33203125" style="141"/>
    <col min="15617" max="15617" width="2.1640625" style="141" customWidth="1"/>
    <col min="15618" max="15618" width="9.33203125" style="141"/>
    <col min="15619" max="15619" width="17.1640625" style="141" customWidth="1"/>
    <col min="15620" max="15620" width="16.83203125" style="141" customWidth="1"/>
    <col min="15621" max="15621" width="28.83203125" style="141" bestFit="1" customWidth="1"/>
    <col min="15622" max="15622" width="20.1640625" style="141" customWidth="1"/>
    <col min="15623" max="15623" width="12.83203125" style="141" customWidth="1"/>
    <col min="15624" max="15872" width="9.33203125" style="141"/>
    <col min="15873" max="15873" width="2.1640625" style="141" customWidth="1"/>
    <col min="15874" max="15874" width="9.33203125" style="141"/>
    <col min="15875" max="15875" width="17.1640625" style="141" customWidth="1"/>
    <col min="15876" max="15876" width="16.83203125" style="141" customWidth="1"/>
    <col min="15877" max="15877" width="28.83203125" style="141" bestFit="1" customWidth="1"/>
    <col min="15878" max="15878" width="20.1640625" style="141" customWidth="1"/>
    <col min="15879" max="15879" width="12.83203125" style="141" customWidth="1"/>
    <col min="15880" max="16128" width="9.33203125" style="141"/>
    <col min="16129" max="16129" width="2.1640625" style="141" customWidth="1"/>
    <col min="16130" max="16130" width="9.33203125" style="141"/>
    <col min="16131" max="16131" width="17.1640625" style="141" customWidth="1"/>
    <col min="16132" max="16132" width="16.83203125" style="141" customWidth="1"/>
    <col min="16133" max="16133" width="28.83203125" style="141" bestFit="1" customWidth="1"/>
    <col min="16134" max="16134" width="20.1640625" style="141" customWidth="1"/>
    <col min="16135" max="16135" width="12.83203125" style="141" customWidth="1"/>
    <col min="16136" max="16384" width="9.33203125" style="141"/>
  </cols>
  <sheetData>
    <row r="3" spans="2:9">
      <c r="B3" s="142" t="s">
        <v>434</v>
      </c>
    </row>
    <row r="4" spans="2:9">
      <c r="C4" s="141" t="s">
        <v>435</v>
      </c>
    </row>
    <row r="5" spans="2:9">
      <c r="C5" s="141" t="s">
        <v>436</v>
      </c>
    </row>
    <row r="6" spans="2:9">
      <c r="C6" s="141" t="s">
        <v>437</v>
      </c>
    </row>
    <row r="7" spans="2:9">
      <c r="C7" s="141" t="s">
        <v>438</v>
      </c>
    </row>
    <row r="8" spans="2:9">
      <c r="C8" s="141" t="s">
        <v>439</v>
      </c>
    </row>
    <row r="9" spans="2:9">
      <c r="C9" s="143"/>
      <c r="D9" s="143"/>
      <c r="E9" s="143"/>
      <c r="F9" s="143"/>
      <c r="G9" s="143"/>
      <c r="H9" s="143"/>
      <c r="I9" s="143"/>
    </row>
    <row r="11" spans="2:9">
      <c r="B11" s="142" t="s">
        <v>440</v>
      </c>
    </row>
    <row r="12" spans="2:9">
      <c r="C12" s="368" t="s">
        <v>441</v>
      </c>
      <c r="D12" s="369" t="s">
        <v>442</v>
      </c>
      <c r="E12" s="369" t="s">
        <v>443</v>
      </c>
      <c r="F12" s="369" t="s">
        <v>164</v>
      </c>
      <c r="G12" s="369" t="s">
        <v>444</v>
      </c>
      <c r="H12" s="142"/>
    </row>
    <row r="13" spans="2:9">
      <c r="C13" s="370">
        <v>38504</v>
      </c>
      <c r="D13" s="156" t="s">
        <v>445</v>
      </c>
      <c r="E13" s="371">
        <v>175.7</v>
      </c>
      <c r="F13" s="156" t="s">
        <v>446</v>
      </c>
      <c r="G13" s="372">
        <v>13</v>
      </c>
    </row>
    <row r="14" spans="2:9">
      <c r="C14" s="370">
        <v>38961</v>
      </c>
      <c r="D14" s="156" t="s">
        <v>445</v>
      </c>
      <c r="E14" s="371">
        <v>300.3</v>
      </c>
      <c r="F14" s="156" t="s">
        <v>447</v>
      </c>
      <c r="G14" s="371">
        <v>33</v>
      </c>
    </row>
    <row r="15" spans="2:9">
      <c r="C15" s="370">
        <v>39479</v>
      </c>
      <c r="D15" s="156" t="s">
        <v>445</v>
      </c>
      <c r="E15" s="371">
        <f>17.14*6.9</f>
        <v>118.26600000000001</v>
      </c>
      <c r="F15" s="156" t="s">
        <v>448</v>
      </c>
      <c r="G15" s="371">
        <v>17.14</v>
      </c>
    </row>
    <row r="16" spans="2:9">
      <c r="C16" s="370">
        <v>39692</v>
      </c>
      <c r="D16" s="156" t="s">
        <v>445</v>
      </c>
      <c r="E16" s="156" t="s">
        <v>449</v>
      </c>
      <c r="F16" s="156" t="s">
        <v>450</v>
      </c>
      <c r="G16" s="371">
        <v>25.5</v>
      </c>
    </row>
    <row r="17" spans="2:7">
      <c r="C17" s="370">
        <v>39845</v>
      </c>
      <c r="D17" s="156" t="s">
        <v>445</v>
      </c>
      <c r="E17" s="156" t="s">
        <v>451</v>
      </c>
      <c r="F17" s="156" t="s">
        <v>452</v>
      </c>
      <c r="G17" s="372">
        <v>32</v>
      </c>
    </row>
    <row r="18" spans="2:7">
      <c r="C18" s="370">
        <v>40148</v>
      </c>
      <c r="D18" s="156" t="s">
        <v>445</v>
      </c>
      <c r="E18" s="156" t="s">
        <v>453</v>
      </c>
      <c r="F18" s="156" t="s">
        <v>454</v>
      </c>
      <c r="G18" s="371">
        <v>38.5</v>
      </c>
    </row>
    <row r="19" spans="2:7">
      <c r="C19" s="373"/>
      <c r="D19" s="156"/>
      <c r="E19" s="156"/>
      <c r="F19" s="156"/>
      <c r="G19" s="156"/>
    </row>
    <row r="20" spans="2:7">
      <c r="B20" s="142" t="s">
        <v>455</v>
      </c>
      <c r="C20" s="373"/>
      <c r="D20" s="156"/>
      <c r="E20" s="156"/>
      <c r="F20" s="156"/>
      <c r="G20" s="156"/>
    </row>
    <row r="21" spans="2:7">
      <c r="C21" s="370">
        <v>39600</v>
      </c>
      <c r="D21" s="373" t="s">
        <v>456</v>
      </c>
    </row>
    <row r="22" spans="2:7">
      <c r="C22" s="373"/>
      <c r="D22" s="374" t="s">
        <v>457</v>
      </c>
    </row>
    <row r="23" spans="2:7">
      <c r="C23" s="370">
        <v>40057</v>
      </c>
      <c r="D23" s="374" t="s">
        <v>458</v>
      </c>
    </row>
    <row r="24" spans="2:7">
      <c r="D24" s="375" t="s">
        <v>459</v>
      </c>
    </row>
    <row r="25" spans="2:7">
      <c r="D25" s="141" t="s">
        <v>460</v>
      </c>
    </row>
    <row r="26" spans="2:7">
      <c r="D26" s="141" t="s">
        <v>461</v>
      </c>
    </row>
    <row r="27" spans="2:7">
      <c r="D27" s="141" t="s">
        <v>462</v>
      </c>
    </row>
  </sheetData>
  <pageMargins left="0.75" right="0.75" top="1" bottom="1"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D43"/>
  <sheetViews>
    <sheetView workbookViewId="0">
      <selection activeCell="B42" sqref="B42"/>
    </sheetView>
  </sheetViews>
  <sheetFormatPr defaultRowHeight="12.75"/>
  <cols>
    <col min="1" max="1" width="34.5" style="141" bestFit="1" customWidth="1"/>
    <col min="2" max="2" width="23.1640625" style="817" customWidth="1"/>
    <col min="3" max="3" width="14" style="141" bestFit="1" customWidth="1"/>
    <col min="4" max="256" width="9.33203125" style="141"/>
    <col min="257" max="257" width="34.5" style="141" bestFit="1" customWidth="1"/>
    <col min="258" max="258" width="23.1640625" style="141" customWidth="1"/>
    <col min="259" max="259" width="14" style="141" bestFit="1" customWidth="1"/>
    <col min="260" max="512" width="9.33203125" style="141"/>
    <col min="513" max="513" width="34.5" style="141" bestFit="1" customWidth="1"/>
    <col min="514" max="514" width="23.1640625" style="141" customWidth="1"/>
    <col min="515" max="515" width="14" style="141" bestFit="1" customWidth="1"/>
    <col min="516" max="768" width="9.33203125" style="141"/>
    <col min="769" max="769" width="34.5" style="141" bestFit="1" customWidth="1"/>
    <col min="770" max="770" width="23.1640625" style="141" customWidth="1"/>
    <col min="771" max="771" width="14" style="141" bestFit="1" customWidth="1"/>
    <col min="772" max="1024" width="9.33203125" style="141"/>
    <col min="1025" max="1025" width="34.5" style="141" bestFit="1" customWidth="1"/>
    <col min="1026" max="1026" width="23.1640625" style="141" customWidth="1"/>
    <col min="1027" max="1027" width="14" style="141" bestFit="1" customWidth="1"/>
    <col min="1028" max="1280" width="9.33203125" style="141"/>
    <col min="1281" max="1281" width="34.5" style="141" bestFit="1" customWidth="1"/>
    <col min="1282" max="1282" width="23.1640625" style="141" customWidth="1"/>
    <col min="1283" max="1283" width="14" style="141" bestFit="1" customWidth="1"/>
    <col min="1284" max="1536" width="9.33203125" style="141"/>
    <col min="1537" max="1537" width="34.5" style="141" bestFit="1" customWidth="1"/>
    <col min="1538" max="1538" width="23.1640625" style="141" customWidth="1"/>
    <col min="1539" max="1539" width="14" style="141" bestFit="1" customWidth="1"/>
    <col min="1540" max="1792" width="9.33203125" style="141"/>
    <col min="1793" max="1793" width="34.5" style="141" bestFit="1" customWidth="1"/>
    <col min="1794" max="1794" width="23.1640625" style="141" customWidth="1"/>
    <col min="1795" max="1795" width="14" style="141" bestFit="1" customWidth="1"/>
    <col min="1796" max="2048" width="9.33203125" style="141"/>
    <col min="2049" max="2049" width="34.5" style="141" bestFit="1" customWidth="1"/>
    <col min="2050" max="2050" width="23.1640625" style="141" customWidth="1"/>
    <col min="2051" max="2051" width="14" style="141" bestFit="1" customWidth="1"/>
    <col min="2052" max="2304" width="9.33203125" style="141"/>
    <col min="2305" max="2305" width="34.5" style="141" bestFit="1" customWidth="1"/>
    <col min="2306" max="2306" width="23.1640625" style="141" customWidth="1"/>
    <col min="2307" max="2307" width="14" style="141" bestFit="1" customWidth="1"/>
    <col min="2308" max="2560" width="9.33203125" style="141"/>
    <col min="2561" max="2561" width="34.5" style="141" bestFit="1" customWidth="1"/>
    <col min="2562" max="2562" width="23.1640625" style="141" customWidth="1"/>
    <col min="2563" max="2563" width="14" style="141" bestFit="1" customWidth="1"/>
    <col min="2564" max="2816" width="9.33203125" style="141"/>
    <col min="2817" max="2817" width="34.5" style="141" bestFit="1" customWidth="1"/>
    <col min="2818" max="2818" width="23.1640625" style="141" customWidth="1"/>
    <col min="2819" max="2819" width="14" style="141" bestFit="1" customWidth="1"/>
    <col min="2820" max="3072" width="9.33203125" style="141"/>
    <col min="3073" max="3073" width="34.5" style="141" bestFit="1" customWidth="1"/>
    <col min="3074" max="3074" width="23.1640625" style="141" customWidth="1"/>
    <col min="3075" max="3075" width="14" style="141" bestFit="1" customWidth="1"/>
    <col min="3076" max="3328" width="9.33203125" style="141"/>
    <col min="3329" max="3329" width="34.5" style="141" bestFit="1" customWidth="1"/>
    <col min="3330" max="3330" width="23.1640625" style="141" customWidth="1"/>
    <col min="3331" max="3331" width="14" style="141" bestFit="1" customWidth="1"/>
    <col min="3332" max="3584" width="9.33203125" style="141"/>
    <col min="3585" max="3585" width="34.5" style="141" bestFit="1" customWidth="1"/>
    <col min="3586" max="3586" width="23.1640625" style="141" customWidth="1"/>
    <col min="3587" max="3587" width="14" style="141" bestFit="1" customWidth="1"/>
    <col min="3588" max="3840" width="9.33203125" style="141"/>
    <col min="3841" max="3841" width="34.5" style="141" bestFit="1" customWidth="1"/>
    <col min="3842" max="3842" width="23.1640625" style="141" customWidth="1"/>
    <col min="3843" max="3843" width="14" style="141" bestFit="1" customWidth="1"/>
    <col min="3844" max="4096" width="9.33203125" style="141"/>
    <col min="4097" max="4097" width="34.5" style="141" bestFit="1" customWidth="1"/>
    <col min="4098" max="4098" width="23.1640625" style="141" customWidth="1"/>
    <col min="4099" max="4099" width="14" style="141" bestFit="1" customWidth="1"/>
    <col min="4100" max="4352" width="9.33203125" style="141"/>
    <col min="4353" max="4353" width="34.5" style="141" bestFit="1" customWidth="1"/>
    <col min="4354" max="4354" width="23.1640625" style="141" customWidth="1"/>
    <col min="4355" max="4355" width="14" style="141" bestFit="1" customWidth="1"/>
    <col min="4356" max="4608" width="9.33203125" style="141"/>
    <col min="4609" max="4609" width="34.5" style="141" bestFit="1" customWidth="1"/>
    <col min="4610" max="4610" width="23.1640625" style="141" customWidth="1"/>
    <col min="4611" max="4611" width="14" style="141" bestFit="1" customWidth="1"/>
    <col min="4612" max="4864" width="9.33203125" style="141"/>
    <col min="4865" max="4865" width="34.5" style="141" bestFit="1" customWidth="1"/>
    <col min="4866" max="4866" width="23.1640625" style="141" customWidth="1"/>
    <col min="4867" max="4867" width="14" style="141" bestFit="1" customWidth="1"/>
    <col min="4868" max="5120" width="9.33203125" style="141"/>
    <col min="5121" max="5121" width="34.5" style="141" bestFit="1" customWidth="1"/>
    <col min="5122" max="5122" width="23.1640625" style="141" customWidth="1"/>
    <col min="5123" max="5123" width="14" style="141" bestFit="1" customWidth="1"/>
    <col min="5124" max="5376" width="9.33203125" style="141"/>
    <col min="5377" max="5377" width="34.5" style="141" bestFit="1" customWidth="1"/>
    <col min="5378" max="5378" width="23.1640625" style="141" customWidth="1"/>
    <col min="5379" max="5379" width="14" style="141" bestFit="1" customWidth="1"/>
    <col min="5380" max="5632" width="9.33203125" style="141"/>
    <col min="5633" max="5633" width="34.5" style="141" bestFit="1" customWidth="1"/>
    <col min="5634" max="5634" width="23.1640625" style="141" customWidth="1"/>
    <col min="5635" max="5635" width="14" style="141" bestFit="1" customWidth="1"/>
    <col min="5636" max="5888" width="9.33203125" style="141"/>
    <col min="5889" max="5889" width="34.5" style="141" bestFit="1" customWidth="1"/>
    <col min="5890" max="5890" width="23.1640625" style="141" customWidth="1"/>
    <col min="5891" max="5891" width="14" style="141" bestFit="1" customWidth="1"/>
    <col min="5892" max="6144" width="9.33203125" style="141"/>
    <col min="6145" max="6145" width="34.5" style="141" bestFit="1" customWidth="1"/>
    <col min="6146" max="6146" width="23.1640625" style="141" customWidth="1"/>
    <col min="6147" max="6147" width="14" style="141" bestFit="1" customWidth="1"/>
    <col min="6148" max="6400" width="9.33203125" style="141"/>
    <col min="6401" max="6401" width="34.5" style="141" bestFit="1" customWidth="1"/>
    <col min="6402" max="6402" width="23.1640625" style="141" customWidth="1"/>
    <col min="6403" max="6403" width="14" style="141" bestFit="1" customWidth="1"/>
    <col min="6404" max="6656" width="9.33203125" style="141"/>
    <col min="6657" max="6657" width="34.5" style="141" bestFit="1" customWidth="1"/>
    <col min="6658" max="6658" width="23.1640625" style="141" customWidth="1"/>
    <col min="6659" max="6659" width="14" style="141" bestFit="1" customWidth="1"/>
    <col min="6660" max="6912" width="9.33203125" style="141"/>
    <col min="6913" max="6913" width="34.5" style="141" bestFit="1" customWidth="1"/>
    <col min="6914" max="6914" width="23.1640625" style="141" customWidth="1"/>
    <col min="6915" max="6915" width="14" style="141" bestFit="1" customWidth="1"/>
    <col min="6916" max="7168" width="9.33203125" style="141"/>
    <col min="7169" max="7169" width="34.5" style="141" bestFit="1" customWidth="1"/>
    <col min="7170" max="7170" width="23.1640625" style="141" customWidth="1"/>
    <col min="7171" max="7171" width="14" style="141" bestFit="1" customWidth="1"/>
    <col min="7172" max="7424" width="9.33203125" style="141"/>
    <col min="7425" max="7425" width="34.5" style="141" bestFit="1" customWidth="1"/>
    <col min="7426" max="7426" width="23.1640625" style="141" customWidth="1"/>
    <col min="7427" max="7427" width="14" style="141" bestFit="1" customWidth="1"/>
    <col min="7428" max="7680" width="9.33203125" style="141"/>
    <col min="7681" max="7681" width="34.5" style="141" bestFit="1" customWidth="1"/>
    <col min="7682" max="7682" width="23.1640625" style="141" customWidth="1"/>
    <col min="7683" max="7683" width="14" style="141" bestFit="1" customWidth="1"/>
    <col min="7684" max="7936" width="9.33203125" style="141"/>
    <col min="7937" max="7937" width="34.5" style="141" bestFit="1" customWidth="1"/>
    <col min="7938" max="7938" width="23.1640625" style="141" customWidth="1"/>
    <col min="7939" max="7939" width="14" style="141" bestFit="1" customWidth="1"/>
    <col min="7940" max="8192" width="9.33203125" style="141"/>
    <col min="8193" max="8193" width="34.5" style="141" bestFit="1" customWidth="1"/>
    <col min="8194" max="8194" width="23.1640625" style="141" customWidth="1"/>
    <col min="8195" max="8195" width="14" style="141" bestFit="1" customWidth="1"/>
    <col min="8196" max="8448" width="9.33203125" style="141"/>
    <col min="8449" max="8449" width="34.5" style="141" bestFit="1" customWidth="1"/>
    <col min="8450" max="8450" width="23.1640625" style="141" customWidth="1"/>
    <col min="8451" max="8451" width="14" style="141" bestFit="1" customWidth="1"/>
    <col min="8452" max="8704" width="9.33203125" style="141"/>
    <col min="8705" max="8705" width="34.5" style="141" bestFit="1" customWidth="1"/>
    <col min="8706" max="8706" width="23.1640625" style="141" customWidth="1"/>
    <col min="8707" max="8707" width="14" style="141" bestFit="1" customWidth="1"/>
    <col min="8708" max="8960" width="9.33203125" style="141"/>
    <col min="8961" max="8961" width="34.5" style="141" bestFit="1" customWidth="1"/>
    <col min="8962" max="8962" width="23.1640625" style="141" customWidth="1"/>
    <col min="8963" max="8963" width="14" style="141" bestFit="1" customWidth="1"/>
    <col min="8964" max="9216" width="9.33203125" style="141"/>
    <col min="9217" max="9217" width="34.5" style="141" bestFit="1" customWidth="1"/>
    <col min="9218" max="9218" width="23.1640625" style="141" customWidth="1"/>
    <col min="9219" max="9219" width="14" style="141" bestFit="1" customWidth="1"/>
    <col min="9220" max="9472" width="9.33203125" style="141"/>
    <col min="9473" max="9473" width="34.5" style="141" bestFit="1" customWidth="1"/>
    <col min="9474" max="9474" width="23.1640625" style="141" customWidth="1"/>
    <col min="9475" max="9475" width="14" style="141" bestFit="1" customWidth="1"/>
    <col min="9476" max="9728" width="9.33203125" style="141"/>
    <col min="9729" max="9729" width="34.5" style="141" bestFit="1" customWidth="1"/>
    <col min="9730" max="9730" width="23.1640625" style="141" customWidth="1"/>
    <col min="9731" max="9731" width="14" style="141" bestFit="1" customWidth="1"/>
    <col min="9732" max="9984" width="9.33203125" style="141"/>
    <col min="9985" max="9985" width="34.5" style="141" bestFit="1" customWidth="1"/>
    <col min="9986" max="9986" width="23.1640625" style="141" customWidth="1"/>
    <col min="9987" max="9987" width="14" style="141" bestFit="1" customWidth="1"/>
    <col min="9988" max="10240" width="9.33203125" style="141"/>
    <col min="10241" max="10241" width="34.5" style="141" bestFit="1" customWidth="1"/>
    <col min="10242" max="10242" width="23.1640625" style="141" customWidth="1"/>
    <col min="10243" max="10243" width="14" style="141" bestFit="1" customWidth="1"/>
    <col min="10244" max="10496" width="9.33203125" style="141"/>
    <col min="10497" max="10497" width="34.5" style="141" bestFit="1" customWidth="1"/>
    <col min="10498" max="10498" width="23.1640625" style="141" customWidth="1"/>
    <col min="10499" max="10499" width="14" style="141" bestFit="1" customWidth="1"/>
    <col min="10500" max="10752" width="9.33203125" style="141"/>
    <col min="10753" max="10753" width="34.5" style="141" bestFit="1" customWidth="1"/>
    <col min="10754" max="10754" width="23.1640625" style="141" customWidth="1"/>
    <col min="10755" max="10755" width="14" style="141" bestFit="1" customWidth="1"/>
    <col min="10756" max="11008" width="9.33203125" style="141"/>
    <col min="11009" max="11009" width="34.5" style="141" bestFit="1" customWidth="1"/>
    <col min="11010" max="11010" width="23.1640625" style="141" customWidth="1"/>
    <col min="11011" max="11011" width="14" style="141" bestFit="1" customWidth="1"/>
    <col min="11012" max="11264" width="9.33203125" style="141"/>
    <col min="11265" max="11265" width="34.5" style="141" bestFit="1" customWidth="1"/>
    <col min="11266" max="11266" width="23.1640625" style="141" customWidth="1"/>
    <col min="11267" max="11267" width="14" style="141" bestFit="1" customWidth="1"/>
    <col min="11268" max="11520" width="9.33203125" style="141"/>
    <col min="11521" max="11521" width="34.5" style="141" bestFit="1" customWidth="1"/>
    <col min="11522" max="11522" width="23.1640625" style="141" customWidth="1"/>
    <col min="11523" max="11523" width="14" style="141" bestFit="1" customWidth="1"/>
    <col min="11524" max="11776" width="9.33203125" style="141"/>
    <col min="11777" max="11777" width="34.5" style="141" bestFit="1" customWidth="1"/>
    <col min="11778" max="11778" width="23.1640625" style="141" customWidth="1"/>
    <col min="11779" max="11779" width="14" style="141" bestFit="1" customWidth="1"/>
    <col min="11780" max="12032" width="9.33203125" style="141"/>
    <col min="12033" max="12033" width="34.5" style="141" bestFit="1" customWidth="1"/>
    <col min="12034" max="12034" width="23.1640625" style="141" customWidth="1"/>
    <col min="12035" max="12035" width="14" style="141" bestFit="1" customWidth="1"/>
    <col min="12036" max="12288" width="9.33203125" style="141"/>
    <col min="12289" max="12289" width="34.5" style="141" bestFit="1" customWidth="1"/>
    <col min="12290" max="12290" width="23.1640625" style="141" customWidth="1"/>
    <col min="12291" max="12291" width="14" style="141" bestFit="1" customWidth="1"/>
    <col min="12292" max="12544" width="9.33203125" style="141"/>
    <col min="12545" max="12545" width="34.5" style="141" bestFit="1" customWidth="1"/>
    <col min="12546" max="12546" width="23.1640625" style="141" customWidth="1"/>
    <col min="12547" max="12547" width="14" style="141" bestFit="1" customWidth="1"/>
    <col min="12548" max="12800" width="9.33203125" style="141"/>
    <col min="12801" max="12801" width="34.5" style="141" bestFit="1" customWidth="1"/>
    <col min="12802" max="12802" width="23.1640625" style="141" customWidth="1"/>
    <col min="12803" max="12803" width="14" style="141" bestFit="1" customWidth="1"/>
    <col min="12804" max="13056" width="9.33203125" style="141"/>
    <col min="13057" max="13057" width="34.5" style="141" bestFit="1" customWidth="1"/>
    <col min="13058" max="13058" width="23.1640625" style="141" customWidth="1"/>
    <col min="13059" max="13059" width="14" style="141" bestFit="1" customWidth="1"/>
    <col min="13060" max="13312" width="9.33203125" style="141"/>
    <col min="13313" max="13313" width="34.5" style="141" bestFit="1" customWidth="1"/>
    <col min="13314" max="13314" width="23.1640625" style="141" customWidth="1"/>
    <col min="13315" max="13315" width="14" style="141" bestFit="1" customWidth="1"/>
    <col min="13316" max="13568" width="9.33203125" style="141"/>
    <col min="13569" max="13569" width="34.5" style="141" bestFit="1" customWidth="1"/>
    <col min="13570" max="13570" width="23.1640625" style="141" customWidth="1"/>
    <col min="13571" max="13571" width="14" style="141" bestFit="1" customWidth="1"/>
    <col min="13572" max="13824" width="9.33203125" style="141"/>
    <col min="13825" max="13825" width="34.5" style="141" bestFit="1" customWidth="1"/>
    <col min="13826" max="13826" width="23.1640625" style="141" customWidth="1"/>
    <col min="13827" max="13827" width="14" style="141" bestFit="1" customWidth="1"/>
    <col min="13828" max="14080" width="9.33203125" style="141"/>
    <col min="14081" max="14081" width="34.5" style="141" bestFit="1" customWidth="1"/>
    <col min="14082" max="14082" width="23.1640625" style="141" customWidth="1"/>
    <col min="14083" max="14083" width="14" style="141" bestFit="1" customWidth="1"/>
    <col min="14084" max="14336" width="9.33203125" style="141"/>
    <col min="14337" max="14337" width="34.5" style="141" bestFit="1" customWidth="1"/>
    <col min="14338" max="14338" width="23.1640625" style="141" customWidth="1"/>
    <col min="14339" max="14339" width="14" style="141" bestFit="1" customWidth="1"/>
    <col min="14340" max="14592" width="9.33203125" style="141"/>
    <col min="14593" max="14593" width="34.5" style="141" bestFit="1" customWidth="1"/>
    <col min="14594" max="14594" width="23.1640625" style="141" customWidth="1"/>
    <col min="14595" max="14595" width="14" style="141" bestFit="1" customWidth="1"/>
    <col min="14596" max="14848" width="9.33203125" style="141"/>
    <col min="14849" max="14849" width="34.5" style="141" bestFit="1" customWidth="1"/>
    <col min="14850" max="14850" width="23.1640625" style="141" customWidth="1"/>
    <col min="14851" max="14851" width="14" style="141" bestFit="1" customWidth="1"/>
    <col min="14852" max="15104" width="9.33203125" style="141"/>
    <col min="15105" max="15105" width="34.5" style="141" bestFit="1" customWidth="1"/>
    <col min="15106" max="15106" width="23.1640625" style="141" customWidth="1"/>
    <col min="15107" max="15107" width="14" style="141" bestFit="1" customWidth="1"/>
    <col min="15108" max="15360" width="9.33203125" style="141"/>
    <col min="15361" max="15361" width="34.5" style="141" bestFit="1" customWidth="1"/>
    <col min="15362" max="15362" width="23.1640625" style="141" customWidth="1"/>
    <col min="15363" max="15363" width="14" style="141" bestFit="1" customWidth="1"/>
    <col min="15364" max="15616" width="9.33203125" style="141"/>
    <col min="15617" max="15617" width="34.5" style="141" bestFit="1" customWidth="1"/>
    <col min="15618" max="15618" width="23.1640625" style="141" customWidth="1"/>
    <col min="15619" max="15619" width="14" style="141" bestFit="1" customWidth="1"/>
    <col min="15620" max="15872" width="9.33203125" style="141"/>
    <col min="15873" max="15873" width="34.5" style="141" bestFit="1" customWidth="1"/>
    <col min="15874" max="15874" width="23.1640625" style="141" customWidth="1"/>
    <col min="15875" max="15875" width="14" style="141" bestFit="1" customWidth="1"/>
    <col min="15876" max="16128" width="9.33203125" style="141"/>
    <col min="16129" max="16129" width="34.5" style="141" bestFit="1" customWidth="1"/>
    <col min="16130" max="16130" width="23.1640625" style="141" customWidth="1"/>
    <col min="16131" max="16131" width="14" style="141" bestFit="1" customWidth="1"/>
    <col min="16132" max="16384" width="9.33203125" style="141"/>
  </cols>
  <sheetData>
    <row r="1" spans="1:2">
      <c r="A1" s="141" t="s">
        <v>984</v>
      </c>
      <c r="B1" s="816">
        <v>6.1</v>
      </c>
    </row>
    <row r="2" spans="1:2">
      <c r="A2" s="141" t="s">
        <v>985</v>
      </c>
      <c r="B2" s="819">
        <v>43206.534826388888</v>
      </c>
    </row>
    <row r="3" spans="1:2">
      <c r="A3" s="141" t="s">
        <v>986</v>
      </c>
      <c r="B3" s="817" t="s">
        <v>686</v>
      </c>
    </row>
    <row r="4" spans="1:2">
      <c r="A4" s="141" t="s">
        <v>987</v>
      </c>
      <c r="B4" s="817" t="s">
        <v>339</v>
      </c>
    </row>
    <row r="5" spans="1:2">
      <c r="A5" s="141" t="s">
        <v>988</v>
      </c>
      <c r="B5" s="817" t="s">
        <v>989</v>
      </c>
    </row>
    <row r="6" spans="1:2">
      <c r="A6" s="141" t="s">
        <v>990</v>
      </c>
    </row>
    <row r="7" spans="1:2">
      <c r="A7" s="141" t="s">
        <v>991</v>
      </c>
      <c r="B7" s="817" t="s">
        <v>488</v>
      </c>
    </row>
    <row r="8" spans="1:2">
      <c r="A8" s="141" t="s">
        <v>992</v>
      </c>
      <c r="B8" s="817" t="s">
        <v>993</v>
      </c>
    </row>
    <row r="9" spans="1:2">
      <c r="A9" s="141" t="s">
        <v>994</v>
      </c>
      <c r="B9" s="817" t="s">
        <v>1030</v>
      </c>
    </row>
    <row r="10" spans="1:2">
      <c r="A10" s="141" t="s">
        <v>995</v>
      </c>
    </row>
    <row r="11" spans="1:2">
      <c r="A11" s="141" t="s">
        <v>996</v>
      </c>
    </row>
    <row r="12" spans="1:2">
      <c r="A12" s="141" t="s">
        <v>997</v>
      </c>
    </row>
    <row r="13" spans="1:2">
      <c r="A13" s="141" t="s">
        <v>998</v>
      </c>
    </row>
    <row r="14" spans="1:2">
      <c r="A14" s="141" t="s">
        <v>999</v>
      </c>
    </row>
    <row r="15" spans="1:2">
      <c r="A15" s="141" t="s">
        <v>1000</v>
      </c>
    </row>
    <row r="16" spans="1:2">
      <c r="A16" s="141" t="s">
        <v>1001</v>
      </c>
    </row>
    <row r="17" spans="1:4">
      <c r="A17" s="141" t="s">
        <v>1002</v>
      </c>
      <c r="B17" s="817" t="s">
        <v>1031</v>
      </c>
    </row>
    <row r="18" spans="1:4">
      <c r="A18" s="141" t="s">
        <v>1003</v>
      </c>
      <c r="B18" s="817" t="s">
        <v>687</v>
      </c>
    </row>
    <row r="19" spans="1:4">
      <c r="A19" s="141" t="s">
        <v>1004</v>
      </c>
      <c r="B19" s="817" t="s">
        <v>487</v>
      </c>
    </row>
    <row r="20" spans="1:4">
      <c r="A20" s="141" t="s">
        <v>1005</v>
      </c>
      <c r="B20" s="818" t="s">
        <v>1034</v>
      </c>
    </row>
    <row r="21" spans="1:4">
      <c r="A21" s="141" t="s">
        <v>674</v>
      </c>
      <c r="B21" s="817" t="s">
        <v>487</v>
      </c>
    </row>
    <row r="22" spans="1:4">
      <c r="A22" s="141" t="s">
        <v>1006</v>
      </c>
      <c r="B22" s="818">
        <v>2931034</v>
      </c>
    </row>
    <row r="23" spans="1:4">
      <c r="A23" s="141" t="s">
        <v>675</v>
      </c>
      <c r="B23" s="816">
        <v>159.56</v>
      </c>
    </row>
    <row r="24" spans="1:4">
      <c r="A24" s="141" t="s">
        <v>492</v>
      </c>
      <c r="B24" s="817" t="s">
        <v>486</v>
      </c>
      <c r="D24" s="141" t="s">
        <v>651</v>
      </c>
    </row>
    <row r="25" spans="1:4">
      <c r="A25" s="141" t="s">
        <v>1007</v>
      </c>
      <c r="B25" s="817" t="s">
        <v>1035</v>
      </c>
    </row>
    <row r="26" spans="1:4">
      <c r="A26" s="141" t="s">
        <v>1008</v>
      </c>
      <c r="B26" s="817">
        <v>0</v>
      </c>
    </row>
    <row r="27" spans="1:4">
      <c r="A27" s="141" t="s">
        <v>1009</v>
      </c>
      <c r="B27" s="817" t="s">
        <v>1010</v>
      </c>
    </row>
    <row r="28" spans="1:4">
      <c r="A28" s="141" t="s">
        <v>1011</v>
      </c>
      <c r="B28" s="817" t="s">
        <v>1012</v>
      </c>
    </row>
    <row r="29" spans="1:4">
      <c r="A29" s="141" t="s">
        <v>1013</v>
      </c>
    </row>
    <row r="30" spans="1:4">
      <c r="A30" s="141" t="s">
        <v>1014</v>
      </c>
    </row>
    <row r="31" spans="1:4">
      <c r="A31" s="141" t="s">
        <v>1015</v>
      </c>
    </row>
    <row r="32" spans="1:4">
      <c r="A32" s="141" t="s">
        <v>1016</v>
      </c>
      <c r="B32" s="816"/>
    </row>
    <row r="33" spans="1:2">
      <c r="A33" s="141" t="s">
        <v>1017</v>
      </c>
      <c r="B33" s="816"/>
    </row>
    <row r="34" spans="1:2">
      <c r="A34" s="141" t="s">
        <v>1018</v>
      </c>
      <c r="B34" s="816"/>
    </row>
    <row r="35" spans="1:2">
      <c r="A35" s="141" t="s">
        <v>1019</v>
      </c>
      <c r="B35" s="817">
        <v>1000000</v>
      </c>
    </row>
    <row r="36" spans="1:2">
      <c r="A36" s="141" t="s">
        <v>1020</v>
      </c>
      <c r="B36" s="817" t="s">
        <v>1032</v>
      </c>
    </row>
    <row r="37" spans="1:2">
      <c r="A37" s="141" t="s">
        <v>1021</v>
      </c>
      <c r="B37" s="817" t="s">
        <v>1022</v>
      </c>
    </row>
    <row r="38" spans="1:2">
      <c r="A38" s="141" t="s">
        <v>1023</v>
      </c>
      <c r="B38" s="817" t="s">
        <v>1024</v>
      </c>
    </row>
    <row r="39" spans="1:2">
      <c r="A39" s="141" t="s">
        <v>1025</v>
      </c>
      <c r="B39" s="817" t="s">
        <v>1033</v>
      </c>
    </row>
    <row r="40" spans="1:2">
      <c r="A40" s="141" t="s">
        <v>1026</v>
      </c>
      <c r="B40" s="817">
        <v>1500004768</v>
      </c>
    </row>
    <row r="41" spans="1:2">
      <c r="A41" s="141" t="s">
        <v>1027</v>
      </c>
      <c r="B41" s="817">
        <v>1</v>
      </c>
    </row>
    <row r="42" spans="1:2">
      <c r="A42" s="149" t="s">
        <v>1028</v>
      </c>
    </row>
    <row r="43" spans="1:2">
      <c r="A43" s="141" t="s">
        <v>1029</v>
      </c>
    </row>
  </sheetData>
  <pageMargins left="0.75" right="0.75" top="1" bottom="1" header="0.5" footer="0.5"/>
  <pageSetup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13"/>
  <sheetViews>
    <sheetView workbookViewId="0">
      <selection activeCell="E11" sqref="E11"/>
    </sheetView>
  </sheetViews>
  <sheetFormatPr defaultRowHeight="12.75"/>
  <cols>
    <col min="1" max="1" width="33.33203125" style="141" bestFit="1" customWidth="1"/>
    <col min="2" max="256" width="9.33203125" style="141"/>
    <col min="257" max="257" width="33.33203125" style="141" bestFit="1" customWidth="1"/>
    <col min="258" max="512" width="9.33203125" style="141"/>
    <col min="513" max="513" width="33.33203125" style="141" bestFit="1" customWidth="1"/>
    <col min="514" max="768" width="9.33203125" style="141"/>
    <col min="769" max="769" width="33.33203125" style="141" bestFit="1" customWidth="1"/>
    <col min="770" max="1024" width="9.33203125" style="141"/>
    <col min="1025" max="1025" width="33.33203125" style="141" bestFit="1" customWidth="1"/>
    <col min="1026" max="1280" width="9.33203125" style="141"/>
    <col min="1281" max="1281" width="33.33203125" style="141" bestFit="1" customWidth="1"/>
    <col min="1282" max="1536" width="9.33203125" style="141"/>
    <col min="1537" max="1537" width="33.33203125" style="141" bestFit="1" customWidth="1"/>
    <col min="1538" max="1792" width="9.33203125" style="141"/>
    <col min="1793" max="1793" width="33.33203125" style="141" bestFit="1" customWidth="1"/>
    <col min="1794" max="2048" width="9.33203125" style="141"/>
    <col min="2049" max="2049" width="33.33203125" style="141" bestFit="1" customWidth="1"/>
    <col min="2050" max="2304" width="9.33203125" style="141"/>
    <col min="2305" max="2305" width="33.33203125" style="141" bestFit="1" customWidth="1"/>
    <col min="2306" max="2560" width="9.33203125" style="141"/>
    <col min="2561" max="2561" width="33.33203125" style="141" bestFit="1" customWidth="1"/>
    <col min="2562" max="2816" width="9.33203125" style="141"/>
    <col min="2817" max="2817" width="33.33203125" style="141" bestFit="1" customWidth="1"/>
    <col min="2818" max="3072" width="9.33203125" style="141"/>
    <col min="3073" max="3073" width="33.33203125" style="141" bestFit="1" customWidth="1"/>
    <col min="3074" max="3328" width="9.33203125" style="141"/>
    <col min="3329" max="3329" width="33.33203125" style="141" bestFit="1" customWidth="1"/>
    <col min="3330" max="3584" width="9.33203125" style="141"/>
    <col min="3585" max="3585" width="33.33203125" style="141" bestFit="1" customWidth="1"/>
    <col min="3586" max="3840" width="9.33203125" style="141"/>
    <col min="3841" max="3841" width="33.33203125" style="141" bestFit="1" customWidth="1"/>
    <col min="3842" max="4096" width="9.33203125" style="141"/>
    <col min="4097" max="4097" width="33.33203125" style="141" bestFit="1" customWidth="1"/>
    <col min="4098" max="4352" width="9.33203125" style="141"/>
    <col min="4353" max="4353" width="33.33203125" style="141" bestFit="1" customWidth="1"/>
    <col min="4354" max="4608" width="9.33203125" style="141"/>
    <col min="4609" max="4609" width="33.33203125" style="141" bestFit="1" customWidth="1"/>
    <col min="4610" max="4864" width="9.33203125" style="141"/>
    <col min="4865" max="4865" width="33.33203125" style="141" bestFit="1" customWidth="1"/>
    <col min="4866" max="5120" width="9.33203125" style="141"/>
    <col min="5121" max="5121" width="33.33203125" style="141" bestFit="1" customWidth="1"/>
    <col min="5122" max="5376" width="9.33203125" style="141"/>
    <col min="5377" max="5377" width="33.33203125" style="141" bestFit="1" customWidth="1"/>
    <col min="5378" max="5632" width="9.33203125" style="141"/>
    <col min="5633" max="5633" width="33.33203125" style="141" bestFit="1" customWidth="1"/>
    <col min="5634" max="5888" width="9.33203125" style="141"/>
    <col min="5889" max="5889" width="33.33203125" style="141" bestFit="1" customWidth="1"/>
    <col min="5890" max="6144" width="9.33203125" style="141"/>
    <col min="6145" max="6145" width="33.33203125" style="141" bestFit="1" customWidth="1"/>
    <col min="6146" max="6400" width="9.33203125" style="141"/>
    <col min="6401" max="6401" width="33.33203125" style="141" bestFit="1" customWidth="1"/>
    <col min="6402" max="6656" width="9.33203125" style="141"/>
    <col min="6657" max="6657" width="33.33203125" style="141" bestFit="1" customWidth="1"/>
    <col min="6658" max="6912" width="9.33203125" style="141"/>
    <col min="6913" max="6913" width="33.33203125" style="141" bestFit="1" customWidth="1"/>
    <col min="6914" max="7168" width="9.33203125" style="141"/>
    <col min="7169" max="7169" width="33.33203125" style="141" bestFit="1" customWidth="1"/>
    <col min="7170" max="7424" width="9.33203125" style="141"/>
    <col min="7425" max="7425" width="33.33203125" style="141" bestFit="1" customWidth="1"/>
    <col min="7426" max="7680" width="9.33203125" style="141"/>
    <col min="7681" max="7681" width="33.33203125" style="141" bestFit="1" customWidth="1"/>
    <col min="7682" max="7936" width="9.33203125" style="141"/>
    <col min="7937" max="7937" width="33.33203125" style="141" bestFit="1" customWidth="1"/>
    <col min="7938" max="8192" width="9.33203125" style="141"/>
    <col min="8193" max="8193" width="33.33203125" style="141" bestFit="1" customWidth="1"/>
    <col min="8194" max="8448" width="9.33203125" style="141"/>
    <col min="8449" max="8449" width="33.33203125" style="141" bestFit="1" customWidth="1"/>
    <col min="8450" max="8704" width="9.33203125" style="141"/>
    <col min="8705" max="8705" width="33.33203125" style="141" bestFit="1" customWidth="1"/>
    <col min="8706" max="8960" width="9.33203125" style="141"/>
    <col min="8961" max="8961" width="33.33203125" style="141" bestFit="1" customWidth="1"/>
    <col min="8962" max="9216" width="9.33203125" style="141"/>
    <col min="9217" max="9217" width="33.33203125" style="141" bestFit="1" customWidth="1"/>
    <col min="9218" max="9472" width="9.33203125" style="141"/>
    <col min="9473" max="9473" width="33.33203125" style="141" bestFit="1" customWidth="1"/>
    <col min="9474" max="9728" width="9.33203125" style="141"/>
    <col min="9729" max="9729" width="33.33203125" style="141" bestFit="1" customWidth="1"/>
    <col min="9730" max="9984" width="9.33203125" style="141"/>
    <col min="9985" max="9985" width="33.33203125" style="141" bestFit="1" customWidth="1"/>
    <col min="9986" max="10240" width="9.33203125" style="141"/>
    <col min="10241" max="10241" width="33.33203125" style="141" bestFit="1" customWidth="1"/>
    <col min="10242" max="10496" width="9.33203125" style="141"/>
    <col min="10497" max="10497" width="33.33203125" style="141" bestFit="1" customWidth="1"/>
    <col min="10498" max="10752" width="9.33203125" style="141"/>
    <col min="10753" max="10753" width="33.33203125" style="141" bestFit="1" customWidth="1"/>
    <col min="10754" max="11008" width="9.33203125" style="141"/>
    <col min="11009" max="11009" width="33.33203125" style="141" bestFit="1" customWidth="1"/>
    <col min="11010" max="11264" width="9.33203125" style="141"/>
    <col min="11265" max="11265" width="33.33203125" style="141" bestFit="1" customWidth="1"/>
    <col min="11266" max="11520" width="9.33203125" style="141"/>
    <col min="11521" max="11521" width="33.33203125" style="141" bestFit="1" customWidth="1"/>
    <col min="11522" max="11776" width="9.33203125" style="141"/>
    <col min="11777" max="11777" width="33.33203125" style="141" bestFit="1" customWidth="1"/>
    <col min="11778" max="12032" width="9.33203125" style="141"/>
    <col min="12033" max="12033" width="33.33203125" style="141" bestFit="1" customWidth="1"/>
    <col min="12034" max="12288" width="9.33203125" style="141"/>
    <col min="12289" max="12289" width="33.33203125" style="141" bestFit="1" customWidth="1"/>
    <col min="12290" max="12544" width="9.33203125" style="141"/>
    <col min="12545" max="12545" width="33.33203125" style="141" bestFit="1" customWidth="1"/>
    <col min="12546" max="12800" width="9.33203125" style="141"/>
    <col min="12801" max="12801" width="33.33203125" style="141" bestFit="1" customWidth="1"/>
    <col min="12802" max="13056" width="9.33203125" style="141"/>
    <col min="13057" max="13057" width="33.33203125" style="141" bestFit="1" customWidth="1"/>
    <col min="13058" max="13312" width="9.33203125" style="141"/>
    <col min="13313" max="13313" width="33.33203125" style="141" bestFit="1" customWidth="1"/>
    <col min="13314" max="13568" width="9.33203125" style="141"/>
    <col min="13569" max="13569" width="33.33203125" style="141" bestFit="1" customWidth="1"/>
    <col min="13570" max="13824" width="9.33203125" style="141"/>
    <col min="13825" max="13825" width="33.33203125" style="141" bestFit="1" customWidth="1"/>
    <col min="13826" max="14080" width="9.33203125" style="141"/>
    <col min="14081" max="14081" width="33.33203125" style="141" bestFit="1" customWidth="1"/>
    <col min="14082" max="14336" width="9.33203125" style="141"/>
    <col min="14337" max="14337" width="33.33203125" style="141" bestFit="1" customWidth="1"/>
    <col min="14338" max="14592" width="9.33203125" style="141"/>
    <col min="14593" max="14593" width="33.33203125" style="141" bestFit="1" customWidth="1"/>
    <col min="14594" max="14848" width="9.33203125" style="141"/>
    <col min="14849" max="14849" width="33.33203125" style="141" bestFit="1" customWidth="1"/>
    <col min="14850" max="15104" width="9.33203125" style="141"/>
    <col min="15105" max="15105" width="33.33203125" style="141" bestFit="1" customWidth="1"/>
    <col min="15106" max="15360" width="9.33203125" style="141"/>
    <col min="15361" max="15361" width="33.33203125" style="141" bestFit="1" customWidth="1"/>
    <col min="15362" max="15616" width="9.33203125" style="141"/>
    <col min="15617" max="15617" width="33.33203125" style="141" bestFit="1" customWidth="1"/>
    <col min="15618" max="15872" width="9.33203125" style="141"/>
    <col min="15873" max="15873" width="33.33203125" style="141" bestFit="1" customWidth="1"/>
    <col min="15874" max="16128" width="9.33203125" style="141"/>
    <col min="16129" max="16129" width="33.33203125" style="141" bestFit="1" customWidth="1"/>
    <col min="16130" max="16384" width="9.33203125" style="141"/>
  </cols>
  <sheetData>
    <row r="1" spans="1:1">
      <c r="A1" s="820" t="s">
        <v>1036</v>
      </c>
    </row>
    <row r="2" spans="1:1">
      <c r="A2" s="820" t="s">
        <v>1041</v>
      </c>
    </row>
    <row r="3" spans="1:1">
      <c r="A3" s="820" t="s">
        <v>1042</v>
      </c>
    </row>
    <row r="4" spans="1:1">
      <c r="A4" s="820" t="s">
        <v>1043</v>
      </c>
    </row>
    <row r="5" spans="1:1">
      <c r="A5" s="820" t="s">
        <v>1044</v>
      </c>
    </row>
    <row r="6" spans="1:1">
      <c r="A6" s="820" t="s">
        <v>1037</v>
      </c>
    </row>
    <row r="7" spans="1:1">
      <c r="A7" s="820" t="s">
        <v>1045</v>
      </c>
    </row>
    <row r="8" spans="1:1">
      <c r="A8" s="820" t="s">
        <v>1046</v>
      </c>
    </row>
    <row r="9" spans="1:1">
      <c r="A9" s="820" t="s">
        <v>1047</v>
      </c>
    </row>
    <row r="10" spans="1:1">
      <c r="A10" s="820" t="s">
        <v>1038</v>
      </c>
    </row>
    <row r="11" spans="1:1">
      <c r="A11" s="820" t="s">
        <v>1048</v>
      </c>
    </row>
    <row r="12" spans="1:1">
      <c r="A12" s="820" t="s">
        <v>1039</v>
      </c>
    </row>
    <row r="13" spans="1:1">
      <c r="A13" s="820" t="s">
        <v>1040</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89</vt:i4>
      </vt:variant>
    </vt:vector>
  </HeadingPairs>
  <TitlesOfParts>
    <vt:vector size="100" baseType="lpstr">
      <vt:lpstr>ImportantDisclosures</vt:lpstr>
      <vt:lpstr>DCF</vt:lpstr>
      <vt:lpstr>IS</vt:lpstr>
      <vt:lpstr>Revs</vt:lpstr>
      <vt:lpstr>BS</vt:lpstr>
      <vt:lpstr>CF</vt:lpstr>
      <vt:lpstr>CF Market</vt:lpstr>
      <vt:lpstr>Deals and Terms</vt:lpstr>
      <vt:lpstr>Financings and Debt info</vt:lpstr>
      <vt:lpstr>IndexInformation</vt:lpstr>
      <vt:lpstr>ModPubIndex</vt:lpstr>
      <vt:lpstr>AdditionalInstructions</vt:lpstr>
      <vt:lpstr>ImportantDisclosures!Address</vt:lpstr>
      <vt:lpstr>ModPubIndex!ANA</vt:lpstr>
      <vt:lpstr>ImportantDisclosures!Authors</vt:lpstr>
      <vt:lpstr>IndexInformation!Authors</vt:lpstr>
      <vt:lpstr>ModPubIndex!BRO</vt:lpstr>
      <vt:lpstr>CopyrightStamp</vt:lpstr>
      <vt:lpstr>ModPubIndex!COU</vt:lpstr>
      <vt:lpstr>IndexInformation!CQEnd</vt:lpstr>
      <vt:lpstr>IndexInformation!Currency</vt:lpstr>
      <vt:lpstr>IndexInformation!CurrentStockPrice</vt:lpstr>
      <vt:lpstr>IndexInformation!CurrQtrEPS</vt:lpstr>
      <vt:lpstr>IndexInformation!CurrYearEPS</vt:lpstr>
      <vt:lpstr>IndexInformation!CurrYearTotalRevenue</vt:lpstr>
      <vt:lpstr>IndexInformation!CurrYearTotalRevenueActual</vt:lpstr>
      <vt:lpstr>IndexInformation!CUSIP</vt:lpstr>
      <vt:lpstr>IndexInformation!CYEnd</vt:lpstr>
      <vt:lpstr>ImportantDisclosures!Date</vt:lpstr>
      <vt:lpstr>IndexInformation!Deleted</vt:lpstr>
      <vt:lpstr>IndexInformation!Description</vt:lpstr>
      <vt:lpstr>IndexInformation!Discipline</vt:lpstr>
      <vt:lpstr>ModPubIndex!DISCIPLINE</vt:lpstr>
      <vt:lpstr>DisclosuresText</vt:lpstr>
      <vt:lpstr>IndexInformation!Distribution</vt:lpstr>
      <vt:lpstr>ModPubIndex!DOCDAT</vt:lpstr>
      <vt:lpstr>ModPubIndex!DOCTIME</vt:lpstr>
      <vt:lpstr>IndexInformation!DocType</vt:lpstr>
      <vt:lpstr>ModPubIndex!EMAIL_ALERT</vt:lpstr>
      <vt:lpstr>IndexInformation!EmailAlert</vt:lpstr>
      <vt:lpstr>IndexInformation!FiveYearGrowthRate</vt:lpstr>
      <vt:lpstr>IndexInformation!FollowingYearEPS</vt:lpstr>
      <vt:lpstr>IndexInformation!FollowingYearTotalRevenue</vt:lpstr>
      <vt:lpstr>IndexInformation!FollowingYearTotalRevenueActual</vt:lpstr>
      <vt:lpstr>ModPubIndex!HL</vt:lpstr>
      <vt:lpstr>ModPubIndex!IND</vt:lpstr>
      <vt:lpstr>ImportantDisclosures!Industry</vt:lpstr>
      <vt:lpstr>IndexInformation!IndustryId</vt:lpstr>
      <vt:lpstr>ImportantDisclosures!IndustryRating</vt:lpstr>
      <vt:lpstr>IndexInformation!KeepVersions</vt:lpstr>
      <vt:lpstr>IndexInformation!LanguageCode</vt:lpstr>
      <vt:lpstr>ImportantDisclosures!LastCell</vt:lpstr>
      <vt:lpstr>Linking_10</vt:lpstr>
      <vt:lpstr>Linking_11</vt:lpstr>
      <vt:lpstr>Linking_14</vt:lpstr>
      <vt:lpstr>Linking_15</vt:lpstr>
      <vt:lpstr>Linking_16</vt:lpstr>
      <vt:lpstr>Linking_17</vt:lpstr>
      <vt:lpstr>Linking_18</vt:lpstr>
      <vt:lpstr>Linking_19</vt:lpstr>
      <vt:lpstr>Linking_20</vt:lpstr>
      <vt:lpstr>Linking_21</vt:lpstr>
      <vt:lpstr>Linking_22</vt:lpstr>
      <vt:lpstr>Linking_23</vt:lpstr>
      <vt:lpstr>Linking_25</vt:lpstr>
      <vt:lpstr>Linking_26</vt:lpstr>
      <vt:lpstr>Linking_27</vt:lpstr>
      <vt:lpstr>Linking_28</vt:lpstr>
      <vt:lpstr>DCF!Linking_5</vt:lpstr>
      <vt:lpstr>Linking_8</vt:lpstr>
      <vt:lpstr>Linking_9</vt:lpstr>
      <vt:lpstr>Linking_Range_20</vt:lpstr>
      <vt:lpstr>IndexInformation!MacroVersion</vt:lpstr>
      <vt:lpstr>ImportantDisclosures!ModelPrice</vt:lpstr>
      <vt:lpstr>IndexInformation!Multiplier</vt:lpstr>
      <vt:lpstr>IndexInformation!NextYearEPS</vt:lpstr>
      <vt:lpstr>IndexInformation!NextYearTotalRevenue</vt:lpstr>
      <vt:lpstr>IndexInformation!NextYearTotalRevenueActual</vt:lpstr>
      <vt:lpstr>IndexInformation!ObjectType</vt:lpstr>
      <vt:lpstr>ModPubIndex!PANA</vt:lpstr>
      <vt:lpstr>IndexInformation!PathName</vt:lpstr>
      <vt:lpstr>ModPubIndex!PRODUCT</vt:lpstr>
      <vt:lpstr>ModPubIndex!PSYM</vt:lpstr>
      <vt:lpstr>IndexInformation!PublishDate</vt:lpstr>
      <vt:lpstr>IndexInformation!Rating</vt:lpstr>
      <vt:lpstr>ImportantDisclosures!RatingsDefined</vt:lpstr>
      <vt:lpstr>IndexInformation!ResearchTopic</vt:lpstr>
      <vt:lpstr>IndexInformation!RIC</vt:lpstr>
      <vt:lpstr>IndexInformation!SEDOL</vt:lpstr>
      <vt:lpstr>ImportantDisclosures!SourceDefined</vt:lpstr>
      <vt:lpstr>ImportantDisclosures!StockRating</vt:lpstr>
      <vt:lpstr>IndexInformation!SubjectCode</vt:lpstr>
      <vt:lpstr>IndexInformation!SubmitterUserId</vt:lpstr>
      <vt:lpstr>ModPubIndex!SUPPRESSED</vt:lpstr>
      <vt:lpstr>ImportantDisclosures!TargetPrice</vt:lpstr>
      <vt:lpstr>IndexInformation!TemplateRegion</vt:lpstr>
      <vt:lpstr>ImportantDisclosures!Ticker</vt:lpstr>
      <vt:lpstr>TickerRegion</vt:lpstr>
      <vt:lpstr>IndexInformation!Tickers</vt:lpstr>
      <vt:lpstr>IndexInformation!UpdateReason</vt:lpstr>
    </vt:vector>
  </TitlesOfParts>
  <Company>Morgan Stanley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1999-09-09T17:30:14Z</dcterms:created>
  <dc:creator>Lebowitz, David (Research)</dc:creator>
  <cp:lastModifiedBy>Purohit, Vikram (Research)</cp:lastModifiedBy>
  <cp:lastPrinted>2018-02-01T09:24:26Z</cp:lastPrinted>
  <dcterms:modified xsi:type="dcterms:W3CDTF">2018-04-16T16:50:10Z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RequiresJobNumber" pid="2">
    <vt:bool>true</vt:bool>
  </property>
  <property fmtid="{D5CDD505-2E9C-101B-9397-08002B2CF9AE}" name="IsNewDesign" pid="3">
    <vt:lpwstr>True</vt:lpwstr>
  </property>
  <property fmtid="{D5CDD505-2E9C-101B-9397-08002B2CF9AE}" name="Industry Group" pid="4">
    <vt:lpwstr> </vt:lpwstr>
  </property>
  <property fmtid="{D5CDD505-2E9C-101B-9397-08002B2CF9AE}" name="Coverage Group" pid="5">
    <vt:lpwstr> </vt:lpwstr>
  </property>
  <property fmtid="{D5CDD505-2E9C-101B-9397-08002B2CF9AE}" name="Poduct Group" pid="6">
    <vt:lpwstr> </vt:lpwstr>
  </property>
  <property fmtid="{D5CDD505-2E9C-101B-9397-08002B2CF9AE}" name="Client Name" pid="7">
    <vt:lpwstr> </vt:lpwstr>
  </property>
  <property fmtid="{D5CDD505-2E9C-101B-9397-08002B2CF9AE}" name="ProjectName" pid="8">
    <vt:lpwstr>BU Name or Client/Project Name</vt:lpwstr>
  </property>
  <property fmtid="{D5CDD505-2E9C-101B-9397-08002B2CF9AE}" name="PresentationScheme" pid="9">
    <vt:lpwstr>Printed</vt:lpwstr>
  </property>
  <property fmtid="{D5CDD505-2E9C-101B-9397-08002B2CF9AE}" name="Output Device" pid="10">
    <vt:lpwstr>Canon Colorpass 1000</vt:lpwstr>
  </property>
  <property fmtid="{D5CDD505-2E9C-101B-9397-08002B2CF9AE}" name="IsBluebook" pid="11">
    <vt:lpwstr>True</vt:lpwstr>
  </property>
  <property fmtid="{D5CDD505-2E9C-101B-9397-08002B2CF9AE}" name="Style" pid="12">
    <vt:lpwstr>IBD</vt:lpwstr>
  </property>
  <property fmtid="{D5CDD505-2E9C-101B-9397-08002B2CF9AE}" name="FixChartColors" pid="13">
    <vt:lpwstr>No</vt:lpwstr>
  </property>
  <property fmtid="{D5CDD505-2E9C-101B-9397-08002B2CF9AE}" name="OutputDevice" pid="14">
    <vt:lpwstr>Canon Colorpass 1000</vt:lpwstr>
  </property>
  <property fmtid="{D5CDD505-2E9C-101B-9397-08002B2CF9AE}" name="Language" pid="15">
    <vt:lpwstr>English (United States)</vt:lpwstr>
  </property>
  <property fmtid="{D5CDD505-2E9C-101B-9397-08002B2CF9AE}" name="AuthorVersion" pid="16">
    <vt:lpwstr>2.8</vt:lpwstr>
  </property>
  <property fmtid="{D5CDD505-2E9C-101B-9397-08002B2CF9AE}" name="ProjectDate" pid="17">
    <vt:filetime>2015-09-14T19:51:44Z</vt:filetime>
  </property>
  <property fmtid="{D5CDD505-2E9C-101B-9397-08002B2CF9AE}" linkTarget="Prop__Plant___Equip_Net" name="_Plant___Equip_Net" pid="18">
    <vt:r8>0</vt:r8>
  </property>
  <property fmtid="{D5CDD505-2E9C-101B-9397-08002B2CF9AE}" name="LinkingAutoNameNumberLinking_Range_" pid="19">
    <vt:lpwstr>20</vt:lpwstr>
  </property>
  <property fmtid="{D5CDD505-2E9C-101B-9397-08002B2CF9AE}" name="{A44787D4-0540-4523-9961-78E4036D8C6D}" pid="20">
    <vt:lpwstr>{5DAB828A-14A4-45FF-9FC1-1C2A33C77A71}</vt:lpwstr>
  </property>
  <property fmtid="{D5CDD505-2E9C-101B-9397-08002B2CF9AE}" name="ERModPubTicket" pid="21">
    <vt:lpwstr>NA</vt:lpwstr>
  </property>
  <property fmtid="{D5CDD505-2E9C-101B-9397-08002B2CF9AE}" name="ERCompanyUploadState" pid="22">
    <vt:lpwstr>P</vt:lpwstr>
  </property>
  <property fmtid="{D5CDD505-2E9C-101B-9397-08002B2CF9AE}" name="ModelId" pid="23">
    <vt:lpwstr>761921</vt:lpwstr>
  </property>
  <property fmtid="{D5CDD505-2E9C-101B-9397-08002B2CF9AE}" name="ERModPubCompanyName" pid="24">
    <vt:lpwstr>Vertex Pharmaceuticals</vt:lpwstr>
  </property>
  <property fmtid="{D5CDD505-2E9C-101B-9397-08002B2CF9AE}" name="MSDH34TAG" pid="25">
    <vt:lpwstr>.TEZUF76X5TAHATHESADREYAK-00-INB160+*94600-06=3d4b29f0/-4196/-11e8/-9695/-5e5c95fbb3b1,MD=20180416125659/-0400,ZZ=000Z-7901.</vt:lpwstr>
  </property>
</Properties>
</file>